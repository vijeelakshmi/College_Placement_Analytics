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llege  Placement Analytics\EXCEL\"/>
    </mc:Choice>
  </mc:AlternateContent>
  <xr:revisionPtr revIDLastSave="0" documentId="13_ncr:1_{A16E9D14-5723-4F24-A3A7-68D053EE96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Raw_Data" sheetId="2" r:id="rId2"/>
    <sheet name="Data_Cleaning" sheetId="3" r:id="rId3"/>
    <sheet name="Summary" sheetId="4" r:id="rId4"/>
    <sheet name="Pivot_Tables" sheetId="5" r:id="rId5"/>
    <sheet name="Salary_Analysis" sheetId="6" r:id="rId6"/>
    <sheet name="Student_Analysis" sheetId="7" r:id="rId7"/>
    <sheet name="Top_Students" sheetId="8" r:id="rId8"/>
    <sheet name="Recruiter_Analysis" sheetId="9" r:id="rId9"/>
  </sheets>
  <definedNames>
    <definedName name="_xlnm.Print_Titles" localSheetId="1">Raw_Data!$1:$1</definedName>
  </definedNames>
  <calcPr calcId="191029" forceFullCalc="1"/>
</workbook>
</file>

<file path=xl/calcChain.xml><?xml version="1.0" encoding="utf-8"?>
<calcChain xmlns="http://schemas.openxmlformats.org/spreadsheetml/2006/main">
  <c r="F13" i="9" l="1"/>
  <c r="E13" i="9"/>
  <c r="D13" i="9"/>
  <c r="C13" i="9"/>
  <c r="B13" i="9"/>
  <c r="F12" i="9"/>
  <c r="E12" i="9"/>
  <c r="D12" i="9"/>
  <c r="C12" i="9"/>
  <c r="B12" i="9"/>
  <c r="F11" i="9"/>
  <c r="E11" i="9"/>
  <c r="D11" i="9"/>
  <c r="C11" i="9"/>
  <c r="B11" i="9"/>
  <c r="F10" i="9"/>
  <c r="E10" i="9"/>
  <c r="D10" i="9"/>
  <c r="C10" i="9"/>
  <c r="B10" i="9"/>
  <c r="F9" i="9"/>
  <c r="E9" i="9"/>
  <c r="D9" i="9"/>
  <c r="C9" i="9"/>
  <c r="B9" i="9"/>
  <c r="F8" i="9"/>
  <c r="E8" i="9"/>
  <c r="D8" i="9"/>
  <c r="C8" i="9"/>
  <c r="B8" i="9"/>
  <c r="F7" i="9"/>
  <c r="E7" i="9"/>
  <c r="D7" i="9"/>
  <c r="C7" i="9"/>
  <c r="B7" i="9"/>
  <c r="F6" i="9"/>
  <c r="E6" i="9"/>
  <c r="D6" i="9"/>
  <c r="C6" i="9"/>
  <c r="B6" i="9"/>
  <c r="F5" i="9"/>
  <c r="E5" i="9"/>
  <c r="D5" i="9"/>
  <c r="C5" i="9"/>
  <c r="B5" i="9"/>
  <c r="F4" i="9"/>
  <c r="E4" i="9"/>
  <c r="D4" i="9"/>
  <c r="C4" i="9"/>
  <c r="B4" i="9"/>
  <c r="B34" i="7"/>
  <c r="C34" i="7" s="1"/>
  <c r="B33" i="7"/>
  <c r="C33" i="7" s="1"/>
  <c r="B32" i="7"/>
  <c r="C32" i="7" s="1"/>
  <c r="B31" i="7"/>
  <c r="C31" i="7" s="1"/>
  <c r="B30" i="7"/>
  <c r="C30" i="7" s="1"/>
  <c r="B27" i="7"/>
  <c r="C27" i="7" s="1"/>
  <c r="B26" i="7"/>
  <c r="C26" i="7" s="1"/>
  <c r="B25" i="7"/>
  <c r="C25" i="7" s="1"/>
  <c r="B24" i="7"/>
  <c r="C24" i="7" s="1"/>
  <c r="B23" i="7"/>
  <c r="C23" i="7" s="1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B46" i="6"/>
  <c r="B45" i="6"/>
  <c r="B44" i="6"/>
  <c r="B43" i="6"/>
  <c r="B42" i="6"/>
  <c r="B41" i="6"/>
  <c r="B40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B10" i="6"/>
  <c r="B9" i="6"/>
  <c r="B8" i="6"/>
  <c r="B7" i="6"/>
  <c r="B6" i="6"/>
  <c r="B5" i="6"/>
  <c r="F2" i="6"/>
  <c r="D231" i="5"/>
  <c r="C231" i="5"/>
  <c r="B231" i="5"/>
  <c r="D230" i="5"/>
  <c r="C230" i="5"/>
  <c r="B230" i="5"/>
  <c r="D229" i="5"/>
  <c r="C229" i="5"/>
  <c r="B229" i="5"/>
  <c r="D228" i="5"/>
  <c r="C228" i="5"/>
  <c r="B228" i="5"/>
  <c r="D227" i="5"/>
  <c r="C227" i="5"/>
  <c r="B227" i="5"/>
  <c r="D226" i="5"/>
  <c r="C226" i="5"/>
  <c r="B226" i="5"/>
  <c r="D225" i="5"/>
  <c r="C225" i="5"/>
  <c r="B225" i="5"/>
  <c r="C210" i="5"/>
  <c r="B210" i="5"/>
  <c r="C209" i="5"/>
  <c r="B209" i="5"/>
  <c r="C208" i="5"/>
  <c r="B208" i="5"/>
  <c r="C207" i="5"/>
  <c r="B207" i="5"/>
  <c r="C206" i="5"/>
  <c r="B206" i="5"/>
  <c r="C205" i="5"/>
  <c r="B205" i="5"/>
  <c r="C188" i="5"/>
  <c r="B188" i="5"/>
  <c r="C187" i="5"/>
  <c r="B187" i="5"/>
  <c r="C186" i="5"/>
  <c r="B186" i="5"/>
  <c r="C185" i="5"/>
  <c r="B185" i="5"/>
  <c r="C171" i="5"/>
  <c r="B171" i="5"/>
  <c r="C170" i="5"/>
  <c r="B170" i="5"/>
  <c r="C169" i="5"/>
  <c r="B169" i="5"/>
  <c r="C168" i="5"/>
  <c r="B168" i="5"/>
  <c r="C167" i="5"/>
  <c r="B167" i="5"/>
  <c r="C166" i="5"/>
  <c r="B166" i="5"/>
  <c r="C165" i="5"/>
  <c r="B165" i="5"/>
  <c r="B148" i="5"/>
  <c r="B147" i="5"/>
  <c r="B146" i="5"/>
  <c r="B145" i="5"/>
  <c r="C126" i="5"/>
  <c r="B126" i="5"/>
  <c r="C125" i="5"/>
  <c r="B125" i="5"/>
  <c r="B114" i="5"/>
  <c r="B113" i="5"/>
  <c r="B112" i="5"/>
  <c r="B111" i="5"/>
  <c r="B110" i="5"/>
  <c r="B109" i="5"/>
  <c r="B108" i="5"/>
  <c r="B107" i="5"/>
  <c r="B106" i="5"/>
  <c r="B105" i="5"/>
  <c r="B91" i="5"/>
  <c r="B90" i="5"/>
  <c r="B89" i="5"/>
  <c r="B88" i="5"/>
  <c r="B87" i="5"/>
  <c r="B86" i="5"/>
  <c r="B85" i="5"/>
  <c r="B74" i="5"/>
  <c r="B73" i="5"/>
  <c r="B72" i="5"/>
  <c r="B71" i="5"/>
  <c r="B70" i="5"/>
  <c r="B69" i="5"/>
  <c r="B68" i="5"/>
  <c r="B67" i="5"/>
  <c r="B66" i="5"/>
  <c r="B65" i="5"/>
  <c r="C49" i="5"/>
  <c r="B49" i="5"/>
  <c r="C48" i="5"/>
  <c r="B48" i="5"/>
  <c r="C47" i="5"/>
  <c r="B47" i="5"/>
  <c r="C46" i="5"/>
  <c r="B46" i="5"/>
  <c r="C45" i="5"/>
  <c r="B45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B6" i="5"/>
  <c r="B5" i="5"/>
  <c r="B18" i="4"/>
  <c r="B17" i="4"/>
  <c r="B16" i="4"/>
  <c r="B15" i="4"/>
  <c r="B14" i="4"/>
  <c r="B13" i="4"/>
  <c r="B12" i="4"/>
  <c r="B11" i="4"/>
  <c r="B10" i="4"/>
  <c r="P7" i="1" s="1"/>
  <c r="B9" i="4"/>
  <c r="B8" i="4"/>
  <c r="M7" i="1" s="1"/>
  <c r="B7" i="4"/>
  <c r="J7" i="1" s="1"/>
  <c r="B5" i="4"/>
  <c r="B4" i="4"/>
  <c r="D7" i="1" s="1"/>
  <c r="B3" i="4"/>
  <c r="A7" i="1" s="1"/>
  <c r="B14" i="3"/>
  <c r="B13" i="3"/>
  <c r="B12" i="3"/>
  <c r="B11" i="3"/>
  <c r="B9" i="3"/>
  <c r="B8" i="3"/>
  <c r="B7" i="3"/>
  <c r="B6" i="3"/>
  <c r="B5" i="3"/>
  <c r="Z3501" i="2"/>
  <c r="Y3501" i="2"/>
  <c r="X3501" i="2"/>
  <c r="Z3500" i="2"/>
  <c r="Y3500" i="2"/>
  <c r="X3500" i="2"/>
  <c r="Z3499" i="2"/>
  <c r="Y3499" i="2"/>
  <c r="X3499" i="2"/>
  <c r="Z3498" i="2"/>
  <c r="Y3498" i="2"/>
  <c r="X3498" i="2"/>
  <c r="Z3497" i="2"/>
  <c r="Y3497" i="2"/>
  <c r="X3497" i="2"/>
  <c r="Z3496" i="2"/>
  <c r="Y3496" i="2"/>
  <c r="X3496" i="2"/>
  <c r="Z3495" i="2"/>
  <c r="Y3495" i="2"/>
  <c r="X3495" i="2"/>
  <c r="Z3494" i="2"/>
  <c r="Y3494" i="2"/>
  <c r="X3494" i="2"/>
  <c r="Z3493" i="2"/>
  <c r="Y3493" i="2"/>
  <c r="X3493" i="2"/>
  <c r="Z3492" i="2"/>
  <c r="Y3492" i="2"/>
  <c r="X3492" i="2"/>
  <c r="Z3491" i="2"/>
  <c r="Y3491" i="2"/>
  <c r="X3491" i="2"/>
  <c r="Z3490" i="2"/>
  <c r="Y3490" i="2"/>
  <c r="X3490" i="2"/>
  <c r="Z3489" i="2"/>
  <c r="Y3489" i="2"/>
  <c r="X3489" i="2"/>
  <c r="Z3488" i="2"/>
  <c r="Y3488" i="2"/>
  <c r="X3488" i="2"/>
  <c r="Z3487" i="2"/>
  <c r="Y3487" i="2"/>
  <c r="X3487" i="2"/>
  <c r="Z3486" i="2"/>
  <c r="Y3486" i="2"/>
  <c r="X3486" i="2"/>
  <c r="Z3485" i="2"/>
  <c r="Y3485" i="2"/>
  <c r="X3485" i="2"/>
  <c r="Z3484" i="2"/>
  <c r="Y3484" i="2"/>
  <c r="X3484" i="2"/>
  <c r="Z3483" i="2"/>
  <c r="Y3483" i="2"/>
  <c r="X3483" i="2"/>
  <c r="Z3482" i="2"/>
  <c r="Y3482" i="2"/>
  <c r="X3482" i="2"/>
  <c r="Z3481" i="2"/>
  <c r="Y3481" i="2"/>
  <c r="X3481" i="2"/>
  <c r="Z3480" i="2"/>
  <c r="Y3480" i="2"/>
  <c r="X3480" i="2"/>
  <c r="Z3479" i="2"/>
  <c r="Y3479" i="2"/>
  <c r="X3479" i="2"/>
  <c r="Z3478" i="2"/>
  <c r="Y3478" i="2"/>
  <c r="X3478" i="2"/>
  <c r="Z3477" i="2"/>
  <c r="Y3477" i="2"/>
  <c r="X3477" i="2"/>
  <c r="Z3476" i="2"/>
  <c r="Y3476" i="2"/>
  <c r="X3476" i="2"/>
  <c r="Z3475" i="2"/>
  <c r="Y3475" i="2"/>
  <c r="X3475" i="2"/>
  <c r="Z3474" i="2"/>
  <c r="Y3474" i="2"/>
  <c r="X3474" i="2"/>
  <c r="Z3473" i="2"/>
  <c r="Y3473" i="2"/>
  <c r="X3473" i="2"/>
  <c r="Z3472" i="2"/>
  <c r="Y3472" i="2"/>
  <c r="X3472" i="2"/>
  <c r="Z3471" i="2"/>
  <c r="Y3471" i="2"/>
  <c r="X3471" i="2"/>
  <c r="Z3470" i="2"/>
  <c r="Y3470" i="2"/>
  <c r="X3470" i="2"/>
  <c r="Z3469" i="2"/>
  <c r="Y3469" i="2"/>
  <c r="X3469" i="2"/>
  <c r="Z3468" i="2"/>
  <c r="Y3468" i="2"/>
  <c r="X3468" i="2"/>
  <c r="Z3467" i="2"/>
  <c r="Y3467" i="2"/>
  <c r="X3467" i="2"/>
  <c r="Z3466" i="2"/>
  <c r="Y3466" i="2"/>
  <c r="X3466" i="2"/>
  <c r="Z3465" i="2"/>
  <c r="Y3465" i="2"/>
  <c r="X3465" i="2"/>
  <c r="Z3464" i="2"/>
  <c r="Y3464" i="2"/>
  <c r="X3464" i="2"/>
  <c r="Z3463" i="2"/>
  <c r="Y3463" i="2"/>
  <c r="X3463" i="2"/>
  <c r="Z3462" i="2"/>
  <c r="Y3462" i="2"/>
  <c r="X3462" i="2"/>
  <c r="Z3461" i="2"/>
  <c r="Y3461" i="2"/>
  <c r="X3461" i="2"/>
  <c r="Z3460" i="2"/>
  <c r="Y3460" i="2"/>
  <c r="X3460" i="2"/>
  <c r="Z3459" i="2"/>
  <c r="Y3459" i="2"/>
  <c r="X3459" i="2"/>
  <c r="Z3458" i="2"/>
  <c r="Y3458" i="2"/>
  <c r="X3458" i="2"/>
  <c r="Z3457" i="2"/>
  <c r="Y3457" i="2"/>
  <c r="X3457" i="2"/>
  <c r="Z3456" i="2"/>
  <c r="Y3456" i="2"/>
  <c r="X3456" i="2"/>
  <c r="Z3455" i="2"/>
  <c r="Y3455" i="2"/>
  <c r="X3455" i="2"/>
  <c r="Z3454" i="2"/>
  <c r="Y3454" i="2"/>
  <c r="X3454" i="2"/>
  <c r="Z3453" i="2"/>
  <c r="Y3453" i="2"/>
  <c r="X3453" i="2"/>
  <c r="Z3452" i="2"/>
  <c r="Y3452" i="2"/>
  <c r="X3452" i="2"/>
  <c r="Z3451" i="2"/>
  <c r="Y3451" i="2"/>
  <c r="X3451" i="2"/>
  <c r="Z3450" i="2"/>
  <c r="Y3450" i="2"/>
  <c r="X3450" i="2"/>
  <c r="Z3449" i="2"/>
  <c r="Y3449" i="2"/>
  <c r="X3449" i="2"/>
  <c r="Z3448" i="2"/>
  <c r="Y3448" i="2"/>
  <c r="X3448" i="2"/>
  <c r="Z3447" i="2"/>
  <c r="Y3447" i="2"/>
  <c r="X3447" i="2"/>
  <c r="Z3446" i="2"/>
  <c r="Y3446" i="2"/>
  <c r="X3446" i="2"/>
  <c r="Z3445" i="2"/>
  <c r="Y3445" i="2"/>
  <c r="X3445" i="2"/>
  <c r="Z3444" i="2"/>
  <c r="Y3444" i="2"/>
  <c r="X3444" i="2"/>
  <c r="Z3443" i="2"/>
  <c r="Y3443" i="2"/>
  <c r="X3443" i="2"/>
  <c r="Z3442" i="2"/>
  <c r="Y3442" i="2"/>
  <c r="X3442" i="2"/>
  <c r="Z3441" i="2"/>
  <c r="Y3441" i="2"/>
  <c r="X3441" i="2"/>
  <c r="Z3440" i="2"/>
  <c r="Y3440" i="2"/>
  <c r="X3440" i="2"/>
  <c r="Z3439" i="2"/>
  <c r="Y3439" i="2"/>
  <c r="X3439" i="2"/>
  <c r="Z3438" i="2"/>
  <c r="Y3438" i="2"/>
  <c r="X3438" i="2"/>
  <c r="Z3437" i="2"/>
  <c r="Y3437" i="2"/>
  <c r="X3437" i="2"/>
  <c r="Z3436" i="2"/>
  <c r="Y3436" i="2"/>
  <c r="X3436" i="2"/>
  <c r="Z3435" i="2"/>
  <c r="Y3435" i="2"/>
  <c r="X3435" i="2"/>
  <c r="Z3434" i="2"/>
  <c r="Y3434" i="2"/>
  <c r="X3434" i="2"/>
  <c r="Z3433" i="2"/>
  <c r="Y3433" i="2"/>
  <c r="X3433" i="2"/>
  <c r="Z3432" i="2"/>
  <c r="Y3432" i="2"/>
  <c r="X3432" i="2"/>
  <c r="Z3431" i="2"/>
  <c r="Y3431" i="2"/>
  <c r="X3431" i="2"/>
  <c r="Z3430" i="2"/>
  <c r="Y3430" i="2"/>
  <c r="X3430" i="2"/>
  <c r="Z3429" i="2"/>
  <c r="Y3429" i="2"/>
  <c r="X3429" i="2"/>
  <c r="Z3428" i="2"/>
  <c r="Y3428" i="2"/>
  <c r="X3428" i="2"/>
  <c r="Z3427" i="2"/>
  <c r="Y3427" i="2"/>
  <c r="X3427" i="2"/>
  <c r="Z3426" i="2"/>
  <c r="Y3426" i="2"/>
  <c r="X3426" i="2"/>
  <c r="Z3425" i="2"/>
  <c r="Y3425" i="2"/>
  <c r="X3425" i="2"/>
  <c r="Z3424" i="2"/>
  <c r="Y3424" i="2"/>
  <c r="X3424" i="2"/>
  <c r="Z3423" i="2"/>
  <c r="Y3423" i="2"/>
  <c r="X3423" i="2"/>
  <c r="Z3422" i="2"/>
  <c r="Y3422" i="2"/>
  <c r="X3422" i="2"/>
  <c r="Z3421" i="2"/>
  <c r="Y3421" i="2"/>
  <c r="X3421" i="2"/>
  <c r="Z3420" i="2"/>
  <c r="Y3420" i="2"/>
  <c r="X3420" i="2"/>
  <c r="Z3419" i="2"/>
  <c r="Y3419" i="2"/>
  <c r="X3419" i="2"/>
  <c r="Z3418" i="2"/>
  <c r="Y3418" i="2"/>
  <c r="X3418" i="2"/>
  <c r="Z3417" i="2"/>
  <c r="Y3417" i="2"/>
  <c r="X3417" i="2"/>
  <c r="Z3416" i="2"/>
  <c r="Y3416" i="2"/>
  <c r="X3416" i="2"/>
  <c r="Z3415" i="2"/>
  <c r="Y3415" i="2"/>
  <c r="X3415" i="2"/>
  <c r="Z3414" i="2"/>
  <c r="Y3414" i="2"/>
  <c r="X3414" i="2"/>
  <c r="Z3413" i="2"/>
  <c r="Y3413" i="2"/>
  <c r="X3413" i="2"/>
  <c r="Z3412" i="2"/>
  <c r="Y3412" i="2"/>
  <c r="X3412" i="2"/>
  <c r="Z3411" i="2"/>
  <c r="Y3411" i="2"/>
  <c r="X3411" i="2"/>
  <c r="Z3410" i="2"/>
  <c r="Y3410" i="2"/>
  <c r="X3410" i="2"/>
  <c r="Z3409" i="2"/>
  <c r="Y3409" i="2"/>
  <c r="X3409" i="2"/>
  <c r="Z3408" i="2"/>
  <c r="Y3408" i="2"/>
  <c r="X3408" i="2"/>
  <c r="Z3407" i="2"/>
  <c r="Y3407" i="2"/>
  <c r="X3407" i="2"/>
  <c r="Z3406" i="2"/>
  <c r="Y3406" i="2"/>
  <c r="X3406" i="2"/>
  <c r="Z3405" i="2"/>
  <c r="Y3405" i="2"/>
  <c r="X3405" i="2"/>
  <c r="Z3404" i="2"/>
  <c r="Y3404" i="2"/>
  <c r="X3404" i="2"/>
  <c r="Z3403" i="2"/>
  <c r="Y3403" i="2"/>
  <c r="X3403" i="2"/>
  <c r="Z3402" i="2"/>
  <c r="Y3402" i="2"/>
  <c r="X3402" i="2"/>
  <c r="Z3401" i="2"/>
  <c r="Y3401" i="2"/>
  <c r="X3401" i="2"/>
  <c r="Z3400" i="2"/>
  <c r="Y3400" i="2"/>
  <c r="X3400" i="2"/>
  <c r="Z3399" i="2"/>
  <c r="Y3399" i="2"/>
  <c r="X3399" i="2"/>
  <c r="Z3398" i="2"/>
  <c r="Y3398" i="2"/>
  <c r="X3398" i="2"/>
  <c r="Z3397" i="2"/>
  <c r="Y3397" i="2"/>
  <c r="X3397" i="2"/>
  <c r="Z3396" i="2"/>
  <c r="Y3396" i="2"/>
  <c r="X3396" i="2"/>
  <c r="Z3395" i="2"/>
  <c r="Y3395" i="2"/>
  <c r="X3395" i="2"/>
  <c r="Z3394" i="2"/>
  <c r="Y3394" i="2"/>
  <c r="X3394" i="2"/>
  <c r="Z3393" i="2"/>
  <c r="Y3393" i="2"/>
  <c r="X3393" i="2"/>
  <c r="Z3392" i="2"/>
  <c r="Y3392" i="2"/>
  <c r="X3392" i="2"/>
  <c r="Z3391" i="2"/>
  <c r="Y3391" i="2"/>
  <c r="X3391" i="2"/>
  <c r="Z3390" i="2"/>
  <c r="Y3390" i="2"/>
  <c r="X3390" i="2"/>
  <c r="Z3389" i="2"/>
  <c r="Y3389" i="2"/>
  <c r="X3389" i="2"/>
  <c r="Z3388" i="2"/>
  <c r="Y3388" i="2"/>
  <c r="X3388" i="2"/>
  <c r="Z3387" i="2"/>
  <c r="Y3387" i="2"/>
  <c r="X3387" i="2"/>
  <c r="Z3386" i="2"/>
  <c r="Y3386" i="2"/>
  <c r="X3386" i="2"/>
  <c r="Z3385" i="2"/>
  <c r="Y3385" i="2"/>
  <c r="X3385" i="2"/>
  <c r="Z3384" i="2"/>
  <c r="Y3384" i="2"/>
  <c r="X3384" i="2"/>
  <c r="Z3383" i="2"/>
  <c r="Y3383" i="2"/>
  <c r="X3383" i="2"/>
  <c r="Z3382" i="2"/>
  <c r="Y3382" i="2"/>
  <c r="X3382" i="2"/>
  <c r="Z3381" i="2"/>
  <c r="Y3381" i="2"/>
  <c r="X3381" i="2"/>
  <c r="Z3380" i="2"/>
  <c r="Y3380" i="2"/>
  <c r="X3380" i="2"/>
  <c r="Z3379" i="2"/>
  <c r="Y3379" i="2"/>
  <c r="X3379" i="2"/>
  <c r="Z3378" i="2"/>
  <c r="Y3378" i="2"/>
  <c r="X3378" i="2"/>
  <c r="Z3377" i="2"/>
  <c r="Y3377" i="2"/>
  <c r="X3377" i="2"/>
  <c r="Z3376" i="2"/>
  <c r="Y3376" i="2"/>
  <c r="X3376" i="2"/>
  <c r="Z3375" i="2"/>
  <c r="Y3375" i="2"/>
  <c r="X3375" i="2"/>
  <c r="Z3374" i="2"/>
  <c r="Y3374" i="2"/>
  <c r="X3374" i="2"/>
  <c r="Z3373" i="2"/>
  <c r="Y3373" i="2"/>
  <c r="X3373" i="2"/>
  <c r="Z3372" i="2"/>
  <c r="Y3372" i="2"/>
  <c r="X3372" i="2"/>
  <c r="Z3371" i="2"/>
  <c r="Y3371" i="2"/>
  <c r="X3371" i="2"/>
  <c r="Z3370" i="2"/>
  <c r="Y3370" i="2"/>
  <c r="X3370" i="2"/>
  <c r="Z3369" i="2"/>
  <c r="Y3369" i="2"/>
  <c r="X3369" i="2"/>
  <c r="Z3368" i="2"/>
  <c r="Y3368" i="2"/>
  <c r="X3368" i="2"/>
  <c r="Z3367" i="2"/>
  <c r="Y3367" i="2"/>
  <c r="X3367" i="2"/>
  <c r="Z3366" i="2"/>
  <c r="Y3366" i="2"/>
  <c r="X3366" i="2"/>
  <c r="Z3365" i="2"/>
  <c r="Y3365" i="2"/>
  <c r="X3365" i="2"/>
  <c r="Z3364" i="2"/>
  <c r="Y3364" i="2"/>
  <c r="X3364" i="2"/>
  <c r="Z3363" i="2"/>
  <c r="Y3363" i="2"/>
  <c r="X3363" i="2"/>
  <c r="Z3362" i="2"/>
  <c r="Y3362" i="2"/>
  <c r="X3362" i="2"/>
  <c r="Z3361" i="2"/>
  <c r="Y3361" i="2"/>
  <c r="X3361" i="2"/>
  <c r="Z3360" i="2"/>
  <c r="Y3360" i="2"/>
  <c r="X3360" i="2"/>
  <c r="Z3359" i="2"/>
  <c r="Y3359" i="2"/>
  <c r="X3359" i="2"/>
  <c r="Z3358" i="2"/>
  <c r="Y3358" i="2"/>
  <c r="X3358" i="2"/>
  <c r="Z3357" i="2"/>
  <c r="Y3357" i="2"/>
  <c r="X3357" i="2"/>
  <c r="Z3356" i="2"/>
  <c r="Y3356" i="2"/>
  <c r="X3356" i="2"/>
  <c r="Z3355" i="2"/>
  <c r="Y3355" i="2"/>
  <c r="X3355" i="2"/>
  <c r="Z3354" i="2"/>
  <c r="Y3354" i="2"/>
  <c r="X3354" i="2"/>
  <c r="Z3353" i="2"/>
  <c r="Y3353" i="2"/>
  <c r="X3353" i="2"/>
  <c r="Z3352" i="2"/>
  <c r="Y3352" i="2"/>
  <c r="X3352" i="2"/>
  <c r="Z3351" i="2"/>
  <c r="Y3351" i="2"/>
  <c r="X3351" i="2"/>
  <c r="Z3350" i="2"/>
  <c r="Y3350" i="2"/>
  <c r="X3350" i="2"/>
  <c r="Z3349" i="2"/>
  <c r="Y3349" i="2"/>
  <c r="X3349" i="2"/>
  <c r="Z3348" i="2"/>
  <c r="Y3348" i="2"/>
  <c r="X3348" i="2"/>
  <c r="Z3347" i="2"/>
  <c r="Y3347" i="2"/>
  <c r="X3347" i="2"/>
  <c r="Z3346" i="2"/>
  <c r="Y3346" i="2"/>
  <c r="X3346" i="2"/>
  <c r="Z3345" i="2"/>
  <c r="Y3345" i="2"/>
  <c r="X3345" i="2"/>
  <c r="Z3344" i="2"/>
  <c r="Y3344" i="2"/>
  <c r="X3344" i="2"/>
  <c r="Z3343" i="2"/>
  <c r="Y3343" i="2"/>
  <c r="X3343" i="2"/>
  <c r="Z3342" i="2"/>
  <c r="Y3342" i="2"/>
  <c r="X3342" i="2"/>
  <c r="Z3341" i="2"/>
  <c r="Y3341" i="2"/>
  <c r="X3341" i="2"/>
  <c r="Z3340" i="2"/>
  <c r="Y3340" i="2"/>
  <c r="X3340" i="2"/>
  <c r="Z3339" i="2"/>
  <c r="Y3339" i="2"/>
  <c r="X3339" i="2"/>
  <c r="Z3338" i="2"/>
  <c r="Y3338" i="2"/>
  <c r="X3338" i="2"/>
  <c r="Z3337" i="2"/>
  <c r="Y3337" i="2"/>
  <c r="X3337" i="2"/>
  <c r="Z3336" i="2"/>
  <c r="Y3336" i="2"/>
  <c r="X3336" i="2"/>
  <c r="Z3335" i="2"/>
  <c r="Y3335" i="2"/>
  <c r="X3335" i="2"/>
  <c r="Z3334" i="2"/>
  <c r="Y3334" i="2"/>
  <c r="X3334" i="2"/>
  <c r="Z3333" i="2"/>
  <c r="Y3333" i="2"/>
  <c r="X3333" i="2"/>
  <c r="Z3332" i="2"/>
  <c r="Y3332" i="2"/>
  <c r="X3332" i="2"/>
  <c r="Z3331" i="2"/>
  <c r="Y3331" i="2"/>
  <c r="X3331" i="2"/>
  <c r="Z3330" i="2"/>
  <c r="Y3330" i="2"/>
  <c r="X3330" i="2"/>
  <c r="Z3329" i="2"/>
  <c r="Y3329" i="2"/>
  <c r="X3329" i="2"/>
  <c r="Z3328" i="2"/>
  <c r="Y3328" i="2"/>
  <c r="X3328" i="2"/>
  <c r="Z3327" i="2"/>
  <c r="Y3327" i="2"/>
  <c r="X3327" i="2"/>
  <c r="Z3326" i="2"/>
  <c r="Y3326" i="2"/>
  <c r="X3326" i="2"/>
  <c r="Z3325" i="2"/>
  <c r="Y3325" i="2"/>
  <c r="X3325" i="2"/>
  <c r="Z3324" i="2"/>
  <c r="Y3324" i="2"/>
  <c r="X3324" i="2"/>
  <c r="Z3323" i="2"/>
  <c r="Y3323" i="2"/>
  <c r="X3323" i="2"/>
  <c r="Z3322" i="2"/>
  <c r="Y3322" i="2"/>
  <c r="X3322" i="2"/>
  <c r="Z3321" i="2"/>
  <c r="Y3321" i="2"/>
  <c r="X3321" i="2"/>
  <c r="Z3320" i="2"/>
  <c r="Y3320" i="2"/>
  <c r="X3320" i="2"/>
  <c r="Z3319" i="2"/>
  <c r="Y3319" i="2"/>
  <c r="X3319" i="2"/>
  <c r="Z3318" i="2"/>
  <c r="Y3318" i="2"/>
  <c r="X3318" i="2"/>
  <c r="Z3317" i="2"/>
  <c r="Y3317" i="2"/>
  <c r="X3317" i="2"/>
  <c r="Z3316" i="2"/>
  <c r="Y3316" i="2"/>
  <c r="X3316" i="2"/>
  <c r="Z3315" i="2"/>
  <c r="Y3315" i="2"/>
  <c r="X3315" i="2"/>
  <c r="Z3314" i="2"/>
  <c r="Y3314" i="2"/>
  <c r="X3314" i="2"/>
  <c r="Z3313" i="2"/>
  <c r="Y3313" i="2"/>
  <c r="X3313" i="2"/>
  <c r="Z3312" i="2"/>
  <c r="Y3312" i="2"/>
  <c r="X3312" i="2"/>
  <c r="Z3311" i="2"/>
  <c r="Y3311" i="2"/>
  <c r="X3311" i="2"/>
  <c r="Z3310" i="2"/>
  <c r="Y3310" i="2"/>
  <c r="X3310" i="2"/>
  <c r="Z3309" i="2"/>
  <c r="Y3309" i="2"/>
  <c r="X3309" i="2"/>
  <c r="Z3308" i="2"/>
  <c r="Y3308" i="2"/>
  <c r="X3308" i="2"/>
  <c r="Z3307" i="2"/>
  <c r="Y3307" i="2"/>
  <c r="X3307" i="2"/>
  <c r="Z3306" i="2"/>
  <c r="Y3306" i="2"/>
  <c r="X3306" i="2"/>
  <c r="Z3305" i="2"/>
  <c r="Y3305" i="2"/>
  <c r="X3305" i="2"/>
  <c r="Z3304" i="2"/>
  <c r="Y3304" i="2"/>
  <c r="X3304" i="2"/>
  <c r="Z3303" i="2"/>
  <c r="Y3303" i="2"/>
  <c r="X3303" i="2"/>
  <c r="Z3302" i="2"/>
  <c r="Y3302" i="2"/>
  <c r="X3302" i="2"/>
  <c r="Z3301" i="2"/>
  <c r="Y3301" i="2"/>
  <c r="X3301" i="2"/>
  <c r="Z3300" i="2"/>
  <c r="Y3300" i="2"/>
  <c r="X3300" i="2"/>
  <c r="Z3299" i="2"/>
  <c r="Y3299" i="2"/>
  <c r="X3299" i="2"/>
  <c r="Z3298" i="2"/>
  <c r="Y3298" i="2"/>
  <c r="X3298" i="2"/>
  <c r="Z3297" i="2"/>
  <c r="Y3297" i="2"/>
  <c r="X3297" i="2"/>
  <c r="Z3296" i="2"/>
  <c r="Y3296" i="2"/>
  <c r="X3296" i="2"/>
  <c r="Z3295" i="2"/>
  <c r="Y3295" i="2"/>
  <c r="X3295" i="2"/>
  <c r="Z3294" i="2"/>
  <c r="Y3294" i="2"/>
  <c r="X3294" i="2"/>
  <c r="Z3293" i="2"/>
  <c r="Y3293" i="2"/>
  <c r="X3293" i="2"/>
  <c r="Z3292" i="2"/>
  <c r="Y3292" i="2"/>
  <c r="X3292" i="2"/>
  <c r="Z3291" i="2"/>
  <c r="Y3291" i="2"/>
  <c r="X3291" i="2"/>
  <c r="Z3290" i="2"/>
  <c r="Y3290" i="2"/>
  <c r="X3290" i="2"/>
  <c r="Z3289" i="2"/>
  <c r="Y3289" i="2"/>
  <c r="X3289" i="2"/>
  <c r="Z3288" i="2"/>
  <c r="Y3288" i="2"/>
  <c r="X3288" i="2"/>
  <c r="Z3287" i="2"/>
  <c r="Y3287" i="2"/>
  <c r="X3287" i="2"/>
  <c r="Z3286" i="2"/>
  <c r="Y3286" i="2"/>
  <c r="X3286" i="2"/>
  <c r="Z3285" i="2"/>
  <c r="Y3285" i="2"/>
  <c r="X3285" i="2"/>
  <c r="Z3284" i="2"/>
  <c r="Y3284" i="2"/>
  <c r="X3284" i="2"/>
  <c r="Z3283" i="2"/>
  <c r="Y3283" i="2"/>
  <c r="X3283" i="2"/>
  <c r="Z3282" i="2"/>
  <c r="Y3282" i="2"/>
  <c r="X3282" i="2"/>
  <c r="Z3281" i="2"/>
  <c r="Y3281" i="2"/>
  <c r="X3281" i="2"/>
  <c r="Z3280" i="2"/>
  <c r="Y3280" i="2"/>
  <c r="X3280" i="2"/>
  <c r="Z3279" i="2"/>
  <c r="Y3279" i="2"/>
  <c r="X3279" i="2"/>
  <c r="Z3278" i="2"/>
  <c r="Y3278" i="2"/>
  <c r="X3278" i="2"/>
  <c r="Z3277" i="2"/>
  <c r="Y3277" i="2"/>
  <c r="X3277" i="2"/>
  <c r="Z3276" i="2"/>
  <c r="Y3276" i="2"/>
  <c r="X3276" i="2"/>
  <c r="Z3275" i="2"/>
  <c r="Y3275" i="2"/>
  <c r="X3275" i="2"/>
  <c r="Z3274" i="2"/>
  <c r="Y3274" i="2"/>
  <c r="X3274" i="2"/>
  <c r="Z3273" i="2"/>
  <c r="Y3273" i="2"/>
  <c r="X3273" i="2"/>
  <c r="Z3272" i="2"/>
  <c r="Y3272" i="2"/>
  <c r="X3272" i="2"/>
  <c r="Z3271" i="2"/>
  <c r="Y3271" i="2"/>
  <c r="X3271" i="2"/>
  <c r="Z3270" i="2"/>
  <c r="Y3270" i="2"/>
  <c r="X3270" i="2"/>
  <c r="Z3269" i="2"/>
  <c r="Y3269" i="2"/>
  <c r="X3269" i="2"/>
  <c r="Z3268" i="2"/>
  <c r="Y3268" i="2"/>
  <c r="X3268" i="2"/>
  <c r="Z3267" i="2"/>
  <c r="Y3267" i="2"/>
  <c r="X3267" i="2"/>
  <c r="Z3266" i="2"/>
  <c r="Y3266" i="2"/>
  <c r="X3266" i="2"/>
  <c r="Z3265" i="2"/>
  <c r="Y3265" i="2"/>
  <c r="X3265" i="2"/>
  <c r="Z3264" i="2"/>
  <c r="Y3264" i="2"/>
  <c r="X3264" i="2"/>
  <c r="Z3263" i="2"/>
  <c r="Y3263" i="2"/>
  <c r="X3263" i="2"/>
  <c r="Z3262" i="2"/>
  <c r="Y3262" i="2"/>
  <c r="X3262" i="2"/>
  <c r="Z3261" i="2"/>
  <c r="Y3261" i="2"/>
  <c r="X3261" i="2"/>
  <c r="Z3260" i="2"/>
  <c r="Y3260" i="2"/>
  <c r="X3260" i="2"/>
  <c r="Z3259" i="2"/>
  <c r="Y3259" i="2"/>
  <c r="X3259" i="2"/>
  <c r="Z3258" i="2"/>
  <c r="Y3258" i="2"/>
  <c r="X3258" i="2"/>
  <c r="Z3257" i="2"/>
  <c r="Y3257" i="2"/>
  <c r="X3257" i="2"/>
  <c r="Z3256" i="2"/>
  <c r="Y3256" i="2"/>
  <c r="X3256" i="2"/>
  <c r="Z3255" i="2"/>
  <c r="Y3255" i="2"/>
  <c r="X3255" i="2"/>
  <c r="Z3254" i="2"/>
  <c r="Y3254" i="2"/>
  <c r="X3254" i="2"/>
  <c r="Z3253" i="2"/>
  <c r="Y3253" i="2"/>
  <c r="X3253" i="2"/>
  <c r="Z3252" i="2"/>
  <c r="Y3252" i="2"/>
  <c r="X3252" i="2"/>
  <c r="Z3251" i="2"/>
  <c r="Y3251" i="2"/>
  <c r="X3251" i="2"/>
  <c r="Z3250" i="2"/>
  <c r="Y3250" i="2"/>
  <c r="X3250" i="2"/>
  <c r="Z3249" i="2"/>
  <c r="Y3249" i="2"/>
  <c r="X3249" i="2"/>
  <c r="Z3248" i="2"/>
  <c r="Y3248" i="2"/>
  <c r="X3248" i="2"/>
  <c r="Z3247" i="2"/>
  <c r="Y3247" i="2"/>
  <c r="X3247" i="2"/>
  <c r="Z3246" i="2"/>
  <c r="Y3246" i="2"/>
  <c r="X3246" i="2"/>
  <c r="Z3245" i="2"/>
  <c r="Y3245" i="2"/>
  <c r="X3245" i="2"/>
  <c r="Z3244" i="2"/>
  <c r="Y3244" i="2"/>
  <c r="X3244" i="2"/>
  <c r="Z3243" i="2"/>
  <c r="Y3243" i="2"/>
  <c r="X3243" i="2"/>
  <c r="Z3242" i="2"/>
  <c r="Y3242" i="2"/>
  <c r="X3242" i="2"/>
  <c r="Z3241" i="2"/>
  <c r="Y3241" i="2"/>
  <c r="X3241" i="2"/>
  <c r="Z3240" i="2"/>
  <c r="Y3240" i="2"/>
  <c r="X3240" i="2"/>
  <c r="Z3239" i="2"/>
  <c r="Y3239" i="2"/>
  <c r="X3239" i="2"/>
  <c r="Z3238" i="2"/>
  <c r="Y3238" i="2"/>
  <c r="X3238" i="2"/>
  <c r="Z3237" i="2"/>
  <c r="Y3237" i="2"/>
  <c r="X3237" i="2"/>
  <c r="Z3236" i="2"/>
  <c r="Y3236" i="2"/>
  <c r="X3236" i="2"/>
  <c r="Z3235" i="2"/>
  <c r="Y3235" i="2"/>
  <c r="X3235" i="2"/>
  <c r="Z3234" i="2"/>
  <c r="Y3234" i="2"/>
  <c r="X3234" i="2"/>
  <c r="Z3233" i="2"/>
  <c r="Y3233" i="2"/>
  <c r="X3233" i="2"/>
  <c r="Z3232" i="2"/>
  <c r="Y3232" i="2"/>
  <c r="X3232" i="2"/>
  <c r="Z3231" i="2"/>
  <c r="Y3231" i="2"/>
  <c r="X3231" i="2"/>
  <c r="Z3230" i="2"/>
  <c r="Y3230" i="2"/>
  <c r="X3230" i="2"/>
  <c r="Z3229" i="2"/>
  <c r="Y3229" i="2"/>
  <c r="X3229" i="2"/>
  <c r="Z3228" i="2"/>
  <c r="Y3228" i="2"/>
  <c r="X3228" i="2"/>
  <c r="Z3227" i="2"/>
  <c r="Y3227" i="2"/>
  <c r="X3227" i="2"/>
  <c r="Z3226" i="2"/>
  <c r="Y3226" i="2"/>
  <c r="X3226" i="2"/>
  <c r="Z3225" i="2"/>
  <c r="Y3225" i="2"/>
  <c r="X3225" i="2"/>
  <c r="Z3224" i="2"/>
  <c r="Y3224" i="2"/>
  <c r="X3224" i="2"/>
  <c r="Z3223" i="2"/>
  <c r="Y3223" i="2"/>
  <c r="X3223" i="2"/>
  <c r="Z3222" i="2"/>
  <c r="Y3222" i="2"/>
  <c r="X3222" i="2"/>
  <c r="Z3221" i="2"/>
  <c r="Y3221" i="2"/>
  <c r="X3221" i="2"/>
  <c r="Z3220" i="2"/>
  <c r="Y3220" i="2"/>
  <c r="X3220" i="2"/>
  <c r="Z3219" i="2"/>
  <c r="Y3219" i="2"/>
  <c r="X3219" i="2"/>
  <c r="Z3218" i="2"/>
  <c r="Y3218" i="2"/>
  <c r="X3218" i="2"/>
  <c r="Z3217" i="2"/>
  <c r="Y3217" i="2"/>
  <c r="X3217" i="2"/>
  <c r="Z3216" i="2"/>
  <c r="Y3216" i="2"/>
  <c r="X3216" i="2"/>
  <c r="Z3215" i="2"/>
  <c r="Y3215" i="2"/>
  <c r="X3215" i="2"/>
  <c r="Z3214" i="2"/>
  <c r="Y3214" i="2"/>
  <c r="X3214" i="2"/>
  <c r="Z3213" i="2"/>
  <c r="Y3213" i="2"/>
  <c r="X3213" i="2"/>
  <c r="Z3212" i="2"/>
  <c r="Y3212" i="2"/>
  <c r="X3212" i="2"/>
  <c r="Z3211" i="2"/>
  <c r="Y3211" i="2"/>
  <c r="X3211" i="2"/>
  <c r="Z3210" i="2"/>
  <c r="Y3210" i="2"/>
  <c r="X3210" i="2"/>
  <c r="Z3209" i="2"/>
  <c r="Y3209" i="2"/>
  <c r="X3209" i="2"/>
  <c r="Z3208" i="2"/>
  <c r="Y3208" i="2"/>
  <c r="X3208" i="2"/>
  <c r="Z3207" i="2"/>
  <c r="Y3207" i="2"/>
  <c r="X3207" i="2"/>
  <c r="Z3206" i="2"/>
  <c r="Y3206" i="2"/>
  <c r="X3206" i="2"/>
  <c r="Z3205" i="2"/>
  <c r="Y3205" i="2"/>
  <c r="X3205" i="2"/>
  <c r="Z3204" i="2"/>
  <c r="Y3204" i="2"/>
  <c r="X3204" i="2"/>
  <c r="Z3203" i="2"/>
  <c r="Y3203" i="2"/>
  <c r="X3203" i="2"/>
  <c r="Z3202" i="2"/>
  <c r="Y3202" i="2"/>
  <c r="X3202" i="2"/>
  <c r="Z3201" i="2"/>
  <c r="Y3201" i="2"/>
  <c r="X3201" i="2"/>
  <c r="Z3200" i="2"/>
  <c r="Y3200" i="2"/>
  <c r="X3200" i="2"/>
  <c r="Z3199" i="2"/>
  <c r="Y3199" i="2"/>
  <c r="X3199" i="2"/>
  <c r="Z3198" i="2"/>
  <c r="Y3198" i="2"/>
  <c r="X3198" i="2"/>
  <c r="Z3197" i="2"/>
  <c r="Y3197" i="2"/>
  <c r="X3197" i="2"/>
  <c r="Z3196" i="2"/>
  <c r="Y3196" i="2"/>
  <c r="X3196" i="2"/>
  <c r="Z3195" i="2"/>
  <c r="Y3195" i="2"/>
  <c r="X3195" i="2"/>
  <c r="Z3194" i="2"/>
  <c r="Y3194" i="2"/>
  <c r="X3194" i="2"/>
  <c r="Z3193" i="2"/>
  <c r="Y3193" i="2"/>
  <c r="X3193" i="2"/>
  <c r="Z3192" i="2"/>
  <c r="Y3192" i="2"/>
  <c r="X3192" i="2"/>
  <c r="Z3191" i="2"/>
  <c r="Y3191" i="2"/>
  <c r="X3191" i="2"/>
  <c r="Z3190" i="2"/>
  <c r="Y3190" i="2"/>
  <c r="X3190" i="2"/>
  <c r="Z3189" i="2"/>
  <c r="Y3189" i="2"/>
  <c r="X3189" i="2"/>
  <c r="Z3188" i="2"/>
  <c r="Y3188" i="2"/>
  <c r="X3188" i="2"/>
  <c r="Z3187" i="2"/>
  <c r="Y3187" i="2"/>
  <c r="X3187" i="2"/>
  <c r="Z3186" i="2"/>
  <c r="Y3186" i="2"/>
  <c r="X3186" i="2"/>
  <c r="Z3185" i="2"/>
  <c r="Y3185" i="2"/>
  <c r="X3185" i="2"/>
  <c r="Z3184" i="2"/>
  <c r="Y3184" i="2"/>
  <c r="X3184" i="2"/>
  <c r="Z3183" i="2"/>
  <c r="Y3183" i="2"/>
  <c r="X3183" i="2"/>
  <c r="Z3182" i="2"/>
  <c r="Y3182" i="2"/>
  <c r="X3182" i="2"/>
  <c r="Z3181" i="2"/>
  <c r="Y3181" i="2"/>
  <c r="X3181" i="2"/>
  <c r="Z3180" i="2"/>
  <c r="Y3180" i="2"/>
  <c r="X3180" i="2"/>
  <c r="Z3179" i="2"/>
  <c r="Y3179" i="2"/>
  <c r="X3179" i="2"/>
  <c r="Z3178" i="2"/>
  <c r="Y3178" i="2"/>
  <c r="X3178" i="2"/>
  <c r="Z3177" i="2"/>
  <c r="Y3177" i="2"/>
  <c r="X3177" i="2"/>
  <c r="Z3176" i="2"/>
  <c r="Y3176" i="2"/>
  <c r="X3176" i="2"/>
  <c r="Z3175" i="2"/>
  <c r="Y3175" i="2"/>
  <c r="X3175" i="2"/>
  <c r="Z3174" i="2"/>
  <c r="Y3174" i="2"/>
  <c r="X3174" i="2"/>
  <c r="Z3173" i="2"/>
  <c r="Y3173" i="2"/>
  <c r="X3173" i="2"/>
  <c r="Z3172" i="2"/>
  <c r="Y3172" i="2"/>
  <c r="X3172" i="2"/>
  <c r="Z3171" i="2"/>
  <c r="Y3171" i="2"/>
  <c r="X3171" i="2"/>
  <c r="Z3170" i="2"/>
  <c r="Y3170" i="2"/>
  <c r="X3170" i="2"/>
  <c r="Z3169" i="2"/>
  <c r="Y3169" i="2"/>
  <c r="X3169" i="2"/>
  <c r="Z3168" i="2"/>
  <c r="Y3168" i="2"/>
  <c r="X3168" i="2"/>
  <c r="Z3167" i="2"/>
  <c r="Y3167" i="2"/>
  <c r="X3167" i="2"/>
  <c r="Z3166" i="2"/>
  <c r="Y3166" i="2"/>
  <c r="X3166" i="2"/>
  <c r="Z3165" i="2"/>
  <c r="Y3165" i="2"/>
  <c r="X3165" i="2"/>
  <c r="Z3164" i="2"/>
  <c r="Y3164" i="2"/>
  <c r="X3164" i="2"/>
  <c r="Z3163" i="2"/>
  <c r="Y3163" i="2"/>
  <c r="X3163" i="2"/>
  <c r="Z3162" i="2"/>
  <c r="Y3162" i="2"/>
  <c r="X3162" i="2"/>
  <c r="Z3161" i="2"/>
  <c r="Y3161" i="2"/>
  <c r="X3161" i="2"/>
  <c r="Z3160" i="2"/>
  <c r="Y3160" i="2"/>
  <c r="X3160" i="2"/>
  <c r="Z3159" i="2"/>
  <c r="Y3159" i="2"/>
  <c r="X3159" i="2"/>
  <c r="Z3158" i="2"/>
  <c r="Y3158" i="2"/>
  <c r="X3158" i="2"/>
  <c r="Z3157" i="2"/>
  <c r="Y3157" i="2"/>
  <c r="X3157" i="2"/>
  <c r="Z3156" i="2"/>
  <c r="Y3156" i="2"/>
  <c r="X3156" i="2"/>
  <c r="Z3155" i="2"/>
  <c r="Y3155" i="2"/>
  <c r="X3155" i="2"/>
  <c r="Z3154" i="2"/>
  <c r="Y3154" i="2"/>
  <c r="X3154" i="2"/>
  <c r="Z3153" i="2"/>
  <c r="Y3153" i="2"/>
  <c r="X3153" i="2"/>
  <c r="Z3152" i="2"/>
  <c r="Y3152" i="2"/>
  <c r="X3152" i="2"/>
  <c r="Z3151" i="2"/>
  <c r="Y3151" i="2"/>
  <c r="X3151" i="2"/>
  <c r="Z3150" i="2"/>
  <c r="Y3150" i="2"/>
  <c r="X3150" i="2"/>
  <c r="Z3149" i="2"/>
  <c r="Y3149" i="2"/>
  <c r="X3149" i="2"/>
  <c r="Z3148" i="2"/>
  <c r="Y3148" i="2"/>
  <c r="X3148" i="2"/>
  <c r="Z3147" i="2"/>
  <c r="Y3147" i="2"/>
  <c r="X3147" i="2"/>
  <c r="Z3146" i="2"/>
  <c r="Y3146" i="2"/>
  <c r="X3146" i="2"/>
  <c r="Z3145" i="2"/>
  <c r="Y3145" i="2"/>
  <c r="X3145" i="2"/>
  <c r="Z3144" i="2"/>
  <c r="Y3144" i="2"/>
  <c r="X3144" i="2"/>
  <c r="Z3143" i="2"/>
  <c r="Y3143" i="2"/>
  <c r="X3143" i="2"/>
  <c r="Z3142" i="2"/>
  <c r="Y3142" i="2"/>
  <c r="X3142" i="2"/>
  <c r="Z3141" i="2"/>
  <c r="Y3141" i="2"/>
  <c r="X3141" i="2"/>
  <c r="Z3140" i="2"/>
  <c r="Y3140" i="2"/>
  <c r="X3140" i="2"/>
  <c r="Z3139" i="2"/>
  <c r="Y3139" i="2"/>
  <c r="X3139" i="2"/>
  <c r="Z3138" i="2"/>
  <c r="Y3138" i="2"/>
  <c r="X3138" i="2"/>
  <c r="Z3137" i="2"/>
  <c r="Y3137" i="2"/>
  <c r="X3137" i="2"/>
  <c r="Z3136" i="2"/>
  <c r="Y3136" i="2"/>
  <c r="X3136" i="2"/>
  <c r="Z3135" i="2"/>
  <c r="Y3135" i="2"/>
  <c r="X3135" i="2"/>
  <c r="Z3134" i="2"/>
  <c r="Y3134" i="2"/>
  <c r="X3134" i="2"/>
  <c r="Z3133" i="2"/>
  <c r="Y3133" i="2"/>
  <c r="X3133" i="2"/>
  <c r="Z3132" i="2"/>
  <c r="Y3132" i="2"/>
  <c r="X3132" i="2"/>
  <c r="Z3131" i="2"/>
  <c r="Y3131" i="2"/>
  <c r="X3131" i="2"/>
  <c r="Z3130" i="2"/>
  <c r="Y3130" i="2"/>
  <c r="X3130" i="2"/>
  <c r="Z3129" i="2"/>
  <c r="Y3129" i="2"/>
  <c r="X3129" i="2"/>
  <c r="Z3128" i="2"/>
  <c r="Y3128" i="2"/>
  <c r="X3128" i="2"/>
  <c r="Z3127" i="2"/>
  <c r="Y3127" i="2"/>
  <c r="X3127" i="2"/>
  <c r="Z3126" i="2"/>
  <c r="Y3126" i="2"/>
  <c r="X3126" i="2"/>
  <c r="Z3125" i="2"/>
  <c r="Y3125" i="2"/>
  <c r="X3125" i="2"/>
  <c r="Z3124" i="2"/>
  <c r="Y3124" i="2"/>
  <c r="X3124" i="2"/>
  <c r="Z3123" i="2"/>
  <c r="Y3123" i="2"/>
  <c r="X3123" i="2"/>
  <c r="Z3122" i="2"/>
  <c r="Y3122" i="2"/>
  <c r="X3122" i="2"/>
  <c r="Z3121" i="2"/>
  <c r="Y3121" i="2"/>
  <c r="X3121" i="2"/>
  <c r="Z3120" i="2"/>
  <c r="Y3120" i="2"/>
  <c r="X3120" i="2"/>
  <c r="Z3119" i="2"/>
  <c r="Y3119" i="2"/>
  <c r="X3119" i="2"/>
  <c r="Z3118" i="2"/>
  <c r="Y3118" i="2"/>
  <c r="X3118" i="2"/>
  <c r="Z3117" i="2"/>
  <c r="Y3117" i="2"/>
  <c r="X3117" i="2"/>
  <c r="Z3116" i="2"/>
  <c r="Y3116" i="2"/>
  <c r="X3116" i="2"/>
  <c r="Z3115" i="2"/>
  <c r="Y3115" i="2"/>
  <c r="X3115" i="2"/>
  <c r="Z3114" i="2"/>
  <c r="Y3114" i="2"/>
  <c r="X3114" i="2"/>
  <c r="Z3113" i="2"/>
  <c r="Y3113" i="2"/>
  <c r="X3113" i="2"/>
  <c r="Z3112" i="2"/>
  <c r="Y3112" i="2"/>
  <c r="X3112" i="2"/>
  <c r="Z3111" i="2"/>
  <c r="Y3111" i="2"/>
  <c r="X3111" i="2"/>
  <c r="Z3110" i="2"/>
  <c r="Y3110" i="2"/>
  <c r="X3110" i="2"/>
  <c r="Z3109" i="2"/>
  <c r="Y3109" i="2"/>
  <c r="X3109" i="2"/>
  <c r="Z3108" i="2"/>
  <c r="Y3108" i="2"/>
  <c r="X3108" i="2"/>
  <c r="Z3107" i="2"/>
  <c r="Y3107" i="2"/>
  <c r="X3107" i="2"/>
  <c r="Z3106" i="2"/>
  <c r="Y3106" i="2"/>
  <c r="X3106" i="2"/>
  <c r="Z3105" i="2"/>
  <c r="Y3105" i="2"/>
  <c r="X3105" i="2"/>
  <c r="Z3104" i="2"/>
  <c r="Y3104" i="2"/>
  <c r="X3104" i="2"/>
  <c r="Z3103" i="2"/>
  <c r="Y3103" i="2"/>
  <c r="X3103" i="2"/>
  <c r="Z3102" i="2"/>
  <c r="Y3102" i="2"/>
  <c r="X3102" i="2"/>
  <c r="Z3101" i="2"/>
  <c r="Y3101" i="2"/>
  <c r="X3101" i="2"/>
  <c r="Z3100" i="2"/>
  <c r="Y3100" i="2"/>
  <c r="X3100" i="2"/>
  <c r="Z3099" i="2"/>
  <c r="Y3099" i="2"/>
  <c r="X3099" i="2"/>
  <c r="Z3098" i="2"/>
  <c r="Y3098" i="2"/>
  <c r="X3098" i="2"/>
  <c r="Z3097" i="2"/>
  <c r="Y3097" i="2"/>
  <c r="X3097" i="2"/>
  <c r="Z3096" i="2"/>
  <c r="Y3096" i="2"/>
  <c r="X3096" i="2"/>
  <c r="Z3095" i="2"/>
  <c r="Y3095" i="2"/>
  <c r="X3095" i="2"/>
  <c r="Z3094" i="2"/>
  <c r="Y3094" i="2"/>
  <c r="X3094" i="2"/>
  <c r="Z3093" i="2"/>
  <c r="Y3093" i="2"/>
  <c r="X3093" i="2"/>
  <c r="Z3092" i="2"/>
  <c r="Y3092" i="2"/>
  <c r="X3092" i="2"/>
  <c r="Z3091" i="2"/>
  <c r="Y3091" i="2"/>
  <c r="X3091" i="2"/>
  <c r="Z3090" i="2"/>
  <c r="Y3090" i="2"/>
  <c r="X3090" i="2"/>
  <c r="Z3089" i="2"/>
  <c r="Y3089" i="2"/>
  <c r="X3089" i="2"/>
  <c r="Z3088" i="2"/>
  <c r="Y3088" i="2"/>
  <c r="X3088" i="2"/>
  <c r="Z3087" i="2"/>
  <c r="Y3087" i="2"/>
  <c r="X3087" i="2"/>
  <c r="Z3086" i="2"/>
  <c r="Y3086" i="2"/>
  <c r="X3086" i="2"/>
  <c r="Z3085" i="2"/>
  <c r="Y3085" i="2"/>
  <c r="X3085" i="2"/>
  <c r="Z3084" i="2"/>
  <c r="Y3084" i="2"/>
  <c r="X3084" i="2"/>
  <c r="Z3083" i="2"/>
  <c r="Y3083" i="2"/>
  <c r="X3083" i="2"/>
  <c r="Z3082" i="2"/>
  <c r="Y3082" i="2"/>
  <c r="X3082" i="2"/>
  <c r="Z3081" i="2"/>
  <c r="Y3081" i="2"/>
  <c r="X3081" i="2"/>
  <c r="Z3080" i="2"/>
  <c r="Y3080" i="2"/>
  <c r="X3080" i="2"/>
  <c r="Z3079" i="2"/>
  <c r="Y3079" i="2"/>
  <c r="X3079" i="2"/>
  <c r="Z3078" i="2"/>
  <c r="Y3078" i="2"/>
  <c r="X3078" i="2"/>
  <c r="Z3077" i="2"/>
  <c r="Y3077" i="2"/>
  <c r="X3077" i="2"/>
  <c r="Z3076" i="2"/>
  <c r="Y3076" i="2"/>
  <c r="X3076" i="2"/>
  <c r="Z3075" i="2"/>
  <c r="Y3075" i="2"/>
  <c r="X3075" i="2"/>
  <c r="Z3074" i="2"/>
  <c r="Y3074" i="2"/>
  <c r="X3074" i="2"/>
  <c r="Z3073" i="2"/>
  <c r="Y3073" i="2"/>
  <c r="X3073" i="2"/>
  <c r="Z3072" i="2"/>
  <c r="Y3072" i="2"/>
  <c r="X3072" i="2"/>
  <c r="Z3071" i="2"/>
  <c r="Y3071" i="2"/>
  <c r="X3071" i="2"/>
  <c r="Z3070" i="2"/>
  <c r="Y3070" i="2"/>
  <c r="X3070" i="2"/>
  <c r="Z3069" i="2"/>
  <c r="Y3069" i="2"/>
  <c r="X3069" i="2"/>
  <c r="Z3068" i="2"/>
  <c r="Y3068" i="2"/>
  <c r="X3068" i="2"/>
  <c r="Z3067" i="2"/>
  <c r="Y3067" i="2"/>
  <c r="X3067" i="2"/>
  <c r="Z3066" i="2"/>
  <c r="Y3066" i="2"/>
  <c r="X3066" i="2"/>
  <c r="Z3065" i="2"/>
  <c r="Y3065" i="2"/>
  <c r="X3065" i="2"/>
  <c r="Z3064" i="2"/>
  <c r="Y3064" i="2"/>
  <c r="X3064" i="2"/>
  <c r="Z3063" i="2"/>
  <c r="Y3063" i="2"/>
  <c r="X3063" i="2"/>
  <c r="Z3062" i="2"/>
  <c r="Y3062" i="2"/>
  <c r="X3062" i="2"/>
  <c r="Z3061" i="2"/>
  <c r="Y3061" i="2"/>
  <c r="X3061" i="2"/>
  <c r="Z3060" i="2"/>
  <c r="Y3060" i="2"/>
  <c r="X3060" i="2"/>
  <c r="Z3059" i="2"/>
  <c r="Y3059" i="2"/>
  <c r="X3059" i="2"/>
  <c r="Z3058" i="2"/>
  <c r="Y3058" i="2"/>
  <c r="X3058" i="2"/>
  <c r="Z3057" i="2"/>
  <c r="Y3057" i="2"/>
  <c r="X3057" i="2"/>
  <c r="Z3056" i="2"/>
  <c r="Y3056" i="2"/>
  <c r="X3056" i="2"/>
  <c r="Z3055" i="2"/>
  <c r="Y3055" i="2"/>
  <c r="X3055" i="2"/>
  <c r="Z3054" i="2"/>
  <c r="Y3054" i="2"/>
  <c r="X3054" i="2"/>
  <c r="Z3053" i="2"/>
  <c r="Y3053" i="2"/>
  <c r="X3053" i="2"/>
  <c r="Z3052" i="2"/>
  <c r="Y3052" i="2"/>
  <c r="X3052" i="2"/>
  <c r="Z3051" i="2"/>
  <c r="Y3051" i="2"/>
  <c r="X3051" i="2"/>
  <c r="Z3050" i="2"/>
  <c r="Y3050" i="2"/>
  <c r="X3050" i="2"/>
  <c r="Z3049" i="2"/>
  <c r="Y3049" i="2"/>
  <c r="X3049" i="2"/>
  <c r="Z3048" i="2"/>
  <c r="Y3048" i="2"/>
  <c r="X3048" i="2"/>
  <c r="Z3047" i="2"/>
  <c r="Y3047" i="2"/>
  <c r="X3047" i="2"/>
  <c r="Z3046" i="2"/>
  <c r="Y3046" i="2"/>
  <c r="X3046" i="2"/>
  <c r="Z3045" i="2"/>
  <c r="Y3045" i="2"/>
  <c r="X3045" i="2"/>
  <c r="Z3044" i="2"/>
  <c r="Y3044" i="2"/>
  <c r="X3044" i="2"/>
  <c r="Z3043" i="2"/>
  <c r="Y3043" i="2"/>
  <c r="X3043" i="2"/>
  <c r="Z3042" i="2"/>
  <c r="Y3042" i="2"/>
  <c r="X3042" i="2"/>
  <c r="Z3041" i="2"/>
  <c r="Y3041" i="2"/>
  <c r="X3041" i="2"/>
  <c r="Z3040" i="2"/>
  <c r="Y3040" i="2"/>
  <c r="X3040" i="2"/>
  <c r="Z3039" i="2"/>
  <c r="Y3039" i="2"/>
  <c r="X3039" i="2"/>
  <c r="Z3038" i="2"/>
  <c r="Y3038" i="2"/>
  <c r="X3038" i="2"/>
  <c r="Z3037" i="2"/>
  <c r="Y3037" i="2"/>
  <c r="X3037" i="2"/>
  <c r="Z3036" i="2"/>
  <c r="Y3036" i="2"/>
  <c r="X3036" i="2"/>
  <c r="Z3035" i="2"/>
  <c r="Y3035" i="2"/>
  <c r="X3035" i="2"/>
  <c r="Z3034" i="2"/>
  <c r="Y3034" i="2"/>
  <c r="X3034" i="2"/>
  <c r="Z3033" i="2"/>
  <c r="Y3033" i="2"/>
  <c r="X3033" i="2"/>
  <c r="Z3032" i="2"/>
  <c r="Y3032" i="2"/>
  <c r="X3032" i="2"/>
  <c r="Z3031" i="2"/>
  <c r="Y3031" i="2"/>
  <c r="X3031" i="2"/>
  <c r="Z3030" i="2"/>
  <c r="Y3030" i="2"/>
  <c r="X3030" i="2"/>
  <c r="Z3029" i="2"/>
  <c r="Y3029" i="2"/>
  <c r="X3029" i="2"/>
  <c r="Z3028" i="2"/>
  <c r="Y3028" i="2"/>
  <c r="X3028" i="2"/>
  <c r="Z3027" i="2"/>
  <c r="Y3027" i="2"/>
  <c r="X3027" i="2"/>
  <c r="Z3026" i="2"/>
  <c r="Y3026" i="2"/>
  <c r="X3026" i="2"/>
  <c r="Z3025" i="2"/>
  <c r="Y3025" i="2"/>
  <c r="X3025" i="2"/>
  <c r="Z3024" i="2"/>
  <c r="Y3024" i="2"/>
  <c r="X3024" i="2"/>
  <c r="Z3023" i="2"/>
  <c r="Y3023" i="2"/>
  <c r="X3023" i="2"/>
  <c r="Z3022" i="2"/>
  <c r="Y3022" i="2"/>
  <c r="X3022" i="2"/>
  <c r="Z3021" i="2"/>
  <c r="Y3021" i="2"/>
  <c r="X3021" i="2"/>
  <c r="Z3020" i="2"/>
  <c r="Y3020" i="2"/>
  <c r="X3020" i="2"/>
  <c r="Z3019" i="2"/>
  <c r="Y3019" i="2"/>
  <c r="X3019" i="2"/>
  <c r="Z3018" i="2"/>
  <c r="Y3018" i="2"/>
  <c r="X3018" i="2"/>
  <c r="Z3017" i="2"/>
  <c r="Y3017" i="2"/>
  <c r="X3017" i="2"/>
  <c r="Z3016" i="2"/>
  <c r="Y3016" i="2"/>
  <c r="X3016" i="2"/>
  <c r="Z3015" i="2"/>
  <c r="Y3015" i="2"/>
  <c r="X3015" i="2"/>
  <c r="Z3014" i="2"/>
  <c r="Y3014" i="2"/>
  <c r="X3014" i="2"/>
  <c r="Z3013" i="2"/>
  <c r="Y3013" i="2"/>
  <c r="X3013" i="2"/>
  <c r="Z3012" i="2"/>
  <c r="Y3012" i="2"/>
  <c r="X3012" i="2"/>
  <c r="Z3011" i="2"/>
  <c r="Y3011" i="2"/>
  <c r="X3011" i="2"/>
  <c r="Z3010" i="2"/>
  <c r="Y3010" i="2"/>
  <c r="X3010" i="2"/>
  <c r="Z3009" i="2"/>
  <c r="Y3009" i="2"/>
  <c r="X3009" i="2"/>
  <c r="Z3008" i="2"/>
  <c r="Y3008" i="2"/>
  <c r="X3008" i="2"/>
  <c r="Z3007" i="2"/>
  <c r="Y3007" i="2"/>
  <c r="X3007" i="2"/>
  <c r="Z3006" i="2"/>
  <c r="Y3006" i="2"/>
  <c r="X3006" i="2"/>
  <c r="Z3005" i="2"/>
  <c r="Y3005" i="2"/>
  <c r="X3005" i="2"/>
  <c r="Z3004" i="2"/>
  <c r="Y3004" i="2"/>
  <c r="X3004" i="2"/>
  <c r="Z3003" i="2"/>
  <c r="Y3003" i="2"/>
  <c r="X3003" i="2"/>
  <c r="Z3002" i="2"/>
  <c r="Y3002" i="2"/>
  <c r="X3002" i="2"/>
  <c r="Z3001" i="2"/>
  <c r="Y3001" i="2"/>
  <c r="X3001" i="2"/>
  <c r="Z3000" i="2"/>
  <c r="Y3000" i="2"/>
  <c r="X3000" i="2"/>
  <c r="Z2999" i="2"/>
  <c r="Y2999" i="2"/>
  <c r="X2999" i="2"/>
  <c r="Z2998" i="2"/>
  <c r="Y2998" i="2"/>
  <c r="X2998" i="2"/>
  <c r="Z2997" i="2"/>
  <c r="Y2997" i="2"/>
  <c r="X2997" i="2"/>
  <c r="Z2996" i="2"/>
  <c r="Y2996" i="2"/>
  <c r="X2996" i="2"/>
  <c r="Z2995" i="2"/>
  <c r="Y2995" i="2"/>
  <c r="X2995" i="2"/>
  <c r="Z2994" i="2"/>
  <c r="Y2994" i="2"/>
  <c r="X2994" i="2"/>
  <c r="Z2993" i="2"/>
  <c r="Y2993" i="2"/>
  <c r="X2993" i="2"/>
  <c r="Z2992" i="2"/>
  <c r="Y2992" i="2"/>
  <c r="X2992" i="2"/>
  <c r="Z2991" i="2"/>
  <c r="Y2991" i="2"/>
  <c r="X2991" i="2"/>
  <c r="Z2990" i="2"/>
  <c r="Y2990" i="2"/>
  <c r="X2990" i="2"/>
  <c r="Z2989" i="2"/>
  <c r="Y2989" i="2"/>
  <c r="X2989" i="2"/>
  <c r="Z2988" i="2"/>
  <c r="Y2988" i="2"/>
  <c r="X2988" i="2"/>
  <c r="Z2987" i="2"/>
  <c r="Y2987" i="2"/>
  <c r="X2987" i="2"/>
  <c r="Z2986" i="2"/>
  <c r="Y2986" i="2"/>
  <c r="X2986" i="2"/>
  <c r="Z2985" i="2"/>
  <c r="Y2985" i="2"/>
  <c r="X2985" i="2"/>
  <c r="Z2984" i="2"/>
  <c r="Y2984" i="2"/>
  <c r="X2984" i="2"/>
  <c r="Z2983" i="2"/>
  <c r="Y2983" i="2"/>
  <c r="X2983" i="2"/>
  <c r="Z2982" i="2"/>
  <c r="Y2982" i="2"/>
  <c r="X2982" i="2"/>
  <c r="Z2981" i="2"/>
  <c r="Y2981" i="2"/>
  <c r="X2981" i="2"/>
  <c r="Z2980" i="2"/>
  <c r="Y2980" i="2"/>
  <c r="X2980" i="2"/>
  <c r="Z2979" i="2"/>
  <c r="Y2979" i="2"/>
  <c r="X2979" i="2"/>
  <c r="Z2978" i="2"/>
  <c r="Y2978" i="2"/>
  <c r="X2978" i="2"/>
  <c r="Z2977" i="2"/>
  <c r="Y2977" i="2"/>
  <c r="X2977" i="2"/>
  <c r="Z2976" i="2"/>
  <c r="Y2976" i="2"/>
  <c r="X2976" i="2"/>
  <c r="Z2975" i="2"/>
  <c r="Y2975" i="2"/>
  <c r="X2975" i="2"/>
  <c r="Z2974" i="2"/>
  <c r="Y2974" i="2"/>
  <c r="X2974" i="2"/>
  <c r="Z2973" i="2"/>
  <c r="Y2973" i="2"/>
  <c r="X2973" i="2"/>
  <c r="Z2972" i="2"/>
  <c r="Y2972" i="2"/>
  <c r="X2972" i="2"/>
  <c r="Z2971" i="2"/>
  <c r="Y2971" i="2"/>
  <c r="X2971" i="2"/>
  <c r="Z2970" i="2"/>
  <c r="Y2970" i="2"/>
  <c r="X2970" i="2"/>
  <c r="Z2969" i="2"/>
  <c r="Y2969" i="2"/>
  <c r="X2969" i="2"/>
  <c r="Z2968" i="2"/>
  <c r="Y2968" i="2"/>
  <c r="X2968" i="2"/>
  <c r="Z2967" i="2"/>
  <c r="Y2967" i="2"/>
  <c r="X2967" i="2"/>
  <c r="Z2966" i="2"/>
  <c r="Y2966" i="2"/>
  <c r="X2966" i="2"/>
  <c r="Z2965" i="2"/>
  <c r="Y2965" i="2"/>
  <c r="X2965" i="2"/>
  <c r="Z2964" i="2"/>
  <c r="Y2964" i="2"/>
  <c r="X2964" i="2"/>
  <c r="Z2963" i="2"/>
  <c r="Y2963" i="2"/>
  <c r="X2963" i="2"/>
  <c r="Z2962" i="2"/>
  <c r="Y2962" i="2"/>
  <c r="X2962" i="2"/>
  <c r="Z2961" i="2"/>
  <c r="Y2961" i="2"/>
  <c r="X2961" i="2"/>
  <c r="Z2960" i="2"/>
  <c r="Y2960" i="2"/>
  <c r="X2960" i="2"/>
  <c r="Z2959" i="2"/>
  <c r="Y2959" i="2"/>
  <c r="X2959" i="2"/>
  <c r="Z2958" i="2"/>
  <c r="Y2958" i="2"/>
  <c r="X2958" i="2"/>
  <c r="Z2957" i="2"/>
  <c r="Y2957" i="2"/>
  <c r="X2957" i="2"/>
  <c r="Z2956" i="2"/>
  <c r="Y2956" i="2"/>
  <c r="X2956" i="2"/>
  <c r="Z2955" i="2"/>
  <c r="Y2955" i="2"/>
  <c r="X2955" i="2"/>
  <c r="Z2954" i="2"/>
  <c r="Y2954" i="2"/>
  <c r="X2954" i="2"/>
  <c r="Z2953" i="2"/>
  <c r="Y2953" i="2"/>
  <c r="X2953" i="2"/>
  <c r="Z2952" i="2"/>
  <c r="Y2952" i="2"/>
  <c r="X2952" i="2"/>
  <c r="Z2951" i="2"/>
  <c r="Y2951" i="2"/>
  <c r="X2951" i="2"/>
  <c r="Z2950" i="2"/>
  <c r="Y2950" i="2"/>
  <c r="X2950" i="2"/>
  <c r="Z2949" i="2"/>
  <c r="Y2949" i="2"/>
  <c r="X2949" i="2"/>
  <c r="Z2948" i="2"/>
  <c r="Y2948" i="2"/>
  <c r="X2948" i="2"/>
  <c r="Z2947" i="2"/>
  <c r="Y2947" i="2"/>
  <c r="X2947" i="2"/>
  <c r="Z2946" i="2"/>
  <c r="Y2946" i="2"/>
  <c r="X2946" i="2"/>
  <c r="Z2945" i="2"/>
  <c r="Y2945" i="2"/>
  <c r="X2945" i="2"/>
  <c r="Z2944" i="2"/>
  <c r="Y2944" i="2"/>
  <c r="X2944" i="2"/>
  <c r="Z2943" i="2"/>
  <c r="Y2943" i="2"/>
  <c r="X2943" i="2"/>
  <c r="Z2942" i="2"/>
  <c r="Y2942" i="2"/>
  <c r="X2942" i="2"/>
  <c r="Z2941" i="2"/>
  <c r="Y2941" i="2"/>
  <c r="X2941" i="2"/>
  <c r="Z2940" i="2"/>
  <c r="Y2940" i="2"/>
  <c r="X2940" i="2"/>
  <c r="Z2939" i="2"/>
  <c r="Y2939" i="2"/>
  <c r="X2939" i="2"/>
  <c r="Z2938" i="2"/>
  <c r="Y2938" i="2"/>
  <c r="X2938" i="2"/>
  <c r="Z2937" i="2"/>
  <c r="Y2937" i="2"/>
  <c r="X2937" i="2"/>
  <c r="Z2936" i="2"/>
  <c r="Y2936" i="2"/>
  <c r="X2936" i="2"/>
  <c r="Z2935" i="2"/>
  <c r="Y2935" i="2"/>
  <c r="X2935" i="2"/>
  <c r="Z2934" i="2"/>
  <c r="Y2934" i="2"/>
  <c r="X2934" i="2"/>
  <c r="Z2933" i="2"/>
  <c r="Y2933" i="2"/>
  <c r="X2933" i="2"/>
  <c r="Z2932" i="2"/>
  <c r="Y2932" i="2"/>
  <c r="X2932" i="2"/>
  <c r="Z2931" i="2"/>
  <c r="Y2931" i="2"/>
  <c r="X2931" i="2"/>
  <c r="Z2930" i="2"/>
  <c r="Y2930" i="2"/>
  <c r="X2930" i="2"/>
  <c r="Z2929" i="2"/>
  <c r="Y2929" i="2"/>
  <c r="X2929" i="2"/>
  <c r="Z2928" i="2"/>
  <c r="Y2928" i="2"/>
  <c r="X2928" i="2"/>
  <c r="Z2927" i="2"/>
  <c r="Y2927" i="2"/>
  <c r="X2927" i="2"/>
  <c r="Z2926" i="2"/>
  <c r="Y2926" i="2"/>
  <c r="X2926" i="2"/>
  <c r="Z2925" i="2"/>
  <c r="Y2925" i="2"/>
  <c r="X2925" i="2"/>
  <c r="Z2924" i="2"/>
  <c r="Y2924" i="2"/>
  <c r="X2924" i="2"/>
  <c r="Z2923" i="2"/>
  <c r="Y2923" i="2"/>
  <c r="X2923" i="2"/>
  <c r="Z2922" i="2"/>
  <c r="Y2922" i="2"/>
  <c r="X2922" i="2"/>
  <c r="Z2921" i="2"/>
  <c r="Y2921" i="2"/>
  <c r="X2921" i="2"/>
  <c r="Z2920" i="2"/>
  <c r="Y2920" i="2"/>
  <c r="X2920" i="2"/>
  <c r="Z2919" i="2"/>
  <c r="Y2919" i="2"/>
  <c r="X2919" i="2"/>
  <c r="Z2918" i="2"/>
  <c r="Y2918" i="2"/>
  <c r="X2918" i="2"/>
  <c r="Z2917" i="2"/>
  <c r="Y2917" i="2"/>
  <c r="X2917" i="2"/>
  <c r="Z2916" i="2"/>
  <c r="Y2916" i="2"/>
  <c r="X2916" i="2"/>
  <c r="Z2915" i="2"/>
  <c r="Y2915" i="2"/>
  <c r="X2915" i="2"/>
  <c r="Z2914" i="2"/>
  <c r="Y2914" i="2"/>
  <c r="X2914" i="2"/>
  <c r="Z2913" i="2"/>
  <c r="Y2913" i="2"/>
  <c r="X2913" i="2"/>
  <c r="Z2912" i="2"/>
  <c r="Y2912" i="2"/>
  <c r="X2912" i="2"/>
  <c r="Z2911" i="2"/>
  <c r="Y2911" i="2"/>
  <c r="X2911" i="2"/>
  <c r="Z2910" i="2"/>
  <c r="Y2910" i="2"/>
  <c r="X2910" i="2"/>
  <c r="Z2909" i="2"/>
  <c r="Y2909" i="2"/>
  <c r="X2909" i="2"/>
  <c r="Z2908" i="2"/>
  <c r="Y2908" i="2"/>
  <c r="X2908" i="2"/>
  <c r="Z2907" i="2"/>
  <c r="Y2907" i="2"/>
  <c r="X2907" i="2"/>
  <c r="Z2906" i="2"/>
  <c r="Y2906" i="2"/>
  <c r="X2906" i="2"/>
  <c r="Z2905" i="2"/>
  <c r="Y2905" i="2"/>
  <c r="X2905" i="2"/>
  <c r="Z2904" i="2"/>
  <c r="Y2904" i="2"/>
  <c r="X2904" i="2"/>
  <c r="Z2903" i="2"/>
  <c r="Y2903" i="2"/>
  <c r="X2903" i="2"/>
  <c r="Z2902" i="2"/>
  <c r="Y2902" i="2"/>
  <c r="X2902" i="2"/>
  <c r="Z2901" i="2"/>
  <c r="Y2901" i="2"/>
  <c r="X2901" i="2"/>
  <c r="Z2900" i="2"/>
  <c r="Y2900" i="2"/>
  <c r="X2900" i="2"/>
  <c r="Z2899" i="2"/>
  <c r="Y2899" i="2"/>
  <c r="X2899" i="2"/>
  <c r="Z2898" i="2"/>
  <c r="Y2898" i="2"/>
  <c r="X2898" i="2"/>
  <c r="Z2897" i="2"/>
  <c r="Y2897" i="2"/>
  <c r="X2897" i="2"/>
  <c r="Z2896" i="2"/>
  <c r="Y2896" i="2"/>
  <c r="X2896" i="2"/>
  <c r="Z2895" i="2"/>
  <c r="Y2895" i="2"/>
  <c r="X2895" i="2"/>
  <c r="Z2894" i="2"/>
  <c r="Y2894" i="2"/>
  <c r="X2894" i="2"/>
  <c r="Z2893" i="2"/>
  <c r="Y2893" i="2"/>
  <c r="X2893" i="2"/>
  <c r="Z2892" i="2"/>
  <c r="Y2892" i="2"/>
  <c r="X2892" i="2"/>
  <c r="Z2891" i="2"/>
  <c r="Y2891" i="2"/>
  <c r="X2891" i="2"/>
  <c r="Z2890" i="2"/>
  <c r="Y2890" i="2"/>
  <c r="X2890" i="2"/>
  <c r="Z2889" i="2"/>
  <c r="Y2889" i="2"/>
  <c r="X2889" i="2"/>
  <c r="Z2888" i="2"/>
  <c r="Y2888" i="2"/>
  <c r="X2888" i="2"/>
  <c r="Z2887" i="2"/>
  <c r="Y2887" i="2"/>
  <c r="X2887" i="2"/>
  <c r="Z2886" i="2"/>
  <c r="Y2886" i="2"/>
  <c r="X2886" i="2"/>
  <c r="Z2885" i="2"/>
  <c r="Y2885" i="2"/>
  <c r="X2885" i="2"/>
  <c r="Z2884" i="2"/>
  <c r="Y2884" i="2"/>
  <c r="X2884" i="2"/>
  <c r="Z2883" i="2"/>
  <c r="Y2883" i="2"/>
  <c r="X2883" i="2"/>
  <c r="Z2882" i="2"/>
  <c r="Y2882" i="2"/>
  <c r="X2882" i="2"/>
  <c r="Z2881" i="2"/>
  <c r="Y2881" i="2"/>
  <c r="X2881" i="2"/>
  <c r="Z2880" i="2"/>
  <c r="Y2880" i="2"/>
  <c r="X2880" i="2"/>
  <c r="Z2879" i="2"/>
  <c r="Y2879" i="2"/>
  <c r="X2879" i="2"/>
  <c r="Z2878" i="2"/>
  <c r="Y2878" i="2"/>
  <c r="X2878" i="2"/>
  <c r="Z2877" i="2"/>
  <c r="Y2877" i="2"/>
  <c r="X2877" i="2"/>
  <c r="Z2876" i="2"/>
  <c r="Y2876" i="2"/>
  <c r="X2876" i="2"/>
  <c r="Z2875" i="2"/>
  <c r="Y2875" i="2"/>
  <c r="X2875" i="2"/>
  <c r="Z2874" i="2"/>
  <c r="Y2874" i="2"/>
  <c r="X2874" i="2"/>
  <c r="Z2873" i="2"/>
  <c r="Y2873" i="2"/>
  <c r="X2873" i="2"/>
  <c r="Z2872" i="2"/>
  <c r="Y2872" i="2"/>
  <c r="X2872" i="2"/>
  <c r="Z2871" i="2"/>
  <c r="Y2871" i="2"/>
  <c r="X2871" i="2"/>
  <c r="Z2870" i="2"/>
  <c r="Y2870" i="2"/>
  <c r="X2870" i="2"/>
  <c r="Z2869" i="2"/>
  <c r="Y2869" i="2"/>
  <c r="X2869" i="2"/>
  <c r="Z2868" i="2"/>
  <c r="Y2868" i="2"/>
  <c r="X2868" i="2"/>
  <c r="Z2867" i="2"/>
  <c r="Y2867" i="2"/>
  <c r="X2867" i="2"/>
  <c r="Z2866" i="2"/>
  <c r="Y2866" i="2"/>
  <c r="X2866" i="2"/>
  <c r="Z2865" i="2"/>
  <c r="Y2865" i="2"/>
  <c r="X2865" i="2"/>
  <c r="Z2864" i="2"/>
  <c r="Y2864" i="2"/>
  <c r="X2864" i="2"/>
  <c r="Z2863" i="2"/>
  <c r="Y2863" i="2"/>
  <c r="X2863" i="2"/>
  <c r="Z2862" i="2"/>
  <c r="Y2862" i="2"/>
  <c r="X2862" i="2"/>
  <c r="Z2861" i="2"/>
  <c r="Y2861" i="2"/>
  <c r="X2861" i="2"/>
  <c r="Z2860" i="2"/>
  <c r="Y2860" i="2"/>
  <c r="X2860" i="2"/>
  <c r="Z2859" i="2"/>
  <c r="Y2859" i="2"/>
  <c r="X2859" i="2"/>
  <c r="Z2858" i="2"/>
  <c r="Y2858" i="2"/>
  <c r="X2858" i="2"/>
  <c r="Z2857" i="2"/>
  <c r="Y2857" i="2"/>
  <c r="X2857" i="2"/>
  <c r="Z2856" i="2"/>
  <c r="Y2856" i="2"/>
  <c r="X2856" i="2"/>
  <c r="Z2855" i="2"/>
  <c r="Y2855" i="2"/>
  <c r="X2855" i="2"/>
  <c r="Z2854" i="2"/>
  <c r="Y2854" i="2"/>
  <c r="X2854" i="2"/>
  <c r="Z2853" i="2"/>
  <c r="Y2853" i="2"/>
  <c r="X2853" i="2"/>
  <c r="Z2852" i="2"/>
  <c r="Y2852" i="2"/>
  <c r="X2852" i="2"/>
  <c r="Z2851" i="2"/>
  <c r="Y2851" i="2"/>
  <c r="X2851" i="2"/>
  <c r="Z2850" i="2"/>
  <c r="Y2850" i="2"/>
  <c r="X2850" i="2"/>
  <c r="Z2849" i="2"/>
  <c r="Y2849" i="2"/>
  <c r="X2849" i="2"/>
  <c r="Z2848" i="2"/>
  <c r="Y2848" i="2"/>
  <c r="X2848" i="2"/>
  <c r="Z2847" i="2"/>
  <c r="Y2847" i="2"/>
  <c r="X2847" i="2"/>
  <c r="Z2846" i="2"/>
  <c r="Y2846" i="2"/>
  <c r="X2846" i="2"/>
  <c r="Z2845" i="2"/>
  <c r="Y2845" i="2"/>
  <c r="X2845" i="2"/>
  <c r="Z2844" i="2"/>
  <c r="Y2844" i="2"/>
  <c r="X2844" i="2"/>
  <c r="Z2843" i="2"/>
  <c r="Y2843" i="2"/>
  <c r="X2843" i="2"/>
  <c r="Z2842" i="2"/>
  <c r="Y2842" i="2"/>
  <c r="X2842" i="2"/>
  <c r="Z2841" i="2"/>
  <c r="Y2841" i="2"/>
  <c r="X2841" i="2"/>
  <c r="Z2840" i="2"/>
  <c r="Y2840" i="2"/>
  <c r="X2840" i="2"/>
  <c r="Z2839" i="2"/>
  <c r="Y2839" i="2"/>
  <c r="X2839" i="2"/>
  <c r="Z2838" i="2"/>
  <c r="Y2838" i="2"/>
  <c r="X2838" i="2"/>
  <c r="Z2837" i="2"/>
  <c r="Y2837" i="2"/>
  <c r="X2837" i="2"/>
  <c r="Z2836" i="2"/>
  <c r="Y2836" i="2"/>
  <c r="X2836" i="2"/>
  <c r="Z2835" i="2"/>
  <c r="Y2835" i="2"/>
  <c r="X2835" i="2"/>
  <c r="Z2834" i="2"/>
  <c r="Y2834" i="2"/>
  <c r="X2834" i="2"/>
  <c r="Z2833" i="2"/>
  <c r="Y2833" i="2"/>
  <c r="X2833" i="2"/>
  <c r="Z2832" i="2"/>
  <c r="Y2832" i="2"/>
  <c r="X2832" i="2"/>
  <c r="Z2831" i="2"/>
  <c r="Y2831" i="2"/>
  <c r="X2831" i="2"/>
  <c r="Z2830" i="2"/>
  <c r="Y2830" i="2"/>
  <c r="X2830" i="2"/>
  <c r="Z2829" i="2"/>
  <c r="Y2829" i="2"/>
  <c r="X2829" i="2"/>
  <c r="Z2828" i="2"/>
  <c r="Y2828" i="2"/>
  <c r="X2828" i="2"/>
  <c r="Z2827" i="2"/>
  <c r="Y2827" i="2"/>
  <c r="X2827" i="2"/>
  <c r="Z2826" i="2"/>
  <c r="Y2826" i="2"/>
  <c r="X2826" i="2"/>
  <c r="Z2825" i="2"/>
  <c r="Y2825" i="2"/>
  <c r="X2825" i="2"/>
  <c r="Z2824" i="2"/>
  <c r="Y2824" i="2"/>
  <c r="X2824" i="2"/>
  <c r="Z2823" i="2"/>
  <c r="Y2823" i="2"/>
  <c r="X2823" i="2"/>
  <c r="Z2822" i="2"/>
  <c r="Y2822" i="2"/>
  <c r="X2822" i="2"/>
  <c r="Z2821" i="2"/>
  <c r="Y2821" i="2"/>
  <c r="X2821" i="2"/>
  <c r="Z2820" i="2"/>
  <c r="Y2820" i="2"/>
  <c r="X2820" i="2"/>
  <c r="Z2819" i="2"/>
  <c r="Y2819" i="2"/>
  <c r="X2819" i="2"/>
  <c r="Z2818" i="2"/>
  <c r="Y2818" i="2"/>
  <c r="X2818" i="2"/>
  <c r="Z2817" i="2"/>
  <c r="Y2817" i="2"/>
  <c r="X2817" i="2"/>
  <c r="Z2816" i="2"/>
  <c r="Y2816" i="2"/>
  <c r="X2816" i="2"/>
  <c r="Z2815" i="2"/>
  <c r="Y2815" i="2"/>
  <c r="X2815" i="2"/>
  <c r="Z2814" i="2"/>
  <c r="Y2814" i="2"/>
  <c r="X2814" i="2"/>
  <c r="Z2813" i="2"/>
  <c r="Y2813" i="2"/>
  <c r="X2813" i="2"/>
  <c r="Z2812" i="2"/>
  <c r="Y2812" i="2"/>
  <c r="X2812" i="2"/>
  <c r="Z2811" i="2"/>
  <c r="Y2811" i="2"/>
  <c r="X2811" i="2"/>
  <c r="Z2810" i="2"/>
  <c r="Y2810" i="2"/>
  <c r="X2810" i="2"/>
  <c r="Z2809" i="2"/>
  <c r="Y2809" i="2"/>
  <c r="X2809" i="2"/>
  <c r="Z2808" i="2"/>
  <c r="Y2808" i="2"/>
  <c r="X2808" i="2"/>
  <c r="Z2807" i="2"/>
  <c r="Y2807" i="2"/>
  <c r="X2807" i="2"/>
  <c r="Z2806" i="2"/>
  <c r="Y2806" i="2"/>
  <c r="X2806" i="2"/>
  <c r="Z2805" i="2"/>
  <c r="Y2805" i="2"/>
  <c r="X2805" i="2"/>
  <c r="Z2804" i="2"/>
  <c r="Y2804" i="2"/>
  <c r="X2804" i="2"/>
  <c r="Z2803" i="2"/>
  <c r="Y2803" i="2"/>
  <c r="X2803" i="2"/>
  <c r="Z2802" i="2"/>
  <c r="Y2802" i="2"/>
  <c r="X2802" i="2"/>
  <c r="Z2801" i="2"/>
  <c r="Y2801" i="2"/>
  <c r="X2801" i="2"/>
  <c r="Z2800" i="2"/>
  <c r="Y2800" i="2"/>
  <c r="X2800" i="2"/>
  <c r="Z2799" i="2"/>
  <c r="Y2799" i="2"/>
  <c r="X2799" i="2"/>
  <c r="Z2798" i="2"/>
  <c r="Y2798" i="2"/>
  <c r="X2798" i="2"/>
  <c r="Z2797" i="2"/>
  <c r="Y2797" i="2"/>
  <c r="X2797" i="2"/>
  <c r="Z2796" i="2"/>
  <c r="Y2796" i="2"/>
  <c r="X2796" i="2"/>
  <c r="Z2795" i="2"/>
  <c r="Y2795" i="2"/>
  <c r="X2795" i="2"/>
  <c r="Z2794" i="2"/>
  <c r="Y2794" i="2"/>
  <c r="X2794" i="2"/>
  <c r="Z2793" i="2"/>
  <c r="Y2793" i="2"/>
  <c r="X2793" i="2"/>
  <c r="Z2792" i="2"/>
  <c r="Y2792" i="2"/>
  <c r="X2792" i="2"/>
  <c r="Z2791" i="2"/>
  <c r="Y2791" i="2"/>
  <c r="X2791" i="2"/>
  <c r="Z2790" i="2"/>
  <c r="Y2790" i="2"/>
  <c r="X2790" i="2"/>
  <c r="Z2789" i="2"/>
  <c r="Y2789" i="2"/>
  <c r="X2789" i="2"/>
  <c r="Z2788" i="2"/>
  <c r="Y2788" i="2"/>
  <c r="X2788" i="2"/>
  <c r="Z2787" i="2"/>
  <c r="Y2787" i="2"/>
  <c r="X2787" i="2"/>
  <c r="Z2786" i="2"/>
  <c r="Y2786" i="2"/>
  <c r="X2786" i="2"/>
  <c r="Z2785" i="2"/>
  <c r="Y2785" i="2"/>
  <c r="X2785" i="2"/>
  <c r="Z2784" i="2"/>
  <c r="Y2784" i="2"/>
  <c r="X2784" i="2"/>
  <c r="Z2783" i="2"/>
  <c r="Y2783" i="2"/>
  <c r="X2783" i="2"/>
  <c r="Z2782" i="2"/>
  <c r="Y2782" i="2"/>
  <c r="X2782" i="2"/>
  <c r="Z2781" i="2"/>
  <c r="Y2781" i="2"/>
  <c r="X2781" i="2"/>
  <c r="Z2780" i="2"/>
  <c r="Y2780" i="2"/>
  <c r="X2780" i="2"/>
  <c r="Z2779" i="2"/>
  <c r="Y2779" i="2"/>
  <c r="X2779" i="2"/>
  <c r="Z2778" i="2"/>
  <c r="Y2778" i="2"/>
  <c r="X2778" i="2"/>
  <c r="Z2777" i="2"/>
  <c r="Y2777" i="2"/>
  <c r="X2777" i="2"/>
  <c r="Z2776" i="2"/>
  <c r="Y2776" i="2"/>
  <c r="X2776" i="2"/>
  <c r="Z2775" i="2"/>
  <c r="Y2775" i="2"/>
  <c r="X2775" i="2"/>
  <c r="Z2774" i="2"/>
  <c r="Y2774" i="2"/>
  <c r="X2774" i="2"/>
  <c r="Z2773" i="2"/>
  <c r="Y2773" i="2"/>
  <c r="X2773" i="2"/>
  <c r="Z2772" i="2"/>
  <c r="Y2772" i="2"/>
  <c r="X2772" i="2"/>
  <c r="Z2771" i="2"/>
  <c r="Y2771" i="2"/>
  <c r="X2771" i="2"/>
  <c r="Z2770" i="2"/>
  <c r="Y2770" i="2"/>
  <c r="X2770" i="2"/>
  <c r="Z2769" i="2"/>
  <c r="Y2769" i="2"/>
  <c r="X2769" i="2"/>
  <c r="Z2768" i="2"/>
  <c r="Y2768" i="2"/>
  <c r="X2768" i="2"/>
  <c r="Z2767" i="2"/>
  <c r="Y2767" i="2"/>
  <c r="X2767" i="2"/>
  <c r="Z2766" i="2"/>
  <c r="Y2766" i="2"/>
  <c r="X2766" i="2"/>
  <c r="Z2765" i="2"/>
  <c r="Y2765" i="2"/>
  <c r="X2765" i="2"/>
  <c r="Z2764" i="2"/>
  <c r="Y2764" i="2"/>
  <c r="X2764" i="2"/>
  <c r="Z2763" i="2"/>
  <c r="Y2763" i="2"/>
  <c r="X2763" i="2"/>
  <c r="Z2762" i="2"/>
  <c r="Y2762" i="2"/>
  <c r="X2762" i="2"/>
  <c r="Z2761" i="2"/>
  <c r="Y2761" i="2"/>
  <c r="X2761" i="2"/>
  <c r="Z2760" i="2"/>
  <c r="Y2760" i="2"/>
  <c r="X2760" i="2"/>
  <c r="Z2759" i="2"/>
  <c r="Y2759" i="2"/>
  <c r="X2759" i="2"/>
  <c r="Z2758" i="2"/>
  <c r="Y2758" i="2"/>
  <c r="X2758" i="2"/>
  <c r="Z2757" i="2"/>
  <c r="Y2757" i="2"/>
  <c r="X2757" i="2"/>
  <c r="Z2756" i="2"/>
  <c r="Y2756" i="2"/>
  <c r="X2756" i="2"/>
  <c r="Z2755" i="2"/>
  <c r="Y2755" i="2"/>
  <c r="X2755" i="2"/>
  <c r="Z2754" i="2"/>
  <c r="Y2754" i="2"/>
  <c r="X2754" i="2"/>
  <c r="Z2753" i="2"/>
  <c r="Y2753" i="2"/>
  <c r="X2753" i="2"/>
  <c r="Z2752" i="2"/>
  <c r="Y2752" i="2"/>
  <c r="X2752" i="2"/>
  <c r="Z2751" i="2"/>
  <c r="Y2751" i="2"/>
  <c r="X2751" i="2"/>
  <c r="Z2750" i="2"/>
  <c r="Y2750" i="2"/>
  <c r="X2750" i="2"/>
  <c r="Z2749" i="2"/>
  <c r="Y2749" i="2"/>
  <c r="X2749" i="2"/>
  <c r="Z2748" i="2"/>
  <c r="Y2748" i="2"/>
  <c r="X2748" i="2"/>
  <c r="Z2747" i="2"/>
  <c r="Y2747" i="2"/>
  <c r="X2747" i="2"/>
  <c r="Z2746" i="2"/>
  <c r="Y2746" i="2"/>
  <c r="X2746" i="2"/>
  <c r="Z2745" i="2"/>
  <c r="Y2745" i="2"/>
  <c r="X2745" i="2"/>
  <c r="Z2744" i="2"/>
  <c r="Y2744" i="2"/>
  <c r="X2744" i="2"/>
  <c r="Z2743" i="2"/>
  <c r="Y2743" i="2"/>
  <c r="X2743" i="2"/>
  <c r="Z2742" i="2"/>
  <c r="Y2742" i="2"/>
  <c r="X2742" i="2"/>
  <c r="Z2741" i="2"/>
  <c r="Y2741" i="2"/>
  <c r="X2741" i="2"/>
  <c r="Z2740" i="2"/>
  <c r="Y2740" i="2"/>
  <c r="X2740" i="2"/>
  <c r="Z2739" i="2"/>
  <c r="Y2739" i="2"/>
  <c r="X2739" i="2"/>
  <c r="Z2738" i="2"/>
  <c r="Y2738" i="2"/>
  <c r="X2738" i="2"/>
  <c r="Z2737" i="2"/>
  <c r="Y2737" i="2"/>
  <c r="X2737" i="2"/>
  <c r="Z2736" i="2"/>
  <c r="Y2736" i="2"/>
  <c r="X2736" i="2"/>
  <c r="Z2735" i="2"/>
  <c r="Y2735" i="2"/>
  <c r="X2735" i="2"/>
  <c r="Z2734" i="2"/>
  <c r="Y2734" i="2"/>
  <c r="X2734" i="2"/>
  <c r="Z2733" i="2"/>
  <c r="Y2733" i="2"/>
  <c r="X2733" i="2"/>
  <c r="Z2732" i="2"/>
  <c r="Y2732" i="2"/>
  <c r="X2732" i="2"/>
  <c r="Z2731" i="2"/>
  <c r="Y2731" i="2"/>
  <c r="X2731" i="2"/>
  <c r="Z2730" i="2"/>
  <c r="Y2730" i="2"/>
  <c r="X2730" i="2"/>
  <c r="Z2729" i="2"/>
  <c r="Y2729" i="2"/>
  <c r="X2729" i="2"/>
  <c r="Z2728" i="2"/>
  <c r="Y2728" i="2"/>
  <c r="X2728" i="2"/>
  <c r="Z2727" i="2"/>
  <c r="Y2727" i="2"/>
  <c r="X2727" i="2"/>
  <c r="Z2726" i="2"/>
  <c r="Y2726" i="2"/>
  <c r="X2726" i="2"/>
  <c r="Z2725" i="2"/>
  <c r="Y2725" i="2"/>
  <c r="X2725" i="2"/>
  <c r="Z2724" i="2"/>
  <c r="Y2724" i="2"/>
  <c r="X2724" i="2"/>
  <c r="Z2723" i="2"/>
  <c r="Y2723" i="2"/>
  <c r="X2723" i="2"/>
  <c r="Z2722" i="2"/>
  <c r="Y2722" i="2"/>
  <c r="X2722" i="2"/>
  <c r="Z2721" i="2"/>
  <c r="Y2721" i="2"/>
  <c r="X2721" i="2"/>
  <c r="Z2720" i="2"/>
  <c r="Y2720" i="2"/>
  <c r="X2720" i="2"/>
  <c r="Z2719" i="2"/>
  <c r="Y2719" i="2"/>
  <c r="X2719" i="2"/>
  <c r="Z2718" i="2"/>
  <c r="Y2718" i="2"/>
  <c r="X2718" i="2"/>
  <c r="Z2717" i="2"/>
  <c r="Y2717" i="2"/>
  <c r="X2717" i="2"/>
  <c r="Z2716" i="2"/>
  <c r="Y2716" i="2"/>
  <c r="X2716" i="2"/>
  <c r="Z2715" i="2"/>
  <c r="Y2715" i="2"/>
  <c r="X2715" i="2"/>
  <c r="Z2714" i="2"/>
  <c r="Y2714" i="2"/>
  <c r="X2714" i="2"/>
  <c r="Z2713" i="2"/>
  <c r="Y2713" i="2"/>
  <c r="X2713" i="2"/>
  <c r="Z2712" i="2"/>
  <c r="Y2712" i="2"/>
  <c r="X2712" i="2"/>
  <c r="Z2711" i="2"/>
  <c r="Y2711" i="2"/>
  <c r="X2711" i="2"/>
  <c r="Z2710" i="2"/>
  <c r="Y2710" i="2"/>
  <c r="X2710" i="2"/>
  <c r="Z2709" i="2"/>
  <c r="Y2709" i="2"/>
  <c r="X2709" i="2"/>
  <c r="Z2708" i="2"/>
  <c r="Y2708" i="2"/>
  <c r="X2708" i="2"/>
  <c r="Z2707" i="2"/>
  <c r="Y2707" i="2"/>
  <c r="X2707" i="2"/>
  <c r="Z2706" i="2"/>
  <c r="Y2706" i="2"/>
  <c r="X2706" i="2"/>
  <c r="Z2705" i="2"/>
  <c r="Y2705" i="2"/>
  <c r="X2705" i="2"/>
  <c r="Z2704" i="2"/>
  <c r="Y2704" i="2"/>
  <c r="X2704" i="2"/>
  <c r="Z2703" i="2"/>
  <c r="Y2703" i="2"/>
  <c r="X2703" i="2"/>
  <c r="Z2702" i="2"/>
  <c r="Y2702" i="2"/>
  <c r="X2702" i="2"/>
  <c r="Z2701" i="2"/>
  <c r="Y2701" i="2"/>
  <c r="X2701" i="2"/>
  <c r="Z2700" i="2"/>
  <c r="Y2700" i="2"/>
  <c r="X2700" i="2"/>
  <c r="Z2699" i="2"/>
  <c r="Y2699" i="2"/>
  <c r="X2699" i="2"/>
  <c r="Z2698" i="2"/>
  <c r="Y2698" i="2"/>
  <c r="X2698" i="2"/>
  <c r="Z2697" i="2"/>
  <c r="Y2697" i="2"/>
  <c r="X2697" i="2"/>
  <c r="Z2696" i="2"/>
  <c r="Y2696" i="2"/>
  <c r="X2696" i="2"/>
  <c r="Z2695" i="2"/>
  <c r="Y2695" i="2"/>
  <c r="X2695" i="2"/>
  <c r="Z2694" i="2"/>
  <c r="Y2694" i="2"/>
  <c r="X2694" i="2"/>
  <c r="Z2693" i="2"/>
  <c r="Y2693" i="2"/>
  <c r="X2693" i="2"/>
  <c r="Z2692" i="2"/>
  <c r="Y2692" i="2"/>
  <c r="X2692" i="2"/>
  <c r="Z2691" i="2"/>
  <c r="Y2691" i="2"/>
  <c r="X2691" i="2"/>
  <c r="Z2690" i="2"/>
  <c r="Y2690" i="2"/>
  <c r="X2690" i="2"/>
  <c r="Z2689" i="2"/>
  <c r="Y2689" i="2"/>
  <c r="X2689" i="2"/>
  <c r="Z2688" i="2"/>
  <c r="Y2688" i="2"/>
  <c r="X2688" i="2"/>
  <c r="Z2687" i="2"/>
  <c r="Y2687" i="2"/>
  <c r="X2687" i="2"/>
  <c r="Z2686" i="2"/>
  <c r="Y2686" i="2"/>
  <c r="X2686" i="2"/>
  <c r="Z2685" i="2"/>
  <c r="Y2685" i="2"/>
  <c r="X2685" i="2"/>
  <c r="Z2684" i="2"/>
  <c r="Y2684" i="2"/>
  <c r="X2684" i="2"/>
  <c r="Z2683" i="2"/>
  <c r="Y2683" i="2"/>
  <c r="X2683" i="2"/>
  <c r="Z2682" i="2"/>
  <c r="Y2682" i="2"/>
  <c r="X2682" i="2"/>
  <c r="Z2681" i="2"/>
  <c r="Y2681" i="2"/>
  <c r="X2681" i="2"/>
  <c r="Z2680" i="2"/>
  <c r="Y2680" i="2"/>
  <c r="X2680" i="2"/>
  <c r="Z2679" i="2"/>
  <c r="Y2679" i="2"/>
  <c r="X2679" i="2"/>
  <c r="Z2678" i="2"/>
  <c r="Y2678" i="2"/>
  <c r="X2678" i="2"/>
  <c r="Z2677" i="2"/>
  <c r="Y2677" i="2"/>
  <c r="X2677" i="2"/>
  <c r="Z2676" i="2"/>
  <c r="Y2676" i="2"/>
  <c r="X2676" i="2"/>
  <c r="Z2675" i="2"/>
  <c r="Y2675" i="2"/>
  <c r="X2675" i="2"/>
  <c r="Z2674" i="2"/>
  <c r="Y2674" i="2"/>
  <c r="X2674" i="2"/>
  <c r="Z2673" i="2"/>
  <c r="Y2673" i="2"/>
  <c r="X2673" i="2"/>
  <c r="Z2672" i="2"/>
  <c r="Y2672" i="2"/>
  <c r="X2672" i="2"/>
  <c r="Z2671" i="2"/>
  <c r="Y2671" i="2"/>
  <c r="X2671" i="2"/>
  <c r="Z2670" i="2"/>
  <c r="Y2670" i="2"/>
  <c r="X2670" i="2"/>
  <c r="Z2669" i="2"/>
  <c r="Y2669" i="2"/>
  <c r="X2669" i="2"/>
  <c r="Z2668" i="2"/>
  <c r="Y2668" i="2"/>
  <c r="X2668" i="2"/>
  <c r="Z2667" i="2"/>
  <c r="Y2667" i="2"/>
  <c r="X2667" i="2"/>
  <c r="Z2666" i="2"/>
  <c r="Y2666" i="2"/>
  <c r="X2666" i="2"/>
  <c r="Z2665" i="2"/>
  <c r="Y2665" i="2"/>
  <c r="X2665" i="2"/>
  <c r="Z2664" i="2"/>
  <c r="Y2664" i="2"/>
  <c r="X2664" i="2"/>
  <c r="Z2663" i="2"/>
  <c r="Y2663" i="2"/>
  <c r="X2663" i="2"/>
  <c r="Z2662" i="2"/>
  <c r="Y2662" i="2"/>
  <c r="X2662" i="2"/>
  <c r="Z2661" i="2"/>
  <c r="Y2661" i="2"/>
  <c r="X2661" i="2"/>
  <c r="Z2660" i="2"/>
  <c r="Y2660" i="2"/>
  <c r="X2660" i="2"/>
  <c r="Z2659" i="2"/>
  <c r="Y2659" i="2"/>
  <c r="X2659" i="2"/>
  <c r="Z2658" i="2"/>
  <c r="Y2658" i="2"/>
  <c r="X2658" i="2"/>
  <c r="Z2657" i="2"/>
  <c r="Y2657" i="2"/>
  <c r="X2657" i="2"/>
  <c r="Z2656" i="2"/>
  <c r="Y2656" i="2"/>
  <c r="X2656" i="2"/>
  <c r="Z2655" i="2"/>
  <c r="Y2655" i="2"/>
  <c r="X2655" i="2"/>
  <c r="Z2654" i="2"/>
  <c r="Y2654" i="2"/>
  <c r="X2654" i="2"/>
  <c r="Z2653" i="2"/>
  <c r="Y2653" i="2"/>
  <c r="X2653" i="2"/>
  <c r="Z2652" i="2"/>
  <c r="Y2652" i="2"/>
  <c r="X2652" i="2"/>
  <c r="Z2651" i="2"/>
  <c r="Y2651" i="2"/>
  <c r="X2651" i="2"/>
  <c r="Z2650" i="2"/>
  <c r="Y2650" i="2"/>
  <c r="X2650" i="2"/>
  <c r="Z2649" i="2"/>
  <c r="Y2649" i="2"/>
  <c r="X2649" i="2"/>
  <c r="Z2648" i="2"/>
  <c r="Y2648" i="2"/>
  <c r="X2648" i="2"/>
  <c r="Z2647" i="2"/>
  <c r="Y2647" i="2"/>
  <c r="X2647" i="2"/>
  <c r="Z2646" i="2"/>
  <c r="Y2646" i="2"/>
  <c r="X2646" i="2"/>
  <c r="Z2645" i="2"/>
  <c r="Y2645" i="2"/>
  <c r="X2645" i="2"/>
  <c r="Z2644" i="2"/>
  <c r="Y2644" i="2"/>
  <c r="X2644" i="2"/>
  <c r="Z2643" i="2"/>
  <c r="Y2643" i="2"/>
  <c r="X2643" i="2"/>
  <c r="Z2642" i="2"/>
  <c r="Y2642" i="2"/>
  <c r="X2642" i="2"/>
  <c r="Z2641" i="2"/>
  <c r="Y2641" i="2"/>
  <c r="X2641" i="2"/>
  <c r="Z2640" i="2"/>
  <c r="Y2640" i="2"/>
  <c r="X2640" i="2"/>
  <c r="Z2639" i="2"/>
  <c r="Y2639" i="2"/>
  <c r="X2639" i="2"/>
  <c r="Z2638" i="2"/>
  <c r="Y2638" i="2"/>
  <c r="X2638" i="2"/>
  <c r="Z2637" i="2"/>
  <c r="Y2637" i="2"/>
  <c r="X2637" i="2"/>
  <c r="Z2636" i="2"/>
  <c r="Y2636" i="2"/>
  <c r="X2636" i="2"/>
  <c r="Z2635" i="2"/>
  <c r="Y2635" i="2"/>
  <c r="X2635" i="2"/>
  <c r="Z2634" i="2"/>
  <c r="Y2634" i="2"/>
  <c r="X2634" i="2"/>
  <c r="Z2633" i="2"/>
  <c r="Y2633" i="2"/>
  <c r="X2633" i="2"/>
  <c r="Z2632" i="2"/>
  <c r="Y2632" i="2"/>
  <c r="X2632" i="2"/>
  <c r="Z2631" i="2"/>
  <c r="Y2631" i="2"/>
  <c r="X2631" i="2"/>
  <c r="Z2630" i="2"/>
  <c r="Y2630" i="2"/>
  <c r="X2630" i="2"/>
  <c r="Z2629" i="2"/>
  <c r="Y2629" i="2"/>
  <c r="X2629" i="2"/>
  <c r="Z2628" i="2"/>
  <c r="Y2628" i="2"/>
  <c r="X2628" i="2"/>
  <c r="Z2627" i="2"/>
  <c r="Y2627" i="2"/>
  <c r="X2627" i="2"/>
  <c r="Z2626" i="2"/>
  <c r="Y2626" i="2"/>
  <c r="X2626" i="2"/>
  <c r="Z2625" i="2"/>
  <c r="Y2625" i="2"/>
  <c r="X2625" i="2"/>
  <c r="Z2624" i="2"/>
  <c r="Y2624" i="2"/>
  <c r="X2624" i="2"/>
  <c r="Z2623" i="2"/>
  <c r="Y2623" i="2"/>
  <c r="X2623" i="2"/>
  <c r="Z2622" i="2"/>
  <c r="Y2622" i="2"/>
  <c r="X2622" i="2"/>
  <c r="Z2621" i="2"/>
  <c r="Y2621" i="2"/>
  <c r="X2621" i="2"/>
  <c r="Z2620" i="2"/>
  <c r="Y2620" i="2"/>
  <c r="X2620" i="2"/>
  <c r="Z2619" i="2"/>
  <c r="Y2619" i="2"/>
  <c r="X2619" i="2"/>
  <c r="Z2618" i="2"/>
  <c r="Y2618" i="2"/>
  <c r="X2618" i="2"/>
  <c r="Z2617" i="2"/>
  <c r="Y2617" i="2"/>
  <c r="X2617" i="2"/>
  <c r="Z2616" i="2"/>
  <c r="Y2616" i="2"/>
  <c r="X2616" i="2"/>
  <c r="Z2615" i="2"/>
  <c r="Y2615" i="2"/>
  <c r="X2615" i="2"/>
  <c r="Z2614" i="2"/>
  <c r="Y2614" i="2"/>
  <c r="X2614" i="2"/>
  <c r="Z2613" i="2"/>
  <c r="Y2613" i="2"/>
  <c r="X2613" i="2"/>
  <c r="Z2612" i="2"/>
  <c r="Y2612" i="2"/>
  <c r="X2612" i="2"/>
  <c r="Z2611" i="2"/>
  <c r="Y2611" i="2"/>
  <c r="X2611" i="2"/>
  <c r="Z2610" i="2"/>
  <c r="Y2610" i="2"/>
  <c r="X2610" i="2"/>
  <c r="Z2609" i="2"/>
  <c r="Y2609" i="2"/>
  <c r="X2609" i="2"/>
  <c r="Z2608" i="2"/>
  <c r="Y2608" i="2"/>
  <c r="X2608" i="2"/>
  <c r="Z2607" i="2"/>
  <c r="Y2607" i="2"/>
  <c r="X2607" i="2"/>
  <c r="Z2606" i="2"/>
  <c r="Y2606" i="2"/>
  <c r="X2606" i="2"/>
  <c r="Z2605" i="2"/>
  <c r="Y2605" i="2"/>
  <c r="X2605" i="2"/>
  <c r="Z2604" i="2"/>
  <c r="Y2604" i="2"/>
  <c r="X2604" i="2"/>
  <c r="Z2603" i="2"/>
  <c r="Y2603" i="2"/>
  <c r="X2603" i="2"/>
  <c r="Z2602" i="2"/>
  <c r="Y2602" i="2"/>
  <c r="X2602" i="2"/>
  <c r="Z2601" i="2"/>
  <c r="Y2601" i="2"/>
  <c r="X2601" i="2"/>
  <c r="Z2600" i="2"/>
  <c r="Y2600" i="2"/>
  <c r="X2600" i="2"/>
  <c r="Z2599" i="2"/>
  <c r="Y2599" i="2"/>
  <c r="X2599" i="2"/>
  <c r="Z2598" i="2"/>
  <c r="Y2598" i="2"/>
  <c r="X2598" i="2"/>
  <c r="Z2597" i="2"/>
  <c r="Y2597" i="2"/>
  <c r="X2597" i="2"/>
  <c r="Z2596" i="2"/>
  <c r="Y2596" i="2"/>
  <c r="X2596" i="2"/>
  <c r="Z2595" i="2"/>
  <c r="Y2595" i="2"/>
  <c r="X2595" i="2"/>
  <c r="Z2594" i="2"/>
  <c r="Y2594" i="2"/>
  <c r="X2594" i="2"/>
  <c r="Z2593" i="2"/>
  <c r="Y2593" i="2"/>
  <c r="X2593" i="2"/>
  <c r="Z2592" i="2"/>
  <c r="Y2592" i="2"/>
  <c r="X2592" i="2"/>
  <c r="Z2591" i="2"/>
  <c r="Y2591" i="2"/>
  <c r="X2591" i="2"/>
  <c r="Z2590" i="2"/>
  <c r="Y2590" i="2"/>
  <c r="X2590" i="2"/>
  <c r="Z2589" i="2"/>
  <c r="Y2589" i="2"/>
  <c r="X2589" i="2"/>
  <c r="Z2588" i="2"/>
  <c r="Y2588" i="2"/>
  <c r="X2588" i="2"/>
  <c r="Z2587" i="2"/>
  <c r="Y2587" i="2"/>
  <c r="X2587" i="2"/>
  <c r="Z2586" i="2"/>
  <c r="Y2586" i="2"/>
  <c r="X2586" i="2"/>
  <c r="Z2585" i="2"/>
  <c r="Y2585" i="2"/>
  <c r="X2585" i="2"/>
  <c r="Z2584" i="2"/>
  <c r="Y2584" i="2"/>
  <c r="X2584" i="2"/>
  <c r="Z2583" i="2"/>
  <c r="Y2583" i="2"/>
  <c r="X2583" i="2"/>
  <c r="Z2582" i="2"/>
  <c r="Y2582" i="2"/>
  <c r="X2582" i="2"/>
  <c r="Z2581" i="2"/>
  <c r="Y2581" i="2"/>
  <c r="X2581" i="2"/>
  <c r="Z2580" i="2"/>
  <c r="Y2580" i="2"/>
  <c r="X2580" i="2"/>
  <c r="Z2579" i="2"/>
  <c r="Y2579" i="2"/>
  <c r="X2579" i="2"/>
  <c r="Z2578" i="2"/>
  <c r="Y2578" i="2"/>
  <c r="X2578" i="2"/>
  <c r="Z2577" i="2"/>
  <c r="Y2577" i="2"/>
  <c r="X2577" i="2"/>
  <c r="Z2576" i="2"/>
  <c r="Y2576" i="2"/>
  <c r="X2576" i="2"/>
  <c r="Z2575" i="2"/>
  <c r="Y2575" i="2"/>
  <c r="X2575" i="2"/>
  <c r="Z2574" i="2"/>
  <c r="Y2574" i="2"/>
  <c r="X2574" i="2"/>
  <c r="Z2573" i="2"/>
  <c r="Y2573" i="2"/>
  <c r="X2573" i="2"/>
  <c r="Z2572" i="2"/>
  <c r="Y2572" i="2"/>
  <c r="X2572" i="2"/>
  <c r="Z2571" i="2"/>
  <c r="Y2571" i="2"/>
  <c r="X2571" i="2"/>
  <c r="Z2570" i="2"/>
  <c r="Y2570" i="2"/>
  <c r="X2570" i="2"/>
  <c r="Z2569" i="2"/>
  <c r="Y2569" i="2"/>
  <c r="X2569" i="2"/>
  <c r="Z2568" i="2"/>
  <c r="Y2568" i="2"/>
  <c r="X2568" i="2"/>
  <c r="Z2567" i="2"/>
  <c r="Y2567" i="2"/>
  <c r="X2567" i="2"/>
  <c r="Z2566" i="2"/>
  <c r="Y2566" i="2"/>
  <c r="X2566" i="2"/>
  <c r="Z2565" i="2"/>
  <c r="Y2565" i="2"/>
  <c r="X2565" i="2"/>
  <c r="Z2564" i="2"/>
  <c r="Y2564" i="2"/>
  <c r="X2564" i="2"/>
  <c r="Z2563" i="2"/>
  <c r="Y2563" i="2"/>
  <c r="X2563" i="2"/>
  <c r="Z2562" i="2"/>
  <c r="Y2562" i="2"/>
  <c r="X2562" i="2"/>
  <c r="Z2561" i="2"/>
  <c r="Y2561" i="2"/>
  <c r="X2561" i="2"/>
  <c r="Z2560" i="2"/>
  <c r="Y2560" i="2"/>
  <c r="X2560" i="2"/>
  <c r="Z2559" i="2"/>
  <c r="Y2559" i="2"/>
  <c r="X2559" i="2"/>
  <c r="Z2558" i="2"/>
  <c r="Y2558" i="2"/>
  <c r="X2558" i="2"/>
  <c r="Z2557" i="2"/>
  <c r="Y2557" i="2"/>
  <c r="X2557" i="2"/>
  <c r="Z2556" i="2"/>
  <c r="Y2556" i="2"/>
  <c r="X2556" i="2"/>
  <c r="Z2555" i="2"/>
  <c r="Y2555" i="2"/>
  <c r="X2555" i="2"/>
  <c r="Z2554" i="2"/>
  <c r="Y2554" i="2"/>
  <c r="X2554" i="2"/>
  <c r="Z2553" i="2"/>
  <c r="Y2553" i="2"/>
  <c r="X2553" i="2"/>
  <c r="Z2552" i="2"/>
  <c r="Y2552" i="2"/>
  <c r="X2552" i="2"/>
  <c r="Z2551" i="2"/>
  <c r="Y2551" i="2"/>
  <c r="X2551" i="2"/>
  <c r="Z2550" i="2"/>
  <c r="Y2550" i="2"/>
  <c r="X2550" i="2"/>
  <c r="Z2549" i="2"/>
  <c r="Y2549" i="2"/>
  <c r="X2549" i="2"/>
  <c r="Z2548" i="2"/>
  <c r="Y2548" i="2"/>
  <c r="X2548" i="2"/>
  <c r="Z2547" i="2"/>
  <c r="Y2547" i="2"/>
  <c r="X2547" i="2"/>
  <c r="Z2546" i="2"/>
  <c r="Y2546" i="2"/>
  <c r="X2546" i="2"/>
  <c r="Z2545" i="2"/>
  <c r="Y2545" i="2"/>
  <c r="X2545" i="2"/>
  <c r="Z2544" i="2"/>
  <c r="Y2544" i="2"/>
  <c r="X2544" i="2"/>
  <c r="Z2543" i="2"/>
  <c r="Y2543" i="2"/>
  <c r="X2543" i="2"/>
  <c r="Z2542" i="2"/>
  <c r="Y2542" i="2"/>
  <c r="X2542" i="2"/>
  <c r="Z2541" i="2"/>
  <c r="Y2541" i="2"/>
  <c r="X2541" i="2"/>
  <c r="Z2540" i="2"/>
  <c r="Y2540" i="2"/>
  <c r="X2540" i="2"/>
  <c r="Z2539" i="2"/>
  <c r="Y2539" i="2"/>
  <c r="X2539" i="2"/>
  <c r="Z2538" i="2"/>
  <c r="Y2538" i="2"/>
  <c r="X2538" i="2"/>
  <c r="Z2537" i="2"/>
  <c r="Y2537" i="2"/>
  <c r="X2537" i="2"/>
  <c r="Z2536" i="2"/>
  <c r="Y2536" i="2"/>
  <c r="X2536" i="2"/>
  <c r="Z2535" i="2"/>
  <c r="Y2535" i="2"/>
  <c r="X2535" i="2"/>
  <c r="Z2534" i="2"/>
  <c r="Y2534" i="2"/>
  <c r="X2534" i="2"/>
  <c r="Z2533" i="2"/>
  <c r="Y2533" i="2"/>
  <c r="X2533" i="2"/>
  <c r="Z2532" i="2"/>
  <c r="Y2532" i="2"/>
  <c r="X2532" i="2"/>
  <c r="Z2531" i="2"/>
  <c r="Y2531" i="2"/>
  <c r="X2531" i="2"/>
  <c r="Z2530" i="2"/>
  <c r="Y2530" i="2"/>
  <c r="X2530" i="2"/>
  <c r="Z2529" i="2"/>
  <c r="Y2529" i="2"/>
  <c r="X2529" i="2"/>
  <c r="Z2528" i="2"/>
  <c r="Y2528" i="2"/>
  <c r="X2528" i="2"/>
  <c r="Z2527" i="2"/>
  <c r="Y2527" i="2"/>
  <c r="X2527" i="2"/>
  <c r="Z2526" i="2"/>
  <c r="Y2526" i="2"/>
  <c r="X2526" i="2"/>
  <c r="Z2525" i="2"/>
  <c r="Y2525" i="2"/>
  <c r="X2525" i="2"/>
  <c r="Z2524" i="2"/>
  <c r="Y2524" i="2"/>
  <c r="X2524" i="2"/>
  <c r="Z2523" i="2"/>
  <c r="Y2523" i="2"/>
  <c r="X2523" i="2"/>
  <c r="Z2522" i="2"/>
  <c r="Y2522" i="2"/>
  <c r="X2522" i="2"/>
  <c r="Z2521" i="2"/>
  <c r="Y2521" i="2"/>
  <c r="X2521" i="2"/>
  <c r="Z2520" i="2"/>
  <c r="Y2520" i="2"/>
  <c r="X2520" i="2"/>
  <c r="Z2519" i="2"/>
  <c r="Y2519" i="2"/>
  <c r="X2519" i="2"/>
  <c r="Z2518" i="2"/>
  <c r="Y2518" i="2"/>
  <c r="X2518" i="2"/>
  <c r="Z2517" i="2"/>
  <c r="Y2517" i="2"/>
  <c r="X2517" i="2"/>
  <c r="Z2516" i="2"/>
  <c r="Y2516" i="2"/>
  <c r="X2516" i="2"/>
  <c r="Z2515" i="2"/>
  <c r="Y2515" i="2"/>
  <c r="X2515" i="2"/>
  <c r="Z2514" i="2"/>
  <c r="Y2514" i="2"/>
  <c r="X2514" i="2"/>
  <c r="Z2513" i="2"/>
  <c r="Y2513" i="2"/>
  <c r="X2513" i="2"/>
  <c r="Z2512" i="2"/>
  <c r="Y2512" i="2"/>
  <c r="X2512" i="2"/>
  <c r="Z2511" i="2"/>
  <c r="Y2511" i="2"/>
  <c r="X2511" i="2"/>
  <c r="Z2510" i="2"/>
  <c r="Y2510" i="2"/>
  <c r="X2510" i="2"/>
  <c r="Z2509" i="2"/>
  <c r="Y2509" i="2"/>
  <c r="X2509" i="2"/>
  <c r="Z2508" i="2"/>
  <c r="Y2508" i="2"/>
  <c r="X2508" i="2"/>
  <c r="Z2507" i="2"/>
  <c r="Y2507" i="2"/>
  <c r="X2507" i="2"/>
  <c r="Z2506" i="2"/>
  <c r="Y2506" i="2"/>
  <c r="X2506" i="2"/>
  <c r="Z2505" i="2"/>
  <c r="Y2505" i="2"/>
  <c r="X2505" i="2"/>
  <c r="Z2504" i="2"/>
  <c r="Y2504" i="2"/>
  <c r="X2504" i="2"/>
  <c r="Z2503" i="2"/>
  <c r="Y2503" i="2"/>
  <c r="X2503" i="2"/>
  <c r="Z2502" i="2"/>
  <c r="Y2502" i="2"/>
  <c r="X2502" i="2"/>
  <c r="Z2501" i="2"/>
  <c r="Y2501" i="2"/>
  <c r="X2501" i="2"/>
  <c r="Z2500" i="2"/>
  <c r="Y2500" i="2"/>
  <c r="X2500" i="2"/>
  <c r="Z2499" i="2"/>
  <c r="Y2499" i="2"/>
  <c r="X2499" i="2"/>
  <c r="Z2498" i="2"/>
  <c r="Y2498" i="2"/>
  <c r="X2498" i="2"/>
  <c r="Z2497" i="2"/>
  <c r="Y2497" i="2"/>
  <c r="X2497" i="2"/>
  <c r="Z2496" i="2"/>
  <c r="Y2496" i="2"/>
  <c r="X2496" i="2"/>
  <c r="Z2495" i="2"/>
  <c r="Y2495" i="2"/>
  <c r="X2495" i="2"/>
  <c r="Z2494" i="2"/>
  <c r="Y2494" i="2"/>
  <c r="X2494" i="2"/>
  <c r="Z2493" i="2"/>
  <c r="Y2493" i="2"/>
  <c r="X2493" i="2"/>
  <c r="Z2492" i="2"/>
  <c r="Y2492" i="2"/>
  <c r="X2492" i="2"/>
  <c r="Z2491" i="2"/>
  <c r="Y2491" i="2"/>
  <c r="X2491" i="2"/>
  <c r="Z2490" i="2"/>
  <c r="Y2490" i="2"/>
  <c r="X2490" i="2"/>
  <c r="Z2489" i="2"/>
  <c r="Y2489" i="2"/>
  <c r="X2489" i="2"/>
  <c r="Z2488" i="2"/>
  <c r="Y2488" i="2"/>
  <c r="X2488" i="2"/>
  <c r="Z2487" i="2"/>
  <c r="Y2487" i="2"/>
  <c r="X2487" i="2"/>
  <c r="Z2486" i="2"/>
  <c r="Y2486" i="2"/>
  <c r="X2486" i="2"/>
  <c r="Z2485" i="2"/>
  <c r="Y2485" i="2"/>
  <c r="X2485" i="2"/>
  <c r="Z2484" i="2"/>
  <c r="Y2484" i="2"/>
  <c r="X2484" i="2"/>
  <c r="Z2483" i="2"/>
  <c r="Y2483" i="2"/>
  <c r="X2483" i="2"/>
  <c r="Z2482" i="2"/>
  <c r="Y2482" i="2"/>
  <c r="X2482" i="2"/>
  <c r="Z2481" i="2"/>
  <c r="Y2481" i="2"/>
  <c r="X2481" i="2"/>
  <c r="Z2480" i="2"/>
  <c r="Y2480" i="2"/>
  <c r="X2480" i="2"/>
  <c r="Z2479" i="2"/>
  <c r="Y2479" i="2"/>
  <c r="X2479" i="2"/>
  <c r="Z2478" i="2"/>
  <c r="Y2478" i="2"/>
  <c r="X2478" i="2"/>
  <c r="Z2477" i="2"/>
  <c r="Y2477" i="2"/>
  <c r="X2477" i="2"/>
  <c r="Z2476" i="2"/>
  <c r="Y2476" i="2"/>
  <c r="X2476" i="2"/>
  <c r="Z2475" i="2"/>
  <c r="Y2475" i="2"/>
  <c r="X2475" i="2"/>
  <c r="Z2474" i="2"/>
  <c r="Y2474" i="2"/>
  <c r="X2474" i="2"/>
  <c r="Z2473" i="2"/>
  <c r="Y2473" i="2"/>
  <c r="X2473" i="2"/>
  <c r="Z2472" i="2"/>
  <c r="Y2472" i="2"/>
  <c r="X2472" i="2"/>
  <c r="Z2471" i="2"/>
  <c r="Y2471" i="2"/>
  <c r="X2471" i="2"/>
  <c r="Z2470" i="2"/>
  <c r="Y2470" i="2"/>
  <c r="X2470" i="2"/>
  <c r="Z2469" i="2"/>
  <c r="Y2469" i="2"/>
  <c r="X2469" i="2"/>
  <c r="Z2468" i="2"/>
  <c r="Y2468" i="2"/>
  <c r="X2468" i="2"/>
  <c r="Z2467" i="2"/>
  <c r="Y2467" i="2"/>
  <c r="X2467" i="2"/>
  <c r="Z2466" i="2"/>
  <c r="Y2466" i="2"/>
  <c r="X2466" i="2"/>
  <c r="Z2465" i="2"/>
  <c r="Y2465" i="2"/>
  <c r="X2465" i="2"/>
  <c r="Z2464" i="2"/>
  <c r="Y2464" i="2"/>
  <c r="X2464" i="2"/>
  <c r="Z2463" i="2"/>
  <c r="Y2463" i="2"/>
  <c r="X2463" i="2"/>
  <c r="Z2462" i="2"/>
  <c r="Y2462" i="2"/>
  <c r="X2462" i="2"/>
  <c r="Z2461" i="2"/>
  <c r="Y2461" i="2"/>
  <c r="X2461" i="2"/>
  <c r="Z2460" i="2"/>
  <c r="Y2460" i="2"/>
  <c r="X2460" i="2"/>
  <c r="Z2459" i="2"/>
  <c r="Y2459" i="2"/>
  <c r="X2459" i="2"/>
  <c r="Z2458" i="2"/>
  <c r="Y2458" i="2"/>
  <c r="X2458" i="2"/>
  <c r="Z2457" i="2"/>
  <c r="Y2457" i="2"/>
  <c r="X2457" i="2"/>
  <c r="Z2456" i="2"/>
  <c r="Y2456" i="2"/>
  <c r="X2456" i="2"/>
  <c r="Z2455" i="2"/>
  <c r="Y2455" i="2"/>
  <c r="X2455" i="2"/>
  <c r="Z2454" i="2"/>
  <c r="Y2454" i="2"/>
  <c r="X2454" i="2"/>
  <c r="Z2453" i="2"/>
  <c r="Y2453" i="2"/>
  <c r="X2453" i="2"/>
  <c r="Z2452" i="2"/>
  <c r="Y2452" i="2"/>
  <c r="X2452" i="2"/>
  <c r="Z2451" i="2"/>
  <c r="Y2451" i="2"/>
  <c r="X2451" i="2"/>
  <c r="Z2450" i="2"/>
  <c r="Y2450" i="2"/>
  <c r="X2450" i="2"/>
  <c r="Z2449" i="2"/>
  <c r="Y2449" i="2"/>
  <c r="X2449" i="2"/>
  <c r="Z2448" i="2"/>
  <c r="Y2448" i="2"/>
  <c r="X2448" i="2"/>
  <c r="Z2447" i="2"/>
  <c r="Y2447" i="2"/>
  <c r="X2447" i="2"/>
  <c r="Z2446" i="2"/>
  <c r="Y2446" i="2"/>
  <c r="X2446" i="2"/>
  <c r="Z2445" i="2"/>
  <c r="Y2445" i="2"/>
  <c r="X2445" i="2"/>
  <c r="Z2444" i="2"/>
  <c r="Y2444" i="2"/>
  <c r="X2444" i="2"/>
  <c r="Z2443" i="2"/>
  <c r="Y2443" i="2"/>
  <c r="X2443" i="2"/>
  <c r="Z2442" i="2"/>
  <c r="Y2442" i="2"/>
  <c r="X2442" i="2"/>
  <c r="Z2441" i="2"/>
  <c r="Y2441" i="2"/>
  <c r="X2441" i="2"/>
  <c r="Z2440" i="2"/>
  <c r="Y2440" i="2"/>
  <c r="X2440" i="2"/>
  <c r="Z2439" i="2"/>
  <c r="Y2439" i="2"/>
  <c r="X2439" i="2"/>
  <c r="Z2438" i="2"/>
  <c r="Y2438" i="2"/>
  <c r="X2438" i="2"/>
  <c r="Z2437" i="2"/>
  <c r="Y2437" i="2"/>
  <c r="X2437" i="2"/>
  <c r="Z2436" i="2"/>
  <c r="Y2436" i="2"/>
  <c r="X2436" i="2"/>
  <c r="Z2435" i="2"/>
  <c r="Y2435" i="2"/>
  <c r="X2435" i="2"/>
  <c r="Z2434" i="2"/>
  <c r="Y2434" i="2"/>
  <c r="X2434" i="2"/>
  <c r="Z2433" i="2"/>
  <c r="Y2433" i="2"/>
  <c r="X2433" i="2"/>
  <c r="Z2432" i="2"/>
  <c r="Y2432" i="2"/>
  <c r="X2432" i="2"/>
  <c r="Z2431" i="2"/>
  <c r="Y2431" i="2"/>
  <c r="X2431" i="2"/>
  <c r="Z2430" i="2"/>
  <c r="Y2430" i="2"/>
  <c r="X2430" i="2"/>
  <c r="Z2429" i="2"/>
  <c r="Y2429" i="2"/>
  <c r="X2429" i="2"/>
  <c r="Z2428" i="2"/>
  <c r="Y2428" i="2"/>
  <c r="X2428" i="2"/>
  <c r="Z2427" i="2"/>
  <c r="Y2427" i="2"/>
  <c r="X2427" i="2"/>
  <c r="Z2426" i="2"/>
  <c r="Y2426" i="2"/>
  <c r="X2426" i="2"/>
  <c r="Z2425" i="2"/>
  <c r="Y2425" i="2"/>
  <c r="X2425" i="2"/>
  <c r="Z2424" i="2"/>
  <c r="Y2424" i="2"/>
  <c r="X2424" i="2"/>
  <c r="Z2423" i="2"/>
  <c r="Y2423" i="2"/>
  <c r="X2423" i="2"/>
  <c r="Z2422" i="2"/>
  <c r="Y2422" i="2"/>
  <c r="X2422" i="2"/>
  <c r="Z2421" i="2"/>
  <c r="Y2421" i="2"/>
  <c r="X2421" i="2"/>
  <c r="Z2420" i="2"/>
  <c r="Y2420" i="2"/>
  <c r="X2420" i="2"/>
  <c r="Z2419" i="2"/>
  <c r="Y2419" i="2"/>
  <c r="X2419" i="2"/>
  <c r="Z2418" i="2"/>
  <c r="Y2418" i="2"/>
  <c r="X2418" i="2"/>
  <c r="Z2417" i="2"/>
  <c r="Y2417" i="2"/>
  <c r="X2417" i="2"/>
  <c r="Z2416" i="2"/>
  <c r="Y2416" i="2"/>
  <c r="X2416" i="2"/>
  <c r="Z2415" i="2"/>
  <c r="Y2415" i="2"/>
  <c r="X2415" i="2"/>
  <c r="Z2414" i="2"/>
  <c r="Y2414" i="2"/>
  <c r="X2414" i="2"/>
  <c r="Z2413" i="2"/>
  <c r="Y2413" i="2"/>
  <c r="X2413" i="2"/>
  <c r="Z2412" i="2"/>
  <c r="Y2412" i="2"/>
  <c r="X2412" i="2"/>
  <c r="Z2411" i="2"/>
  <c r="Y2411" i="2"/>
  <c r="X2411" i="2"/>
  <c r="Z2410" i="2"/>
  <c r="Y2410" i="2"/>
  <c r="X2410" i="2"/>
  <c r="Z2409" i="2"/>
  <c r="Y2409" i="2"/>
  <c r="X2409" i="2"/>
  <c r="Z2408" i="2"/>
  <c r="Y2408" i="2"/>
  <c r="X2408" i="2"/>
  <c r="Z2407" i="2"/>
  <c r="Y2407" i="2"/>
  <c r="X2407" i="2"/>
  <c r="Z2406" i="2"/>
  <c r="Y2406" i="2"/>
  <c r="X2406" i="2"/>
  <c r="Z2405" i="2"/>
  <c r="Y2405" i="2"/>
  <c r="X2405" i="2"/>
  <c r="Z2404" i="2"/>
  <c r="Y2404" i="2"/>
  <c r="X2404" i="2"/>
  <c r="Z2403" i="2"/>
  <c r="Y2403" i="2"/>
  <c r="X2403" i="2"/>
  <c r="Z2402" i="2"/>
  <c r="Y2402" i="2"/>
  <c r="X2402" i="2"/>
  <c r="Z2401" i="2"/>
  <c r="Y2401" i="2"/>
  <c r="X2401" i="2"/>
  <c r="Z2400" i="2"/>
  <c r="Y2400" i="2"/>
  <c r="X2400" i="2"/>
  <c r="Z2399" i="2"/>
  <c r="Y2399" i="2"/>
  <c r="X2399" i="2"/>
  <c r="Z2398" i="2"/>
  <c r="Y2398" i="2"/>
  <c r="X2398" i="2"/>
  <c r="Z2397" i="2"/>
  <c r="Y2397" i="2"/>
  <c r="X2397" i="2"/>
  <c r="Z2396" i="2"/>
  <c r="Y2396" i="2"/>
  <c r="X2396" i="2"/>
  <c r="Z2395" i="2"/>
  <c r="Y2395" i="2"/>
  <c r="X2395" i="2"/>
  <c r="Z2394" i="2"/>
  <c r="Y2394" i="2"/>
  <c r="X2394" i="2"/>
  <c r="Z2393" i="2"/>
  <c r="Y2393" i="2"/>
  <c r="X2393" i="2"/>
  <c r="Z2392" i="2"/>
  <c r="Y2392" i="2"/>
  <c r="X2392" i="2"/>
  <c r="Z2391" i="2"/>
  <c r="Y2391" i="2"/>
  <c r="X2391" i="2"/>
  <c r="Z2390" i="2"/>
  <c r="Y2390" i="2"/>
  <c r="X2390" i="2"/>
  <c r="Z2389" i="2"/>
  <c r="Y2389" i="2"/>
  <c r="X2389" i="2"/>
  <c r="Z2388" i="2"/>
  <c r="Y2388" i="2"/>
  <c r="X2388" i="2"/>
  <c r="Z2387" i="2"/>
  <c r="Y2387" i="2"/>
  <c r="X2387" i="2"/>
  <c r="Z2386" i="2"/>
  <c r="Y2386" i="2"/>
  <c r="X2386" i="2"/>
  <c r="Z2385" i="2"/>
  <c r="Y2385" i="2"/>
  <c r="X2385" i="2"/>
  <c r="Z2384" i="2"/>
  <c r="Y2384" i="2"/>
  <c r="X2384" i="2"/>
  <c r="Z2383" i="2"/>
  <c r="Y2383" i="2"/>
  <c r="X2383" i="2"/>
  <c r="Z2382" i="2"/>
  <c r="Y2382" i="2"/>
  <c r="X2382" i="2"/>
  <c r="Z2381" i="2"/>
  <c r="Y2381" i="2"/>
  <c r="X2381" i="2"/>
  <c r="Z2380" i="2"/>
  <c r="Y2380" i="2"/>
  <c r="X2380" i="2"/>
  <c r="Z2379" i="2"/>
  <c r="Y2379" i="2"/>
  <c r="X2379" i="2"/>
  <c r="Z2378" i="2"/>
  <c r="Y2378" i="2"/>
  <c r="X2378" i="2"/>
  <c r="Z2377" i="2"/>
  <c r="Y2377" i="2"/>
  <c r="X2377" i="2"/>
  <c r="Z2376" i="2"/>
  <c r="Y2376" i="2"/>
  <c r="X2376" i="2"/>
  <c r="Z2375" i="2"/>
  <c r="Y2375" i="2"/>
  <c r="X2375" i="2"/>
  <c r="Z2374" i="2"/>
  <c r="Y2374" i="2"/>
  <c r="X2374" i="2"/>
  <c r="Z2373" i="2"/>
  <c r="Y2373" i="2"/>
  <c r="X2373" i="2"/>
  <c r="Z2372" i="2"/>
  <c r="Y2372" i="2"/>
  <c r="X2372" i="2"/>
  <c r="Z2371" i="2"/>
  <c r="Y2371" i="2"/>
  <c r="X2371" i="2"/>
  <c r="Z2370" i="2"/>
  <c r="Y2370" i="2"/>
  <c r="X2370" i="2"/>
  <c r="Z2369" i="2"/>
  <c r="Y2369" i="2"/>
  <c r="X2369" i="2"/>
  <c r="Z2368" i="2"/>
  <c r="Y2368" i="2"/>
  <c r="X2368" i="2"/>
  <c r="Z2367" i="2"/>
  <c r="Y2367" i="2"/>
  <c r="X2367" i="2"/>
  <c r="Z2366" i="2"/>
  <c r="Y2366" i="2"/>
  <c r="X2366" i="2"/>
  <c r="Z2365" i="2"/>
  <c r="Y2365" i="2"/>
  <c r="X2365" i="2"/>
  <c r="Z2364" i="2"/>
  <c r="Y2364" i="2"/>
  <c r="X2364" i="2"/>
  <c r="Z2363" i="2"/>
  <c r="Y2363" i="2"/>
  <c r="X2363" i="2"/>
  <c r="Z2362" i="2"/>
  <c r="Y2362" i="2"/>
  <c r="X2362" i="2"/>
  <c r="Z2361" i="2"/>
  <c r="Y2361" i="2"/>
  <c r="X2361" i="2"/>
  <c r="Z2360" i="2"/>
  <c r="Y2360" i="2"/>
  <c r="X2360" i="2"/>
  <c r="Z2359" i="2"/>
  <c r="Y2359" i="2"/>
  <c r="X2359" i="2"/>
  <c r="Z2358" i="2"/>
  <c r="Y2358" i="2"/>
  <c r="X2358" i="2"/>
  <c r="Z2357" i="2"/>
  <c r="Y2357" i="2"/>
  <c r="X2357" i="2"/>
  <c r="Z2356" i="2"/>
  <c r="Y2356" i="2"/>
  <c r="X2356" i="2"/>
  <c r="Z2355" i="2"/>
  <c r="Y2355" i="2"/>
  <c r="X2355" i="2"/>
  <c r="Z2354" i="2"/>
  <c r="Y2354" i="2"/>
  <c r="X2354" i="2"/>
  <c r="Z2353" i="2"/>
  <c r="Y2353" i="2"/>
  <c r="X2353" i="2"/>
  <c r="Z2352" i="2"/>
  <c r="Y2352" i="2"/>
  <c r="X2352" i="2"/>
  <c r="Z2351" i="2"/>
  <c r="Y2351" i="2"/>
  <c r="X2351" i="2"/>
  <c r="Z2350" i="2"/>
  <c r="Y2350" i="2"/>
  <c r="X2350" i="2"/>
  <c r="Z2349" i="2"/>
  <c r="Y2349" i="2"/>
  <c r="X2349" i="2"/>
  <c r="Z2348" i="2"/>
  <c r="Y2348" i="2"/>
  <c r="X2348" i="2"/>
  <c r="Z2347" i="2"/>
  <c r="Y2347" i="2"/>
  <c r="X2347" i="2"/>
  <c r="Z2346" i="2"/>
  <c r="Y2346" i="2"/>
  <c r="X2346" i="2"/>
  <c r="Z2345" i="2"/>
  <c r="Y2345" i="2"/>
  <c r="X2345" i="2"/>
  <c r="Z2344" i="2"/>
  <c r="Y2344" i="2"/>
  <c r="X2344" i="2"/>
  <c r="Z2343" i="2"/>
  <c r="Y2343" i="2"/>
  <c r="X2343" i="2"/>
  <c r="Z2342" i="2"/>
  <c r="Y2342" i="2"/>
  <c r="X2342" i="2"/>
  <c r="Z2341" i="2"/>
  <c r="Y2341" i="2"/>
  <c r="X2341" i="2"/>
  <c r="Z2340" i="2"/>
  <c r="Y2340" i="2"/>
  <c r="X2340" i="2"/>
  <c r="Z2339" i="2"/>
  <c r="Y2339" i="2"/>
  <c r="X2339" i="2"/>
  <c r="Z2338" i="2"/>
  <c r="Y2338" i="2"/>
  <c r="X2338" i="2"/>
  <c r="Z2337" i="2"/>
  <c r="Y2337" i="2"/>
  <c r="X2337" i="2"/>
  <c r="Z2336" i="2"/>
  <c r="Y2336" i="2"/>
  <c r="X2336" i="2"/>
  <c r="Z2335" i="2"/>
  <c r="Y2335" i="2"/>
  <c r="X2335" i="2"/>
  <c r="Z2334" i="2"/>
  <c r="Y2334" i="2"/>
  <c r="X2334" i="2"/>
  <c r="Z2333" i="2"/>
  <c r="Y2333" i="2"/>
  <c r="X2333" i="2"/>
  <c r="Z2332" i="2"/>
  <c r="Y2332" i="2"/>
  <c r="X2332" i="2"/>
  <c r="Z2331" i="2"/>
  <c r="Y2331" i="2"/>
  <c r="X2331" i="2"/>
  <c r="Z2330" i="2"/>
  <c r="Y2330" i="2"/>
  <c r="X2330" i="2"/>
  <c r="Z2329" i="2"/>
  <c r="Y2329" i="2"/>
  <c r="X2329" i="2"/>
  <c r="Z2328" i="2"/>
  <c r="Y2328" i="2"/>
  <c r="X2328" i="2"/>
  <c r="Z2327" i="2"/>
  <c r="Y2327" i="2"/>
  <c r="X2327" i="2"/>
  <c r="Z2326" i="2"/>
  <c r="Y2326" i="2"/>
  <c r="X2326" i="2"/>
  <c r="Z2325" i="2"/>
  <c r="Y2325" i="2"/>
  <c r="X2325" i="2"/>
  <c r="Z2324" i="2"/>
  <c r="Y2324" i="2"/>
  <c r="X2324" i="2"/>
  <c r="Z2323" i="2"/>
  <c r="Y2323" i="2"/>
  <c r="X2323" i="2"/>
  <c r="Z2322" i="2"/>
  <c r="Y2322" i="2"/>
  <c r="X2322" i="2"/>
  <c r="Z2321" i="2"/>
  <c r="Y2321" i="2"/>
  <c r="X2321" i="2"/>
  <c r="Z2320" i="2"/>
  <c r="Y2320" i="2"/>
  <c r="X2320" i="2"/>
  <c r="Z2319" i="2"/>
  <c r="Y2319" i="2"/>
  <c r="X2319" i="2"/>
  <c r="Z2318" i="2"/>
  <c r="Y2318" i="2"/>
  <c r="X2318" i="2"/>
  <c r="Z2317" i="2"/>
  <c r="Y2317" i="2"/>
  <c r="X2317" i="2"/>
  <c r="Z2316" i="2"/>
  <c r="Y2316" i="2"/>
  <c r="X2316" i="2"/>
  <c r="Z2315" i="2"/>
  <c r="Y2315" i="2"/>
  <c r="X2315" i="2"/>
  <c r="Z2314" i="2"/>
  <c r="Y2314" i="2"/>
  <c r="X2314" i="2"/>
  <c r="Z2313" i="2"/>
  <c r="Y2313" i="2"/>
  <c r="X2313" i="2"/>
  <c r="Z2312" i="2"/>
  <c r="Y2312" i="2"/>
  <c r="X2312" i="2"/>
  <c r="Z2311" i="2"/>
  <c r="Y2311" i="2"/>
  <c r="X2311" i="2"/>
  <c r="Z2310" i="2"/>
  <c r="Y2310" i="2"/>
  <c r="X2310" i="2"/>
  <c r="Z2309" i="2"/>
  <c r="Y2309" i="2"/>
  <c r="X2309" i="2"/>
  <c r="Z2308" i="2"/>
  <c r="Y2308" i="2"/>
  <c r="X2308" i="2"/>
  <c r="Z2307" i="2"/>
  <c r="Y2307" i="2"/>
  <c r="X2307" i="2"/>
  <c r="Z2306" i="2"/>
  <c r="Y2306" i="2"/>
  <c r="X2306" i="2"/>
  <c r="Z2305" i="2"/>
  <c r="Y2305" i="2"/>
  <c r="X2305" i="2"/>
  <c r="Z2304" i="2"/>
  <c r="Y2304" i="2"/>
  <c r="X2304" i="2"/>
  <c r="Z2303" i="2"/>
  <c r="Y2303" i="2"/>
  <c r="X2303" i="2"/>
  <c r="Z2302" i="2"/>
  <c r="Y2302" i="2"/>
  <c r="X2302" i="2"/>
  <c r="Z2301" i="2"/>
  <c r="Y2301" i="2"/>
  <c r="X2301" i="2"/>
  <c r="Z2300" i="2"/>
  <c r="Y2300" i="2"/>
  <c r="X2300" i="2"/>
  <c r="Z2299" i="2"/>
  <c r="Y2299" i="2"/>
  <c r="X2299" i="2"/>
  <c r="Z2298" i="2"/>
  <c r="Y2298" i="2"/>
  <c r="X2298" i="2"/>
  <c r="Z2297" i="2"/>
  <c r="Y2297" i="2"/>
  <c r="X2297" i="2"/>
  <c r="Z2296" i="2"/>
  <c r="Y2296" i="2"/>
  <c r="X2296" i="2"/>
  <c r="Z2295" i="2"/>
  <c r="Y2295" i="2"/>
  <c r="X2295" i="2"/>
  <c r="Z2294" i="2"/>
  <c r="Y2294" i="2"/>
  <c r="X2294" i="2"/>
  <c r="Z2293" i="2"/>
  <c r="Y2293" i="2"/>
  <c r="X2293" i="2"/>
  <c r="Z2292" i="2"/>
  <c r="Y2292" i="2"/>
  <c r="X2292" i="2"/>
  <c r="Z2291" i="2"/>
  <c r="Y2291" i="2"/>
  <c r="X2291" i="2"/>
  <c r="Z2290" i="2"/>
  <c r="Y2290" i="2"/>
  <c r="X2290" i="2"/>
  <c r="Z2289" i="2"/>
  <c r="Y2289" i="2"/>
  <c r="X2289" i="2"/>
  <c r="Z2288" i="2"/>
  <c r="Y2288" i="2"/>
  <c r="X2288" i="2"/>
  <c r="Z2287" i="2"/>
  <c r="Y2287" i="2"/>
  <c r="X2287" i="2"/>
  <c r="Z2286" i="2"/>
  <c r="Y2286" i="2"/>
  <c r="X2286" i="2"/>
  <c r="Z2285" i="2"/>
  <c r="Y2285" i="2"/>
  <c r="X2285" i="2"/>
  <c r="Z2284" i="2"/>
  <c r="Y2284" i="2"/>
  <c r="X2284" i="2"/>
  <c r="Z2283" i="2"/>
  <c r="Y2283" i="2"/>
  <c r="X2283" i="2"/>
  <c r="Z2282" i="2"/>
  <c r="Y2282" i="2"/>
  <c r="X2282" i="2"/>
  <c r="Z2281" i="2"/>
  <c r="Y2281" i="2"/>
  <c r="X2281" i="2"/>
  <c r="Z2280" i="2"/>
  <c r="Y2280" i="2"/>
  <c r="X2280" i="2"/>
  <c r="Z2279" i="2"/>
  <c r="Y2279" i="2"/>
  <c r="X2279" i="2"/>
  <c r="Z2278" i="2"/>
  <c r="Y2278" i="2"/>
  <c r="X2278" i="2"/>
  <c r="Z2277" i="2"/>
  <c r="Y2277" i="2"/>
  <c r="X2277" i="2"/>
  <c r="Z2276" i="2"/>
  <c r="Y2276" i="2"/>
  <c r="X2276" i="2"/>
  <c r="Z2275" i="2"/>
  <c r="Y2275" i="2"/>
  <c r="X2275" i="2"/>
  <c r="Z2274" i="2"/>
  <c r="Y2274" i="2"/>
  <c r="X2274" i="2"/>
  <c r="Z2273" i="2"/>
  <c r="Y2273" i="2"/>
  <c r="X2273" i="2"/>
  <c r="Z2272" i="2"/>
  <c r="Y2272" i="2"/>
  <c r="X2272" i="2"/>
  <c r="Z2271" i="2"/>
  <c r="Y2271" i="2"/>
  <c r="X2271" i="2"/>
  <c r="Z2270" i="2"/>
  <c r="Y2270" i="2"/>
  <c r="X2270" i="2"/>
  <c r="Z2269" i="2"/>
  <c r="Y2269" i="2"/>
  <c r="X2269" i="2"/>
  <c r="Z2268" i="2"/>
  <c r="Y2268" i="2"/>
  <c r="X2268" i="2"/>
  <c r="Z2267" i="2"/>
  <c r="Y2267" i="2"/>
  <c r="X2267" i="2"/>
  <c r="Z2266" i="2"/>
  <c r="Y2266" i="2"/>
  <c r="X2266" i="2"/>
  <c r="Z2265" i="2"/>
  <c r="Y2265" i="2"/>
  <c r="X2265" i="2"/>
  <c r="Z2264" i="2"/>
  <c r="Y2264" i="2"/>
  <c r="X2264" i="2"/>
  <c r="Z2263" i="2"/>
  <c r="Y2263" i="2"/>
  <c r="X2263" i="2"/>
  <c r="Z2262" i="2"/>
  <c r="Y2262" i="2"/>
  <c r="X2262" i="2"/>
  <c r="Z2261" i="2"/>
  <c r="Y2261" i="2"/>
  <c r="X2261" i="2"/>
  <c r="Z2260" i="2"/>
  <c r="Y2260" i="2"/>
  <c r="X2260" i="2"/>
  <c r="Z2259" i="2"/>
  <c r="Y2259" i="2"/>
  <c r="X2259" i="2"/>
  <c r="Z2258" i="2"/>
  <c r="Y2258" i="2"/>
  <c r="X2258" i="2"/>
  <c r="Z2257" i="2"/>
  <c r="Y2257" i="2"/>
  <c r="X2257" i="2"/>
  <c r="Z2256" i="2"/>
  <c r="Y2256" i="2"/>
  <c r="X2256" i="2"/>
  <c r="Z2255" i="2"/>
  <c r="Y2255" i="2"/>
  <c r="X2255" i="2"/>
  <c r="Z2254" i="2"/>
  <c r="Y2254" i="2"/>
  <c r="X2254" i="2"/>
  <c r="Z2253" i="2"/>
  <c r="Y2253" i="2"/>
  <c r="X2253" i="2"/>
  <c r="Z2252" i="2"/>
  <c r="Y2252" i="2"/>
  <c r="X2252" i="2"/>
  <c r="Z2251" i="2"/>
  <c r="Y2251" i="2"/>
  <c r="X2251" i="2"/>
  <c r="Z2250" i="2"/>
  <c r="Y2250" i="2"/>
  <c r="X2250" i="2"/>
  <c r="Z2249" i="2"/>
  <c r="Y2249" i="2"/>
  <c r="X2249" i="2"/>
  <c r="Z2248" i="2"/>
  <c r="Y2248" i="2"/>
  <c r="X2248" i="2"/>
  <c r="Z2247" i="2"/>
  <c r="Y2247" i="2"/>
  <c r="X2247" i="2"/>
  <c r="Z2246" i="2"/>
  <c r="Y2246" i="2"/>
  <c r="X2246" i="2"/>
  <c r="Z2245" i="2"/>
  <c r="Y2245" i="2"/>
  <c r="X2245" i="2"/>
  <c r="Z2244" i="2"/>
  <c r="Y2244" i="2"/>
  <c r="X2244" i="2"/>
  <c r="Z2243" i="2"/>
  <c r="Y2243" i="2"/>
  <c r="X2243" i="2"/>
  <c r="Z2242" i="2"/>
  <c r="Y2242" i="2"/>
  <c r="X2242" i="2"/>
  <c r="Z2241" i="2"/>
  <c r="Y2241" i="2"/>
  <c r="X2241" i="2"/>
  <c r="Z2240" i="2"/>
  <c r="Y2240" i="2"/>
  <c r="X2240" i="2"/>
  <c r="Z2239" i="2"/>
  <c r="Y2239" i="2"/>
  <c r="X2239" i="2"/>
  <c r="Z2238" i="2"/>
  <c r="Y2238" i="2"/>
  <c r="X2238" i="2"/>
  <c r="Z2237" i="2"/>
  <c r="Y2237" i="2"/>
  <c r="X2237" i="2"/>
  <c r="Z2236" i="2"/>
  <c r="Y2236" i="2"/>
  <c r="X2236" i="2"/>
  <c r="Z2235" i="2"/>
  <c r="Y2235" i="2"/>
  <c r="X2235" i="2"/>
  <c r="Z2234" i="2"/>
  <c r="Y2234" i="2"/>
  <c r="X2234" i="2"/>
  <c r="Z2233" i="2"/>
  <c r="Y2233" i="2"/>
  <c r="X2233" i="2"/>
  <c r="Z2232" i="2"/>
  <c r="Y2232" i="2"/>
  <c r="X2232" i="2"/>
  <c r="Z2231" i="2"/>
  <c r="Y2231" i="2"/>
  <c r="X2231" i="2"/>
  <c r="Z2230" i="2"/>
  <c r="Y2230" i="2"/>
  <c r="X2230" i="2"/>
  <c r="Z2229" i="2"/>
  <c r="Y2229" i="2"/>
  <c r="X2229" i="2"/>
  <c r="Z2228" i="2"/>
  <c r="Y2228" i="2"/>
  <c r="X2228" i="2"/>
  <c r="Z2227" i="2"/>
  <c r="Y2227" i="2"/>
  <c r="X2227" i="2"/>
  <c r="Z2226" i="2"/>
  <c r="Y2226" i="2"/>
  <c r="X2226" i="2"/>
  <c r="Z2225" i="2"/>
  <c r="Y2225" i="2"/>
  <c r="X2225" i="2"/>
  <c r="Z2224" i="2"/>
  <c r="Y2224" i="2"/>
  <c r="X2224" i="2"/>
  <c r="Z2223" i="2"/>
  <c r="Y2223" i="2"/>
  <c r="X2223" i="2"/>
  <c r="Z2222" i="2"/>
  <c r="Y2222" i="2"/>
  <c r="X2222" i="2"/>
  <c r="Z2221" i="2"/>
  <c r="Y2221" i="2"/>
  <c r="X2221" i="2"/>
  <c r="Z2220" i="2"/>
  <c r="Y2220" i="2"/>
  <c r="X2220" i="2"/>
  <c r="Z2219" i="2"/>
  <c r="Y2219" i="2"/>
  <c r="X2219" i="2"/>
  <c r="Z2218" i="2"/>
  <c r="Y2218" i="2"/>
  <c r="X2218" i="2"/>
  <c r="Z2217" i="2"/>
  <c r="Y2217" i="2"/>
  <c r="X2217" i="2"/>
  <c r="Z2216" i="2"/>
  <c r="Y2216" i="2"/>
  <c r="X2216" i="2"/>
  <c r="Z2215" i="2"/>
  <c r="Y2215" i="2"/>
  <c r="X2215" i="2"/>
  <c r="Z2214" i="2"/>
  <c r="Y2214" i="2"/>
  <c r="X2214" i="2"/>
  <c r="Z2213" i="2"/>
  <c r="Y2213" i="2"/>
  <c r="X2213" i="2"/>
  <c r="Z2212" i="2"/>
  <c r="Y2212" i="2"/>
  <c r="X2212" i="2"/>
  <c r="Z2211" i="2"/>
  <c r="Y2211" i="2"/>
  <c r="X2211" i="2"/>
  <c r="Z2210" i="2"/>
  <c r="Y2210" i="2"/>
  <c r="X2210" i="2"/>
  <c r="Z2209" i="2"/>
  <c r="Y2209" i="2"/>
  <c r="X2209" i="2"/>
  <c r="Z2208" i="2"/>
  <c r="Y2208" i="2"/>
  <c r="X2208" i="2"/>
  <c r="Z2207" i="2"/>
  <c r="Y2207" i="2"/>
  <c r="X2207" i="2"/>
  <c r="Z2206" i="2"/>
  <c r="Y2206" i="2"/>
  <c r="X2206" i="2"/>
  <c r="Z2205" i="2"/>
  <c r="Y2205" i="2"/>
  <c r="X2205" i="2"/>
  <c r="Z2204" i="2"/>
  <c r="Y2204" i="2"/>
  <c r="X2204" i="2"/>
  <c r="Z2203" i="2"/>
  <c r="Y2203" i="2"/>
  <c r="X2203" i="2"/>
  <c r="Z2202" i="2"/>
  <c r="Y2202" i="2"/>
  <c r="X2202" i="2"/>
  <c r="Z2201" i="2"/>
  <c r="Y2201" i="2"/>
  <c r="X2201" i="2"/>
  <c r="Z2200" i="2"/>
  <c r="Y2200" i="2"/>
  <c r="X2200" i="2"/>
  <c r="Z2199" i="2"/>
  <c r="Y2199" i="2"/>
  <c r="X2199" i="2"/>
  <c r="Z2198" i="2"/>
  <c r="Y2198" i="2"/>
  <c r="X2198" i="2"/>
  <c r="Z2197" i="2"/>
  <c r="Y2197" i="2"/>
  <c r="X2197" i="2"/>
  <c r="Z2196" i="2"/>
  <c r="Y2196" i="2"/>
  <c r="X2196" i="2"/>
  <c r="Z2195" i="2"/>
  <c r="Y2195" i="2"/>
  <c r="X2195" i="2"/>
  <c r="Z2194" i="2"/>
  <c r="Y2194" i="2"/>
  <c r="X2194" i="2"/>
  <c r="Z2193" i="2"/>
  <c r="Y2193" i="2"/>
  <c r="X2193" i="2"/>
  <c r="Z2192" i="2"/>
  <c r="Y2192" i="2"/>
  <c r="X2192" i="2"/>
  <c r="Z2191" i="2"/>
  <c r="Y2191" i="2"/>
  <c r="X2191" i="2"/>
  <c r="Z2190" i="2"/>
  <c r="Y2190" i="2"/>
  <c r="X2190" i="2"/>
  <c r="Z2189" i="2"/>
  <c r="Y2189" i="2"/>
  <c r="X2189" i="2"/>
  <c r="Z2188" i="2"/>
  <c r="Y2188" i="2"/>
  <c r="X2188" i="2"/>
  <c r="Z2187" i="2"/>
  <c r="Y2187" i="2"/>
  <c r="X2187" i="2"/>
  <c r="Z2186" i="2"/>
  <c r="Y2186" i="2"/>
  <c r="X2186" i="2"/>
  <c r="Z2185" i="2"/>
  <c r="Y2185" i="2"/>
  <c r="X2185" i="2"/>
  <c r="Z2184" i="2"/>
  <c r="Y2184" i="2"/>
  <c r="X2184" i="2"/>
  <c r="Z2183" i="2"/>
  <c r="Y2183" i="2"/>
  <c r="X2183" i="2"/>
  <c r="Z2182" i="2"/>
  <c r="Y2182" i="2"/>
  <c r="X2182" i="2"/>
  <c r="Z2181" i="2"/>
  <c r="Y2181" i="2"/>
  <c r="X2181" i="2"/>
  <c r="Z2180" i="2"/>
  <c r="Y2180" i="2"/>
  <c r="X2180" i="2"/>
  <c r="Z2179" i="2"/>
  <c r="Y2179" i="2"/>
  <c r="X2179" i="2"/>
  <c r="Z2178" i="2"/>
  <c r="Y2178" i="2"/>
  <c r="X2178" i="2"/>
  <c r="Z2177" i="2"/>
  <c r="Y2177" i="2"/>
  <c r="X2177" i="2"/>
  <c r="Z2176" i="2"/>
  <c r="Y2176" i="2"/>
  <c r="X2176" i="2"/>
  <c r="Z2175" i="2"/>
  <c r="Y2175" i="2"/>
  <c r="X2175" i="2"/>
  <c r="Z2174" i="2"/>
  <c r="Y2174" i="2"/>
  <c r="X2174" i="2"/>
  <c r="Z2173" i="2"/>
  <c r="Y2173" i="2"/>
  <c r="X2173" i="2"/>
  <c r="Z2172" i="2"/>
  <c r="Y2172" i="2"/>
  <c r="X2172" i="2"/>
  <c r="Z2171" i="2"/>
  <c r="Y2171" i="2"/>
  <c r="X2171" i="2"/>
  <c r="Z2170" i="2"/>
  <c r="Y2170" i="2"/>
  <c r="X2170" i="2"/>
  <c r="Z2169" i="2"/>
  <c r="Y2169" i="2"/>
  <c r="X2169" i="2"/>
  <c r="Z2168" i="2"/>
  <c r="Y2168" i="2"/>
  <c r="X2168" i="2"/>
  <c r="Z2167" i="2"/>
  <c r="Y2167" i="2"/>
  <c r="X2167" i="2"/>
  <c r="Z2166" i="2"/>
  <c r="Y2166" i="2"/>
  <c r="X2166" i="2"/>
  <c r="Z2165" i="2"/>
  <c r="Y2165" i="2"/>
  <c r="X2165" i="2"/>
  <c r="Z2164" i="2"/>
  <c r="Y2164" i="2"/>
  <c r="X2164" i="2"/>
  <c r="Z2163" i="2"/>
  <c r="Y2163" i="2"/>
  <c r="X2163" i="2"/>
  <c r="Z2162" i="2"/>
  <c r="Y2162" i="2"/>
  <c r="X2162" i="2"/>
  <c r="Z2161" i="2"/>
  <c r="Y2161" i="2"/>
  <c r="X2161" i="2"/>
  <c r="Z2160" i="2"/>
  <c r="Y2160" i="2"/>
  <c r="X2160" i="2"/>
  <c r="Z2159" i="2"/>
  <c r="Y2159" i="2"/>
  <c r="X2159" i="2"/>
  <c r="Z2158" i="2"/>
  <c r="Y2158" i="2"/>
  <c r="X2158" i="2"/>
  <c r="Z2157" i="2"/>
  <c r="Y2157" i="2"/>
  <c r="X2157" i="2"/>
  <c r="Z2156" i="2"/>
  <c r="Y2156" i="2"/>
  <c r="X2156" i="2"/>
  <c r="Z2155" i="2"/>
  <c r="Y2155" i="2"/>
  <c r="X2155" i="2"/>
  <c r="Z2154" i="2"/>
  <c r="Y2154" i="2"/>
  <c r="X2154" i="2"/>
  <c r="Z2153" i="2"/>
  <c r="Y2153" i="2"/>
  <c r="X2153" i="2"/>
  <c r="Z2152" i="2"/>
  <c r="Y2152" i="2"/>
  <c r="X2152" i="2"/>
  <c r="Z2151" i="2"/>
  <c r="Y2151" i="2"/>
  <c r="X2151" i="2"/>
  <c r="Z2150" i="2"/>
  <c r="Y2150" i="2"/>
  <c r="X2150" i="2"/>
  <c r="Z2149" i="2"/>
  <c r="Y2149" i="2"/>
  <c r="X2149" i="2"/>
  <c r="Z2148" i="2"/>
  <c r="Y2148" i="2"/>
  <c r="X2148" i="2"/>
  <c r="Z2147" i="2"/>
  <c r="Y2147" i="2"/>
  <c r="X2147" i="2"/>
  <c r="Z2146" i="2"/>
  <c r="Y2146" i="2"/>
  <c r="X2146" i="2"/>
  <c r="Z2145" i="2"/>
  <c r="Y2145" i="2"/>
  <c r="X2145" i="2"/>
  <c r="Z2144" i="2"/>
  <c r="Y2144" i="2"/>
  <c r="X2144" i="2"/>
  <c r="Z2143" i="2"/>
  <c r="Y2143" i="2"/>
  <c r="X2143" i="2"/>
  <c r="Z2142" i="2"/>
  <c r="Y2142" i="2"/>
  <c r="X2142" i="2"/>
  <c r="Z2141" i="2"/>
  <c r="Y2141" i="2"/>
  <c r="X2141" i="2"/>
  <c r="Z2140" i="2"/>
  <c r="Y2140" i="2"/>
  <c r="X2140" i="2"/>
  <c r="Z2139" i="2"/>
  <c r="Y2139" i="2"/>
  <c r="X2139" i="2"/>
  <c r="Z2138" i="2"/>
  <c r="Y2138" i="2"/>
  <c r="X2138" i="2"/>
  <c r="Z2137" i="2"/>
  <c r="Y2137" i="2"/>
  <c r="X2137" i="2"/>
  <c r="Z2136" i="2"/>
  <c r="Y2136" i="2"/>
  <c r="X2136" i="2"/>
  <c r="Z2135" i="2"/>
  <c r="Y2135" i="2"/>
  <c r="X2135" i="2"/>
  <c r="Z2134" i="2"/>
  <c r="Y2134" i="2"/>
  <c r="X2134" i="2"/>
  <c r="Z2133" i="2"/>
  <c r="Y2133" i="2"/>
  <c r="X2133" i="2"/>
  <c r="Z2132" i="2"/>
  <c r="Y2132" i="2"/>
  <c r="X2132" i="2"/>
  <c r="Z2131" i="2"/>
  <c r="Y2131" i="2"/>
  <c r="X2131" i="2"/>
  <c r="Z2130" i="2"/>
  <c r="Y2130" i="2"/>
  <c r="X2130" i="2"/>
  <c r="Z2129" i="2"/>
  <c r="Y2129" i="2"/>
  <c r="X2129" i="2"/>
  <c r="Z2128" i="2"/>
  <c r="Y2128" i="2"/>
  <c r="X2128" i="2"/>
  <c r="Z2127" i="2"/>
  <c r="Y2127" i="2"/>
  <c r="X2127" i="2"/>
  <c r="Z2126" i="2"/>
  <c r="Y2126" i="2"/>
  <c r="X2126" i="2"/>
  <c r="Z2125" i="2"/>
  <c r="Y2125" i="2"/>
  <c r="X2125" i="2"/>
  <c r="Z2124" i="2"/>
  <c r="Y2124" i="2"/>
  <c r="X2124" i="2"/>
  <c r="Z2123" i="2"/>
  <c r="Y2123" i="2"/>
  <c r="X2123" i="2"/>
  <c r="Z2122" i="2"/>
  <c r="Y2122" i="2"/>
  <c r="X2122" i="2"/>
  <c r="Z2121" i="2"/>
  <c r="Y2121" i="2"/>
  <c r="X2121" i="2"/>
  <c r="Z2120" i="2"/>
  <c r="Y2120" i="2"/>
  <c r="X2120" i="2"/>
  <c r="Z2119" i="2"/>
  <c r="Y2119" i="2"/>
  <c r="X2119" i="2"/>
  <c r="Z2118" i="2"/>
  <c r="Y2118" i="2"/>
  <c r="X2118" i="2"/>
  <c r="Z2117" i="2"/>
  <c r="Y2117" i="2"/>
  <c r="X2117" i="2"/>
  <c r="Z2116" i="2"/>
  <c r="Y2116" i="2"/>
  <c r="X2116" i="2"/>
  <c r="Z2115" i="2"/>
  <c r="Y2115" i="2"/>
  <c r="X2115" i="2"/>
  <c r="Z2114" i="2"/>
  <c r="Y2114" i="2"/>
  <c r="X2114" i="2"/>
  <c r="Z2113" i="2"/>
  <c r="Y2113" i="2"/>
  <c r="X2113" i="2"/>
  <c r="Z2112" i="2"/>
  <c r="Y2112" i="2"/>
  <c r="X2112" i="2"/>
  <c r="Z2111" i="2"/>
  <c r="Y2111" i="2"/>
  <c r="X2111" i="2"/>
  <c r="Z2110" i="2"/>
  <c r="Y2110" i="2"/>
  <c r="X2110" i="2"/>
  <c r="Z2109" i="2"/>
  <c r="Y2109" i="2"/>
  <c r="X2109" i="2"/>
  <c r="Z2108" i="2"/>
  <c r="Y2108" i="2"/>
  <c r="X2108" i="2"/>
  <c r="Z2107" i="2"/>
  <c r="Y2107" i="2"/>
  <c r="X2107" i="2"/>
  <c r="Z2106" i="2"/>
  <c r="Y2106" i="2"/>
  <c r="X2106" i="2"/>
  <c r="Z2105" i="2"/>
  <c r="Y2105" i="2"/>
  <c r="X2105" i="2"/>
  <c r="Z2104" i="2"/>
  <c r="Y2104" i="2"/>
  <c r="X2104" i="2"/>
  <c r="Z2103" i="2"/>
  <c r="Y2103" i="2"/>
  <c r="X2103" i="2"/>
  <c r="Z2102" i="2"/>
  <c r="Y2102" i="2"/>
  <c r="X2102" i="2"/>
  <c r="Z2101" i="2"/>
  <c r="Y2101" i="2"/>
  <c r="X2101" i="2"/>
  <c r="Z2100" i="2"/>
  <c r="Y2100" i="2"/>
  <c r="X2100" i="2"/>
  <c r="Z2099" i="2"/>
  <c r="Y2099" i="2"/>
  <c r="X2099" i="2"/>
  <c r="Z2098" i="2"/>
  <c r="Y2098" i="2"/>
  <c r="X2098" i="2"/>
  <c r="Z2097" i="2"/>
  <c r="Y2097" i="2"/>
  <c r="X2097" i="2"/>
  <c r="Z2096" i="2"/>
  <c r="Y2096" i="2"/>
  <c r="X2096" i="2"/>
  <c r="Z2095" i="2"/>
  <c r="Y2095" i="2"/>
  <c r="X2095" i="2"/>
  <c r="Z2094" i="2"/>
  <c r="Y2094" i="2"/>
  <c r="X2094" i="2"/>
  <c r="Z2093" i="2"/>
  <c r="Y2093" i="2"/>
  <c r="X2093" i="2"/>
  <c r="Z2092" i="2"/>
  <c r="Y2092" i="2"/>
  <c r="X2092" i="2"/>
  <c r="Z2091" i="2"/>
  <c r="Y2091" i="2"/>
  <c r="X2091" i="2"/>
  <c r="Z2090" i="2"/>
  <c r="Y2090" i="2"/>
  <c r="X2090" i="2"/>
  <c r="Z2089" i="2"/>
  <c r="Y2089" i="2"/>
  <c r="X2089" i="2"/>
  <c r="Z2088" i="2"/>
  <c r="Y2088" i="2"/>
  <c r="X2088" i="2"/>
  <c r="Z2087" i="2"/>
  <c r="Y2087" i="2"/>
  <c r="X2087" i="2"/>
  <c r="Z2086" i="2"/>
  <c r="Y2086" i="2"/>
  <c r="X2086" i="2"/>
  <c r="Z2085" i="2"/>
  <c r="Y2085" i="2"/>
  <c r="X2085" i="2"/>
  <c r="Z2084" i="2"/>
  <c r="Y2084" i="2"/>
  <c r="X2084" i="2"/>
  <c r="Z2083" i="2"/>
  <c r="Y2083" i="2"/>
  <c r="X2083" i="2"/>
  <c r="Z2082" i="2"/>
  <c r="Y2082" i="2"/>
  <c r="X2082" i="2"/>
  <c r="Z2081" i="2"/>
  <c r="Y2081" i="2"/>
  <c r="X2081" i="2"/>
  <c r="Z2080" i="2"/>
  <c r="Y2080" i="2"/>
  <c r="X2080" i="2"/>
  <c r="Z2079" i="2"/>
  <c r="Y2079" i="2"/>
  <c r="X2079" i="2"/>
  <c r="Z2078" i="2"/>
  <c r="Y2078" i="2"/>
  <c r="X2078" i="2"/>
  <c r="Z2077" i="2"/>
  <c r="Y2077" i="2"/>
  <c r="X2077" i="2"/>
  <c r="Z2076" i="2"/>
  <c r="Y2076" i="2"/>
  <c r="X2076" i="2"/>
  <c r="Z2075" i="2"/>
  <c r="Y2075" i="2"/>
  <c r="X2075" i="2"/>
  <c r="Z2074" i="2"/>
  <c r="Y2074" i="2"/>
  <c r="X2074" i="2"/>
  <c r="Z2073" i="2"/>
  <c r="Y2073" i="2"/>
  <c r="X2073" i="2"/>
  <c r="Z2072" i="2"/>
  <c r="Y2072" i="2"/>
  <c r="X2072" i="2"/>
  <c r="Z2071" i="2"/>
  <c r="Y2071" i="2"/>
  <c r="X2071" i="2"/>
  <c r="Z2070" i="2"/>
  <c r="Y2070" i="2"/>
  <c r="X2070" i="2"/>
  <c r="Z2069" i="2"/>
  <c r="Y2069" i="2"/>
  <c r="X2069" i="2"/>
  <c r="Z2068" i="2"/>
  <c r="Y2068" i="2"/>
  <c r="X2068" i="2"/>
  <c r="Z2067" i="2"/>
  <c r="Y2067" i="2"/>
  <c r="X2067" i="2"/>
  <c r="Z2066" i="2"/>
  <c r="Y2066" i="2"/>
  <c r="X2066" i="2"/>
  <c r="Z2065" i="2"/>
  <c r="Y2065" i="2"/>
  <c r="X2065" i="2"/>
  <c r="Z2064" i="2"/>
  <c r="Y2064" i="2"/>
  <c r="X2064" i="2"/>
  <c r="Z2063" i="2"/>
  <c r="Y2063" i="2"/>
  <c r="X2063" i="2"/>
  <c r="Z2062" i="2"/>
  <c r="Y2062" i="2"/>
  <c r="X2062" i="2"/>
  <c r="Z2061" i="2"/>
  <c r="Y2061" i="2"/>
  <c r="X2061" i="2"/>
  <c r="Z2060" i="2"/>
  <c r="Y2060" i="2"/>
  <c r="X2060" i="2"/>
  <c r="Z2059" i="2"/>
  <c r="Y2059" i="2"/>
  <c r="X2059" i="2"/>
  <c r="Z2058" i="2"/>
  <c r="Y2058" i="2"/>
  <c r="X2058" i="2"/>
  <c r="Z2057" i="2"/>
  <c r="Y2057" i="2"/>
  <c r="X2057" i="2"/>
  <c r="Z2056" i="2"/>
  <c r="Y2056" i="2"/>
  <c r="X2056" i="2"/>
  <c r="Z2055" i="2"/>
  <c r="Y2055" i="2"/>
  <c r="X2055" i="2"/>
  <c r="Z2054" i="2"/>
  <c r="Y2054" i="2"/>
  <c r="X2054" i="2"/>
  <c r="Z2053" i="2"/>
  <c r="Y2053" i="2"/>
  <c r="X2053" i="2"/>
  <c r="Z2052" i="2"/>
  <c r="Y2052" i="2"/>
  <c r="X2052" i="2"/>
  <c r="Z2051" i="2"/>
  <c r="Y2051" i="2"/>
  <c r="X2051" i="2"/>
  <c r="Z2050" i="2"/>
  <c r="Y2050" i="2"/>
  <c r="X2050" i="2"/>
  <c r="Z2049" i="2"/>
  <c r="Y2049" i="2"/>
  <c r="X2049" i="2"/>
  <c r="Z2048" i="2"/>
  <c r="Y2048" i="2"/>
  <c r="X2048" i="2"/>
  <c r="Z2047" i="2"/>
  <c r="Y2047" i="2"/>
  <c r="X2047" i="2"/>
  <c r="Z2046" i="2"/>
  <c r="Y2046" i="2"/>
  <c r="X2046" i="2"/>
  <c r="Z2045" i="2"/>
  <c r="Y2045" i="2"/>
  <c r="X2045" i="2"/>
  <c r="Z2044" i="2"/>
  <c r="Y2044" i="2"/>
  <c r="X2044" i="2"/>
  <c r="Z2043" i="2"/>
  <c r="Y2043" i="2"/>
  <c r="X2043" i="2"/>
  <c r="Z2042" i="2"/>
  <c r="Y2042" i="2"/>
  <c r="X2042" i="2"/>
  <c r="Z2041" i="2"/>
  <c r="Y2041" i="2"/>
  <c r="X2041" i="2"/>
  <c r="Z2040" i="2"/>
  <c r="Y2040" i="2"/>
  <c r="X2040" i="2"/>
  <c r="Z2039" i="2"/>
  <c r="Y2039" i="2"/>
  <c r="X2039" i="2"/>
  <c r="Z2038" i="2"/>
  <c r="Y2038" i="2"/>
  <c r="X2038" i="2"/>
  <c r="Z2037" i="2"/>
  <c r="Y2037" i="2"/>
  <c r="X2037" i="2"/>
  <c r="Z2036" i="2"/>
  <c r="Y2036" i="2"/>
  <c r="X2036" i="2"/>
  <c r="Z2035" i="2"/>
  <c r="Y2035" i="2"/>
  <c r="X2035" i="2"/>
  <c r="Z2034" i="2"/>
  <c r="Y2034" i="2"/>
  <c r="X2034" i="2"/>
  <c r="Z2033" i="2"/>
  <c r="Y2033" i="2"/>
  <c r="X2033" i="2"/>
  <c r="Z2032" i="2"/>
  <c r="Y2032" i="2"/>
  <c r="X2032" i="2"/>
  <c r="Z2031" i="2"/>
  <c r="Y2031" i="2"/>
  <c r="X2031" i="2"/>
  <c r="Z2030" i="2"/>
  <c r="Y2030" i="2"/>
  <c r="X2030" i="2"/>
  <c r="Z2029" i="2"/>
  <c r="Y2029" i="2"/>
  <c r="X2029" i="2"/>
  <c r="Z2028" i="2"/>
  <c r="Y2028" i="2"/>
  <c r="X2028" i="2"/>
  <c r="Z2027" i="2"/>
  <c r="Y2027" i="2"/>
  <c r="X2027" i="2"/>
  <c r="Z2026" i="2"/>
  <c r="Y2026" i="2"/>
  <c r="X2026" i="2"/>
  <c r="Z2025" i="2"/>
  <c r="Y2025" i="2"/>
  <c r="X2025" i="2"/>
  <c r="Z2024" i="2"/>
  <c r="Y2024" i="2"/>
  <c r="X2024" i="2"/>
  <c r="Z2023" i="2"/>
  <c r="Y2023" i="2"/>
  <c r="X2023" i="2"/>
  <c r="Z2022" i="2"/>
  <c r="Y2022" i="2"/>
  <c r="X2022" i="2"/>
  <c r="Z2021" i="2"/>
  <c r="Y2021" i="2"/>
  <c r="X2021" i="2"/>
  <c r="Z2020" i="2"/>
  <c r="Y2020" i="2"/>
  <c r="X2020" i="2"/>
  <c r="Z2019" i="2"/>
  <c r="Y2019" i="2"/>
  <c r="X2019" i="2"/>
  <c r="Z2018" i="2"/>
  <c r="Y2018" i="2"/>
  <c r="X2018" i="2"/>
  <c r="Z2017" i="2"/>
  <c r="Y2017" i="2"/>
  <c r="X2017" i="2"/>
  <c r="Z2016" i="2"/>
  <c r="Y2016" i="2"/>
  <c r="X2016" i="2"/>
  <c r="Z2015" i="2"/>
  <c r="Y2015" i="2"/>
  <c r="X2015" i="2"/>
  <c r="Z2014" i="2"/>
  <c r="Y2014" i="2"/>
  <c r="X2014" i="2"/>
  <c r="Z2013" i="2"/>
  <c r="Y2013" i="2"/>
  <c r="X2013" i="2"/>
  <c r="Z2012" i="2"/>
  <c r="Y2012" i="2"/>
  <c r="X2012" i="2"/>
  <c r="Z2011" i="2"/>
  <c r="Y2011" i="2"/>
  <c r="X2011" i="2"/>
  <c r="Z2010" i="2"/>
  <c r="Y2010" i="2"/>
  <c r="X2010" i="2"/>
  <c r="Z2009" i="2"/>
  <c r="Y2009" i="2"/>
  <c r="X2009" i="2"/>
  <c r="Z2008" i="2"/>
  <c r="Y2008" i="2"/>
  <c r="X2008" i="2"/>
  <c r="Z2007" i="2"/>
  <c r="Y2007" i="2"/>
  <c r="X2007" i="2"/>
  <c r="Z2006" i="2"/>
  <c r="Y2006" i="2"/>
  <c r="X2006" i="2"/>
  <c r="Z2005" i="2"/>
  <c r="Y2005" i="2"/>
  <c r="X2005" i="2"/>
  <c r="Z2004" i="2"/>
  <c r="Y2004" i="2"/>
  <c r="X2004" i="2"/>
  <c r="Z2003" i="2"/>
  <c r="Y2003" i="2"/>
  <c r="X2003" i="2"/>
  <c r="Z2002" i="2"/>
  <c r="Y2002" i="2"/>
  <c r="X2002" i="2"/>
  <c r="Z2001" i="2"/>
  <c r="Y2001" i="2"/>
  <c r="X2001" i="2"/>
  <c r="Z2000" i="2"/>
  <c r="Y2000" i="2"/>
  <c r="X2000" i="2"/>
  <c r="Z1999" i="2"/>
  <c r="Y1999" i="2"/>
  <c r="X1999" i="2"/>
  <c r="Z1998" i="2"/>
  <c r="Y1998" i="2"/>
  <c r="X1998" i="2"/>
  <c r="Z1997" i="2"/>
  <c r="Y1997" i="2"/>
  <c r="X1997" i="2"/>
  <c r="Z1996" i="2"/>
  <c r="Y1996" i="2"/>
  <c r="X1996" i="2"/>
  <c r="Z1995" i="2"/>
  <c r="Y1995" i="2"/>
  <c r="X1995" i="2"/>
  <c r="Z1994" i="2"/>
  <c r="Y1994" i="2"/>
  <c r="X1994" i="2"/>
  <c r="Z1993" i="2"/>
  <c r="Y1993" i="2"/>
  <c r="X1993" i="2"/>
  <c r="Z1992" i="2"/>
  <c r="Y1992" i="2"/>
  <c r="X1992" i="2"/>
  <c r="Z1991" i="2"/>
  <c r="Y1991" i="2"/>
  <c r="X1991" i="2"/>
  <c r="Z1990" i="2"/>
  <c r="Y1990" i="2"/>
  <c r="X1990" i="2"/>
  <c r="Z1989" i="2"/>
  <c r="Y1989" i="2"/>
  <c r="X1989" i="2"/>
  <c r="Z1988" i="2"/>
  <c r="Y1988" i="2"/>
  <c r="X1988" i="2"/>
  <c r="Z1987" i="2"/>
  <c r="Y1987" i="2"/>
  <c r="X1987" i="2"/>
  <c r="Z1986" i="2"/>
  <c r="Y1986" i="2"/>
  <c r="X1986" i="2"/>
  <c r="Z1985" i="2"/>
  <c r="Y1985" i="2"/>
  <c r="X1985" i="2"/>
  <c r="Z1984" i="2"/>
  <c r="Y1984" i="2"/>
  <c r="X1984" i="2"/>
  <c r="Z1983" i="2"/>
  <c r="Y1983" i="2"/>
  <c r="X1983" i="2"/>
  <c r="Z1982" i="2"/>
  <c r="Y1982" i="2"/>
  <c r="X1982" i="2"/>
  <c r="Z1981" i="2"/>
  <c r="Y1981" i="2"/>
  <c r="X1981" i="2"/>
  <c r="Z1980" i="2"/>
  <c r="Y1980" i="2"/>
  <c r="X1980" i="2"/>
  <c r="Z1979" i="2"/>
  <c r="Y1979" i="2"/>
  <c r="X1979" i="2"/>
  <c r="Z1978" i="2"/>
  <c r="Y1978" i="2"/>
  <c r="X1978" i="2"/>
  <c r="Z1977" i="2"/>
  <c r="Y1977" i="2"/>
  <c r="X1977" i="2"/>
  <c r="Z1976" i="2"/>
  <c r="Y1976" i="2"/>
  <c r="X1976" i="2"/>
  <c r="Z1975" i="2"/>
  <c r="Y1975" i="2"/>
  <c r="X1975" i="2"/>
  <c r="Z1974" i="2"/>
  <c r="Y1974" i="2"/>
  <c r="X1974" i="2"/>
  <c r="Z1973" i="2"/>
  <c r="Y1973" i="2"/>
  <c r="X1973" i="2"/>
  <c r="Z1972" i="2"/>
  <c r="Y1972" i="2"/>
  <c r="X1972" i="2"/>
  <c r="Z1971" i="2"/>
  <c r="Y1971" i="2"/>
  <c r="X1971" i="2"/>
  <c r="Z1970" i="2"/>
  <c r="Y1970" i="2"/>
  <c r="X1970" i="2"/>
  <c r="Z1969" i="2"/>
  <c r="Y1969" i="2"/>
  <c r="X1969" i="2"/>
  <c r="Z1968" i="2"/>
  <c r="Y1968" i="2"/>
  <c r="X1968" i="2"/>
  <c r="Z1967" i="2"/>
  <c r="Y1967" i="2"/>
  <c r="X1967" i="2"/>
  <c r="Z1966" i="2"/>
  <c r="Y1966" i="2"/>
  <c r="X1966" i="2"/>
  <c r="Z1965" i="2"/>
  <c r="Y1965" i="2"/>
  <c r="X1965" i="2"/>
  <c r="Z1964" i="2"/>
  <c r="Y1964" i="2"/>
  <c r="X1964" i="2"/>
  <c r="Z1963" i="2"/>
  <c r="Y1963" i="2"/>
  <c r="X1963" i="2"/>
  <c r="Z1962" i="2"/>
  <c r="Y1962" i="2"/>
  <c r="X1962" i="2"/>
  <c r="Z1961" i="2"/>
  <c r="Y1961" i="2"/>
  <c r="X1961" i="2"/>
  <c r="Z1960" i="2"/>
  <c r="Y1960" i="2"/>
  <c r="X1960" i="2"/>
  <c r="Z1959" i="2"/>
  <c r="Y1959" i="2"/>
  <c r="X1959" i="2"/>
  <c r="Z1958" i="2"/>
  <c r="Y1958" i="2"/>
  <c r="X1958" i="2"/>
  <c r="Z1957" i="2"/>
  <c r="Y1957" i="2"/>
  <c r="X1957" i="2"/>
  <c r="Z1956" i="2"/>
  <c r="Y1956" i="2"/>
  <c r="X1956" i="2"/>
  <c r="Z1955" i="2"/>
  <c r="Y1955" i="2"/>
  <c r="X1955" i="2"/>
  <c r="Z1954" i="2"/>
  <c r="Y1954" i="2"/>
  <c r="X1954" i="2"/>
  <c r="Z1953" i="2"/>
  <c r="Y1953" i="2"/>
  <c r="X1953" i="2"/>
  <c r="Z1952" i="2"/>
  <c r="Y1952" i="2"/>
  <c r="X1952" i="2"/>
  <c r="Z1951" i="2"/>
  <c r="Y1951" i="2"/>
  <c r="X1951" i="2"/>
  <c r="Z1950" i="2"/>
  <c r="Y1950" i="2"/>
  <c r="X1950" i="2"/>
  <c r="Z1949" i="2"/>
  <c r="Y1949" i="2"/>
  <c r="X1949" i="2"/>
  <c r="Z1948" i="2"/>
  <c r="Y1948" i="2"/>
  <c r="X1948" i="2"/>
  <c r="Z1947" i="2"/>
  <c r="Y1947" i="2"/>
  <c r="X1947" i="2"/>
  <c r="Z1946" i="2"/>
  <c r="Y1946" i="2"/>
  <c r="X1946" i="2"/>
  <c r="Z1945" i="2"/>
  <c r="Y1945" i="2"/>
  <c r="X1945" i="2"/>
  <c r="Z1944" i="2"/>
  <c r="Y1944" i="2"/>
  <c r="X1944" i="2"/>
  <c r="Z1943" i="2"/>
  <c r="Y1943" i="2"/>
  <c r="X1943" i="2"/>
  <c r="Z1942" i="2"/>
  <c r="Y1942" i="2"/>
  <c r="X1942" i="2"/>
  <c r="Z1941" i="2"/>
  <c r="Y1941" i="2"/>
  <c r="X1941" i="2"/>
  <c r="Z1940" i="2"/>
  <c r="Y1940" i="2"/>
  <c r="X1940" i="2"/>
  <c r="Z1939" i="2"/>
  <c r="Y1939" i="2"/>
  <c r="X1939" i="2"/>
  <c r="Z1938" i="2"/>
  <c r="Y1938" i="2"/>
  <c r="X1938" i="2"/>
  <c r="Z1937" i="2"/>
  <c r="Y1937" i="2"/>
  <c r="X1937" i="2"/>
  <c r="Z1936" i="2"/>
  <c r="Y1936" i="2"/>
  <c r="X1936" i="2"/>
  <c r="Z1935" i="2"/>
  <c r="Y1935" i="2"/>
  <c r="X1935" i="2"/>
  <c r="Z1934" i="2"/>
  <c r="Y1934" i="2"/>
  <c r="X1934" i="2"/>
  <c r="Z1933" i="2"/>
  <c r="Y1933" i="2"/>
  <c r="X1933" i="2"/>
  <c r="Z1932" i="2"/>
  <c r="Y1932" i="2"/>
  <c r="X1932" i="2"/>
  <c r="Z1931" i="2"/>
  <c r="Y1931" i="2"/>
  <c r="X1931" i="2"/>
  <c r="Z1930" i="2"/>
  <c r="Y1930" i="2"/>
  <c r="X1930" i="2"/>
  <c r="Z1929" i="2"/>
  <c r="Y1929" i="2"/>
  <c r="X1929" i="2"/>
  <c r="Z1928" i="2"/>
  <c r="Y1928" i="2"/>
  <c r="X1928" i="2"/>
  <c r="Z1927" i="2"/>
  <c r="Y1927" i="2"/>
  <c r="X1927" i="2"/>
  <c r="Z1926" i="2"/>
  <c r="Y1926" i="2"/>
  <c r="X1926" i="2"/>
  <c r="Z1925" i="2"/>
  <c r="Y1925" i="2"/>
  <c r="X1925" i="2"/>
  <c r="Z1924" i="2"/>
  <c r="Y1924" i="2"/>
  <c r="X1924" i="2"/>
  <c r="Z1923" i="2"/>
  <c r="Y1923" i="2"/>
  <c r="X1923" i="2"/>
  <c r="Z1922" i="2"/>
  <c r="Y1922" i="2"/>
  <c r="X1922" i="2"/>
  <c r="Z1921" i="2"/>
  <c r="Y1921" i="2"/>
  <c r="X1921" i="2"/>
  <c r="Z1920" i="2"/>
  <c r="Y1920" i="2"/>
  <c r="X1920" i="2"/>
  <c r="Z1919" i="2"/>
  <c r="Y1919" i="2"/>
  <c r="X1919" i="2"/>
  <c r="Z1918" i="2"/>
  <c r="Y1918" i="2"/>
  <c r="X1918" i="2"/>
  <c r="Z1917" i="2"/>
  <c r="Y1917" i="2"/>
  <c r="X1917" i="2"/>
  <c r="Z1916" i="2"/>
  <c r="Y1916" i="2"/>
  <c r="X1916" i="2"/>
  <c r="Z1915" i="2"/>
  <c r="Y1915" i="2"/>
  <c r="X1915" i="2"/>
  <c r="Z1914" i="2"/>
  <c r="Y1914" i="2"/>
  <c r="X1914" i="2"/>
  <c r="Z1913" i="2"/>
  <c r="Y1913" i="2"/>
  <c r="X1913" i="2"/>
  <c r="Z1912" i="2"/>
  <c r="Y1912" i="2"/>
  <c r="X1912" i="2"/>
  <c r="Z1911" i="2"/>
  <c r="Y1911" i="2"/>
  <c r="X1911" i="2"/>
  <c r="Z1910" i="2"/>
  <c r="Y1910" i="2"/>
  <c r="X1910" i="2"/>
  <c r="Z1909" i="2"/>
  <c r="Y1909" i="2"/>
  <c r="X1909" i="2"/>
  <c r="Z1908" i="2"/>
  <c r="Y1908" i="2"/>
  <c r="X1908" i="2"/>
  <c r="Z1907" i="2"/>
  <c r="Y1907" i="2"/>
  <c r="X1907" i="2"/>
  <c r="Z1906" i="2"/>
  <c r="Y1906" i="2"/>
  <c r="X1906" i="2"/>
  <c r="Z1905" i="2"/>
  <c r="Y1905" i="2"/>
  <c r="X1905" i="2"/>
  <c r="Z1904" i="2"/>
  <c r="Y1904" i="2"/>
  <c r="X1904" i="2"/>
  <c r="Z1903" i="2"/>
  <c r="Y1903" i="2"/>
  <c r="X1903" i="2"/>
  <c r="Z1902" i="2"/>
  <c r="Y1902" i="2"/>
  <c r="X1902" i="2"/>
  <c r="Z1901" i="2"/>
  <c r="Y1901" i="2"/>
  <c r="X1901" i="2"/>
  <c r="Z1900" i="2"/>
  <c r="Y1900" i="2"/>
  <c r="X1900" i="2"/>
  <c r="Z1899" i="2"/>
  <c r="Y1899" i="2"/>
  <c r="X1899" i="2"/>
  <c r="Z1898" i="2"/>
  <c r="Y1898" i="2"/>
  <c r="X1898" i="2"/>
  <c r="Z1897" i="2"/>
  <c r="Y1897" i="2"/>
  <c r="X1897" i="2"/>
  <c r="Z1896" i="2"/>
  <c r="Y1896" i="2"/>
  <c r="X1896" i="2"/>
  <c r="Z1895" i="2"/>
  <c r="Y1895" i="2"/>
  <c r="X1895" i="2"/>
  <c r="Z1894" i="2"/>
  <c r="Y1894" i="2"/>
  <c r="X1894" i="2"/>
  <c r="Z1893" i="2"/>
  <c r="Y1893" i="2"/>
  <c r="X1893" i="2"/>
  <c r="Z1892" i="2"/>
  <c r="Y1892" i="2"/>
  <c r="X1892" i="2"/>
  <c r="Z1891" i="2"/>
  <c r="Y1891" i="2"/>
  <c r="X1891" i="2"/>
  <c r="Z1890" i="2"/>
  <c r="Y1890" i="2"/>
  <c r="X1890" i="2"/>
  <c r="Z1889" i="2"/>
  <c r="Y1889" i="2"/>
  <c r="X1889" i="2"/>
  <c r="Z1888" i="2"/>
  <c r="Y1888" i="2"/>
  <c r="X1888" i="2"/>
  <c r="Z1887" i="2"/>
  <c r="Y1887" i="2"/>
  <c r="X1887" i="2"/>
  <c r="Z1886" i="2"/>
  <c r="Y1886" i="2"/>
  <c r="X1886" i="2"/>
  <c r="Z1885" i="2"/>
  <c r="Y1885" i="2"/>
  <c r="X1885" i="2"/>
  <c r="Z1884" i="2"/>
  <c r="Y1884" i="2"/>
  <c r="X1884" i="2"/>
  <c r="Z1883" i="2"/>
  <c r="Y1883" i="2"/>
  <c r="X1883" i="2"/>
  <c r="Z1882" i="2"/>
  <c r="Y1882" i="2"/>
  <c r="X1882" i="2"/>
  <c r="Z1881" i="2"/>
  <c r="Y1881" i="2"/>
  <c r="X1881" i="2"/>
  <c r="Z1880" i="2"/>
  <c r="Y1880" i="2"/>
  <c r="X1880" i="2"/>
  <c r="Z1879" i="2"/>
  <c r="Y1879" i="2"/>
  <c r="X1879" i="2"/>
  <c r="Z1878" i="2"/>
  <c r="Y1878" i="2"/>
  <c r="X1878" i="2"/>
  <c r="Z1877" i="2"/>
  <c r="Y1877" i="2"/>
  <c r="X1877" i="2"/>
  <c r="Z1876" i="2"/>
  <c r="Y1876" i="2"/>
  <c r="X1876" i="2"/>
  <c r="Z1875" i="2"/>
  <c r="Y1875" i="2"/>
  <c r="X1875" i="2"/>
  <c r="Z1874" i="2"/>
  <c r="Y1874" i="2"/>
  <c r="X1874" i="2"/>
  <c r="Z1873" i="2"/>
  <c r="Y1873" i="2"/>
  <c r="X1873" i="2"/>
  <c r="Z1872" i="2"/>
  <c r="Y1872" i="2"/>
  <c r="X1872" i="2"/>
  <c r="Z1871" i="2"/>
  <c r="Y1871" i="2"/>
  <c r="X1871" i="2"/>
  <c r="Z1870" i="2"/>
  <c r="Y1870" i="2"/>
  <c r="X1870" i="2"/>
  <c r="Z1869" i="2"/>
  <c r="Y1869" i="2"/>
  <c r="X1869" i="2"/>
  <c r="Z1868" i="2"/>
  <c r="Y1868" i="2"/>
  <c r="X1868" i="2"/>
  <c r="Z1867" i="2"/>
  <c r="Y1867" i="2"/>
  <c r="X1867" i="2"/>
  <c r="Z1866" i="2"/>
  <c r="Y1866" i="2"/>
  <c r="X1866" i="2"/>
  <c r="Z1865" i="2"/>
  <c r="Y1865" i="2"/>
  <c r="X1865" i="2"/>
  <c r="Z1864" i="2"/>
  <c r="Y1864" i="2"/>
  <c r="X1864" i="2"/>
  <c r="Z1863" i="2"/>
  <c r="Y1863" i="2"/>
  <c r="X1863" i="2"/>
  <c r="Z1862" i="2"/>
  <c r="Y1862" i="2"/>
  <c r="X1862" i="2"/>
  <c r="Z1861" i="2"/>
  <c r="Y1861" i="2"/>
  <c r="X1861" i="2"/>
  <c r="Z1860" i="2"/>
  <c r="Y1860" i="2"/>
  <c r="X1860" i="2"/>
  <c r="Z1859" i="2"/>
  <c r="Y1859" i="2"/>
  <c r="X1859" i="2"/>
  <c r="Z1858" i="2"/>
  <c r="Y1858" i="2"/>
  <c r="X1858" i="2"/>
  <c r="Z1857" i="2"/>
  <c r="Y1857" i="2"/>
  <c r="X1857" i="2"/>
  <c r="Z1856" i="2"/>
  <c r="Y1856" i="2"/>
  <c r="X1856" i="2"/>
  <c r="Z1855" i="2"/>
  <c r="Y1855" i="2"/>
  <c r="X1855" i="2"/>
  <c r="Z1854" i="2"/>
  <c r="Y1854" i="2"/>
  <c r="X1854" i="2"/>
  <c r="Z1853" i="2"/>
  <c r="Y1853" i="2"/>
  <c r="X1853" i="2"/>
  <c r="Z1852" i="2"/>
  <c r="Y1852" i="2"/>
  <c r="X1852" i="2"/>
  <c r="Z1851" i="2"/>
  <c r="Y1851" i="2"/>
  <c r="X1851" i="2"/>
  <c r="Z1850" i="2"/>
  <c r="Y1850" i="2"/>
  <c r="X1850" i="2"/>
  <c r="Z1849" i="2"/>
  <c r="Y1849" i="2"/>
  <c r="X1849" i="2"/>
  <c r="Z1848" i="2"/>
  <c r="Y1848" i="2"/>
  <c r="X1848" i="2"/>
  <c r="Z1847" i="2"/>
  <c r="Y1847" i="2"/>
  <c r="X1847" i="2"/>
  <c r="Z1846" i="2"/>
  <c r="Y1846" i="2"/>
  <c r="X1846" i="2"/>
  <c r="Z1845" i="2"/>
  <c r="Y1845" i="2"/>
  <c r="X1845" i="2"/>
  <c r="Z1844" i="2"/>
  <c r="Y1844" i="2"/>
  <c r="X1844" i="2"/>
  <c r="Z1843" i="2"/>
  <c r="Y1843" i="2"/>
  <c r="X1843" i="2"/>
  <c r="Z1842" i="2"/>
  <c r="Y1842" i="2"/>
  <c r="X1842" i="2"/>
  <c r="Z1841" i="2"/>
  <c r="Y1841" i="2"/>
  <c r="X1841" i="2"/>
  <c r="Z1840" i="2"/>
  <c r="Y1840" i="2"/>
  <c r="X1840" i="2"/>
  <c r="Z1839" i="2"/>
  <c r="Y1839" i="2"/>
  <c r="X1839" i="2"/>
  <c r="Z1838" i="2"/>
  <c r="Y1838" i="2"/>
  <c r="X1838" i="2"/>
  <c r="Z1837" i="2"/>
  <c r="Y1837" i="2"/>
  <c r="X1837" i="2"/>
  <c r="Z1836" i="2"/>
  <c r="Y1836" i="2"/>
  <c r="X1836" i="2"/>
  <c r="Z1835" i="2"/>
  <c r="Y1835" i="2"/>
  <c r="X1835" i="2"/>
  <c r="Z1834" i="2"/>
  <c r="Y1834" i="2"/>
  <c r="X1834" i="2"/>
  <c r="Z1833" i="2"/>
  <c r="Y1833" i="2"/>
  <c r="X1833" i="2"/>
  <c r="Z1832" i="2"/>
  <c r="Y1832" i="2"/>
  <c r="X1832" i="2"/>
  <c r="Z1831" i="2"/>
  <c r="Y1831" i="2"/>
  <c r="X1831" i="2"/>
  <c r="Z1830" i="2"/>
  <c r="Y1830" i="2"/>
  <c r="X1830" i="2"/>
  <c r="Z1829" i="2"/>
  <c r="Y1829" i="2"/>
  <c r="X1829" i="2"/>
  <c r="Z1828" i="2"/>
  <c r="Y1828" i="2"/>
  <c r="X1828" i="2"/>
  <c r="Z1827" i="2"/>
  <c r="Y1827" i="2"/>
  <c r="X1827" i="2"/>
  <c r="Z1826" i="2"/>
  <c r="Y1826" i="2"/>
  <c r="X1826" i="2"/>
  <c r="Z1825" i="2"/>
  <c r="Y1825" i="2"/>
  <c r="X1825" i="2"/>
  <c r="Z1824" i="2"/>
  <c r="Y1824" i="2"/>
  <c r="X1824" i="2"/>
  <c r="Z1823" i="2"/>
  <c r="Y1823" i="2"/>
  <c r="X1823" i="2"/>
  <c r="Z1822" i="2"/>
  <c r="Y1822" i="2"/>
  <c r="X1822" i="2"/>
  <c r="Z1821" i="2"/>
  <c r="Y1821" i="2"/>
  <c r="X1821" i="2"/>
  <c r="Z1820" i="2"/>
  <c r="Y1820" i="2"/>
  <c r="X1820" i="2"/>
  <c r="Z1819" i="2"/>
  <c r="Y1819" i="2"/>
  <c r="X1819" i="2"/>
  <c r="Z1818" i="2"/>
  <c r="Y1818" i="2"/>
  <c r="X1818" i="2"/>
  <c r="Z1817" i="2"/>
  <c r="Y1817" i="2"/>
  <c r="X1817" i="2"/>
  <c r="Z1816" i="2"/>
  <c r="Y1816" i="2"/>
  <c r="X1816" i="2"/>
  <c r="Z1815" i="2"/>
  <c r="Y1815" i="2"/>
  <c r="X1815" i="2"/>
  <c r="Z1814" i="2"/>
  <c r="Y1814" i="2"/>
  <c r="X1814" i="2"/>
  <c r="Z1813" i="2"/>
  <c r="Y1813" i="2"/>
  <c r="X1813" i="2"/>
  <c r="Z1812" i="2"/>
  <c r="Y1812" i="2"/>
  <c r="X1812" i="2"/>
  <c r="Z1811" i="2"/>
  <c r="Y1811" i="2"/>
  <c r="X1811" i="2"/>
  <c r="Z1810" i="2"/>
  <c r="Y1810" i="2"/>
  <c r="X1810" i="2"/>
  <c r="Z1809" i="2"/>
  <c r="Y1809" i="2"/>
  <c r="X1809" i="2"/>
  <c r="Z1808" i="2"/>
  <c r="Y1808" i="2"/>
  <c r="X1808" i="2"/>
  <c r="Z1807" i="2"/>
  <c r="Y1807" i="2"/>
  <c r="X1807" i="2"/>
  <c r="Z1806" i="2"/>
  <c r="Y1806" i="2"/>
  <c r="X1806" i="2"/>
  <c r="Z1805" i="2"/>
  <c r="Y1805" i="2"/>
  <c r="X1805" i="2"/>
  <c r="Z1804" i="2"/>
  <c r="Y1804" i="2"/>
  <c r="X1804" i="2"/>
  <c r="Z1803" i="2"/>
  <c r="Y1803" i="2"/>
  <c r="X1803" i="2"/>
  <c r="Z1802" i="2"/>
  <c r="Y1802" i="2"/>
  <c r="X1802" i="2"/>
  <c r="Z1801" i="2"/>
  <c r="Y1801" i="2"/>
  <c r="X1801" i="2"/>
  <c r="Z1800" i="2"/>
  <c r="Y1800" i="2"/>
  <c r="X1800" i="2"/>
  <c r="Z1799" i="2"/>
  <c r="Y1799" i="2"/>
  <c r="X1799" i="2"/>
  <c r="Z1798" i="2"/>
  <c r="Y1798" i="2"/>
  <c r="X1798" i="2"/>
  <c r="Z1797" i="2"/>
  <c r="Y1797" i="2"/>
  <c r="X1797" i="2"/>
  <c r="Z1796" i="2"/>
  <c r="Y1796" i="2"/>
  <c r="X1796" i="2"/>
  <c r="Z1795" i="2"/>
  <c r="Y1795" i="2"/>
  <c r="X1795" i="2"/>
  <c r="Z1794" i="2"/>
  <c r="Y1794" i="2"/>
  <c r="X1794" i="2"/>
  <c r="Z1793" i="2"/>
  <c r="Y1793" i="2"/>
  <c r="X1793" i="2"/>
  <c r="Z1792" i="2"/>
  <c r="Y1792" i="2"/>
  <c r="X1792" i="2"/>
  <c r="Z1791" i="2"/>
  <c r="Y1791" i="2"/>
  <c r="X1791" i="2"/>
  <c r="Z1790" i="2"/>
  <c r="Y1790" i="2"/>
  <c r="X1790" i="2"/>
  <c r="Z1789" i="2"/>
  <c r="Y1789" i="2"/>
  <c r="X1789" i="2"/>
  <c r="Z1788" i="2"/>
  <c r="Y1788" i="2"/>
  <c r="X1788" i="2"/>
  <c r="Z1787" i="2"/>
  <c r="Y1787" i="2"/>
  <c r="X1787" i="2"/>
  <c r="Z1786" i="2"/>
  <c r="Y1786" i="2"/>
  <c r="X1786" i="2"/>
  <c r="Z1785" i="2"/>
  <c r="Y1785" i="2"/>
  <c r="X1785" i="2"/>
  <c r="Z1784" i="2"/>
  <c r="Y1784" i="2"/>
  <c r="X1784" i="2"/>
  <c r="Z1783" i="2"/>
  <c r="Y1783" i="2"/>
  <c r="X1783" i="2"/>
  <c r="Z1782" i="2"/>
  <c r="Y1782" i="2"/>
  <c r="X1782" i="2"/>
  <c r="Z1781" i="2"/>
  <c r="Y1781" i="2"/>
  <c r="X1781" i="2"/>
  <c r="Z1780" i="2"/>
  <c r="Y1780" i="2"/>
  <c r="X1780" i="2"/>
  <c r="Z1779" i="2"/>
  <c r="Y1779" i="2"/>
  <c r="X1779" i="2"/>
  <c r="Z1778" i="2"/>
  <c r="Y1778" i="2"/>
  <c r="X1778" i="2"/>
  <c r="Z1777" i="2"/>
  <c r="Y1777" i="2"/>
  <c r="X1777" i="2"/>
  <c r="Z1776" i="2"/>
  <c r="Y1776" i="2"/>
  <c r="X1776" i="2"/>
  <c r="Z1775" i="2"/>
  <c r="Y1775" i="2"/>
  <c r="X1775" i="2"/>
  <c r="Z1774" i="2"/>
  <c r="Y1774" i="2"/>
  <c r="X1774" i="2"/>
  <c r="Z1773" i="2"/>
  <c r="Y1773" i="2"/>
  <c r="X1773" i="2"/>
  <c r="Z1772" i="2"/>
  <c r="Y1772" i="2"/>
  <c r="X1772" i="2"/>
  <c r="Z1771" i="2"/>
  <c r="Y1771" i="2"/>
  <c r="X1771" i="2"/>
  <c r="Z1770" i="2"/>
  <c r="Y1770" i="2"/>
  <c r="X1770" i="2"/>
  <c r="Z1769" i="2"/>
  <c r="Y1769" i="2"/>
  <c r="X1769" i="2"/>
  <c r="Z1768" i="2"/>
  <c r="Y1768" i="2"/>
  <c r="X1768" i="2"/>
  <c r="Z1767" i="2"/>
  <c r="Y1767" i="2"/>
  <c r="X1767" i="2"/>
  <c r="Z1766" i="2"/>
  <c r="Y1766" i="2"/>
  <c r="X1766" i="2"/>
  <c r="Z1765" i="2"/>
  <c r="Y1765" i="2"/>
  <c r="X1765" i="2"/>
  <c r="Z1764" i="2"/>
  <c r="Y1764" i="2"/>
  <c r="X1764" i="2"/>
  <c r="Z1763" i="2"/>
  <c r="Y1763" i="2"/>
  <c r="X1763" i="2"/>
  <c r="Z1762" i="2"/>
  <c r="Y1762" i="2"/>
  <c r="X1762" i="2"/>
  <c r="Z1761" i="2"/>
  <c r="Y1761" i="2"/>
  <c r="X1761" i="2"/>
  <c r="Z1760" i="2"/>
  <c r="Y1760" i="2"/>
  <c r="X1760" i="2"/>
  <c r="Z1759" i="2"/>
  <c r="Y1759" i="2"/>
  <c r="X1759" i="2"/>
  <c r="Z1758" i="2"/>
  <c r="Y1758" i="2"/>
  <c r="X1758" i="2"/>
  <c r="Z1757" i="2"/>
  <c r="Y1757" i="2"/>
  <c r="X1757" i="2"/>
  <c r="Z1756" i="2"/>
  <c r="Y1756" i="2"/>
  <c r="X1756" i="2"/>
  <c r="Z1755" i="2"/>
  <c r="Y1755" i="2"/>
  <c r="X1755" i="2"/>
  <c r="Z1754" i="2"/>
  <c r="Y1754" i="2"/>
  <c r="X1754" i="2"/>
  <c r="Z1753" i="2"/>
  <c r="Y1753" i="2"/>
  <c r="X1753" i="2"/>
  <c r="Z1752" i="2"/>
  <c r="Y1752" i="2"/>
  <c r="X1752" i="2"/>
  <c r="Z1751" i="2"/>
  <c r="Y1751" i="2"/>
  <c r="X1751" i="2"/>
  <c r="Z1750" i="2"/>
  <c r="Y1750" i="2"/>
  <c r="X1750" i="2"/>
  <c r="Z1749" i="2"/>
  <c r="Y1749" i="2"/>
  <c r="X1749" i="2"/>
  <c r="Z1748" i="2"/>
  <c r="Y1748" i="2"/>
  <c r="X1748" i="2"/>
  <c r="Z1747" i="2"/>
  <c r="Y1747" i="2"/>
  <c r="X1747" i="2"/>
  <c r="Z1746" i="2"/>
  <c r="Y1746" i="2"/>
  <c r="X1746" i="2"/>
  <c r="Z1745" i="2"/>
  <c r="Y1745" i="2"/>
  <c r="X1745" i="2"/>
  <c r="Z1744" i="2"/>
  <c r="Y1744" i="2"/>
  <c r="X1744" i="2"/>
  <c r="Z1743" i="2"/>
  <c r="Y1743" i="2"/>
  <c r="X1743" i="2"/>
  <c r="Z1742" i="2"/>
  <c r="Y1742" i="2"/>
  <c r="X1742" i="2"/>
  <c r="Z1741" i="2"/>
  <c r="Y1741" i="2"/>
  <c r="X1741" i="2"/>
  <c r="Z1740" i="2"/>
  <c r="Y1740" i="2"/>
  <c r="X1740" i="2"/>
  <c r="Z1739" i="2"/>
  <c r="Y1739" i="2"/>
  <c r="X1739" i="2"/>
  <c r="Z1738" i="2"/>
  <c r="Y1738" i="2"/>
  <c r="X1738" i="2"/>
  <c r="Z1737" i="2"/>
  <c r="Y1737" i="2"/>
  <c r="X1737" i="2"/>
  <c r="Z1736" i="2"/>
  <c r="Y1736" i="2"/>
  <c r="X1736" i="2"/>
  <c r="Z1735" i="2"/>
  <c r="Y1735" i="2"/>
  <c r="X1735" i="2"/>
  <c r="Z1734" i="2"/>
  <c r="Y1734" i="2"/>
  <c r="X1734" i="2"/>
  <c r="Z1733" i="2"/>
  <c r="Y1733" i="2"/>
  <c r="X1733" i="2"/>
  <c r="Z1732" i="2"/>
  <c r="Y1732" i="2"/>
  <c r="X1732" i="2"/>
  <c r="Z1731" i="2"/>
  <c r="Y1731" i="2"/>
  <c r="X1731" i="2"/>
  <c r="Z1730" i="2"/>
  <c r="Y1730" i="2"/>
  <c r="X1730" i="2"/>
  <c r="Z1729" i="2"/>
  <c r="Y1729" i="2"/>
  <c r="X1729" i="2"/>
  <c r="Z1728" i="2"/>
  <c r="Y1728" i="2"/>
  <c r="X1728" i="2"/>
  <c r="Z1727" i="2"/>
  <c r="Y1727" i="2"/>
  <c r="X1727" i="2"/>
  <c r="Z1726" i="2"/>
  <c r="Y1726" i="2"/>
  <c r="X1726" i="2"/>
  <c r="Z1725" i="2"/>
  <c r="Y1725" i="2"/>
  <c r="X1725" i="2"/>
  <c r="Z1724" i="2"/>
  <c r="Y1724" i="2"/>
  <c r="X1724" i="2"/>
  <c r="Z1723" i="2"/>
  <c r="Y1723" i="2"/>
  <c r="X1723" i="2"/>
  <c r="Z1722" i="2"/>
  <c r="Y1722" i="2"/>
  <c r="X1722" i="2"/>
  <c r="Z1721" i="2"/>
  <c r="Y1721" i="2"/>
  <c r="X1721" i="2"/>
  <c r="Z1720" i="2"/>
  <c r="Y1720" i="2"/>
  <c r="X1720" i="2"/>
  <c r="Z1719" i="2"/>
  <c r="Y1719" i="2"/>
  <c r="X1719" i="2"/>
  <c r="Z1718" i="2"/>
  <c r="Y1718" i="2"/>
  <c r="X1718" i="2"/>
  <c r="Z1717" i="2"/>
  <c r="Y1717" i="2"/>
  <c r="X1717" i="2"/>
  <c r="Z1716" i="2"/>
  <c r="Y1716" i="2"/>
  <c r="X1716" i="2"/>
  <c r="Z1715" i="2"/>
  <c r="Y1715" i="2"/>
  <c r="X1715" i="2"/>
  <c r="Z1714" i="2"/>
  <c r="Y1714" i="2"/>
  <c r="X1714" i="2"/>
  <c r="Z1713" i="2"/>
  <c r="Y1713" i="2"/>
  <c r="X1713" i="2"/>
  <c r="Z1712" i="2"/>
  <c r="Y1712" i="2"/>
  <c r="X1712" i="2"/>
  <c r="Z1711" i="2"/>
  <c r="Y1711" i="2"/>
  <c r="X1711" i="2"/>
  <c r="Z1710" i="2"/>
  <c r="Y1710" i="2"/>
  <c r="X1710" i="2"/>
  <c r="Z1709" i="2"/>
  <c r="Y1709" i="2"/>
  <c r="X1709" i="2"/>
  <c r="Z1708" i="2"/>
  <c r="Y1708" i="2"/>
  <c r="X1708" i="2"/>
  <c r="Z1707" i="2"/>
  <c r="Y1707" i="2"/>
  <c r="X1707" i="2"/>
  <c r="Z1706" i="2"/>
  <c r="Y1706" i="2"/>
  <c r="X1706" i="2"/>
  <c r="Z1705" i="2"/>
  <c r="Y1705" i="2"/>
  <c r="X1705" i="2"/>
  <c r="Z1704" i="2"/>
  <c r="Y1704" i="2"/>
  <c r="X1704" i="2"/>
  <c r="Z1703" i="2"/>
  <c r="Y1703" i="2"/>
  <c r="X1703" i="2"/>
  <c r="Z1702" i="2"/>
  <c r="Y1702" i="2"/>
  <c r="X1702" i="2"/>
  <c r="Z1701" i="2"/>
  <c r="Y1701" i="2"/>
  <c r="X1701" i="2"/>
  <c r="Z1700" i="2"/>
  <c r="Y1700" i="2"/>
  <c r="X1700" i="2"/>
  <c r="Z1699" i="2"/>
  <c r="Y1699" i="2"/>
  <c r="X1699" i="2"/>
  <c r="Z1698" i="2"/>
  <c r="Y1698" i="2"/>
  <c r="X1698" i="2"/>
  <c r="Z1697" i="2"/>
  <c r="Y1697" i="2"/>
  <c r="X1697" i="2"/>
  <c r="Z1696" i="2"/>
  <c r="Y1696" i="2"/>
  <c r="X1696" i="2"/>
  <c r="Z1695" i="2"/>
  <c r="Y1695" i="2"/>
  <c r="X1695" i="2"/>
  <c r="Z1694" i="2"/>
  <c r="Y1694" i="2"/>
  <c r="X1694" i="2"/>
  <c r="Z1693" i="2"/>
  <c r="Y1693" i="2"/>
  <c r="X1693" i="2"/>
  <c r="Z1692" i="2"/>
  <c r="Y1692" i="2"/>
  <c r="X1692" i="2"/>
  <c r="Z1691" i="2"/>
  <c r="Y1691" i="2"/>
  <c r="X1691" i="2"/>
  <c r="Z1690" i="2"/>
  <c r="Y1690" i="2"/>
  <c r="X1690" i="2"/>
  <c r="Z1689" i="2"/>
  <c r="Y1689" i="2"/>
  <c r="X1689" i="2"/>
  <c r="Z1688" i="2"/>
  <c r="Y1688" i="2"/>
  <c r="X1688" i="2"/>
  <c r="Z1687" i="2"/>
  <c r="Y1687" i="2"/>
  <c r="X1687" i="2"/>
  <c r="Z1686" i="2"/>
  <c r="Y1686" i="2"/>
  <c r="X1686" i="2"/>
  <c r="Z1685" i="2"/>
  <c r="Y1685" i="2"/>
  <c r="X1685" i="2"/>
  <c r="Z1684" i="2"/>
  <c r="Y1684" i="2"/>
  <c r="X1684" i="2"/>
  <c r="Z1683" i="2"/>
  <c r="Y1683" i="2"/>
  <c r="X1683" i="2"/>
  <c r="Z1682" i="2"/>
  <c r="Y1682" i="2"/>
  <c r="X1682" i="2"/>
  <c r="Z1681" i="2"/>
  <c r="Y1681" i="2"/>
  <c r="X1681" i="2"/>
  <c r="Z1680" i="2"/>
  <c r="Y1680" i="2"/>
  <c r="X1680" i="2"/>
  <c r="Z1679" i="2"/>
  <c r="Y1679" i="2"/>
  <c r="X1679" i="2"/>
  <c r="Z1678" i="2"/>
  <c r="Y1678" i="2"/>
  <c r="X1678" i="2"/>
  <c r="Z1677" i="2"/>
  <c r="Y1677" i="2"/>
  <c r="X1677" i="2"/>
  <c r="Z1676" i="2"/>
  <c r="Y1676" i="2"/>
  <c r="X1676" i="2"/>
  <c r="Z1675" i="2"/>
  <c r="Y1675" i="2"/>
  <c r="X1675" i="2"/>
  <c r="Z1674" i="2"/>
  <c r="Y1674" i="2"/>
  <c r="X1674" i="2"/>
  <c r="Z1673" i="2"/>
  <c r="Y1673" i="2"/>
  <c r="X1673" i="2"/>
  <c r="Z1672" i="2"/>
  <c r="Y1672" i="2"/>
  <c r="X1672" i="2"/>
  <c r="Z1671" i="2"/>
  <c r="Y1671" i="2"/>
  <c r="X1671" i="2"/>
  <c r="Z1670" i="2"/>
  <c r="Y1670" i="2"/>
  <c r="X1670" i="2"/>
  <c r="Z1669" i="2"/>
  <c r="Y1669" i="2"/>
  <c r="X1669" i="2"/>
  <c r="Z1668" i="2"/>
  <c r="Y1668" i="2"/>
  <c r="X1668" i="2"/>
  <c r="Z1667" i="2"/>
  <c r="Y1667" i="2"/>
  <c r="X1667" i="2"/>
  <c r="Z1666" i="2"/>
  <c r="Y1666" i="2"/>
  <c r="X1666" i="2"/>
  <c r="Z1665" i="2"/>
  <c r="Y1665" i="2"/>
  <c r="X1665" i="2"/>
  <c r="Z1664" i="2"/>
  <c r="Y1664" i="2"/>
  <c r="X1664" i="2"/>
  <c r="Z1663" i="2"/>
  <c r="Y1663" i="2"/>
  <c r="X1663" i="2"/>
  <c r="Z1662" i="2"/>
  <c r="Y1662" i="2"/>
  <c r="X1662" i="2"/>
  <c r="Z1661" i="2"/>
  <c r="Y1661" i="2"/>
  <c r="X1661" i="2"/>
  <c r="Z1660" i="2"/>
  <c r="Y1660" i="2"/>
  <c r="X1660" i="2"/>
  <c r="Z1659" i="2"/>
  <c r="Y1659" i="2"/>
  <c r="X1659" i="2"/>
  <c r="Z1658" i="2"/>
  <c r="Y1658" i="2"/>
  <c r="X1658" i="2"/>
  <c r="Z1657" i="2"/>
  <c r="Y1657" i="2"/>
  <c r="X1657" i="2"/>
  <c r="Z1656" i="2"/>
  <c r="Y1656" i="2"/>
  <c r="X1656" i="2"/>
  <c r="Z1655" i="2"/>
  <c r="Y1655" i="2"/>
  <c r="X1655" i="2"/>
  <c r="Z1654" i="2"/>
  <c r="Y1654" i="2"/>
  <c r="X1654" i="2"/>
  <c r="Z1653" i="2"/>
  <c r="Y1653" i="2"/>
  <c r="X1653" i="2"/>
  <c r="Z1652" i="2"/>
  <c r="Y1652" i="2"/>
  <c r="X1652" i="2"/>
  <c r="Z1651" i="2"/>
  <c r="Y1651" i="2"/>
  <c r="X1651" i="2"/>
  <c r="Z1650" i="2"/>
  <c r="Y1650" i="2"/>
  <c r="X1650" i="2"/>
  <c r="Z1649" i="2"/>
  <c r="Y1649" i="2"/>
  <c r="X1649" i="2"/>
  <c r="Z1648" i="2"/>
  <c r="Y1648" i="2"/>
  <c r="X1648" i="2"/>
  <c r="Z1647" i="2"/>
  <c r="Y1647" i="2"/>
  <c r="X1647" i="2"/>
  <c r="Z1646" i="2"/>
  <c r="Y1646" i="2"/>
  <c r="X1646" i="2"/>
  <c r="Z1645" i="2"/>
  <c r="Y1645" i="2"/>
  <c r="X1645" i="2"/>
  <c r="Z1644" i="2"/>
  <c r="Y1644" i="2"/>
  <c r="X1644" i="2"/>
  <c r="Z1643" i="2"/>
  <c r="Y1643" i="2"/>
  <c r="X1643" i="2"/>
  <c r="Z1642" i="2"/>
  <c r="Y1642" i="2"/>
  <c r="X1642" i="2"/>
  <c r="Z1641" i="2"/>
  <c r="Y1641" i="2"/>
  <c r="X1641" i="2"/>
  <c r="Z1640" i="2"/>
  <c r="Y1640" i="2"/>
  <c r="X1640" i="2"/>
  <c r="Z1639" i="2"/>
  <c r="Y1639" i="2"/>
  <c r="X1639" i="2"/>
  <c r="Z1638" i="2"/>
  <c r="Y1638" i="2"/>
  <c r="X1638" i="2"/>
  <c r="Z1637" i="2"/>
  <c r="Y1637" i="2"/>
  <c r="X1637" i="2"/>
  <c r="Z1636" i="2"/>
  <c r="Y1636" i="2"/>
  <c r="X1636" i="2"/>
  <c r="Z1635" i="2"/>
  <c r="Y1635" i="2"/>
  <c r="X1635" i="2"/>
  <c r="Z1634" i="2"/>
  <c r="Y1634" i="2"/>
  <c r="X1634" i="2"/>
  <c r="Z1633" i="2"/>
  <c r="Y1633" i="2"/>
  <c r="X1633" i="2"/>
  <c r="Z1632" i="2"/>
  <c r="Y1632" i="2"/>
  <c r="X1632" i="2"/>
  <c r="Z1631" i="2"/>
  <c r="Y1631" i="2"/>
  <c r="X1631" i="2"/>
  <c r="Z1630" i="2"/>
  <c r="Y1630" i="2"/>
  <c r="X1630" i="2"/>
  <c r="Z1629" i="2"/>
  <c r="Y1629" i="2"/>
  <c r="X1629" i="2"/>
  <c r="Z1628" i="2"/>
  <c r="Y1628" i="2"/>
  <c r="X1628" i="2"/>
  <c r="Z1627" i="2"/>
  <c r="Y1627" i="2"/>
  <c r="X1627" i="2"/>
  <c r="Z1626" i="2"/>
  <c r="Y1626" i="2"/>
  <c r="X1626" i="2"/>
  <c r="Z1625" i="2"/>
  <c r="Y1625" i="2"/>
  <c r="X1625" i="2"/>
  <c r="Z1624" i="2"/>
  <c r="Y1624" i="2"/>
  <c r="X1624" i="2"/>
  <c r="Z1623" i="2"/>
  <c r="Y1623" i="2"/>
  <c r="X1623" i="2"/>
  <c r="Z1622" i="2"/>
  <c r="Y1622" i="2"/>
  <c r="X1622" i="2"/>
  <c r="Z1621" i="2"/>
  <c r="Y1621" i="2"/>
  <c r="X1621" i="2"/>
  <c r="Z1620" i="2"/>
  <c r="Y1620" i="2"/>
  <c r="X1620" i="2"/>
  <c r="Z1619" i="2"/>
  <c r="Y1619" i="2"/>
  <c r="X1619" i="2"/>
  <c r="Z1618" i="2"/>
  <c r="Y1618" i="2"/>
  <c r="X1618" i="2"/>
  <c r="Z1617" i="2"/>
  <c r="Y1617" i="2"/>
  <c r="X1617" i="2"/>
  <c r="Z1616" i="2"/>
  <c r="Y1616" i="2"/>
  <c r="X1616" i="2"/>
  <c r="Z1615" i="2"/>
  <c r="Y1615" i="2"/>
  <c r="X1615" i="2"/>
  <c r="Z1614" i="2"/>
  <c r="Y1614" i="2"/>
  <c r="X1614" i="2"/>
  <c r="Z1613" i="2"/>
  <c r="Y1613" i="2"/>
  <c r="X1613" i="2"/>
  <c r="Z1612" i="2"/>
  <c r="Y1612" i="2"/>
  <c r="X1612" i="2"/>
  <c r="Z1611" i="2"/>
  <c r="Y1611" i="2"/>
  <c r="X1611" i="2"/>
  <c r="Z1610" i="2"/>
  <c r="Y1610" i="2"/>
  <c r="X1610" i="2"/>
  <c r="Z1609" i="2"/>
  <c r="Y1609" i="2"/>
  <c r="X1609" i="2"/>
  <c r="Z1608" i="2"/>
  <c r="Y1608" i="2"/>
  <c r="X1608" i="2"/>
  <c r="Z1607" i="2"/>
  <c r="Y1607" i="2"/>
  <c r="X1607" i="2"/>
  <c r="Z1606" i="2"/>
  <c r="Y1606" i="2"/>
  <c r="X1606" i="2"/>
  <c r="Z1605" i="2"/>
  <c r="Y1605" i="2"/>
  <c r="X1605" i="2"/>
  <c r="Z1604" i="2"/>
  <c r="Y1604" i="2"/>
  <c r="X1604" i="2"/>
  <c r="Z1603" i="2"/>
  <c r="Y1603" i="2"/>
  <c r="X1603" i="2"/>
  <c r="Z1602" i="2"/>
  <c r="Y1602" i="2"/>
  <c r="X1602" i="2"/>
  <c r="Z1601" i="2"/>
  <c r="Y1601" i="2"/>
  <c r="X1601" i="2"/>
  <c r="Z1600" i="2"/>
  <c r="Y1600" i="2"/>
  <c r="X1600" i="2"/>
  <c r="Z1599" i="2"/>
  <c r="Y1599" i="2"/>
  <c r="X1599" i="2"/>
  <c r="Z1598" i="2"/>
  <c r="Y1598" i="2"/>
  <c r="X1598" i="2"/>
  <c r="Z1597" i="2"/>
  <c r="Y1597" i="2"/>
  <c r="X1597" i="2"/>
  <c r="Z1596" i="2"/>
  <c r="Y1596" i="2"/>
  <c r="X1596" i="2"/>
  <c r="Z1595" i="2"/>
  <c r="Y1595" i="2"/>
  <c r="X1595" i="2"/>
  <c r="Z1594" i="2"/>
  <c r="Y1594" i="2"/>
  <c r="X1594" i="2"/>
  <c r="Z1593" i="2"/>
  <c r="Y1593" i="2"/>
  <c r="X1593" i="2"/>
  <c r="Z1592" i="2"/>
  <c r="Y1592" i="2"/>
  <c r="X1592" i="2"/>
  <c r="Z1591" i="2"/>
  <c r="Y1591" i="2"/>
  <c r="X1591" i="2"/>
  <c r="Z1590" i="2"/>
  <c r="Y1590" i="2"/>
  <c r="X1590" i="2"/>
  <c r="Z1589" i="2"/>
  <c r="Y1589" i="2"/>
  <c r="X1589" i="2"/>
  <c r="Z1588" i="2"/>
  <c r="Y1588" i="2"/>
  <c r="X1588" i="2"/>
  <c r="Z1587" i="2"/>
  <c r="Y1587" i="2"/>
  <c r="X1587" i="2"/>
  <c r="Z1586" i="2"/>
  <c r="Y1586" i="2"/>
  <c r="X1586" i="2"/>
  <c r="Z1585" i="2"/>
  <c r="Y1585" i="2"/>
  <c r="X1585" i="2"/>
  <c r="Z1584" i="2"/>
  <c r="Y1584" i="2"/>
  <c r="X1584" i="2"/>
  <c r="Z1583" i="2"/>
  <c r="Y1583" i="2"/>
  <c r="X1583" i="2"/>
  <c r="Z1582" i="2"/>
  <c r="Y1582" i="2"/>
  <c r="X1582" i="2"/>
  <c r="Z1581" i="2"/>
  <c r="Y1581" i="2"/>
  <c r="X1581" i="2"/>
  <c r="Z1580" i="2"/>
  <c r="Y1580" i="2"/>
  <c r="X1580" i="2"/>
  <c r="Z1579" i="2"/>
  <c r="Y1579" i="2"/>
  <c r="X1579" i="2"/>
  <c r="Z1578" i="2"/>
  <c r="Y1578" i="2"/>
  <c r="X1578" i="2"/>
  <c r="Z1577" i="2"/>
  <c r="Y1577" i="2"/>
  <c r="X1577" i="2"/>
  <c r="Z1576" i="2"/>
  <c r="Y1576" i="2"/>
  <c r="X1576" i="2"/>
  <c r="Z1575" i="2"/>
  <c r="Y1575" i="2"/>
  <c r="X1575" i="2"/>
  <c r="Z1574" i="2"/>
  <c r="Y1574" i="2"/>
  <c r="X1574" i="2"/>
  <c r="Z1573" i="2"/>
  <c r="Y1573" i="2"/>
  <c r="X1573" i="2"/>
  <c r="Z1572" i="2"/>
  <c r="Y1572" i="2"/>
  <c r="X1572" i="2"/>
  <c r="Z1571" i="2"/>
  <c r="Y1571" i="2"/>
  <c r="X1571" i="2"/>
  <c r="Z1570" i="2"/>
  <c r="Y1570" i="2"/>
  <c r="X1570" i="2"/>
  <c r="Z1569" i="2"/>
  <c r="Y1569" i="2"/>
  <c r="X1569" i="2"/>
  <c r="Z1568" i="2"/>
  <c r="Y1568" i="2"/>
  <c r="X1568" i="2"/>
  <c r="Z1567" i="2"/>
  <c r="Y1567" i="2"/>
  <c r="X1567" i="2"/>
  <c r="Z1566" i="2"/>
  <c r="Y1566" i="2"/>
  <c r="X1566" i="2"/>
  <c r="Z1565" i="2"/>
  <c r="Y1565" i="2"/>
  <c r="X1565" i="2"/>
  <c r="Z1564" i="2"/>
  <c r="Y1564" i="2"/>
  <c r="X1564" i="2"/>
  <c r="Z1563" i="2"/>
  <c r="Y1563" i="2"/>
  <c r="X1563" i="2"/>
  <c r="Z1562" i="2"/>
  <c r="Y1562" i="2"/>
  <c r="X1562" i="2"/>
  <c r="Z1561" i="2"/>
  <c r="Y1561" i="2"/>
  <c r="X1561" i="2"/>
  <c r="Z1560" i="2"/>
  <c r="Y1560" i="2"/>
  <c r="X1560" i="2"/>
  <c r="Z1559" i="2"/>
  <c r="Y1559" i="2"/>
  <c r="X1559" i="2"/>
  <c r="Z1558" i="2"/>
  <c r="Y1558" i="2"/>
  <c r="X1558" i="2"/>
  <c r="Z1557" i="2"/>
  <c r="Y1557" i="2"/>
  <c r="X1557" i="2"/>
  <c r="Z1556" i="2"/>
  <c r="Y1556" i="2"/>
  <c r="X1556" i="2"/>
  <c r="Z1555" i="2"/>
  <c r="Y1555" i="2"/>
  <c r="X1555" i="2"/>
  <c r="Z1554" i="2"/>
  <c r="Y1554" i="2"/>
  <c r="X1554" i="2"/>
  <c r="Z1553" i="2"/>
  <c r="Y1553" i="2"/>
  <c r="X1553" i="2"/>
  <c r="Z1552" i="2"/>
  <c r="Y1552" i="2"/>
  <c r="X1552" i="2"/>
  <c r="Z1551" i="2"/>
  <c r="Y1551" i="2"/>
  <c r="X1551" i="2"/>
  <c r="Z1550" i="2"/>
  <c r="Y1550" i="2"/>
  <c r="X1550" i="2"/>
  <c r="Z1549" i="2"/>
  <c r="Y1549" i="2"/>
  <c r="X1549" i="2"/>
  <c r="Z1548" i="2"/>
  <c r="Y1548" i="2"/>
  <c r="X1548" i="2"/>
  <c r="Z1547" i="2"/>
  <c r="Y1547" i="2"/>
  <c r="X1547" i="2"/>
  <c r="Z1546" i="2"/>
  <c r="Y1546" i="2"/>
  <c r="X1546" i="2"/>
  <c r="Z1545" i="2"/>
  <c r="Y1545" i="2"/>
  <c r="X1545" i="2"/>
  <c r="Z1544" i="2"/>
  <c r="Y1544" i="2"/>
  <c r="X1544" i="2"/>
  <c r="Z1543" i="2"/>
  <c r="Y1543" i="2"/>
  <c r="X1543" i="2"/>
  <c r="Z1542" i="2"/>
  <c r="Y1542" i="2"/>
  <c r="X1542" i="2"/>
  <c r="Z1541" i="2"/>
  <c r="Y1541" i="2"/>
  <c r="X1541" i="2"/>
  <c r="Z1540" i="2"/>
  <c r="Y1540" i="2"/>
  <c r="X1540" i="2"/>
  <c r="Z1539" i="2"/>
  <c r="Y1539" i="2"/>
  <c r="X1539" i="2"/>
  <c r="Z1538" i="2"/>
  <c r="Y1538" i="2"/>
  <c r="X1538" i="2"/>
  <c r="Z1537" i="2"/>
  <c r="Y1537" i="2"/>
  <c r="X1537" i="2"/>
  <c r="Z1536" i="2"/>
  <c r="Y1536" i="2"/>
  <c r="X1536" i="2"/>
  <c r="Z1535" i="2"/>
  <c r="Y1535" i="2"/>
  <c r="X1535" i="2"/>
  <c r="Z1534" i="2"/>
  <c r="Y1534" i="2"/>
  <c r="X1534" i="2"/>
  <c r="Z1533" i="2"/>
  <c r="Y1533" i="2"/>
  <c r="X1533" i="2"/>
  <c r="Z1532" i="2"/>
  <c r="Y1532" i="2"/>
  <c r="X1532" i="2"/>
  <c r="Z1531" i="2"/>
  <c r="Y1531" i="2"/>
  <c r="X1531" i="2"/>
  <c r="Z1530" i="2"/>
  <c r="Y1530" i="2"/>
  <c r="X1530" i="2"/>
  <c r="Z1529" i="2"/>
  <c r="Y1529" i="2"/>
  <c r="X1529" i="2"/>
  <c r="Z1528" i="2"/>
  <c r="Y1528" i="2"/>
  <c r="X1528" i="2"/>
  <c r="Z1527" i="2"/>
  <c r="Y1527" i="2"/>
  <c r="X1527" i="2"/>
  <c r="Z1526" i="2"/>
  <c r="Y1526" i="2"/>
  <c r="X1526" i="2"/>
  <c r="Z1525" i="2"/>
  <c r="Y1525" i="2"/>
  <c r="X1525" i="2"/>
  <c r="Z1524" i="2"/>
  <c r="Y1524" i="2"/>
  <c r="X1524" i="2"/>
  <c r="Z1523" i="2"/>
  <c r="Y1523" i="2"/>
  <c r="X1523" i="2"/>
  <c r="Z1522" i="2"/>
  <c r="Y1522" i="2"/>
  <c r="X1522" i="2"/>
  <c r="Z1521" i="2"/>
  <c r="Y1521" i="2"/>
  <c r="X1521" i="2"/>
  <c r="Z1520" i="2"/>
  <c r="Y1520" i="2"/>
  <c r="X1520" i="2"/>
  <c r="Z1519" i="2"/>
  <c r="Y1519" i="2"/>
  <c r="X1519" i="2"/>
  <c r="Z1518" i="2"/>
  <c r="Y1518" i="2"/>
  <c r="X1518" i="2"/>
  <c r="Z1517" i="2"/>
  <c r="Y1517" i="2"/>
  <c r="X1517" i="2"/>
  <c r="Z1516" i="2"/>
  <c r="Y1516" i="2"/>
  <c r="X1516" i="2"/>
  <c r="Z1515" i="2"/>
  <c r="Y1515" i="2"/>
  <c r="X1515" i="2"/>
  <c r="Z1514" i="2"/>
  <c r="Y1514" i="2"/>
  <c r="X1514" i="2"/>
  <c r="Z1513" i="2"/>
  <c r="Y1513" i="2"/>
  <c r="X1513" i="2"/>
  <c r="Z1512" i="2"/>
  <c r="Y1512" i="2"/>
  <c r="X1512" i="2"/>
  <c r="Z1511" i="2"/>
  <c r="Y1511" i="2"/>
  <c r="X1511" i="2"/>
  <c r="Z1510" i="2"/>
  <c r="Y1510" i="2"/>
  <c r="X1510" i="2"/>
  <c r="Z1509" i="2"/>
  <c r="Y1509" i="2"/>
  <c r="X1509" i="2"/>
  <c r="Z1508" i="2"/>
  <c r="Y1508" i="2"/>
  <c r="X1508" i="2"/>
  <c r="Z1507" i="2"/>
  <c r="Y1507" i="2"/>
  <c r="X1507" i="2"/>
  <c r="Z1506" i="2"/>
  <c r="Y1506" i="2"/>
  <c r="X1506" i="2"/>
  <c r="Z1505" i="2"/>
  <c r="Y1505" i="2"/>
  <c r="X1505" i="2"/>
  <c r="Z1504" i="2"/>
  <c r="Y1504" i="2"/>
  <c r="X1504" i="2"/>
  <c r="Z1503" i="2"/>
  <c r="Y1503" i="2"/>
  <c r="X1503" i="2"/>
  <c r="Z1502" i="2"/>
  <c r="Y1502" i="2"/>
  <c r="X1502" i="2"/>
  <c r="Z1501" i="2"/>
  <c r="Y1501" i="2"/>
  <c r="X1501" i="2"/>
  <c r="Z1500" i="2"/>
  <c r="Y1500" i="2"/>
  <c r="X1500" i="2"/>
  <c r="Z1499" i="2"/>
  <c r="Y1499" i="2"/>
  <c r="X1499" i="2"/>
  <c r="Z1498" i="2"/>
  <c r="Y1498" i="2"/>
  <c r="X1498" i="2"/>
  <c r="Z1497" i="2"/>
  <c r="Y1497" i="2"/>
  <c r="X1497" i="2"/>
  <c r="Z1496" i="2"/>
  <c r="Y1496" i="2"/>
  <c r="X1496" i="2"/>
  <c r="Z1495" i="2"/>
  <c r="Y1495" i="2"/>
  <c r="X1495" i="2"/>
  <c r="Z1494" i="2"/>
  <c r="Y1494" i="2"/>
  <c r="X1494" i="2"/>
  <c r="Z1493" i="2"/>
  <c r="Y1493" i="2"/>
  <c r="X1493" i="2"/>
  <c r="Z1492" i="2"/>
  <c r="Y1492" i="2"/>
  <c r="X1492" i="2"/>
  <c r="Z1491" i="2"/>
  <c r="Y1491" i="2"/>
  <c r="X1491" i="2"/>
  <c r="Z1490" i="2"/>
  <c r="Y1490" i="2"/>
  <c r="X1490" i="2"/>
  <c r="Z1489" i="2"/>
  <c r="Y1489" i="2"/>
  <c r="X1489" i="2"/>
  <c r="Z1488" i="2"/>
  <c r="Y1488" i="2"/>
  <c r="X1488" i="2"/>
  <c r="Z1487" i="2"/>
  <c r="Y1487" i="2"/>
  <c r="X1487" i="2"/>
  <c r="Z1486" i="2"/>
  <c r="Y1486" i="2"/>
  <c r="X1486" i="2"/>
  <c r="Z1485" i="2"/>
  <c r="Y1485" i="2"/>
  <c r="X1485" i="2"/>
  <c r="Z1484" i="2"/>
  <c r="Y1484" i="2"/>
  <c r="X1484" i="2"/>
  <c r="Z1483" i="2"/>
  <c r="Y1483" i="2"/>
  <c r="X1483" i="2"/>
  <c r="Z1482" i="2"/>
  <c r="Y1482" i="2"/>
  <c r="X1482" i="2"/>
  <c r="Z1481" i="2"/>
  <c r="Y1481" i="2"/>
  <c r="X1481" i="2"/>
  <c r="Z1480" i="2"/>
  <c r="Y1480" i="2"/>
  <c r="X1480" i="2"/>
  <c r="Z1479" i="2"/>
  <c r="Y1479" i="2"/>
  <c r="X1479" i="2"/>
  <c r="Z1478" i="2"/>
  <c r="Y1478" i="2"/>
  <c r="X1478" i="2"/>
  <c r="Z1477" i="2"/>
  <c r="Y1477" i="2"/>
  <c r="X1477" i="2"/>
  <c r="Z1476" i="2"/>
  <c r="Y1476" i="2"/>
  <c r="X1476" i="2"/>
  <c r="Z1475" i="2"/>
  <c r="Y1475" i="2"/>
  <c r="X1475" i="2"/>
  <c r="Z1474" i="2"/>
  <c r="Y1474" i="2"/>
  <c r="X1474" i="2"/>
  <c r="Z1473" i="2"/>
  <c r="Y1473" i="2"/>
  <c r="X1473" i="2"/>
  <c r="Z1472" i="2"/>
  <c r="Y1472" i="2"/>
  <c r="X1472" i="2"/>
  <c r="Z1471" i="2"/>
  <c r="Y1471" i="2"/>
  <c r="X1471" i="2"/>
  <c r="Z1470" i="2"/>
  <c r="Y1470" i="2"/>
  <c r="X1470" i="2"/>
  <c r="Z1469" i="2"/>
  <c r="Y1469" i="2"/>
  <c r="X1469" i="2"/>
  <c r="Z1468" i="2"/>
  <c r="Y1468" i="2"/>
  <c r="X1468" i="2"/>
  <c r="Z1467" i="2"/>
  <c r="Y1467" i="2"/>
  <c r="X1467" i="2"/>
  <c r="Z1466" i="2"/>
  <c r="Y1466" i="2"/>
  <c r="X1466" i="2"/>
  <c r="Z1465" i="2"/>
  <c r="Y1465" i="2"/>
  <c r="X1465" i="2"/>
  <c r="Z1464" i="2"/>
  <c r="Y1464" i="2"/>
  <c r="X1464" i="2"/>
  <c r="Z1463" i="2"/>
  <c r="Y1463" i="2"/>
  <c r="X1463" i="2"/>
  <c r="Z1462" i="2"/>
  <c r="Y1462" i="2"/>
  <c r="X1462" i="2"/>
  <c r="Z1461" i="2"/>
  <c r="Y1461" i="2"/>
  <c r="X1461" i="2"/>
  <c r="Z1460" i="2"/>
  <c r="Y1460" i="2"/>
  <c r="X1460" i="2"/>
  <c r="Z1459" i="2"/>
  <c r="Y1459" i="2"/>
  <c r="X1459" i="2"/>
  <c r="Z1458" i="2"/>
  <c r="Y1458" i="2"/>
  <c r="X1458" i="2"/>
  <c r="Z1457" i="2"/>
  <c r="Y1457" i="2"/>
  <c r="X1457" i="2"/>
  <c r="Z1456" i="2"/>
  <c r="Y1456" i="2"/>
  <c r="X1456" i="2"/>
  <c r="Z1455" i="2"/>
  <c r="Y1455" i="2"/>
  <c r="X1455" i="2"/>
  <c r="Z1454" i="2"/>
  <c r="Y1454" i="2"/>
  <c r="X1454" i="2"/>
  <c r="Z1453" i="2"/>
  <c r="Y1453" i="2"/>
  <c r="X1453" i="2"/>
  <c r="Z1452" i="2"/>
  <c r="Y1452" i="2"/>
  <c r="X1452" i="2"/>
  <c r="Z1451" i="2"/>
  <c r="Y1451" i="2"/>
  <c r="X1451" i="2"/>
  <c r="Z1450" i="2"/>
  <c r="Y1450" i="2"/>
  <c r="X1450" i="2"/>
  <c r="Z1449" i="2"/>
  <c r="Y1449" i="2"/>
  <c r="X1449" i="2"/>
  <c r="Z1448" i="2"/>
  <c r="Y1448" i="2"/>
  <c r="X1448" i="2"/>
  <c r="Z1447" i="2"/>
  <c r="Y1447" i="2"/>
  <c r="X1447" i="2"/>
  <c r="Z1446" i="2"/>
  <c r="Y1446" i="2"/>
  <c r="X1446" i="2"/>
  <c r="Z1445" i="2"/>
  <c r="Y1445" i="2"/>
  <c r="X1445" i="2"/>
  <c r="Z1444" i="2"/>
  <c r="Y1444" i="2"/>
  <c r="X1444" i="2"/>
  <c r="Z1443" i="2"/>
  <c r="Y1443" i="2"/>
  <c r="X1443" i="2"/>
  <c r="Z1442" i="2"/>
  <c r="Y1442" i="2"/>
  <c r="X1442" i="2"/>
  <c r="Z1441" i="2"/>
  <c r="Y1441" i="2"/>
  <c r="X1441" i="2"/>
  <c r="Z1440" i="2"/>
  <c r="Y1440" i="2"/>
  <c r="X1440" i="2"/>
  <c r="Z1439" i="2"/>
  <c r="Y1439" i="2"/>
  <c r="X1439" i="2"/>
  <c r="Z1438" i="2"/>
  <c r="Y1438" i="2"/>
  <c r="X1438" i="2"/>
  <c r="Z1437" i="2"/>
  <c r="Y1437" i="2"/>
  <c r="X1437" i="2"/>
  <c r="Z1436" i="2"/>
  <c r="Y1436" i="2"/>
  <c r="X1436" i="2"/>
  <c r="Z1435" i="2"/>
  <c r="Y1435" i="2"/>
  <c r="X1435" i="2"/>
  <c r="Z1434" i="2"/>
  <c r="Y1434" i="2"/>
  <c r="X1434" i="2"/>
  <c r="Z1433" i="2"/>
  <c r="Y1433" i="2"/>
  <c r="X1433" i="2"/>
  <c r="Z1432" i="2"/>
  <c r="Y1432" i="2"/>
  <c r="X1432" i="2"/>
  <c r="Z1431" i="2"/>
  <c r="Y1431" i="2"/>
  <c r="X1431" i="2"/>
  <c r="Z1430" i="2"/>
  <c r="Y1430" i="2"/>
  <c r="X1430" i="2"/>
  <c r="Z1429" i="2"/>
  <c r="Y1429" i="2"/>
  <c r="X1429" i="2"/>
  <c r="Z1428" i="2"/>
  <c r="Y1428" i="2"/>
  <c r="X1428" i="2"/>
  <c r="Z1427" i="2"/>
  <c r="Y1427" i="2"/>
  <c r="X1427" i="2"/>
  <c r="Z1426" i="2"/>
  <c r="Y1426" i="2"/>
  <c r="X1426" i="2"/>
  <c r="Z1425" i="2"/>
  <c r="Y1425" i="2"/>
  <c r="X1425" i="2"/>
  <c r="Z1424" i="2"/>
  <c r="Y1424" i="2"/>
  <c r="X1424" i="2"/>
  <c r="Z1423" i="2"/>
  <c r="Y1423" i="2"/>
  <c r="X1423" i="2"/>
  <c r="Z1422" i="2"/>
  <c r="Y1422" i="2"/>
  <c r="X1422" i="2"/>
  <c r="Z1421" i="2"/>
  <c r="Y1421" i="2"/>
  <c r="X1421" i="2"/>
  <c r="Z1420" i="2"/>
  <c r="Y1420" i="2"/>
  <c r="X1420" i="2"/>
  <c r="Z1419" i="2"/>
  <c r="Y1419" i="2"/>
  <c r="X1419" i="2"/>
  <c r="Z1418" i="2"/>
  <c r="Y1418" i="2"/>
  <c r="X1418" i="2"/>
  <c r="Z1417" i="2"/>
  <c r="Y1417" i="2"/>
  <c r="X1417" i="2"/>
  <c r="Z1416" i="2"/>
  <c r="Y1416" i="2"/>
  <c r="X1416" i="2"/>
  <c r="Z1415" i="2"/>
  <c r="Y1415" i="2"/>
  <c r="X1415" i="2"/>
  <c r="Z1414" i="2"/>
  <c r="Y1414" i="2"/>
  <c r="X1414" i="2"/>
  <c r="Z1413" i="2"/>
  <c r="Y1413" i="2"/>
  <c r="X1413" i="2"/>
  <c r="Z1412" i="2"/>
  <c r="Y1412" i="2"/>
  <c r="X1412" i="2"/>
  <c r="Z1411" i="2"/>
  <c r="Y1411" i="2"/>
  <c r="X1411" i="2"/>
  <c r="Z1410" i="2"/>
  <c r="Y1410" i="2"/>
  <c r="X1410" i="2"/>
  <c r="Z1409" i="2"/>
  <c r="Y1409" i="2"/>
  <c r="X1409" i="2"/>
  <c r="Z1408" i="2"/>
  <c r="Y1408" i="2"/>
  <c r="X1408" i="2"/>
  <c r="Z1407" i="2"/>
  <c r="Y1407" i="2"/>
  <c r="X1407" i="2"/>
  <c r="Z1406" i="2"/>
  <c r="Y1406" i="2"/>
  <c r="X1406" i="2"/>
  <c r="Z1405" i="2"/>
  <c r="Y1405" i="2"/>
  <c r="X1405" i="2"/>
  <c r="Z1404" i="2"/>
  <c r="Y1404" i="2"/>
  <c r="X1404" i="2"/>
  <c r="Z1403" i="2"/>
  <c r="Y1403" i="2"/>
  <c r="X1403" i="2"/>
  <c r="Z1402" i="2"/>
  <c r="Y1402" i="2"/>
  <c r="X1402" i="2"/>
  <c r="Z1401" i="2"/>
  <c r="Y1401" i="2"/>
  <c r="X1401" i="2"/>
  <c r="Z1400" i="2"/>
  <c r="Y1400" i="2"/>
  <c r="X1400" i="2"/>
  <c r="Z1399" i="2"/>
  <c r="Y1399" i="2"/>
  <c r="X1399" i="2"/>
  <c r="Z1398" i="2"/>
  <c r="Y1398" i="2"/>
  <c r="X1398" i="2"/>
  <c r="Z1397" i="2"/>
  <c r="Y1397" i="2"/>
  <c r="X1397" i="2"/>
  <c r="Z1396" i="2"/>
  <c r="Y1396" i="2"/>
  <c r="X1396" i="2"/>
  <c r="Z1395" i="2"/>
  <c r="Y1395" i="2"/>
  <c r="X1395" i="2"/>
  <c r="Z1394" i="2"/>
  <c r="Y1394" i="2"/>
  <c r="X1394" i="2"/>
  <c r="Z1393" i="2"/>
  <c r="Y1393" i="2"/>
  <c r="X1393" i="2"/>
  <c r="Z1392" i="2"/>
  <c r="Y1392" i="2"/>
  <c r="X1392" i="2"/>
  <c r="Z1391" i="2"/>
  <c r="Y1391" i="2"/>
  <c r="X1391" i="2"/>
  <c r="Z1390" i="2"/>
  <c r="Y1390" i="2"/>
  <c r="X1390" i="2"/>
  <c r="Z1389" i="2"/>
  <c r="Y1389" i="2"/>
  <c r="X1389" i="2"/>
  <c r="Z1388" i="2"/>
  <c r="Y1388" i="2"/>
  <c r="X1388" i="2"/>
  <c r="Z1387" i="2"/>
  <c r="Y1387" i="2"/>
  <c r="X1387" i="2"/>
  <c r="Z1386" i="2"/>
  <c r="Y1386" i="2"/>
  <c r="X1386" i="2"/>
  <c r="Z1385" i="2"/>
  <c r="Y1385" i="2"/>
  <c r="X1385" i="2"/>
  <c r="Z1384" i="2"/>
  <c r="Y1384" i="2"/>
  <c r="X1384" i="2"/>
  <c r="Z1383" i="2"/>
  <c r="Y1383" i="2"/>
  <c r="X1383" i="2"/>
  <c r="Z1382" i="2"/>
  <c r="Y1382" i="2"/>
  <c r="X1382" i="2"/>
  <c r="Z1381" i="2"/>
  <c r="Y1381" i="2"/>
  <c r="X1381" i="2"/>
  <c r="Z1380" i="2"/>
  <c r="Y1380" i="2"/>
  <c r="X1380" i="2"/>
  <c r="Z1379" i="2"/>
  <c r="Y1379" i="2"/>
  <c r="X1379" i="2"/>
  <c r="Z1378" i="2"/>
  <c r="Y1378" i="2"/>
  <c r="X1378" i="2"/>
  <c r="Z1377" i="2"/>
  <c r="Y1377" i="2"/>
  <c r="X1377" i="2"/>
  <c r="Z1376" i="2"/>
  <c r="Y1376" i="2"/>
  <c r="X1376" i="2"/>
  <c r="Z1375" i="2"/>
  <c r="Y1375" i="2"/>
  <c r="X1375" i="2"/>
  <c r="Z1374" i="2"/>
  <c r="Y1374" i="2"/>
  <c r="X1374" i="2"/>
  <c r="Z1373" i="2"/>
  <c r="Y1373" i="2"/>
  <c r="X1373" i="2"/>
  <c r="Z1372" i="2"/>
  <c r="Y1372" i="2"/>
  <c r="X1372" i="2"/>
  <c r="Z1371" i="2"/>
  <c r="Y1371" i="2"/>
  <c r="X1371" i="2"/>
  <c r="Z1370" i="2"/>
  <c r="Y1370" i="2"/>
  <c r="X1370" i="2"/>
  <c r="Z1369" i="2"/>
  <c r="Y1369" i="2"/>
  <c r="X1369" i="2"/>
  <c r="Z1368" i="2"/>
  <c r="Y1368" i="2"/>
  <c r="X1368" i="2"/>
  <c r="Z1367" i="2"/>
  <c r="Y1367" i="2"/>
  <c r="X1367" i="2"/>
  <c r="Z1366" i="2"/>
  <c r="Y1366" i="2"/>
  <c r="X1366" i="2"/>
  <c r="Z1365" i="2"/>
  <c r="Y1365" i="2"/>
  <c r="X1365" i="2"/>
  <c r="Z1364" i="2"/>
  <c r="Y1364" i="2"/>
  <c r="X1364" i="2"/>
  <c r="Z1363" i="2"/>
  <c r="Y1363" i="2"/>
  <c r="X1363" i="2"/>
  <c r="Z1362" i="2"/>
  <c r="Y1362" i="2"/>
  <c r="X1362" i="2"/>
  <c r="Z1361" i="2"/>
  <c r="Y1361" i="2"/>
  <c r="X1361" i="2"/>
  <c r="Z1360" i="2"/>
  <c r="Y1360" i="2"/>
  <c r="X1360" i="2"/>
  <c r="Z1359" i="2"/>
  <c r="Y1359" i="2"/>
  <c r="X1359" i="2"/>
  <c r="Z1358" i="2"/>
  <c r="Y1358" i="2"/>
  <c r="X1358" i="2"/>
  <c r="Z1357" i="2"/>
  <c r="Y1357" i="2"/>
  <c r="X1357" i="2"/>
  <c r="Z1356" i="2"/>
  <c r="Y1356" i="2"/>
  <c r="X1356" i="2"/>
  <c r="Z1355" i="2"/>
  <c r="Y1355" i="2"/>
  <c r="X1355" i="2"/>
  <c r="Z1354" i="2"/>
  <c r="Y1354" i="2"/>
  <c r="X1354" i="2"/>
  <c r="Z1353" i="2"/>
  <c r="Y1353" i="2"/>
  <c r="X1353" i="2"/>
  <c r="Z1352" i="2"/>
  <c r="Y1352" i="2"/>
  <c r="X1352" i="2"/>
  <c r="Z1351" i="2"/>
  <c r="Y1351" i="2"/>
  <c r="X1351" i="2"/>
  <c r="Z1350" i="2"/>
  <c r="Y1350" i="2"/>
  <c r="X1350" i="2"/>
  <c r="Z1349" i="2"/>
  <c r="Y1349" i="2"/>
  <c r="X1349" i="2"/>
  <c r="Z1348" i="2"/>
  <c r="Y1348" i="2"/>
  <c r="X1348" i="2"/>
  <c r="Z1347" i="2"/>
  <c r="Y1347" i="2"/>
  <c r="X1347" i="2"/>
  <c r="Z1346" i="2"/>
  <c r="Y1346" i="2"/>
  <c r="X1346" i="2"/>
  <c r="Z1345" i="2"/>
  <c r="Y1345" i="2"/>
  <c r="X1345" i="2"/>
  <c r="Z1344" i="2"/>
  <c r="Y1344" i="2"/>
  <c r="X1344" i="2"/>
  <c r="Z1343" i="2"/>
  <c r="Y1343" i="2"/>
  <c r="X1343" i="2"/>
  <c r="Z1342" i="2"/>
  <c r="Y1342" i="2"/>
  <c r="X1342" i="2"/>
  <c r="Z1341" i="2"/>
  <c r="Y1341" i="2"/>
  <c r="X1341" i="2"/>
  <c r="Z1340" i="2"/>
  <c r="Y1340" i="2"/>
  <c r="X1340" i="2"/>
  <c r="Z1339" i="2"/>
  <c r="Y1339" i="2"/>
  <c r="X1339" i="2"/>
  <c r="Z1338" i="2"/>
  <c r="Y1338" i="2"/>
  <c r="X1338" i="2"/>
  <c r="Z1337" i="2"/>
  <c r="Y1337" i="2"/>
  <c r="X1337" i="2"/>
  <c r="Z1336" i="2"/>
  <c r="Y1336" i="2"/>
  <c r="X1336" i="2"/>
  <c r="Z1335" i="2"/>
  <c r="Y1335" i="2"/>
  <c r="X1335" i="2"/>
  <c r="Z1334" i="2"/>
  <c r="Y1334" i="2"/>
  <c r="X1334" i="2"/>
  <c r="Z1333" i="2"/>
  <c r="Y1333" i="2"/>
  <c r="X1333" i="2"/>
  <c r="Z1332" i="2"/>
  <c r="Y1332" i="2"/>
  <c r="X1332" i="2"/>
  <c r="Z1331" i="2"/>
  <c r="Y1331" i="2"/>
  <c r="X1331" i="2"/>
  <c r="Z1330" i="2"/>
  <c r="Y1330" i="2"/>
  <c r="X1330" i="2"/>
  <c r="Z1329" i="2"/>
  <c r="Y1329" i="2"/>
  <c r="X1329" i="2"/>
  <c r="Z1328" i="2"/>
  <c r="Y1328" i="2"/>
  <c r="X1328" i="2"/>
  <c r="Z1327" i="2"/>
  <c r="Y1327" i="2"/>
  <c r="X1327" i="2"/>
  <c r="Z1326" i="2"/>
  <c r="Y1326" i="2"/>
  <c r="X1326" i="2"/>
  <c r="Z1325" i="2"/>
  <c r="Y1325" i="2"/>
  <c r="X1325" i="2"/>
  <c r="Z1324" i="2"/>
  <c r="Y1324" i="2"/>
  <c r="X1324" i="2"/>
  <c r="Z1323" i="2"/>
  <c r="Y1323" i="2"/>
  <c r="X1323" i="2"/>
  <c r="Z1322" i="2"/>
  <c r="Y1322" i="2"/>
  <c r="X1322" i="2"/>
  <c r="Z1321" i="2"/>
  <c r="Y1321" i="2"/>
  <c r="X1321" i="2"/>
  <c r="Z1320" i="2"/>
  <c r="Y1320" i="2"/>
  <c r="X1320" i="2"/>
  <c r="Z1319" i="2"/>
  <c r="Y1319" i="2"/>
  <c r="X1319" i="2"/>
  <c r="Z1318" i="2"/>
  <c r="Y1318" i="2"/>
  <c r="X1318" i="2"/>
  <c r="Z1317" i="2"/>
  <c r="Y1317" i="2"/>
  <c r="X1317" i="2"/>
  <c r="Z1316" i="2"/>
  <c r="Y1316" i="2"/>
  <c r="X1316" i="2"/>
  <c r="Z1315" i="2"/>
  <c r="Y1315" i="2"/>
  <c r="X1315" i="2"/>
  <c r="Z1314" i="2"/>
  <c r="Y1314" i="2"/>
  <c r="X1314" i="2"/>
  <c r="Z1313" i="2"/>
  <c r="Y1313" i="2"/>
  <c r="X1313" i="2"/>
  <c r="Z1312" i="2"/>
  <c r="Y1312" i="2"/>
  <c r="X1312" i="2"/>
  <c r="Z1311" i="2"/>
  <c r="Y1311" i="2"/>
  <c r="X1311" i="2"/>
  <c r="Z1310" i="2"/>
  <c r="Y1310" i="2"/>
  <c r="X1310" i="2"/>
  <c r="Z1309" i="2"/>
  <c r="Y1309" i="2"/>
  <c r="X1309" i="2"/>
  <c r="Z1308" i="2"/>
  <c r="Y1308" i="2"/>
  <c r="X1308" i="2"/>
  <c r="Z1307" i="2"/>
  <c r="Y1307" i="2"/>
  <c r="X1307" i="2"/>
  <c r="Z1306" i="2"/>
  <c r="Y1306" i="2"/>
  <c r="X1306" i="2"/>
  <c r="Z1305" i="2"/>
  <c r="Y1305" i="2"/>
  <c r="X1305" i="2"/>
  <c r="Z1304" i="2"/>
  <c r="Y1304" i="2"/>
  <c r="X1304" i="2"/>
  <c r="Z1303" i="2"/>
  <c r="Y1303" i="2"/>
  <c r="X1303" i="2"/>
  <c r="Z1302" i="2"/>
  <c r="Y1302" i="2"/>
  <c r="X1302" i="2"/>
  <c r="Z1301" i="2"/>
  <c r="Y1301" i="2"/>
  <c r="X1301" i="2"/>
  <c r="Z1300" i="2"/>
  <c r="Y1300" i="2"/>
  <c r="X1300" i="2"/>
  <c r="Z1299" i="2"/>
  <c r="Y1299" i="2"/>
  <c r="X1299" i="2"/>
  <c r="Z1298" i="2"/>
  <c r="Y1298" i="2"/>
  <c r="X1298" i="2"/>
  <c r="Z1297" i="2"/>
  <c r="Y1297" i="2"/>
  <c r="X1297" i="2"/>
  <c r="Z1296" i="2"/>
  <c r="Y1296" i="2"/>
  <c r="X1296" i="2"/>
  <c r="Z1295" i="2"/>
  <c r="Y1295" i="2"/>
  <c r="X1295" i="2"/>
  <c r="Z1294" i="2"/>
  <c r="Y1294" i="2"/>
  <c r="X1294" i="2"/>
  <c r="Z1293" i="2"/>
  <c r="Y1293" i="2"/>
  <c r="X1293" i="2"/>
  <c r="Z1292" i="2"/>
  <c r="Y1292" i="2"/>
  <c r="X1292" i="2"/>
  <c r="Z1291" i="2"/>
  <c r="Y1291" i="2"/>
  <c r="X1291" i="2"/>
  <c r="Z1290" i="2"/>
  <c r="Y1290" i="2"/>
  <c r="X1290" i="2"/>
  <c r="Z1289" i="2"/>
  <c r="Y1289" i="2"/>
  <c r="X1289" i="2"/>
  <c r="Z1288" i="2"/>
  <c r="Y1288" i="2"/>
  <c r="X1288" i="2"/>
  <c r="Z1287" i="2"/>
  <c r="Y1287" i="2"/>
  <c r="X1287" i="2"/>
  <c r="Z1286" i="2"/>
  <c r="Y1286" i="2"/>
  <c r="X1286" i="2"/>
  <c r="Z1285" i="2"/>
  <c r="Y1285" i="2"/>
  <c r="X1285" i="2"/>
  <c r="Z1284" i="2"/>
  <c r="Y1284" i="2"/>
  <c r="X1284" i="2"/>
  <c r="Z1283" i="2"/>
  <c r="Y1283" i="2"/>
  <c r="X1283" i="2"/>
  <c r="Z1282" i="2"/>
  <c r="Y1282" i="2"/>
  <c r="X1282" i="2"/>
  <c r="Z1281" i="2"/>
  <c r="Y1281" i="2"/>
  <c r="X1281" i="2"/>
  <c r="Z1280" i="2"/>
  <c r="Y1280" i="2"/>
  <c r="X1280" i="2"/>
  <c r="Z1279" i="2"/>
  <c r="Y1279" i="2"/>
  <c r="X1279" i="2"/>
  <c r="Z1278" i="2"/>
  <c r="Y1278" i="2"/>
  <c r="X1278" i="2"/>
  <c r="Z1277" i="2"/>
  <c r="Y1277" i="2"/>
  <c r="X1277" i="2"/>
  <c r="Z1276" i="2"/>
  <c r="Y1276" i="2"/>
  <c r="X1276" i="2"/>
  <c r="Z1275" i="2"/>
  <c r="Y1275" i="2"/>
  <c r="X1275" i="2"/>
  <c r="Z1274" i="2"/>
  <c r="Y1274" i="2"/>
  <c r="X1274" i="2"/>
  <c r="Z1273" i="2"/>
  <c r="Y1273" i="2"/>
  <c r="X1273" i="2"/>
  <c r="Z1272" i="2"/>
  <c r="Y1272" i="2"/>
  <c r="X1272" i="2"/>
  <c r="Z1271" i="2"/>
  <c r="Y1271" i="2"/>
  <c r="X1271" i="2"/>
  <c r="Z1270" i="2"/>
  <c r="Y1270" i="2"/>
  <c r="X1270" i="2"/>
  <c r="Z1269" i="2"/>
  <c r="Y1269" i="2"/>
  <c r="X1269" i="2"/>
  <c r="Z1268" i="2"/>
  <c r="Y1268" i="2"/>
  <c r="X1268" i="2"/>
  <c r="Z1267" i="2"/>
  <c r="Y1267" i="2"/>
  <c r="X1267" i="2"/>
  <c r="Z1266" i="2"/>
  <c r="Y1266" i="2"/>
  <c r="X1266" i="2"/>
  <c r="Z1265" i="2"/>
  <c r="Y1265" i="2"/>
  <c r="X1265" i="2"/>
  <c r="Z1264" i="2"/>
  <c r="Y1264" i="2"/>
  <c r="X1264" i="2"/>
  <c r="Z1263" i="2"/>
  <c r="Y1263" i="2"/>
  <c r="X1263" i="2"/>
  <c r="Z1262" i="2"/>
  <c r="Y1262" i="2"/>
  <c r="X1262" i="2"/>
  <c r="Z1261" i="2"/>
  <c r="Y1261" i="2"/>
  <c r="X1261" i="2"/>
  <c r="Z1260" i="2"/>
  <c r="Y1260" i="2"/>
  <c r="X1260" i="2"/>
  <c r="Z1259" i="2"/>
  <c r="Y1259" i="2"/>
  <c r="X1259" i="2"/>
  <c r="Z1258" i="2"/>
  <c r="Y1258" i="2"/>
  <c r="X1258" i="2"/>
  <c r="Z1257" i="2"/>
  <c r="Y1257" i="2"/>
  <c r="X1257" i="2"/>
  <c r="Z1256" i="2"/>
  <c r="Y1256" i="2"/>
  <c r="X1256" i="2"/>
  <c r="Z1255" i="2"/>
  <c r="Y1255" i="2"/>
  <c r="X1255" i="2"/>
  <c r="Z1254" i="2"/>
  <c r="Y1254" i="2"/>
  <c r="X1254" i="2"/>
  <c r="Z1253" i="2"/>
  <c r="Y1253" i="2"/>
  <c r="X1253" i="2"/>
  <c r="Z1252" i="2"/>
  <c r="Y1252" i="2"/>
  <c r="X1252" i="2"/>
  <c r="Z1251" i="2"/>
  <c r="Y1251" i="2"/>
  <c r="X1251" i="2"/>
  <c r="Z1250" i="2"/>
  <c r="Y1250" i="2"/>
  <c r="X1250" i="2"/>
  <c r="Z1249" i="2"/>
  <c r="Y1249" i="2"/>
  <c r="X1249" i="2"/>
  <c r="Z1248" i="2"/>
  <c r="Y1248" i="2"/>
  <c r="X1248" i="2"/>
  <c r="Z1247" i="2"/>
  <c r="Y1247" i="2"/>
  <c r="X1247" i="2"/>
  <c r="Z1246" i="2"/>
  <c r="Y1246" i="2"/>
  <c r="X1246" i="2"/>
  <c r="Z1245" i="2"/>
  <c r="Y1245" i="2"/>
  <c r="X1245" i="2"/>
  <c r="Z1244" i="2"/>
  <c r="Y1244" i="2"/>
  <c r="X1244" i="2"/>
  <c r="Z1243" i="2"/>
  <c r="Y1243" i="2"/>
  <c r="X1243" i="2"/>
  <c r="Z1242" i="2"/>
  <c r="Y1242" i="2"/>
  <c r="X1242" i="2"/>
  <c r="Z1241" i="2"/>
  <c r="Y1241" i="2"/>
  <c r="X1241" i="2"/>
  <c r="Z1240" i="2"/>
  <c r="Y1240" i="2"/>
  <c r="X1240" i="2"/>
  <c r="Z1239" i="2"/>
  <c r="Y1239" i="2"/>
  <c r="X1239" i="2"/>
  <c r="Z1238" i="2"/>
  <c r="Y1238" i="2"/>
  <c r="X1238" i="2"/>
  <c r="Z1237" i="2"/>
  <c r="Y1237" i="2"/>
  <c r="X1237" i="2"/>
  <c r="Z1236" i="2"/>
  <c r="Y1236" i="2"/>
  <c r="X1236" i="2"/>
  <c r="Z1235" i="2"/>
  <c r="Y1235" i="2"/>
  <c r="X1235" i="2"/>
  <c r="Z1234" i="2"/>
  <c r="Y1234" i="2"/>
  <c r="X1234" i="2"/>
  <c r="Z1233" i="2"/>
  <c r="Y1233" i="2"/>
  <c r="X1233" i="2"/>
  <c r="Z1232" i="2"/>
  <c r="Y1232" i="2"/>
  <c r="X1232" i="2"/>
  <c r="Z1231" i="2"/>
  <c r="Y1231" i="2"/>
  <c r="X1231" i="2"/>
  <c r="Z1230" i="2"/>
  <c r="Y1230" i="2"/>
  <c r="X1230" i="2"/>
  <c r="Z1229" i="2"/>
  <c r="Y1229" i="2"/>
  <c r="X1229" i="2"/>
  <c r="Z1228" i="2"/>
  <c r="Y1228" i="2"/>
  <c r="X1228" i="2"/>
  <c r="Z1227" i="2"/>
  <c r="Y1227" i="2"/>
  <c r="X1227" i="2"/>
  <c r="Z1226" i="2"/>
  <c r="Y1226" i="2"/>
  <c r="X1226" i="2"/>
  <c r="Z1225" i="2"/>
  <c r="Y1225" i="2"/>
  <c r="X1225" i="2"/>
  <c r="Z1224" i="2"/>
  <c r="Y1224" i="2"/>
  <c r="X1224" i="2"/>
  <c r="Z1223" i="2"/>
  <c r="Y1223" i="2"/>
  <c r="X1223" i="2"/>
  <c r="Z1222" i="2"/>
  <c r="Y1222" i="2"/>
  <c r="X1222" i="2"/>
  <c r="Z1221" i="2"/>
  <c r="Y1221" i="2"/>
  <c r="X1221" i="2"/>
  <c r="Z1220" i="2"/>
  <c r="Y1220" i="2"/>
  <c r="X1220" i="2"/>
  <c r="Z1219" i="2"/>
  <c r="Y1219" i="2"/>
  <c r="X1219" i="2"/>
  <c r="Z1218" i="2"/>
  <c r="Y1218" i="2"/>
  <c r="X1218" i="2"/>
  <c r="Z1217" i="2"/>
  <c r="Y1217" i="2"/>
  <c r="X1217" i="2"/>
  <c r="Z1216" i="2"/>
  <c r="Y1216" i="2"/>
  <c r="X1216" i="2"/>
  <c r="Z1215" i="2"/>
  <c r="Y1215" i="2"/>
  <c r="X1215" i="2"/>
  <c r="Z1214" i="2"/>
  <c r="Y1214" i="2"/>
  <c r="X1214" i="2"/>
  <c r="Z1213" i="2"/>
  <c r="Y1213" i="2"/>
  <c r="X1213" i="2"/>
  <c r="Z1212" i="2"/>
  <c r="Y1212" i="2"/>
  <c r="X1212" i="2"/>
  <c r="Z1211" i="2"/>
  <c r="Y1211" i="2"/>
  <c r="X1211" i="2"/>
  <c r="Z1210" i="2"/>
  <c r="Y1210" i="2"/>
  <c r="X1210" i="2"/>
  <c r="Z1209" i="2"/>
  <c r="Y1209" i="2"/>
  <c r="X1209" i="2"/>
  <c r="Z1208" i="2"/>
  <c r="Y1208" i="2"/>
  <c r="X1208" i="2"/>
  <c r="Z1207" i="2"/>
  <c r="Y1207" i="2"/>
  <c r="X1207" i="2"/>
  <c r="Z1206" i="2"/>
  <c r="Y1206" i="2"/>
  <c r="X1206" i="2"/>
  <c r="Z1205" i="2"/>
  <c r="Y1205" i="2"/>
  <c r="X1205" i="2"/>
  <c r="Z1204" i="2"/>
  <c r="Y1204" i="2"/>
  <c r="X1204" i="2"/>
  <c r="Z1203" i="2"/>
  <c r="Y1203" i="2"/>
  <c r="X1203" i="2"/>
  <c r="Z1202" i="2"/>
  <c r="Y1202" i="2"/>
  <c r="X1202" i="2"/>
  <c r="Z1201" i="2"/>
  <c r="Y1201" i="2"/>
  <c r="X1201" i="2"/>
  <c r="Z1200" i="2"/>
  <c r="Y1200" i="2"/>
  <c r="X1200" i="2"/>
  <c r="Z1199" i="2"/>
  <c r="Y1199" i="2"/>
  <c r="X1199" i="2"/>
  <c r="Z1198" i="2"/>
  <c r="Y1198" i="2"/>
  <c r="X1198" i="2"/>
  <c r="Z1197" i="2"/>
  <c r="Y1197" i="2"/>
  <c r="X1197" i="2"/>
  <c r="Z1196" i="2"/>
  <c r="Y1196" i="2"/>
  <c r="X1196" i="2"/>
  <c r="Z1195" i="2"/>
  <c r="Y1195" i="2"/>
  <c r="X1195" i="2"/>
  <c r="Z1194" i="2"/>
  <c r="Y1194" i="2"/>
  <c r="X1194" i="2"/>
  <c r="Z1193" i="2"/>
  <c r="Y1193" i="2"/>
  <c r="X1193" i="2"/>
  <c r="Z1192" i="2"/>
  <c r="Y1192" i="2"/>
  <c r="X1192" i="2"/>
  <c r="Z1191" i="2"/>
  <c r="Y1191" i="2"/>
  <c r="X1191" i="2"/>
  <c r="Z1190" i="2"/>
  <c r="Y1190" i="2"/>
  <c r="X1190" i="2"/>
  <c r="Z1189" i="2"/>
  <c r="Y1189" i="2"/>
  <c r="X1189" i="2"/>
  <c r="Z1188" i="2"/>
  <c r="Y1188" i="2"/>
  <c r="X1188" i="2"/>
  <c r="Z1187" i="2"/>
  <c r="Y1187" i="2"/>
  <c r="X1187" i="2"/>
  <c r="Z1186" i="2"/>
  <c r="Y1186" i="2"/>
  <c r="X1186" i="2"/>
  <c r="Z1185" i="2"/>
  <c r="Y1185" i="2"/>
  <c r="X1185" i="2"/>
  <c r="Z1184" i="2"/>
  <c r="Y1184" i="2"/>
  <c r="X1184" i="2"/>
  <c r="Z1183" i="2"/>
  <c r="Y1183" i="2"/>
  <c r="X1183" i="2"/>
  <c r="Z1182" i="2"/>
  <c r="Y1182" i="2"/>
  <c r="X1182" i="2"/>
  <c r="Z1181" i="2"/>
  <c r="Y1181" i="2"/>
  <c r="X1181" i="2"/>
  <c r="Z1180" i="2"/>
  <c r="Y1180" i="2"/>
  <c r="X1180" i="2"/>
  <c r="Z1179" i="2"/>
  <c r="Y1179" i="2"/>
  <c r="X1179" i="2"/>
  <c r="Z1178" i="2"/>
  <c r="Y1178" i="2"/>
  <c r="X1178" i="2"/>
  <c r="Z1177" i="2"/>
  <c r="Y1177" i="2"/>
  <c r="X1177" i="2"/>
  <c r="Z1176" i="2"/>
  <c r="Y1176" i="2"/>
  <c r="X1176" i="2"/>
  <c r="Z1175" i="2"/>
  <c r="Y1175" i="2"/>
  <c r="X1175" i="2"/>
  <c r="Z1174" i="2"/>
  <c r="Y1174" i="2"/>
  <c r="X1174" i="2"/>
  <c r="Z1173" i="2"/>
  <c r="Y1173" i="2"/>
  <c r="X1173" i="2"/>
  <c r="Z1172" i="2"/>
  <c r="Y1172" i="2"/>
  <c r="X1172" i="2"/>
  <c r="Z1171" i="2"/>
  <c r="Y1171" i="2"/>
  <c r="X1171" i="2"/>
  <c r="Z1170" i="2"/>
  <c r="Y1170" i="2"/>
  <c r="X1170" i="2"/>
  <c r="Z1169" i="2"/>
  <c r="Y1169" i="2"/>
  <c r="X1169" i="2"/>
  <c r="Z1168" i="2"/>
  <c r="Y1168" i="2"/>
  <c r="X1168" i="2"/>
  <c r="Z1167" i="2"/>
  <c r="Y1167" i="2"/>
  <c r="X1167" i="2"/>
  <c r="Z1166" i="2"/>
  <c r="Y1166" i="2"/>
  <c r="X1166" i="2"/>
  <c r="Z1165" i="2"/>
  <c r="Y1165" i="2"/>
  <c r="X1165" i="2"/>
  <c r="Z1164" i="2"/>
  <c r="Y1164" i="2"/>
  <c r="X1164" i="2"/>
  <c r="Z1163" i="2"/>
  <c r="Y1163" i="2"/>
  <c r="X1163" i="2"/>
  <c r="Z1162" i="2"/>
  <c r="Y1162" i="2"/>
  <c r="X1162" i="2"/>
  <c r="Z1161" i="2"/>
  <c r="Y1161" i="2"/>
  <c r="X1161" i="2"/>
  <c r="Z1160" i="2"/>
  <c r="Y1160" i="2"/>
  <c r="X1160" i="2"/>
  <c r="Z1159" i="2"/>
  <c r="Y1159" i="2"/>
  <c r="X1159" i="2"/>
  <c r="Z1158" i="2"/>
  <c r="Y1158" i="2"/>
  <c r="X1158" i="2"/>
  <c r="Z1157" i="2"/>
  <c r="Y1157" i="2"/>
  <c r="X1157" i="2"/>
  <c r="Z1156" i="2"/>
  <c r="Y1156" i="2"/>
  <c r="X1156" i="2"/>
  <c r="Z1155" i="2"/>
  <c r="Y1155" i="2"/>
  <c r="X1155" i="2"/>
  <c r="Z1154" i="2"/>
  <c r="Y1154" i="2"/>
  <c r="X1154" i="2"/>
  <c r="Z1153" i="2"/>
  <c r="Y1153" i="2"/>
  <c r="X1153" i="2"/>
  <c r="Z1152" i="2"/>
  <c r="Y1152" i="2"/>
  <c r="X1152" i="2"/>
  <c r="Z1151" i="2"/>
  <c r="Y1151" i="2"/>
  <c r="X1151" i="2"/>
  <c r="Z1150" i="2"/>
  <c r="Y1150" i="2"/>
  <c r="X1150" i="2"/>
  <c r="Z1149" i="2"/>
  <c r="Y1149" i="2"/>
  <c r="X1149" i="2"/>
  <c r="Z1148" i="2"/>
  <c r="Y1148" i="2"/>
  <c r="X1148" i="2"/>
  <c r="Z1147" i="2"/>
  <c r="Y1147" i="2"/>
  <c r="X1147" i="2"/>
  <c r="Z1146" i="2"/>
  <c r="Y1146" i="2"/>
  <c r="X1146" i="2"/>
  <c r="Z1145" i="2"/>
  <c r="Y1145" i="2"/>
  <c r="X1145" i="2"/>
  <c r="Z1144" i="2"/>
  <c r="Y1144" i="2"/>
  <c r="X1144" i="2"/>
  <c r="Z1143" i="2"/>
  <c r="Y1143" i="2"/>
  <c r="X1143" i="2"/>
  <c r="Z1142" i="2"/>
  <c r="Y1142" i="2"/>
  <c r="X1142" i="2"/>
  <c r="Z1141" i="2"/>
  <c r="Y1141" i="2"/>
  <c r="X1141" i="2"/>
  <c r="Z1140" i="2"/>
  <c r="Y1140" i="2"/>
  <c r="X1140" i="2"/>
  <c r="Z1139" i="2"/>
  <c r="Y1139" i="2"/>
  <c r="X1139" i="2"/>
  <c r="Z1138" i="2"/>
  <c r="Y1138" i="2"/>
  <c r="X1138" i="2"/>
  <c r="Z1137" i="2"/>
  <c r="Y1137" i="2"/>
  <c r="X1137" i="2"/>
  <c r="Z1136" i="2"/>
  <c r="Y1136" i="2"/>
  <c r="X1136" i="2"/>
  <c r="Z1135" i="2"/>
  <c r="Y1135" i="2"/>
  <c r="X1135" i="2"/>
  <c r="Z1134" i="2"/>
  <c r="Y1134" i="2"/>
  <c r="X1134" i="2"/>
  <c r="Z1133" i="2"/>
  <c r="Y1133" i="2"/>
  <c r="X1133" i="2"/>
  <c r="Z1132" i="2"/>
  <c r="Y1132" i="2"/>
  <c r="X1132" i="2"/>
  <c r="Z1131" i="2"/>
  <c r="Y1131" i="2"/>
  <c r="X1131" i="2"/>
  <c r="Z1130" i="2"/>
  <c r="Y1130" i="2"/>
  <c r="X1130" i="2"/>
  <c r="Z1129" i="2"/>
  <c r="Y1129" i="2"/>
  <c r="X1129" i="2"/>
  <c r="Z1128" i="2"/>
  <c r="Y1128" i="2"/>
  <c r="X1128" i="2"/>
  <c r="Z1127" i="2"/>
  <c r="Y1127" i="2"/>
  <c r="X1127" i="2"/>
  <c r="Z1126" i="2"/>
  <c r="Y1126" i="2"/>
  <c r="X1126" i="2"/>
  <c r="Z1125" i="2"/>
  <c r="Y1125" i="2"/>
  <c r="X1125" i="2"/>
  <c r="Z1124" i="2"/>
  <c r="Y1124" i="2"/>
  <c r="X1124" i="2"/>
  <c r="Z1123" i="2"/>
  <c r="Y1123" i="2"/>
  <c r="X1123" i="2"/>
  <c r="Z1122" i="2"/>
  <c r="Y1122" i="2"/>
  <c r="X1122" i="2"/>
  <c r="Z1121" i="2"/>
  <c r="Y1121" i="2"/>
  <c r="X1121" i="2"/>
  <c r="Z1120" i="2"/>
  <c r="Y1120" i="2"/>
  <c r="X1120" i="2"/>
  <c r="Z1119" i="2"/>
  <c r="Y1119" i="2"/>
  <c r="X1119" i="2"/>
  <c r="Z1118" i="2"/>
  <c r="Y1118" i="2"/>
  <c r="X1118" i="2"/>
  <c r="Z1117" i="2"/>
  <c r="Y1117" i="2"/>
  <c r="X1117" i="2"/>
  <c r="Z1116" i="2"/>
  <c r="Y1116" i="2"/>
  <c r="X1116" i="2"/>
  <c r="Z1115" i="2"/>
  <c r="Y1115" i="2"/>
  <c r="X1115" i="2"/>
  <c r="Z1114" i="2"/>
  <c r="Y1114" i="2"/>
  <c r="X1114" i="2"/>
  <c r="Z1113" i="2"/>
  <c r="Y1113" i="2"/>
  <c r="X1113" i="2"/>
  <c r="Z1112" i="2"/>
  <c r="Y1112" i="2"/>
  <c r="X1112" i="2"/>
  <c r="Z1111" i="2"/>
  <c r="Y1111" i="2"/>
  <c r="X1111" i="2"/>
  <c r="Z1110" i="2"/>
  <c r="Y1110" i="2"/>
  <c r="X1110" i="2"/>
  <c r="Z1109" i="2"/>
  <c r="Y1109" i="2"/>
  <c r="X1109" i="2"/>
  <c r="Z1108" i="2"/>
  <c r="Y1108" i="2"/>
  <c r="X1108" i="2"/>
  <c r="Z1107" i="2"/>
  <c r="Y1107" i="2"/>
  <c r="X1107" i="2"/>
  <c r="Z1106" i="2"/>
  <c r="Y1106" i="2"/>
  <c r="X1106" i="2"/>
  <c r="Z1105" i="2"/>
  <c r="Y1105" i="2"/>
  <c r="X1105" i="2"/>
  <c r="Z1104" i="2"/>
  <c r="Y1104" i="2"/>
  <c r="X1104" i="2"/>
  <c r="Z1103" i="2"/>
  <c r="Y1103" i="2"/>
  <c r="X1103" i="2"/>
  <c r="Z1102" i="2"/>
  <c r="Y1102" i="2"/>
  <c r="X1102" i="2"/>
  <c r="Z1101" i="2"/>
  <c r="Y1101" i="2"/>
  <c r="X1101" i="2"/>
  <c r="Z1100" i="2"/>
  <c r="Y1100" i="2"/>
  <c r="X1100" i="2"/>
  <c r="Z1099" i="2"/>
  <c r="Y1099" i="2"/>
  <c r="X1099" i="2"/>
  <c r="Z1098" i="2"/>
  <c r="Y1098" i="2"/>
  <c r="X1098" i="2"/>
  <c r="Z1097" i="2"/>
  <c r="Y1097" i="2"/>
  <c r="X1097" i="2"/>
  <c r="Z1096" i="2"/>
  <c r="Y1096" i="2"/>
  <c r="X1096" i="2"/>
  <c r="Z1095" i="2"/>
  <c r="Y1095" i="2"/>
  <c r="X1095" i="2"/>
  <c r="Z1094" i="2"/>
  <c r="Y1094" i="2"/>
  <c r="X1094" i="2"/>
  <c r="Z1093" i="2"/>
  <c r="Y1093" i="2"/>
  <c r="X1093" i="2"/>
  <c r="Z1092" i="2"/>
  <c r="Y1092" i="2"/>
  <c r="X1092" i="2"/>
  <c r="Z1091" i="2"/>
  <c r="Y1091" i="2"/>
  <c r="X1091" i="2"/>
  <c r="Z1090" i="2"/>
  <c r="Y1090" i="2"/>
  <c r="X1090" i="2"/>
  <c r="Z1089" i="2"/>
  <c r="Y1089" i="2"/>
  <c r="X1089" i="2"/>
  <c r="Z1088" i="2"/>
  <c r="Y1088" i="2"/>
  <c r="X1088" i="2"/>
  <c r="Z1087" i="2"/>
  <c r="Y1087" i="2"/>
  <c r="X1087" i="2"/>
  <c r="Z1086" i="2"/>
  <c r="Y1086" i="2"/>
  <c r="X1086" i="2"/>
  <c r="Z1085" i="2"/>
  <c r="Y1085" i="2"/>
  <c r="X1085" i="2"/>
  <c r="Z1084" i="2"/>
  <c r="Y1084" i="2"/>
  <c r="X1084" i="2"/>
  <c r="Z1083" i="2"/>
  <c r="Y1083" i="2"/>
  <c r="X1083" i="2"/>
  <c r="Z1082" i="2"/>
  <c r="Y1082" i="2"/>
  <c r="X1082" i="2"/>
  <c r="Z1081" i="2"/>
  <c r="Y1081" i="2"/>
  <c r="X1081" i="2"/>
  <c r="Z1080" i="2"/>
  <c r="Y1080" i="2"/>
  <c r="X1080" i="2"/>
  <c r="Z1079" i="2"/>
  <c r="Y1079" i="2"/>
  <c r="X1079" i="2"/>
  <c r="Z1078" i="2"/>
  <c r="Y1078" i="2"/>
  <c r="X1078" i="2"/>
  <c r="Z1077" i="2"/>
  <c r="Y1077" i="2"/>
  <c r="X1077" i="2"/>
  <c r="Z1076" i="2"/>
  <c r="Y1076" i="2"/>
  <c r="X1076" i="2"/>
  <c r="Z1075" i="2"/>
  <c r="Y1075" i="2"/>
  <c r="X1075" i="2"/>
  <c r="Z1074" i="2"/>
  <c r="Y1074" i="2"/>
  <c r="X1074" i="2"/>
  <c r="Z1073" i="2"/>
  <c r="Y1073" i="2"/>
  <c r="X1073" i="2"/>
  <c r="Z1072" i="2"/>
  <c r="Y1072" i="2"/>
  <c r="X1072" i="2"/>
  <c r="Z1071" i="2"/>
  <c r="Y1071" i="2"/>
  <c r="X1071" i="2"/>
  <c r="Z1070" i="2"/>
  <c r="Y1070" i="2"/>
  <c r="X1070" i="2"/>
  <c r="Z1069" i="2"/>
  <c r="Y1069" i="2"/>
  <c r="X1069" i="2"/>
  <c r="Z1068" i="2"/>
  <c r="Y1068" i="2"/>
  <c r="X1068" i="2"/>
  <c r="Z1067" i="2"/>
  <c r="Y1067" i="2"/>
  <c r="X1067" i="2"/>
  <c r="Z1066" i="2"/>
  <c r="Y1066" i="2"/>
  <c r="X1066" i="2"/>
  <c r="Z1065" i="2"/>
  <c r="Y1065" i="2"/>
  <c r="X1065" i="2"/>
  <c r="Z1064" i="2"/>
  <c r="Y1064" i="2"/>
  <c r="X1064" i="2"/>
  <c r="Z1063" i="2"/>
  <c r="Y1063" i="2"/>
  <c r="X1063" i="2"/>
  <c r="Z1062" i="2"/>
  <c r="Y1062" i="2"/>
  <c r="X1062" i="2"/>
  <c r="Z1061" i="2"/>
  <c r="Y1061" i="2"/>
  <c r="X1061" i="2"/>
  <c r="Z1060" i="2"/>
  <c r="Y1060" i="2"/>
  <c r="X1060" i="2"/>
  <c r="Z1059" i="2"/>
  <c r="Y1059" i="2"/>
  <c r="X1059" i="2"/>
  <c r="Z1058" i="2"/>
  <c r="Y1058" i="2"/>
  <c r="X1058" i="2"/>
  <c r="Z1057" i="2"/>
  <c r="Y1057" i="2"/>
  <c r="X1057" i="2"/>
  <c r="Z1056" i="2"/>
  <c r="Y1056" i="2"/>
  <c r="X1056" i="2"/>
  <c r="Z1055" i="2"/>
  <c r="Y1055" i="2"/>
  <c r="X1055" i="2"/>
  <c r="Z1054" i="2"/>
  <c r="Y1054" i="2"/>
  <c r="X1054" i="2"/>
  <c r="Z1053" i="2"/>
  <c r="Y1053" i="2"/>
  <c r="X1053" i="2"/>
  <c r="Z1052" i="2"/>
  <c r="Y1052" i="2"/>
  <c r="X1052" i="2"/>
  <c r="Z1051" i="2"/>
  <c r="Y1051" i="2"/>
  <c r="X1051" i="2"/>
  <c r="Z1050" i="2"/>
  <c r="Y1050" i="2"/>
  <c r="X1050" i="2"/>
  <c r="Z1049" i="2"/>
  <c r="Y1049" i="2"/>
  <c r="X1049" i="2"/>
  <c r="Z1048" i="2"/>
  <c r="Y1048" i="2"/>
  <c r="X1048" i="2"/>
  <c r="Z1047" i="2"/>
  <c r="Y1047" i="2"/>
  <c r="X1047" i="2"/>
  <c r="Z1046" i="2"/>
  <c r="Y1046" i="2"/>
  <c r="X1046" i="2"/>
  <c r="Z1045" i="2"/>
  <c r="Y1045" i="2"/>
  <c r="X1045" i="2"/>
  <c r="Z1044" i="2"/>
  <c r="Y1044" i="2"/>
  <c r="X1044" i="2"/>
  <c r="Z1043" i="2"/>
  <c r="Y1043" i="2"/>
  <c r="X1043" i="2"/>
  <c r="Z1042" i="2"/>
  <c r="Y1042" i="2"/>
  <c r="X1042" i="2"/>
  <c r="Z1041" i="2"/>
  <c r="Y1041" i="2"/>
  <c r="X1041" i="2"/>
  <c r="Z1040" i="2"/>
  <c r="Y1040" i="2"/>
  <c r="X1040" i="2"/>
  <c r="Z1039" i="2"/>
  <c r="Y1039" i="2"/>
  <c r="X1039" i="2"/>
  <c r="Z1038" i="2"/>
  <c r="Y1038" i="2"/>
  <c r="X1038" i="2"/>
  <c r="Z1037" i="2"/>
  <c r="Y1037" i="2"/>
  <c r="X1037" i="2"/>
  <c r="Z1036" i="2"/>
  <c r="Y1036" i="2"/>
  <c r="X1036" i="2"/>
  <c r="Z1035" i="2"/>
  <c r="Y1035" i="2"/>
  <c r="X1035" i="2"/>
  <c r="Z1034" i="2"/>
  <c r="Y1034" i="2"/>
  <c r="X1034" i="2"/>
  <c r="Z1033" i="2"/>
  <c r="Y1033" i="2"/>
  <c r="X1033" i="2"/>
  <c r="Z1032" i="2"/>
  <c r="Y1032" i="2"/>
  <c r="X1032" i="2"/>
  <c r="Z1031" i="2"/>
  <c r="Y1031" i="2"/>
  <c r="X1031" i="2"/>
  <c r="Z1030" i="2"/>
  <c r="Y1030" i="2"/>
  <c r="X1030" i="2"/>
  <c r="Z1029" i="2"/>
  <c r="Y1029" i="2"/>
  <c r="X1029" i="2"/>
  <c r="Z1028" i="2"/>
  <c r="Y1028" i="2"/>
  <c r="X1028" i="2"/>
  <c r="Z1027" i="2"/>
  <c r="Y1027" i="2"/>
  <c r="X1027" i="2"/>
  <c r="Z1026" i="2"/>
  <c r="Y1026" i="2"/>
  <c r="X1026" i="2"/>
  <c r="Z1025" i="2"/>
  <c r="Y1025" i="2"/>
  <c r="X1025" i="2"/>
  <c r="Z1024" i="2"/>
  <c r="Y1024" i="2"/>
  <c r="X1024" i="2"/>
  <c r="Z1023" i="2"/>
  <c r="Y1023" i="2"/>
  <c r="X1023" i="2"/>
  <c r="Z1022" i="2"/>
  <c r="Y1022" i="2"/>
  <c r="X1022" i="2"/>
  <c r="Z1021" i="2"/>
  <c r="Y1021" i="2"/>
  <c r="X1021" i="2"/>
  <c r="Z1020" i="2"/>
  <c r="Y1020" i="2"/>
  <c r="X1020" i="2"/>
  <c r="Z1019" i="2"/>
  <c r="Y1019" i="2"/>
  <c r="X1019" i="2"/>
  <c r="Z1018" i="2"/>
  <c r="Y1018" i="2"/>
  <c r="X1018" i="2"/>
  <c r="Z1017" i="2"/>
  <c r="Y1017" i="2"/>
  <c r="X1017" i="2"/>
  <c r="Z1016" i="2"/>
  <c r="Y1016" i="2"/>
  <c r="X1016" i="2"/>
  <c r="Z1015" i="2"/>
  <c r="Y1015" i="2"/>
  <c r="X1015" i="2"/>
  <c r="Z1014" i="2"/>
  <c r="Y1014" i="2"/>
  <c r="X1014" i="2"/>
  <c r="Z1013" i="2"/>
  <c r="Y1013" i="2"/>
  <c r="X1013" i="2"/>
  <c r="Z1012" i="2"/>
  <c r="Y1012" i="2"/>
  <c r="X1012" i="2"/>
  <c r="Z1011" i="2"/>
  <c r="Y1011" i="2"/>
  <c r="X1011" i="2"/>
  <c r="Z1010" i="2"/>
  <c r="Y1010" i="2"/>
  <c r="X1010" i="2"/>
  <c r="Z1009" i="2"/>
  <c r="Y1009" i="2"/>
  <c r="X1009" i="2"/>
  <c r="Z1008" i="2"/>
  <c r="Y1008" i="2"/>
  <c r="X1008" i="2"/>
  <c r="Z1007" i="2"/>
  <c r="Y1007" i="2"/>
  <c r="X1007" i="2"/>
  <c r="Z1006" i="2"/>
  <c r="Y1006" i="2"/>
  <c r="X1006" i="2"/>
  <c r="Z1005" i="2"/>
  <c r="Y1005" i="2"/>
  <c r="X1005" i="2"/>
  <c r="Z1004" i="2"/>
  <c r="Y1004" i="2"/>
  <c r="X1004" i="2"/>
  <c r="Z1003" i="2"/>
  <c r="Y1003" i="2"/>
  <c r="X1003" i="2"/>
  <c r="Z1002" i="2"/>
  <c r="Y1002" i="2"/>
  <c r="X1002" i="2"/>
  <c r="Z1001" i="2"/>
  <c r="Y1001" i="2"/>
  <c r="X1001" i="2"/>
  <c r="Z1000" i="2"/>
  <c r="Y1000" i="2"/>
  <c r="X1000" i="2"/>
  <c r="Z999" i="2"/>
  <c r="Y999" i="2"/>
  <c r="X999" i="2"/>
  <c r="Z998" i="2"/>
  <c r="Y998" i="2"/>
  <c r="X998" i="2"/>
  <c r="Z997" i="2"/>
  <c r="Y997" i="2"/>
  <c r="X997" i="2"/>
  <c r="Z996" i="2"/>
  <c r="Y996" i="2"/>
  <c r="X996" i="2"/>
  <c r="Z995" i="2"/>
  <c r="Y995" i="2"/>
  <c r="X995" i="2"/>
  <c r="Z994" i="2"/>
  <c r="Y994" i="2"/>
  <c r="X994" i="2"/>
  <c r="Z993" i="2"/>
  <c r="Y993" i="2"/>
  <c r="X993" i="2"/>
  <c r="Z992" i="2"/>
  <c r="Y992" i="2"/>
  <c r="X992" i="2"/>
  <c r="Z991" i="2"/>
  <c r="Y991" i="2"/>
  <c r="X991" i="2"/>
  <c r="Z990" i="2"/>
  <c r="Y990" i="2"/>
  <c r="X990" i="2"/>
  <c r="Z989" i="2"/>
  <c r="Y989" i="2"/>
  <c r="X989" i="2"/>
  <c r="Z988" i="2"/>
  <c r="Y988" i="2"/>
  <c r="X988" i="2"/>
  <c r="Z987" i="2"/>
  <c r="Y987" i="2"/>
  <c r="X987" i="2"/>
  <c r="Z986" i="2"/>
  <c r="Y986" i="2"/>
  <c r="X986" i="2"/>
  <c r="Z985" i="2"/>
  <c r="Y985" i="2"/>
  <c r="X985" i="2"/>
  <c r="Z984" i="2"/>
  <c r="Y984" i="2"/>
  <c r="X984" i="2"/>
  <c r="Z983" i="2"/>
  <c r="Y983" i="2"/>
  <c r="X983" i="2"/>
  <c r="Z982" i="2"/>
  <c r="Y982" i="2"/>
  <c r="X982" i="2"/>
  <c r="Z981" i="2"/>
  <c r="Y981" i="2"/>
  <c r="X981" i="2"/>
  <c r="Z980" i="2"/>
  <c r="Y980" i="2"/>
  <c r="X980" i="2"/>
  <c r="Z979" i="2"/>
  <c r="Y979" i="2"/>
  <c r="X979" i="2"/>
  <c r="Z978" i="2"/>
  <c r="Y978" i="2"/>
  <c r="X978" i="2"/>
  <c r="Z977" i="2"/>
  <c r="Y977" i="2"/>
  <c r="X977" i="2"/>
  <c r="Z976" i="2"/>
  <c r="Y976" i="2"/>
  <c r="X976" i="2"/>
  <c r="Z975" i="2"/>
  <c r="Y975" i="2"/>
  <c r="X975" i="2"/>
  <c r="Z974" i="2"/>
  <c r="Y974" i="2"/>
  <c r="X974" i="2"/>
  <c r="Z973" i="2"/>
  <c r="Y973" i="2"/>
  <c r="X973" i="2"/>
  <c r="Z972" i="2"/>
  <c r="Y972" i="2"/>
  <c r="X972" i="2"/>
  <c r="Z971" i="2"/>
  <c r="Y971" i="2"/>
  <c r="X971" i="2"/>
  <c r="Z970" i="2"/>
  <c r="Y970" i="2"/>
  <c r="X970" i="2"/>
  <c r="Z969" i="2"/>
  <c r="Y969" i="2"/>
  <c r="X969" i="2"/>
  <c r="Z968" i="2"/>
  <c r="Y968" i="2"/>
  <c r="X968" i="2"/>
  <c r="Z967" i="2"/>
  <c r="Y967" i="2"/>
  <c r="X967" i="2"/>
  <c r="Z966" i="2"/>
  <c r="Y966" i="2"/>
  <c r="X966" i="2"/>
  <c r="Z965" i="2"/>
  <c r="Y965" i="2"/>
  <c r="X965" i="2"/>
  <c r="Z964" i="2"/>
  <c r="Y964" i="2"/>
  <c r="X964" i="2"/>
  <c r="Z963" i="2"/>
  <c r="Y963" i="2"/>
  <c r="X963" i="2"/>
  <c r="Z962" i="2"/>
  <c r="Y962" i="2"/>
  <c r="X962" i="2"/>
  <c r="Z961" i="2"/>
  <c r="Y961" i="2"/>
  <c r="X961" i="2"/>
  <c r="Z960" i="2"/>
  <c r="Y960" i="2"/>
  <c r="X960" i="2"/>
  <c r="Z959" i="2"/>
  <c r="Y959" i="2"/>
  <c r="X959" i="2"/>
  <c r="Z958" i="2"/>
  <c r="Y958" i="2"/>
  <c r="X958" i="2"/>
  <c r="Z957" i="2"/>
  <c r="Y957" i="2"/>
  <c r="X957" i="2"/>
  <c r="Z956" i="2"/>
  <c r="Y956" i="2"/>
  <c r="X956" i="2"/>
  <c r="Z955" i="2"/>
  <c r="Y955" i="2"/>
  <c r="X955" i="2"/>
  <c r="Z954" i="2"/>
  <c r="Y954" i="2"/>
  <c r="X954" i="2"/>
  <c r="Z953" i="2"/>
  <c r="Y953" i="2"/>
  <c r="X953" i="2"/>
  <c r="Z952" i="2"/>
  <c r="Y952" i="2"/>
  <c r="X952" i="2"/>
  <c r="Z951" i="2"/>
  <c r="Y951" i="2"/>
  <c r="X951" i="2"/>
  <c r="Z950" i="2"/>
  <c r="Y950" i="2"/>
  <c r="X950" i="2"/>
  <c r="Z949" i="2"/>
  <c r="Y949" i="2"/>
  <c r="X949" i="2"/>
  <c r="Z948" i="2"/>
  <c r="Y948" i="2"/>
  <c r="X948" i="2"/>
  <c r="Z947" i="2"/>
  <c r="Y947" i="2"/>
  <c r="X947" i="2"/>
  <c r="Z946" i="2"/>
  <c r="Y946" i="2"/>
  <c r="X946" i="2"/>
  <c r="Z945" i="2"/>
  <c r="Y945" i="2"/>
  <c r="X945" i="2"/>
  <c r="Z944" i="2"/>
  <c r="Y944" i="2"/>
  <c r="X944" i="2"/>
  <c r="Z943" i="2"/>
  <c r="Y943" i="2"/>
  <c r="X943" i="2"/>
  <c r="Z942" i="2"/>
  <c r="Y942" i="2"/>
  <c r="X942" i="2"/>
  <c r="Z941" i="2"/>
  <c r="Y941" i="2"/>
  <c r="X941" i="2"/>
  <c r="Z940" i="2"/>
  <c r="Y940" i="2"/>
  <c r="X940" i="2"/>
  <c r="Z939" i="2"/>
  <c r="Y939" i="2"/>
  <c r="X939" i="2"/>
  <c r="Z938" i="2"/>
  <c r="Y938" i="2"/>
  <c r="X938" i="2"/>
  <c r="Z937" i="2"/>
  <c r="Y937" i="2"/>
  <c r="X937" i="2"/>
  <c r="Z936" i="2"/>
  <c r="Y936" i="2"/>
  <c r="X936" i="2"/>
  <c r="Z935" i="2"/>
  <c r="Y935" i="2"/>
  <c r="X935" i="2"/>
  <c r="Z934" i="2"/>
  <c r="Y934" i="2"/>
  <c r="X934" i="2"/>
  <c r="Z933" i="2"/>
  <c r="Y933" i="2"/>
  <c r="X933" i="2"/>
  <c r="Z932" i="2"/>
  <c r="Y932" i="2"/>
  <c r="X932" i="2"/>
  <c r="Z931" i="2"/>
  <c r="Y931" i="2"/>
  <c r="X931" i="2"/>
  <c r="Z930" i="2"/>
  <c r="Y930" i="2"/>
  <c r="X930" i="2"/>
  <c r="Z929" i="2"/>
  <c r="Y929" i="2"/>
  <c r="X929" i="2"/>
  <c r="Z928" i="2"/>
  <c r="Y928" i="2"/>
  <c r="X928" i="2"/>
  <c r="Z927" i="2"/>
  <c r="Y927" i="2"/>
  <c r="X927" i="2"/>
  <c r="Z926" i="2"/>
  <c r="Y926" i="2"/>
  <c r="X926" i="2"/>
  <c r="Z925" i="2"/>
  <c r="Y925" i="2"/>
  <c r="X925" i="2"/>
  <c r="Z924" i="2"/>
  <c r="Y924" i="2"/>
  <c r="X924" i="2"/>
  <c r="Z923" i="2"/>
  <c r="Y923" i="2"/>
  <c r="X923" i="2"/>
  <c r="Z922" i="2"/>
  <c r="Y922" i="2"/>
  <c r="X922" i="2"/>
  <c r="Z921" i="2"/>
  <c r="Y921" i="2"/>
  <c r="X921" i="2"/>
  <c r="Z920" i="2"/>
  <c r="Y920" i="2"/>
  <c r="X920" i="2"/>
  <c r="Z919" i="2"/>
  <c r="Y919" i="2"/>
  <c r="X919" i="2"/>
  <c r="Z918" i="2"/>
  <c r="Y918" i="2"/>
  <c r="X918" i="2"/>
  <c r="Z917" i="2"/>
  <c r="Y917" i="2"/>
  <c r="X917" i="2"/>
  <c r="Z916" i="2"/>
  <c r="Y916" i="2"/>
  <c r="X916" i="2"/>
  <c r="Z915" i="2"/>
  <c r="Y915" i="2"/>
  <c r="X915" i="2"/>
  <c r="Z914" i="2"/>
  <c r="Y914" i="2"/>
  <c r="X914" i="2"/>
  <c r="Z913" i="2"/>
  <c r="Y913" i="2"/>
  <c r="X913" i="2"/>
  <c r="Z912" i="2"/>
  <c r="Y912" i="2"/>
  <c r="X912" i="2"/>
  <c r="Z911" i="2"/>
  <c r="Y911" i="2"/>
  <c r="X911" i="2"/>
  <c r="Z910" i="2"/>
  <c r="Y910" i="2"/>
  <c r="X910" i="2"/>
  <c r="Z909" i="2"/>
  <c r="Y909" i="2"/>
  <c r="X909" i="2"/>
  <c r="Z908" i="2"/>
  <c r="Y908" i="2"/>
  <c r="X908" i="2"/>
  <c r="Z907" i="2"/>
  <c r="Y907" i="2"/>
  <c r="X907" i="2"/>
  <c r="Z906" i="2"/>
  <c r="Y906" i="2"/>
  <c r="X906" i="2"/>
  <c r="Z905" i="2"/>
  <c r="Y905" i="2"/>
  <c r="X905" i="2"/>
  <c r="Z904" i="2"/>
  <c r="Y904" i="2"/>
  <c r="X904" i="2"/>
  <c r="Z903" i="2"/>
  <c r="Y903" i="2"/>
  <c r="X903" i="2"/>
  <c r="Z902" i="2"/>
  <c r="Y902" i="2"/>
  <c r="X902" i="2"/>
  <c r="Z901" i="2"/>
  <c r="Y901" i="2"/>
  <c r="X901" i="2"/>
  <c r="Z900" i="2"/>
  <c r="Y900" i="2"/>
  <c r="X900" i="2"/>
  <c r="Z899" i="2"/>
  <c r="Y899" i="2"/>
  <c r="X899" i="2"/>
  <c r="Z898" i="2"/>
  <c r="Y898" i="2"/>
  <c r="X898" i="2"/>
  <c r="Z897" i="2"/>
  <c r="Y897" i="2"/>
  <c r="X897" i="2"/>
  <c r="Z896" i="2"/>
  <c r="Y896" i="2"/>
  <c r="X896" i="2"/>
  <c r="Z895" i="2"/>
  <c r="Y895" i="2"/>
  <c r="X895" i="2"/>
  <c r="Z894" i="2"/>
  <c r="Y894" i="2"/>
  <c r="X894" i="2"/>
  <c r="Z893" i="2"/>
  <c r="Y893" i="2"/>
  <c r="X893" i="2"/>
  <c r="Z892" i="2"/>
  <c r="Y892" i="2"/>
  <c r="X892" i="2"/>
  <c r="Z891" i="2"/>
  <c r="Y891" i="2"/>
  <c r="X891" i="2"/>
  <c r="Z890" i="2"/>
  <c r="Y890" i="2"/>
  <c r="X890" i="2"/>
  <c r="Z889" i="2"/>
  <c r="Y889" i="2"/>
  <c r="X889" i="2"/>
  <c r="Z888" i="2"/>
  <c r="Y888" i="2"/>
  <c r="X888" i="2"/>
  <c r="Z887" i="2"/>
  <c r="Y887" i="2"/>
  <c r="X887" i="2"/>
  <c r="Z886" i="2"/>
  <c r="Y886" i="2"/>
  <c r="X886" i="2"/>
  <c r="Z885" i="2"/>
  <c r="Y885" i="2"/>
  <c r="X885" i="2"/>
  <c r="Z884" i="2"/>
  <c r="Y884" i="2"/>
  <c r="X884" i="2"/>
  <c r="Z883" i="2"/>
  <c r="Y883" i="2"/>
  <c r="X883" i="2"/>
  <c r="Z882" i="2"/>
  <c r="Y882" i="2"/>
  <c r="X882" i="2"/>
  <c r="Z881" i="2"/>
  <c r="Y881" i="2"/>
  <c r="X881" i="2"/>
  <c r="Z880" i="2"/>
  <c r="Y880" i="2"/>
  <c r="X880" i="2"/>
  <c r="Z879" i="2"/>
  <c r="Y879" i="2"/>
  <c r="X879" i="2"/>
  <c r="Z878" i="2"/>
  <c r="Y878" i="2"/>
  <c r="X878" i="2"/>
  <c r="Z877" i="2"/>
  <c r="Y877" i="2"/>
  <c r="X877" i="2"/>
  <c r="Z876" i="2"/>
  <c r="Y876" i="2"/>
  <c r="X876" i="2"/>
  <c r="Z875" i="2"/>
  <c r="Y875" i="2"/>
  <c r="X875" i="2"/>
  <c r="Z874" i="2"/>
  <c r="Y874" i="2"/>
  <c r="X874" i="2"/>
  <c r="Z873" i="2"/>
  <c r="Y873" i="2"/>
  <c r="X873" i="2"/>
  <c r="Z872" i="2"/>
  <c r="Y872" i="2"/>
  <c r="X872" i="2"/>
  <c r="Z871" i="2"/>
  <c r="Y871" i="2"/>
  <c r="X871" i="2"/>
  <c r="Z870" i="2"/>
  <c r="Y870" i="2"/>
  <c r="X870" i="2"/>
  <c r="Z869" i="2"/>
  <c r="Y869" i="2"/>
  <c r="X869" i="2"/>
  <c r="Z868" i="2"/>
  <c r="Y868" i="2"/>
  <c r="X868" i="2"/>
  <c r="Z867" i="2"/>
  <c r="Y867" i="2"/>
  <c r="X867" i="2"/>
  <c r="Z866" i="2"/>
  <c r="Y866" i="2"/>
  <c r="X866" i="2"/>
  <c r="Z865" i="2"/>
  <c r="Y865" i="2"/>
  <c r="X865" i="2"/>
  <c r="Z864" i="2"/>
  <c r="Y864" i="2"/>
  <c r="X864" i="2"/>
  <c r="Z863" i="2"/>
  <c r="Y863" i="2"/>
  <c r="X863" i="2"/>
  <c r="Z862" i="2"/>
  <c r="Y862" i="2"/>
  <c r="X862" i="2"/>
  <c r="Z861" i="2"/>
  <c r="Y861" i="2"/>
  <c r="X861" i="2"/>
  <c r="Z860" i="2"/>
  <c r="Y860" i="2"/>
  <c r="X860" i="2"/>
  <c r="Z859" i="2"/>
  <c r="Y859" i="2"/>
  <c r="X859" i="2"/>
  <c r="Z858" i="2"/>
  <c r="Y858" i="2"/>
  <c r="X858" i="2"/>
  <c r="Z857" i="2"/>
  <c r="Y857" i="2"/>
  <c r="X857" i="2"/>
  <c r="Z856" i="2"/>
  <c r="Y856" i="2"/>
  <c r="X856" i="2"/>
  <c r="Z855" i="2"/>
  <c r="Y855" i="2"/>
  <c r="X855" i="2"/>
  <c r="Z854" i="2"/>
  <c r="Y854" i="2"/>
  <c r="X854" i="2"/>
  <c r="Z853" i="2"/>
  <c r="Y853" i="2"/>
  <c r="X853" i="2"/>
  <c r="Z852" i="2"/>
  <c r="Y852" i="2"/>
  <c r="X852" i="2"/>
  <c r="Z851" i="2"/>
  <c r="Y851" i="2"/>
  <c r="X851" i="2"/>
  <c r="Z850" i="2"/>
  <c r="Y850" i="2"/>
  <c r="X850" i="2"/>
  <c r="Z849" i="2"/>
  <c r="Y849" i="2"/>
  <c r="X849" i="2"/>
  <c r="Z848" i="2"/>
  <c r="Y848" i="2"/>
  <c r="X848" i="2"/>
  <c r="Z847" i="2"/>
  <c r="Y847" i="2"/>
  <c r="X847" i="2"/>
  <c r="Z846" i="2"/>
  <c r="Y846" i="2"/>
  <c r="X846" i="2"/>
  <c r="Z845" i="2"/>
  <c r="Y845" i="2"/>
  <c r="X845" i="2"/>
  <c r="Z844" i="2"/>
  <c r="Y844" i="2"/>
  <c r="X844" i="2"/>
  <c r="Z843" i="2"/>
  <c r="Y843" i="2"/>
  <c r="X843" i="2"/>
  <c r="Z842" i="2"/>
  <c r="Y842" i="2"/>
  <c r="X842" i="2"/>
  <c r="Z841" i="2"/>
  <c r="Y841" i="2"/>
  <c r="X841" i="2"/>
  <c r="Z840" i="2"/>
  <c r="Y840" i="2"/>
  <c r="X840" i="2"/>
  <c r="Z839" i="2"/>
  <c r="Y839" i="2"/>
  <c r="X839" i="2"/>
  <c r="Z838" i="2"/>
  <c r="Y838" i="2"/>
  <c r="X838" i="2"/>
  <c r="Z837" i="2"/>
  <c r="Y837" i="2"/>
  <c r="X837" i="2"/>
  <c r="Z836" i="2"/>
  <c r="Y836" i="2"/>
  <c r="X836" i="2"/>
  <c r="Z835" i="2"/>
  <c r="Y835" i="2"/>
  <c r="X835" i="2"/>
  <c r="Z834" i="2"/>
  <c r="Y834" i="2"/>
  <c r="X834" i="2"/>
  <c r="Z833" i="2"/>
  <c r="Y833" i="2"/>
  <c r="X833" i="2"/>
  <c r="Z832" i="2"/>
  <c r="Y832" i="2"/>
  <c r="X832" i="2"/>
  <c r="Z831" i="2"/>
  <c r="Y831" i="2"/>
  <c r="X831" i="2"/>
  <c r="Z830" i="2"/>
  <c r="Y830" i="2"/>
  <c r="X830" i="2"/>
  <c r="Z829" i="2"/>
  <c r="Y829" i="2"/>
  <c r="X829" i="2"/>
  <c r="Z828" i="2"/>
  <c r="Y828" i="2"/>
  <c r="X828" i="2"/>
  <c r="Z827" i="2"/>
  <c r="Y827" i="2"/>
  <c r="X827" i="2"/>
  <c r="Z826" i="2"/>
  <c r="Y826" i="2"/>
  <c r="X826" i="2"/>
  <c r="Z825" i="2"/>
  <c r="Y825" i="2"/>
  <c r="X825" i="2"/>
  <c r="Z824" i="2"/>
  <c r="Y824" i="2"/>
  <c r="X824" i="2"/>
  <c r="Z823" i="2"/>
  <c r="Y823" i="2"/>
  <c r="X823" i="2"/>
  <c r="Z822" i="2"/>
  <c r="Y822" i="2"/>
  <c r="X822" i="2"/>
  <c r="Z821" i="2"/>
  <c r="Y821" i="2"/>
  <c r="X821" i="2"/>
  <c r="Z820" i="2"/>
  <c r="Y820" i="2"/>
  <c r="X820" i="2"/>
  <c r="Z819" i="2"/>
  <c r="Y819" i="2"/>
  <c r="X819" i="2"/>
  <c r="Z818" i="2"/>
  <c r="Y818" i="2"/>
  <c r="X818" i="2"/>
  <c r="Z817" i="2"/>
  <c r="Y817" i="2"/>
  <c r="X817" i="2"/>
  <c r="Z816" i="2"/>
  <c r="Y816" i="2"/>
  <c r="X816" i="2"/>
  <c r="Z815" i="2"/>
  <c r="Y815" i="2"/>
  <c r="X815" i="2"/>
  <c r="Z814" i="2"/>
  <c r="Y814" i="2"/>
  <c r="X814" i="2"/>
  <c r="Z813" i="2"/>
  <c r="Y813" i="2"/>
  <c r="X813" i="2"/>
  <c r="Z812" i="2"/>
  <c r="Y812" i="2"/>
  <c r="X812" i="2"/>
  <c r="Z811" i="2"/>
  <c r="Y811" i="2"/>
  <c r="X811" i="2"/>
  <c r="Z810" i="2"/>
  <c r="Y810" i="2"/>
  <c r="X810" i="2"/>
  <c r="Z809" i="2"/>
  <c r="Y809" i="2"/>
  <c r="X809" i="2"/>
  <c r="Z808" i="2"/>
  <c r="Y808" i="2"/>
  <c r="X808" i="2"/>
  <c r="Z807" i="2"/>
  <c r="Y807" i="2"/>
  <c r="X807" i="2"/>
  <c r="Z806" i="2"/>
  <c r="Y806" i="2"/>
  <c r="X806" i="2"/>
  <c r="Z805" i="2"/>
  <c r="Y805" i="2"/>
  <c r="X805" i="2"/>
  <c r="Z804" i="2"/>
  <c r="Y804" i="2"/>
  <c r="X804" i="2"/>
  <c r="Z803" i="2"/>
  <c r="Y803" i="2"/>
  <c r="X803" i="2"/>
  <c r="Z802" i="2"/>
  <c r="Y802" i="2"/>
  <c r="X802" i="2"/>
  <c r="Z801" i="2"/>
  <c r="Y801" i="2"/>
  <c r="X801" i="2"/>
  <c r="Z800" i="2"/>
  <c r="Y800" i="2"/>
  <c r="X800" i="2"/>
  <c r="Z799" i="2"/>
  <c r="Y799" i="2"/>
  <c r="X799" i="2"/>
  <c r="Z798" i="2"/>
  <c r="Y798" i="2"/>
  <c r="X798" i="2"/>
  <c r="Z797" i="2"/>
  <c r="Y797" i="2"/>
  <c r="X797" i="2"/>
  <c r="Z796" i="2"/>
  <c r="Y796" i="2"/>
  <c r="X796" i="2"/>
  <c r="Z795" i="2"/>
  <c r="Y795" i="2"/>
  <c r="X795" i="2"/>
  <c r="Z794" i="2"/>
  <c r="Y794" i="2"/>
  <c r="X794" i="2"/>
  <c r="Z793" i="2"/>
  <c r="Y793" i="2"/>
  <c r="X793" i="2"/>
  <c r="Z792" i="2"/>
  <c r="Y792" i="2"/>
  <c r="X792" i="2"/>
  <c r="Z791" i="2"/>
  <c r="Y791" i="2"/>
  <c r="X791" i="2"/>
  <c r="Z790" i="2"/>
  <c r="Y790" i="2"/>
  <c r="X790" i="2"/>
  <c r="Z789" i="2"/>
  <c r="Y789" i="2"/>
  <c r="X789" i="2"/>
  <c r="Z788" i="2"/>
  <c r="Y788" i="2"/>
  <c r="X788" i="2"/>
  <c r="Z787" i="2"/>
  <c r="Y787" i="2"/>
  <c r="X787" i="2"/>
  <c r="Z786" i="2"/>
  <c r="Y786" i="2"/>
  <c r="X786" i="2"/>
  <c r="Z785" i="2"/>
  <c r="Y785" i="2"/>
  <c r="X785" i="2"/>
  <c r="Z784" i="2"/>
  <c r="Y784" i="2"/>
  <c r="X784" i="2"/>
  <c r="Z783" i="2"/>
  <c r="Y783" i="2"/>
  <c r="X783" i="2"/>
  <c r="Z782" i="2"/>
  <c r="Y782" i="2"/>
  <c r="X782" i="2"/>
  <c r="Z781" i="2"/>
  <c r="Y781" i="2"/>
  <c r="X781" i="2"/>
  <c r="Z780" i="2"/>
  <c r="Y780" i="2"/>
  <c r="X780" i="2"/>
  <c r="Z779" i="2"/>
  <c r="Y779" i="2"/>
  <c r="X779" i="2"/>
  <c r="Z778" i="2"/>
  <c r="Y778" i="2"/>
  <c r="X778" i="2"/>
  <c r="Z777" i="2"/>
  <c r="Y777" i="2"/>
  <c r="X777" i="2"/>
  <c r="Z776" i="2"/>
  <c r="Y776" i="2"/>
  <c r="X776" i="2"/>
  <c r="Z775" i="2"/>
  <c r="Y775" i="2"/>
  <c r="X775" i="2"/>
  <c r="Z774" i="2"/>
  <c r="Y774" i="2"/>
  <c r="X774" i="2"/>
  <c r="Z773" i="2"/>
  <c r="Y773" i="2"/>
  <c r="X773" i="2"/>
  <c r="Z772" i="2"/>
  <c r="Y772" i="2"/>
  <c r="X772" i="2"/>
  <c r="Z771" i="2"/>
  <c r="Y771" i="2"/>
  <c r="X771" i="2"/>
  <c r="Z770" i="2"/>
  <c r="Y770" i="2"/>
  <c r="X770" i="2"/>
  <c r="Z769" i="2"/>
  <c r="Y769" i="2"/>
  <c r="X769" i="2"/>
  <c r="Z768" i="2"/>
  <c r="Y768" i="2"/>
  <c r="X768" i="2"/>
  <c r="Z767" i="2"/>
  <c r="Y767" i="2"/>
  <c r="X767" i="2"/>
  <c r="Z766" i="2"/>
  <c r="Y766" i="2"/>
  <c r="X766" i="2"/>
  <c r="Z765" i="2"/>
  <c r="Y765" i="2"/>
  <c r="X765" i="2"/>
  <c r="Z764" i="2"/>
  <c r="Y764" i="2"/>
  <c r="X764" i="2"/>
  <c r="Z763" i="2"/>
  <c r="Y763" i="2"/>
  <c r="X763" i="2"/>
  <c r="Z762" i="2"/>
  <c r="Y762" i="2"/>
  <c r="X762" i="2"/>
  <c r="Z761" i="2"/>
  <c r="Y761" i="2"/>
  <c r="X761" i="2"/>
  <c r="Z760" i="2"/>
  <c r="Y760" i="2"/>
  <c r="X760" i="2"/>
  <c r="Z759" i="2"/>
  <c r="Y759" i="2"/>
  <c r="X759" i="2"/>
  <c r="Z758" i="2"/>
  <c r="Y758" i="2"/>
  <c r="X758" i="2"/>
  <c r="Z757" i="2"/>
  <c r="Y757" i="2"/>
  <c r="X757" i="2"/>
  <c r="Z756" i="2"/>
  <c r="Y756" i="2"/>
  <c r="X756" i="2"/>
  <c r="Z755" i="2"/>
  <c r="Y755" i="2"/>
  <c r="X755" i="2"/>
  <c r="Z754" i="2"/>
  <c r="Y754" i="2"/>
  <c r="X754" i="2"/>
  <c r="Z753" i="2"/>
  <c r="Y753" i="2"/>
  <c r="X753" i="2"/>
  <c r="Z752" i="2"/>
  <c r="Y752" i="2"/>
  <c r="X752" i="2"/>
  <c r="Z751" i="2"/>
  <c r="Y751" i="2"/>
  <c r="X751" i="2"/>
  <c r="Z750" i="2"/>
  <c r="Y750" i="2"/>
  <c r="X750" i="2"/>
  <c r="Z749" i="2"/>
  <c r="Y749" i="2"/>
  <c r="X749" i="2"/>
  <c r="Z748" i="2"/>
  <c r="Y748" i="2"/>
  <c r="X748" i="2"/>
  <c r="Z747" i="2"/>
  <c r="Y747" i="2"/>
  <c r="X747" i="2"/>
  <c r="Z746" i="2"/>
  <c r="Y746" i="2"/>
  <c r="X746" i="2"/>
  <c r="Z745" i="2"/>
  <c r="Y745" i="2"/>
  <c r="X745" i="2"/>
  <c r="Z744" i="2"/>
  <c r="Y744" i="2"/>
  <c r="X744" i="2"/>
  <c r="Z743" i="2"/>
  <c r="Y743" i="2"/>
  <c r="X743" i="2"/>
  <c r="Z742" i="2"/>
  <c r="Y742" i="2"/>
  <c r="X742" i="2"/>
  <c r="Z741" i="2"/>
  <c r="Y741" i="2"/>
  <c r="X741" i="2"/>
  <c r="Z740" i="2"/>
  <c r="Y740" i="2"/>
  <c r="X740" i="2"/>
  <c r="Z739" i="2"/>
  <c r="Y739" i="2"/>
  <c r="X739" i="2"/>
  <c r="Z738" i="2"/>
  <c r="Y738" i="2"/>
  <c r="X738" i="2"/>
  <c r="Z737" i="2"/>
  <c r="Y737" i="2"/>
  <c r="X737" i="2"/>
  <c r="Z736" i="2"/>
  <c r="Y736" i="2"/>
  <c r="X736" i="2"/>
  <c r="Z735" i="2"/>
  <c r="Y735" i="2"/>
  <c r="X735" i="2"/>
  <c r="Z734" i="2"/>
  <c r="Y734" i="2"/>
  <c r="X734" i="2"/>
  <c r="Z733" i="2"/>
  <c r="Y733" i="2"/>
  <c r="X733" i="2"/>
  <c r="Z732" i="2"/>
  <c r="Y732" i="2"/>
  <c r="X732" i="2"/>
  <c r="Z731" i="2"/>
  <c r="Y731" i="2"/>
  <c r="X731" i="2"/>
  <c r="Z730" i="2"/>
  <c r="Y730" i="2"/>
  <c r="X730" i="2"/>
  <c r="Z729" i="2"/>
  <c r="Y729" i="2"/>
  <c r="X729" i="2"/>
  <c r="Z728" i="2"/>
  <c r="Y728" i="2"/>
  <c r="X728" i="2"/>
  <c r="Z727" i="2"/>
  <c r="Y727" i="2"/>
  <c r="X727" i="2"/>
  <c r="Z726" i="2"/>
  <c r="Y726" i="2"/>
  <c r="X726" i="2"/>
  <c r="Z725" i="2"/>
  <c r="Y725" i="2"/>
  <c r="X725" i="2"/>
  <c r="Z724" i="2"/>
  <c r="Y724" i="2"/>
  <c r="X724" i="2"/>
  <c r="Z723" i="2"/>
  <c r="Y723" i="2"/>
  <c r="X723" i="2"/>
  <c r="Z722" i="2"/>
  <c r="Y722" i="2"/>
  <c r="X722" i="2"/>
  <c r="Z721" i="2"/>
  <c r="Y721" i="2"/>
  <c r="X721" i="2"/>
  <c r="Z720" i="2"/>
  <c r="Y720" i="2"/>
  <c r="X720" i="2"/>
  <c r="Z719" i="2"/>
  <c r="Y719" i="2"/>
  <c r="X719" i="2"/>
  <c r="Z718" i="2"/>
  <c r="Y718" i="2"/>
  <c r="X718" i="2"/>
  <c r="Z717" i="2"/>
  <c r="Y717" i="2"/>
  <c r="X717" i="2"/>
  <c r="Z716" i="2"/>
  <c r="Y716" i="2"/>
  <c r="X716" i="2"/>
  <c r="Z715" i="2"/>
  <c r="Y715" i="2"/>
  <c r="X715" i="2"/>
  <c r="Z714" i="2"/>
  <c r="Y714" i="2"/>
  <c r="X714" i="2"/>
  <c r="Z713" i="2"/>
  <c r="Y713" i="2"/>
  <c r="X713" i="2"/>
  <c r="Z712" i="2"/>
  <c r="Y712" i="2"/>
  <c r="X712" i="2"/>
  <c r="Z711" i="2"/>
  <c r="Y711" i="2"/>
  <c r="X711" i="2"/>
  <c r="Z710" i="2"/>
  <c r="Y710" i="2"/>
  <c r="X710" i="2"/>
  <c r="Z709" i="2"/>
  <c r="Y709" i="2"/>
  <c r="X709" i="2"/>
  <c r="Z708" i="2"/>
  <c r="Y708" i="2"/>
  <c r="X708" i="2"/>
  <c r="Z707" i="2"/>
  <c r="Y707" i="2"/>
  <c r="X707" i="2"/>
  <c r="Z706" i="2"/>
  <c r="Y706" i="2"/>
  <c r="X706" i="2"/>
  <c r="Z705" i="2"/>
  <c r="Y705" i="2"/>
  <c r="X705" i="2"/>
  <c r="Z704" i="2"/>
  <c r="Y704" i="2"/>
  <c r="X704" i="2"/>
  <c r="Z703" i="2"/>
  <c r="Y703" i="2"/>
  <c r="X703" i="2"/>
  <c r="Z702" i="2"/>
  <c r="Y702" i="2"/>
  <c r="X702" i="2"/>
  <c r="Z701" i="2"/>
  <c r="Y701" i="2"/>
  <c r="X701" i="2"/>
  <c r="Z700" i="2"/>
  <c r="Y700" i="2"/>
  <c r="X700" i="2"/>
  <c r="Z699" i="2"/>
  <c r="Y699" i="2"/>
  <c r="X699" i="2"/>
  <c r="Z698" i="2"/>
  <c r="Y698" i="2"/>
  <c r="X698" i="2"/>
  <c r="Z697" i="2"/>
  <c r="Y697" i="2"/>
  <c r="X697" i="2"/>
  <c r="Z696" i="2"/>
  <c r="Y696" i="2"/>
  <c r="X696" i="2"/>
  <c r="Z695" i="2"/>
  <c r="Y695" i="2"/>
  <c r="X695" i="2"/>
  <c r="Z694" i="2"/>
  <c r="Y694" i="2"/>
  <c r="X694" i="2"/>
  <c r="Z693" i="2"/>
  <c r="Y693" i="2"/>
  <c r="X693" i="2"/>
  <c r="Z692" i="2"/>
  <c r="Y692" i="2"/>
  <c r="X692" i="2"/>
  <c r="Z691" i="2"/>
  <c r="Y691" i="2"/>
  <c r="X691" i="2"/>
  <c r="Z690" i="2"/>
  <c r="Y690" i="2"/>
  <c r="X690" i="2"/>
  <c r="Z689" i="2"/>
  <c r="Y689" i="2"/>
  <c r="X689" i="2"/>
  <c r="Z688" i="2"/>
  <c r="Y688" i="2"/>
  <c r="X688" i="2"/>
  <c r="Z687" i="2"/>
  <c r="Y687" i="2"/>
  <c r="X687" i="2"/>
  <c r="Z686" i="2"/>
  <c r="Y686" i="2"/>
  <c r="X686" i="2"/>
  <c r="Z685" i="2"/>
  <c r="Y685" i="2"/>
  <c r="X685" i="2"/>
  <c r="Z684" i="2"/>
  <c r="Y684" i="2"/>
  <c r="X684" i="2"/>
  <c r="Z683" i="2"/>
  <c r="Y683" i="2"/>
  <c r="X683" i="2"/>
  <c r="Z682" i="2"/>
  <c r="Y682" i="2"/>
  <c r="X682" i="2"/>
  <c r="Z681" i="2"/>
  <c r="Y681" i="2"/>
  <c r="X681" i="2"/>
  <c r="Z680" i="2"/>
  <c r="Y680" i="2"/>
  <c r="X680" i="2"/>
  <c r="Z679" i="2"/>
  <c r="Y679" i="2"/>
  <c r="X679" i="2"/>
  <c r="Z678" i="2"/>
  <c r="Y678" i="2"/>
  <c r="X678" i="2"/>
  <c r="Z677" i="2"/>
  <c r="Y677" i="2"/>
  <c r="X677" i="2"/>
  <c r="Z676" i="2"/>
  <c r="Y676" i="2"/>
  <c r="X676" i="2"/>
  <c r="Z675" i="2"/>
  <c r="Y675" i="2"/>
  <c r="X675" i="2"/>
  <c r="Z674" i="2"/>
  <c r="Y674" i="2"/>
  <c r="X674" i="2"/>
  <c r="Z673" i="2"/>
  <c r="Y673" i="2"/>
  <c r="X673" i="2"/>
  <c r="Z672" i="2"/>
  <c r="Y672" i="2"/>
  <c r="X672" i="2"/>
  <c r="Z671" i="2"/>
  <c r="Y671" i="2"/>
  <c r="X671" i="2"/>
  <c r="Z670" i="2"/>
  <c r="Y670" i="2"/>
  <c r="X670" i="2"/>
  <c r="Z669" i="2"/>
  <c r="Y669" i="2"/>
  <c r="X669" i="2"/>
  <c r="Z668" i="2"/>
  <c r="Y668" i="2"/>
  <c r="X668" i="2"/>
  <c r="Z667" i="2"/>
  <c r="Y667" i="2"/>
  <c r="X667" i="2"/>
  <c r="Z666" i="2"/>
  <c r="Y666" i="2"/>
  <c r="X666" i="2"/>
  <c r="Z665" i="2"/>
  <c r="Y665" i="2"/>
  <c r="X665" i="2"/>
  <c r="Z664" i="2"/>
  <c r="Y664" i="2"/>
  <c r="X664" i="2"/>
  <c r="Z663" i="2"/>
  <c r="Y663" i="2"/>
  <c r="X663" i="2"/>
  <c r="Z662" i="2"/>
  <c r="Y662" i="2"/>
  <c r="X662" i="2"/>
  <c r="Z661" i="2"/>
  <c r="Y661" i="2"/>
  <c r="X661" i="2"/>
  <c r="Z660" i="2"/>
  <c r="Y660" i="2"/>
  <c r="X660" i="2"/>
  <c r="Z659" i="2"/>
  <c r="Y659" i="2"/>
  <c r="X659" i="2"/>
  <c r="Z658" i="2"/>
  <c r="Y658" i="2"/>
  <c r="X658" i="2"/>
  <c r="Z657" i="2"/>
  <c r="Y657" i="2"/>
  <c r="X657" i="2"/>
  <c r="Z656" i="2"/>
  <c r="Y656" i="2"/>
  <c r="X656" i="2"/>
  <c r="Z655" i="2"/>
  <c r="Y655" i="2"/>
  <c r="X655" i="2"/>
  <c r="Z654" i="2"/>
  <c r="Y654" i="2"/>
  <c r="X654" i="2"/>
  <c r="Z653" i="2"/>
  <c r="Y653" i="2"/>
  <c r="X653" i="2"/>
  <c r="Z652" i="2"/>
  <c r="Y652" i="2"/>
  <c r="X652" i="2"/>
  <c r="Z651" i="2"/>
  <c r="Y651" i="2"/>
  <c r="X651" i="2"/>
  <c r="Z650" i="2"/>
  <c r="Y650" i="2"/>
  <c r="X650" i="2"/>
  <c r="Z649" i="2"/>
  <c r="Y649" i="2"/>
  <c r="X649" i="2"/>
  <c r="Z648" i="2"/>
  <c r="Y648" i="2"/>
  <c r="X648" i="2"/>
  <c r="Z647" i="2"/>
  <c r="Y647" i="2"/>
  <c r="X647" i="2"/>
  <c r="Z646" i="2"/>
  <c r="Y646" i="2"/>
  <c r="X646" i="2"/>
  <c r="Z645" i="2"/>
  <c r="Y645" i="2"/>
  <c r="X645" i="2"/>
  <c r="Z644" i="2"/>
  <c r="Y644" i="2"/>
  <c r="X644" i="2"/>
  <c r="Z643" i="2"/>
  <c r="Y643" i="2"/>
  <c r="X643" i="2"/>
  <c r="Z642" i="2"/>
  <c r="Y642" i="2"/>
  <c r="X642" i="2"/>
  <c r="Z641" i="2"/>
  <c r="Y641" i="2"/>
  <c r="X641" i="2"/>
  <c r="Z640" i="2"/>
  <c r="Y640" i="2"/>
  <c r="X640" i="2"/>
  <c r="Z639" i="2"/>
  <c r="Y639" i="2"/>
  <c r="X639" i="2"/>
  <c r="Z638" i="2"/>
  <c r="Y638" i="2"/>
  <c r="X638" i="2"/>
  <c r="Z637" i="2"/>
  <c r="Y637" i="2"/>
  <c r="X637" i="2"/>
  <c r="Z636" i="2"/>
  <c r="Y636" i="2"/>
  <c r="X636" i="2"/>
  <c r="Z635" i="2"/>
  <c r="Y635" i="2"/>
  <c r="X635" i="2"/>
  <c r="Z634" i="2"/>
  <c r="Y634" i="2"/>
  <c r="X634" i="2"/>
  <c r="Z633" i="2"/>
  <c r="Y633" i="2"/>
  <c r="X633" i="2"/>
  <c r="Z632" i="2"/>
  <c r="Y632" i="2"/>
  <c r="X632" i="2"/>
  <c r="Z631" i="2"/>
  <c r="Y631" i="2"/>
  <c r="X631" i="2"/>
  <c r="Z630" i="2"/>
  <c r="Y630" i="2"/>
  <c r="X630" i="2"/>
  <c r="Z629" i="2"/>
  <c r="Y629" i="2"/>
  <c r="X629" i="2"/>
  <c r="Z628" i="2"/>
  <c r="Y628" i="2"/>
  <c r="X628" i="2"/>
  <c r="Z627" i="2"/>
  <c r="Y627" i="2"/>
  <c r="X627" i="2"/>
  <c r="Z626" i="2"/>
  <c r="Y626" i="2"/>
  <c r="X626" i="2"/>
  <c r="Z625" i="2"/>
  <c r="Y625" i="2"/>
  <c r="X625" i="2"/>
  <c r="Z624" i="2"/>
  <c r="Y624" i="2"/>
  <c r="X624" i="2"/>
  <c r="Z623" i="2"/>
  <c r="Y623" i="2"/>
  <c r="X623" i="2"/>
  <c r="Z622" i="2"/>
  <c r="Y622" i="2"/>
  <c r="X622" i="2"/>
  <c r="Z621" i="2"/>
  <c r="Y621" i="2"/>
  <c r="X621" i="2"/>
  <c r="Z620" i="2"/>
  <c r="Y620" i="2"/>
  <c r="X620" i="2"/>
  <c r="Z619" i="2"/>
  <c r="Y619" i="2"/>
  <c r="X619" i="2"/>
  <c r="Z618" i="2"/>
  <c r="Y618" i="2"/>
  <c r="X618" i="2"/>
  <c r="Z617" i="2"/>
  <c r="Y617" i="2"/>
  <c r="X617" i="2"/>
  <c r="Z616" i="2"/>
  <c r="Y616" i="2"/>
  <c r="X616" i="2"/>
  <c r="Z615" i="2"/>
  <c r="Y615" i="2"/>
  <c r="X615" i="2"/>
  <c r="Z614" i="2"/>
  <c r="Y614" i="2"/>
  <c r="X614" i="2"/>
  <c r="Z613" i="2"/>
  <c r="Y613" i="2"/>
  <c r="X613" i="2"/>
  <c r="Z612" i="2"/>
  <c r="Y612" i="2"/>
  <c r="X612" i="2"/>
  <c r="Z611" i="2"/>
  <c r="Y611" i="2"/>
  <c r="X611" i="2"/>
  <c r="Z610" i="2"/>
  <c r="Y610" i="2"/>
  <c r="X610" i="2"/>
  <c r="Z609" i="2"/>
  <c r="Y609" i="2"/>
  <c r="X609" i="2"/>
  <c r="Z608" i="2"/>
  <c r="Y608" i="2"/>
  <c r="X608" i="2"/>
  <c r="Z607" i="2"/>
  <c r="Y607" i="2"/>
  <c r="X607" i="2"/>
  <c r="Z606" i="2"/>
  <c r="Y606" i="2"/>
  <c r="X606" i="2"/>
  <c r="Z605" i="2"/>
  <c r="Y605" i="2"/>
  <c r="X605" i="2"/>
  <c r="Z604" i="2"/>
  <c r="Y604" i="2"/>
  <c r="X604" i="2"/>
  <c r="Z603" i="2"/>
  <c r="Y603" i="2"/>
  <c r="X603" i="2"/>
  <c r="Z602" i="2"/>
  <c r="Y602" i="2"/>
  <c r="X602" i="2"/>
  <c r="Z601" i="2"/>
  <c r="Y601" i="2"/>
  <c r="X601" i="2"/>
  <c r="Z600" i="2"/>
  <c r="Y600" i="2"/>
  <c r="X600" i="2"/>
  <c r="Z599" i="2"/>
  <c r="Y599" i="2"/>
  <c r="X599" i="2"/>
  <c r="Z598" i="2"/>
  <c r="Y598" i="2"/>
  <c r="X598" i="2"/>
  <c r="Z597" i="2"/>
  <c r="Y597" i="2"/>
  <c r="X597" i="2"/>
  <c r="Z596" i="2"/>
  <c r="Y596" i="2"/>
  <c r="X596" i="2"/>
  <c r="Z595" i="2"/>
  <c r="Y595" i="2"/>
  <c r="X595" i="2"/>
  <c r="Z594" i="2"/>
  <c r="Y594" i="2"/>
  <c r="X594" i="2"/>
  <c r="Z593" i="2"/>
  <c r="Y593" i="2"/>
  <c r="X593" i="2"/>
  <c r="Z592" i="2"/>
  <c r="Y592" i="2"/>
  <c r="X592" i="2"/>
  <c r="Z591" i="2"/>
  <c r="Y591" i="2"/>
  <c r="X591" i="2"/>
  <c r="Z590" i="2"/>
  <c r="Y590" i="2"/>
  <c r="X590" i="2"/>
  <c r="Z589" i="2"/>
  <c r="Y589" i="2"/>
  <c r="X589" i="2"/>
  <c r="Z588" i="2"/>
  <c r="Y588" i="2"/>
  <c r="X588" i="2"/>
  <c r="Z587" i="2"/>
  <c r="Y587" i="2"/>
  <c r="X587" i="2"/>
  <c r="Z586" i="2"/>
  <c r="Y586" i="2"/>
  <c r="X586" i="2"/>
  <c r="Z585" i="2"/>
  <c r="Y585" i="2"/>
  <c r="X585" i="2"/>
  <c r="Z584" i="2"/>
  <c r="Y584" i="2"/>
  <c r="X584" i="2"/>
  <c r="Z583" i="2"/>
  <c r="Y583" i="2"/>
  <c r="X583" i="2"/>
  <c r="Z582" i="2"/>
  <c r="Y582" i="2"/>
  <c r="X582" i="2"/>
  <c r="Z581" i="2"/>
  <c r="Y581" i="2"/>
  <c r="X581" i="2"/>
  <c r="Z580" i="2"/>
  <c r="Y580" i="2"/>
  <c r="X580" i="2"/>
  <c r="Z579" i="2"/>
  <c r="Y579" i="2"/>
  <c r="X579" i="2"/>
  <c r="Z578" i="2"/>
  <c r="Y578" i="2"/>
  <c r="X578" i="2"/>
  <c r="Z577" i="2"/>
  <c r="Y577" i="2"/>
  <c r="X577" i="2"/>
  <c r="Z576" i="2"/>
  <c r="Y576" i="2"/>
  <c r="X576" i="2"/>
  <c r="Z575" i="2"/>
  <c r="Y575" i="2"/>
  <c r="X575" i="2"/>
  <c r="Z574" i="2"/>
  <c r="Y574" i="2"/>
  <c r="X574" i="2"/>
  <c r="Z573" i="2"/>
  <c r="Y573" i="2"/>
  <c r="X573" i="2"/>
  <c r="Z572" i="2"/>
  <c r="Y572" i="2"/>
  <c r="X572" i="2"/>
  <c r="Z571" i="2"/>
  <c r="Y571" i="2"/>
  <c r="X571" i="2"/>
  <c r="Z570" i="2"/>
  <c r="Y570" i="2"/>
  <c r="X570" i="2"/>
  <c r="Z569" i="2"/>
  <c r="Y569" i="2"/>
  <c r="X569" i="2"/>
  <c r="Z568" i="2"/>
  <c r="Y568" i="2"/>
  <c r="X568" i="2"/>
  <c r="Z567" i="2"/>
  <c r="Y567" i="2"/>
  <c r="X567" i="2"/>
  <c r="Z566" i="2"/>
  <c r="Y566" i="2"/>
  <c r="X566" i="2"/>
  <c r="Z565" i="2"/>
  <c r="Y565" i="2"/>
  <c r="X565" i="2"/>
  <c r="Z564" i="2"/>
  <c r="Y564" i="2"/>
  <c r="X564" i="2"/>
  <c r="Z563" i="2"/>
  <c r="Y563" i="2"/>
  <c r="X563" i="2"/>
  <c r="Z562" i="2"/>
  <c r="Y562" i="2"/>
  <c r="X562" i="2"/>
  <c r="Z561" i="2"/>
  <c r="Y561" i="2"/>
  <c r="X561" i="2"/>
  <c r="Z560" i="2"/>
  <c r="Y560" i="2"/>
  <c r="X560" i="2"/>
  <c r="Z559" i="2"/>
  <c r="Y559" i="2"/>
  <c r="X559" i="2"/>
  <c r="Z558" i="2"/>
  <c r="Y558" i="2"/>
  <c r="X558" i="2"/>
  <c r="Z557" i="2"/>
  <c r="Y557" i="2"/>
  <c r="X557" i="2"/>
  <c r="Z556" i="2"/>
  <c r="Y556" i="2"/>
  <c r="X556" i="2"/>
  <c r="Z555" i="2"/>
  <c r="Y555" i="2"/>
  <c r="X555" i="2"/>
  <c r="Z554" i="2"/>
  <c r="Y554" i="2"/>
  <c r="X554" i="2"/>
  <c r="Z553" i="2"/>
  <c r="Y553" i="2"/>
  <c r="X553" i="2"/>
  <c r="Z552" i="2"/>
  <c r="Y552" i="2"/>
  <c r="X552" i="2"/>
  <c r="Z551" i="2"/>
  <c r="Y551" i="2"/>
  <c r="X551" i="2"/>
  <c r="Z550" i="2"/>
  <c r="Y550" i="2"/>
  <c r="X550" i="2"/>
  <c r="Z549" i="2"/>
  <c r="Y549" i="2"/>
  <c r="X549" i="2"/>
  <c r="Z548" i="2"/>
  <c r="Y548" i="2"/>
  <c r="X548" i="2"/>
  <c r="Z547" i="2"/>
  <c r="Y547" i="2"/>
  <c r="X547" i="2"/>
  <c r="Z546" i="2"/>
  <c r="Y546" i="2"/>
  <c r="X546" i="2"/>
  <c r="Z545" i="2"/>
  <c r="Y545" i="2"/>
  <c r="X545" i="2"/>
  <c r="Z544" i="2"/>
  <c r="Y544" i="2"/>
  <c r="X544" i="2"/>
  <c r="Z543" i="2"/>
  <c r="Y543" i="2"/>
  <c r="X543" i="2"/>
  <c r="Z542" i="2"/>
  <c r="Y542" i="2"/>
  <c r="X542" i="2"/>
  <c r="Z541" i="2"/>
  <c r="Y541" i="2"/>
  <c r="X541" i="2"/>
  <c r="Z540" i="2"/>
  <c r="Y540" i="2"/>
  <c r="X540" i="2"/>
  <c r="Z539" i="2"/>
  <c r="Y539" i="2"/>
  <c r="X539" i="2"/>
  <c r="Z538" i="2"/>
  <c r="Y538" i="2"/>
  <c r="X538" i="2"/>
  <c r="Z537" i="2"/>
  <c r="Y537" i="2"/>
  <c r="X537" i="2"/>
  <c r="Z536" i="2"/>
  <c r="Y536" i="2"/>
  <c r="X536" i="2"/>
  <c r="Z535" i="2"/>
  <c r="Y535" i="2"/>
  <c r="X535" i="2"/>
  <c r="Z534" i="2"/>
  <c r="Y534" i="2"/>
  <c r="X534" i="2"/>
  <c r="Z533" i="2"/>
  <c r="Y533" i="2"/>
  <c r="X533" i="2"/>
  <c r="Z532" i="2"/>
  <c r="Y532" i="2"/>
  <c r="X532" i="2"/>
  <c r="Z531" i="2"/>
  <c r="Y531" i="2"/>
  <c r="X531" i="2"/>
  <c r="Z530" i="2"/>
  <c r="Y530" i="2"/>
  <c r="X530" i="2"/>
  <c r="Z529" i="2"/>
  <c r="Y529" i="2"/>
  <c r="X529" i="2"/>
  <c r="Z528" i="2"/>
  <c r="Y528" i="2"/>
  <c r="X528" i="2"/>
  <c r="Z527" i="2"/>
  <c r="Y527" i="2"/>
  <c r="X527" i="2"/>
  <c r="Z526" i="2"/>
  <c r="Y526" i="2"/>
  <c r="X526" i="2"/>
  <c r="Z525" i="2"/>
  <c r="Y525" i="2"/>
  <c r="X525" i="2"/>
  <c r="Z524" i="2"/>
  <c r="Y524" i="2"/>
  <c r="X524" i="2"/>
  <c r="Z523" i="2"/>
  <c r="Y523" i="2"/>
  <c r="X523" i="2"/>
  <c r="Z522" i="2"/>
  <c r="Y522" i="2"/>
  <c r="X522" i="2"/>
  <c r="Z521" i="2"/>
  <c r="Y521" i="2"/>
  <c r="X521" i="2"/>
  <c r="Z520" i="2"/>
  <c r="Y520" i="2"/>
  <c r="X520" i="2"/>
  <c r="Z519" i="2"/>
  <c r="Y519" i="2"/>
  <c r="X519" i="2"/>
  <c r="Z518" i="2"/>
  <c r="Y518" i="2"/>
  <c r="X518" i="2"/>
  <c r="Z517" i="2"/>
  <c r="Y517" i="2"/>
  <c r="X517" i="2"/>
  <c r="Z516" i="2"/>
  <c r="Y516" i="2"/>
  <c r="X516" i="2"/>
  <c r="Z515" i="2"/>
  <c r="Y515" i="2"/>
  <c r="X515" i="2"/>
  <c r="Z514" i="2"/>
  <c r="Y514" i="2"/>
  <c r="X514" i="2"/>
  <c r="Z513" i="2"/>
  <c r="Y513" i="2"/>
  <c r="X513" i="2"/>
  <c r="Z512" i="2"/>
  <c r="Y512" i="2"/>
  <c r="X512" i="2"/>
  <c r="Z511" i="2"/>
  <c r="Y511" i="2"/>
  <c r="X511" i="2"/>
  <c r="Z510" i="2"/>
  <c r="Y510" i="2"/>
  <c r="X510" i="2"/>
  <c r="Z509" i="2"/>
  <c r="Y509" i="2"/>
  <c r="X509" i="2"/>
  <c r="Z508" i="2"/>
  <c r="Y508" i="2"/>
  <c r="X508" i="2"/>
  <c r="Z507" i="2"/>
  <c r="Y507" i="2"/>
  <c r="X507" i="2"/>
  <c r="Z506" i="2"/>
  <c r="Y506" i="2"/>
  <c r="X506" i="2"/>
  <c r="Z505" i="2"/>
  <c r="Y505" i="2"/>
  <c r="X505" i="2"/>
  <c r="Z504" i="2"/>
  <c r="Y504" i="2"/>
  <c r="X504" i="2"/>
  <c r="Z503" i="2"/>
  <c r="Y503" i="2"/>
  <c r="X503" i="2"/>
  <c r="Z502" i="2"/>
  <c r="Y502" i="2"/>
  <c r="X502" i="2"/>
  <c r="Z501" i="2"/>
  <c r="Y501" i="2"/>
  <c r="X501" i="2"/>
  <c r="Z500" i="2"/>
  <c r="Y500" i="2"/>
  <c r="X500" i="2"/>
  <c r="Z499" i="2"/>
  <c r="Y499" i="2"/>
  <c r="X499" i="2"/>
  <c r="Z498" i="2"/>
  <c r="Y498" i="2"/>
  <c r="X498" i="2"/>
  <c r="Z497" i="2"/>
  <c r="Y497" i="2"/>
  <c r="X497" i="2"/>
  <c r="Z496" i="2"/>
  <c r="Y496" i="2"/>
  <c r="X496" i="2"/>
  <c r="Z495" i="2"/>
  <c r="Y495" i="2"/>
  <c r="X495" i="2"/>
  <c r="Z494" i="2"/>
  <c r="Y494" i="2"/>
  <c r="X494" i="2"/>
  <c r="Z493" i="2"/>
  <c r="Y493" i="2"/>
  <c r="X493" i="2"/>
  <c r="Z492" i="2"/>
  <c r="Y492" i="2"/>
  <c r="X492" i="2"/>
  <c r="Z491" i="2"/>
  <c r="Y491" i="2"/>
  <c r="X491" i="2"/>
  <c r="Z490" i="2"/>
  <c r="Y490" i="2"/>
  <c r="X490" i="2"/>
  <c r="Z489" i="2"/>
  <c r="Y489" i="2"/>
  <c r="X489" i="2"/>
  <c r="Z488" i="2"/>
  <c r="Y488" i="2"/>
  <c r="X488" i="2"/>
  <c r="Z487" i="2"/>
  <c r="Y487" i="2"/>
  <c r="X487" i="2"/>
  <c r="Z486" i="2"/>
  <c r="Y486" i="2"/>
  <c r="X486" i="2"/>
  <c r="Z485" i="2"/>
  <c r="Y485" i="2"/>
  <c r="X485" i="2"/>
  <c r="Z484" i="2"/>
  <c r="Y484" i="2"/>
  <c r="X484" i="2"/>
  <c r="Z483" i="2"/>
  <c r="Y483" i="2"/>
  <c r="X483" i="2"/>
  <c r="Z482" i="2"/>
  <c r="Y482" i="2"/>
  <c r="X482" i="2"/>
  <c r="Z481" i="2"/>
  <c r="Y481" i="2"/>
  <c r="X481" i="2"/>
  <c r="Z480" i="2"/>
  <c r="Y480" i="2"/>
  <c r="X480" i="2"/>
  <c r="Z479" i="2"/>
  <c r="Y479" i="2"/>
  <c r="X479" i="2"/>
  <c r="Z478" i="2"/>
  <c r="Y478" i="2"/>
  <c r="X478" i="2"/>
  <c r="Z477" i="2"/>
  <c r="Y477" i="2"/>
  <c r="X477" i="2"/>
  <c r="Z476" i="2"/>
  <c r="Y476" i="2"/>
  <c r="X476" i="2"/>
  <c r="Z475" i="2"/>
  <c r="Y475" i="2"/>
  <c r="X475" i="2"/>
  <c r="Z474" i="2"/>
  <c r="Y474" i="2"/>
  <c r="X474" i="2"/>
  <c r="Z473" i="2"/>
  <c r="Y473" i="2"/>
  <c r="X473" i="2"/>
  <c r="Z472" i="2"/>
  <c r="Y472" i="2"/>
  <c r="X472" i="2"/>
  <c r="Z471" i="2"/>
  <c r="Y471" i="2"/>
  <c r="X471" i="2"/>
  <c r="Z470" i="2"/>
  <c r="Y470" i="2"/>
  <c r="X470" i="2"/>
  <c r="Z469" i="2"/>
  <c r="Y469" i="2"/>
  <c r="X469" i="2"/>
  <c r="Z468" i="2"/>
  <c r="Y468" i="2"/>
  <c r="X468" i="2"/>
  <c r="Z467" i="2"/>
  <c r="Y467" i="2"/>
  <c r="X467" i="2"/>
  <c r="Z466" i="2"/>
  <c r="Y466" i="2"/>
  <c r="X466" i="2"/>
  <c r="Z465" i="2"/>
  <c r="Y465" i="2"/>
  <c r="X465" i="2"/>
  <c r="Z464" i="2"/>
  <c r="Y464" i="2"/>
  <c r="X464" i="2"/>
  <c r="Z463" i="2"/>
  <c r="Y463" i="2"/>
  <c r="X463" i="2"/>
  <c r="Z462" i="2"/>
  <c r="Y462" i="2"/>
  <c r="X462" i="2"/>
  <c r="Z461" i="2"/>
  <c r="Y461" i="2"/>
  <c r="X461" i="2"/>
  <c r="Z460" i="2"/>
  <c r="Y460" i="2"/>
  <c r="X460" i="2"/>
  <c r="Z459" i="2"/>
  <c r="Y459" i="2"/>
  <c r="X459" i="2"/>
  <c r="Z458" i="2"/>
  <c r="Y458" i="2"/>
  <c r="X458" i="2"/>
  <c r="Z457" i="2"/>
  <c r="Y457" i="2"/>
  <c r="X457" i="2"/>
  <c r="Z456" i="2"/>
  <c r="Y456" i="2"/>
  <c r="X456" i="2"/>
  <c r="Z455" i="2"/>
  <c r="Y455" i="2"/>
  <c r="X455" i="2"/>
  <c r="Z454" i="2"/>
  <c r="Y454" i="2"/>
  <c r="X454" i="2"/>
  <c r="Z453" i="2"/>
  <c r="Y453" i="2"/>
  <c r="X453" i="2"/>
  <c r="Z452" i="2"/>
  <c r="Y452" i="2"/>
  <c r="X452" i="2"/>
  <c r="Z451" i="2"/>
  <c r="Y451" i="2"/>
  <c r="X451" i="2"/>
  <c r="Z450" i="2"/>
  <c r="Y450" i="2"/>
  <c r="X450" i="2"/>
  <c r="Z449" i="2"/>
  <c r="Y449" i="2"/>
  <c r="X449" i="2"/>
  <c r="Z448" i="2"/>
  <c r="Y448" i="2"/>
  <c r="X448" i="2"/>
  <c r="Z447" i="2"/>
  <c r="Y447" i="2"/>
  <c r="X447" i="2"/>
  <c r="Z446" i="2"/>
  <c r="Y446" i="2"/>
  <c r="X446" i="2"/>
  <c r="Z445" i="2"/>
  <c r="Y445" i="2"/>
  <c r="X445" i="2"/>
  <c r="Z444" i="2"/>
  <c r="Y444" i="2"/>
  <c r="X444" i="2"/>
  <c r="Z443" i="2"/>
  <c r="Y443" i="2"/>
  <c r="X443" i="2"/>
  <c r="Z442" i="2"/>
  <c r="Y442" i="2"/>
  <c r="X442" i="2"/>
  <c r="Z441" i="2"/>
  <c r="Y441" i="2"/>
  <c r="X441" i="2"/>
  <c r="Z440" i="2"/>
  <c r="Y440" i="2"/>
  <c r="X440" i="2"/>
  <c r="Z439" i="2"/>
  <c r="Y439" i="2"/>
  <c r="X439" i="2"/>
  <c r="Z438" i="2"/>
  <c r="Y438" i="2"/>
  <c r="X438" i="2"/>
  <c r="Z437" i="2"/>
  <c r="Y437" i="2"/>
  <c r="X437" i="2"/>
  <c r="Z436" i="2"/>
  <c r="Y436" i="2"/>
  <c r="X436" i="2"/>
  <c r="Z435" i="2"/>
  <c r="Y435" i="2"/>
  <c r="X435" i="2"/>
  <c r="Z434" i="2"/>
  <c r="Y434" i="2"/>
  <c r="X434" i="2"/>
  <c r="Z433" i="2"/>
  <c r="Y433" i="2"/>
  <c r="X433" i="2"/>
  <c r="Z432" i="2"/>
  <c r="Y432" i="2"/>
  <c r="X432" i="2"/>
  <c r="Z431" i="2"/>
  <c r="Y431" i="2"/>
  <c r="X431" i="2"/>
  <c r="Z430" i="2"/>
  <c r="Y430" i="2"/>
  <c r="X430" i="2"/>
  <c r="Z429" i="2"/>
  <c r="Y429" i="2"/>
  <c r="X429" i="2"/>
  <c r="Z428" i="2"/>
  <c r="Y428" i="2"/>
  <c r="X428" i="2"/>
  <c r="Z427" i="2"/>
  <c r="Y427" i="2"/>
  <c r="X427" i="2"/>
  <c r="Z426" i="2"/>
  <c r="Y426" i="2"/>
  <c r="X426" i="2"/>
  <c r="Z425" i="2"/>
  <c r="Y425" i="2"/>
  <c r="X425" i="2"/>
  <c r="Z424" i="2"/>
  <c r="Y424" i="2"/>
  <c r="X424" i="2"/>
  <c r="Z423" i="2"/>
  <c r="Y423" i="2"/>
  <c r="X423" i="2"/>
  <c r="Z422" i="2"/>
  <c r="Y422" i="2"/>
  <c r="X422" i="2"/>
  <c r="Z421" i="2"/>
  <c r="Y421" i="2"/>
  <c r="X421" i="2"/>
  <c r="Z420" i="2"/>
  <c r="Y420" i="2"/>
  <c r="X420" i="2"/>
  <c r="Z419" i="2"/>
  <c r="Y419" i="2"/>
  <c r="X419" i="2"/>
  <c r="Z418" i="2"/>
  <c r="Y418" i="2"/>
  <c r="X418" i="2"/>
  <c r="Z417" i="2"/>
  <c r="Y417" i="2"/>
  <c r="X417" i="2"/>
  <c r="Z416" i="2"/>
  <c r="Y416" i="2"/>
  <c r="X416" i="2"/>
  <c r="Z415" i="2"/>
  <c r="Y415" i="2"/>
  <c r="X415" i="2"/>
  <c r="Z414" i="2"/>
  <c r="Y414" i="2"/>
  <c r="X414" i="2"/>
  <c r="Z413" i="2"/>
  <c r="Y413" i="2"/>
  <c r="X413" i="2"/>
  <c r="Z412" i="2"/>
  <c r="Y412" i="2"/>
  <c r="X412" i="2"/>
  <c r="Z411" i="2"/>
  <c r="Y411" i="2"/>
  <c r="X411" i="2"/>
  <c r="Z410" i="2"/>
  <c r="Y410" i="2"/>
  <c r="X410" i="2"/>
  <c r="Z409" i="2"/>
  <c r="Y409" i="2"/>
  <c r="X409" i="2"/>
  <c r="Z408" i="2"/>
  <c r="Y408" i="2"/>
  <c r="X408" i="2"/>
  <c r="Z407" i="2"/>
  <c r="Y407" i="2"/>
  <c r="X407" i="2"/>
  <c r="Z406" i="2"/>
  <c r="Y406" i="2"/>
  <c r="X406" i="2"/>
  <c r="Z405" i="2"/>
  <c r="Y405" i="2"/>
  <c r="X405" i="2"/>
  <c r="Z404" i="2"/>
  <c r="Y404" i="2"/>
  <c r="X404" i="2"/>
  <c r="Z403" i="2"/>
  <c r="Y403" i="2"/>
  <c r="X403" i="2"/>
  <c r="Z402" i="2"/>
  <c r="Y402" i="2"/>
  <c r="X402" i="2"/>
  <c r="Z401" i="2"/>
  <c r="Y401" i="2"/>
  <c r="X401" i="2"/>
  <c r="Z400" i="2"/>
  <c r="Y400" i="2"/>
  <c r="X400" i="2"/>
  <c r="Z399" i="2"/>
  <c r="Y399" i="2"/>
  <c r="X399" i="2"/>
  <c r="Z398" i="2"/>
  <c r="Y398" i="2"/>
  <c r="X398" i="2"/>
  <c r="Z397" i="2"/>
  <c r="Y397" i="2"/>
  <c r="X397" i="2"/>
  <c r="Z396" i="2"/>
  <c r="Y396" i="2"/>
  <c r="X396" i="2"/>
  <c r="Z395" i="2"/>
  <c r="Y395" i="2"/>
  <c r="X395" i="2"/>
  <c r="Z394" i="2"/>
  <c r="Y394" i="2"/>
  <c r="X394" i="2"/>
  <c r="Z393" i="2"/>
  <c r="Y393" i="2"/>
  <c r="X393" i="2"/>
  <c r="Z392" i="2"/>
  <c r="Y392" i="2"/>
  <c r="X392" i="2"/>
  <c r="Z391" i="2"/>
  <c r="Y391" i="2"/>
  <c r="X391" i="2"/>
  <c r="Z390" i="2"/>
  <c r="Y390" i="2"/>
  <c r="X390" i="2"/>
  <c r="Z389" i="2"/>
  <c r="Y389" i="2"/>
  <c r="X389" i="2"/>
  <c r="Z388" i="2"/>
  <c r="Y388" i="2"/>
  <c r="X388" i="2"/>
  <c r="Z387" i="2"/>
  <c r="Y387" i="2"/>
  <c r="X387" i="2"/>
  <c r="Z386" i="2"/>
  <c r="Y386" i="2"/>
  <c r="X386" i="2"/>
  <c r="Z385" i="2"/>
  <c r="Y385" i="2"/>
  <c r="X385" i="2"/>
  <c r="Z384" i="2"/>
  <c r="Y384" i="2"/>
  <c r="X384" i="2"/>
  <c r="Z383" i="2"/>
  <c r="Y383" i="2"/>
  <c r="X383" i="2"/>
  <c r="Z382" i="2"/>
  <c r="Y382" i="2"/>
  <c r="X382" i="2"/>
  <c r="Z381" i="2"/>
  <c r="Y381" i="2"/>
  <c r="X381" i="2"/>
  <c r="Z380" i="2"/>
  <c r="Y380" i="2"/>
  <c r="X380" i="2"/>
  <c r="Z379" i="2"/>
  <c r="Y379" i="2"/>
  <c r="X379" i="2"/>
  <c r="Z378" i="2"/>
  <c r="Y378" i="2"/>
  <c r="X378" i="2"/>
  <c r="Z377" i="2"/>
  <c r="Y377" i="2"/>
  <c r="X377" i="2"/>
  <c r="Z376" i="2"/>
  <c r="Y376" i="2"/>
  <c r="X376" i="2"/>
  <c r="Z375" i="2"/>
  <c r="Y375" i="2"/>
  <c r="X375" i="2"/>
  <c r="Z374" i="2"/>
  <c r="Y374" i="2"/>
  <c r="X374" i="2"/>
  <c r="Z373" i="2"/>
  <c r="Y373" i="2"/>
  <c r="X373" i="2"/>
  <c r="Z372" i="2"/>
  <c r="Y372" i="2"/>
  <c r="X372" i="2"/>
  <c r="Z371" i="2"/>
  <c r="Y371" i="2"/>
  <c r="X371" i="2"/>
  <c r="Z370" i="2"/>
  <c r="Y370" i="2"/>
  <c r="X370" i="2"/>
  <c r="Z369" i="2"/>
  <c r="Y369" i="2"/>
  <c r="X369" i="2"/>
  <c r="Z368" i="2"/>
  <c r="Y368" i="2"/>
  <c r="X368" i="2"/>
  <c r="Z367" i="2"/>
  <c r="Y367" i="2"/>
  <c r="X367" i="2"/>
  <c r="Z366" i="2"/>
  <c r="Y366" i="2"/>
  <c r="X366" i="2"/>
  <c r="Z365" i="2"/>
  <c r="Y365" i="2"/>
  <c r="X365" i="2"/>
  <c r="Z364" i="2"/>
  <c r="Y364" i="2"/>
  <c r="X364" i="2"/>
  <c r="Z363" i="2"/>
  <c r="Y363" i="2"/>
  <c r="X363" i="2"/>
  <c r="Z362" i="2"/>
  <c r="Y362" i="2"/>
  <c r="X362" i="2"/>
  <c r="Z361" i="2"/>
  <c r="Y361" i="2"/>
  <c r="X361" i="2"/>
  <c r="Z360" i="2"/>
  <c r="Y360" i="2"/>
  <c r="X360" i="2"/>
  <c r="Z359" i="2"/>
  <c r="Y359" i="2"/>
  <c r="X359" i="2"/>
  <c r="Z358" i="2"/>
  <c r="Y358" i="2"/>
  <c r="X358" i="2"/>
  <c r="Z357" i="2"/>
  <c r="Y357" i="2"/>
  <c r="X357" i="2"/>
  <c r="Z356" i="2"/>
  <c r="Y356" i="2"/>
  <c r="X356" i="2"/>
  <c r="Z355" i="2"/>
  <c r="Y355" i="2"/>
  <c r="X355" i="2"/>
  <c r="Z354" i="2"/>
  <c r="Y354" i="2"/>
  <c r="X354" i="2"/>
  <c r="Z353" i="2"/>
  <c r="Y353" i="2"/>
  <c r="X353" i="2"/>
  <c r="Z352" i="2"/>
  <c r="Y352" i="2"/>
  <c r="X352" i="2"/>
  <c r="Z351" i="2"/>
  <c r="Y351" i="2"/>
  <c r="X351" i="2"/>
  <c r="Z350" i="2"/>
  <c r="Y350" i="2"/>
  <c r="X350" i="2"/>
  <c r="Z349" i="2"/>
  <c r="Y349" i="2"/>
  <c r="X349" i="2"/>
  <c r="Z348" i="2"/>
  <c r="Y348" i="2"/>
  <c r="X348" i="2"/>
  <c r="Z347" i="2"/>
  <c r="Y347" i="2"/>
  <c r="X347" i="2"/>
  <c r="Z346" i="2"/>
  <c r="Y346" i="2"/>
  <c r="X346" i="2"/>
  <c r="Z345" i="2"/>
  <c r="Y345" i="2"/>
  <c r="X345" i="2"/>
  <c r="Z344" i="2"/>
  <c r="Y344" i="2"/>
  <c r="X344" i="2"/>
  <c r="Z343" i="2"/>
  <c r="Y343" i="2"/>
  <c r="X343" i="2"/>
  <c r="Z342" i="2"/>
  <c r="Y342" i="2"/>
  <c r="X342" i="2"/>
  <c r="Z341" i="2"/>
  <c r="Y341" i="2"/>
  <c r="X341" i="2"/>
  <c r="Z340" i="2"/>
  <c r="Y340" i="2"/>
  <c r="X340" i="2"/>
  <c r="Z339" i="2"/>
  <c r="Y339" i="2"/>
  <c r="X339" i="2"/>
  <c r="Z338" i="2"/>
  <c r="Y338" i="2"/>
  <c r="X338" i="2"/>
  <c r="Z337" i="2"/>
  <c r="Y337" i="2"/>
  <c r="X337" i="2"/>
  <c r="Z336" i="2"/>
  <c r="Y336" i="2"/>
  <c r="X336" i="2"/>
  <c r="Z335" i="2"/>
  <c r="Y335" i="2"/>
  <c r="X335" i="2"/>
  <c r="Z334" i="2"/>
  <c r="Y334" i="2"/>
  <c r="X334" i="2"/>
  <c r="Z333" i="2"/>
  <c r="Y333" i="2"/>
  <c r="X333" i="2"/>
  <c r="Z332" i="2"/>
  <c r="Y332" i="2"/>
  <c r="X332" i="2"/>
  <c r="Z331" i="2"/>
  <c r="Y331" i="2"/>
  <c r="X331" i="2"/>
  <c r="Z330" i="2"/>
  <c r="Y330" i="2"/>
  <c r="X330" i="2"/>
  <c r="Z329" i="2"/>
  <c r="Y329" i="2"/>
  <c r="X329" i="2"/>
  <c r="Z328" i="2"/>
  <c r="Y328" i="2"/>
  <c r="X328" i="2"/>
  <c r="Z327" i="2"/>
  <c r="Y327" i="2"/>
  <c r="X327" i="2"/>
  <c r="Z326" i="2"/>
  <c r="Y326" i="2"/>
  <c r="X326" i="2"/>
  <c r="Z325" i="2"/>
  <c r="Y325" i="2"/>
  <c r="X325" i="2"/>
  <c r="Z324" i="2"/>
  <c r="Y324" i="2"/>
  <c r="X324" i="2"/>
  <c r="Z323" i="2"/>
  <c r="Y323" i="2"/>
  <c r="X323" i="2"/>
  <c r="Z322" i="2"/>
  <c r="Y322" i="2"/>
  <c r="X322" i="2"/>
  <c r="Z321" i="2"/>
  <c r="Y321" i="2"/>
  <c r="X321" i="2"/>
  <c r="Z320" i="2"/>
  <c r="Y320" i="2"/>
  <c r="X320" i="2"/>
  <c r="Z319" i="2"/>
  <c r="Y319" i="2"/>
  <c r="X319" i="2"/>
  <c r="Z318" i="2"/>
  <c r="Y318" i="2"/>
  <c r="X318" i="2"/>
  <c r="Z317" i="2"/>
  <c r="Y317" i="2"/>
  <c r="X317" i="2"/>
  <c r="Z316" i="2"/>
  <c r="Y316" i="2"/>
  <c r="X316" i="2"/>
  <c r="Z315" i="2"/>
  <c r="Y315" i="2"/>
  <c r="X315" i="2"/>
  <c r="Z314" i="2"/>
  <c r="Y314" i="2"/>
  <c r="X314" i="2"/>
  <c r="Z313" i="2"/>
  <c r="Y313" i="2"/>
  <c r="X313" i="2"/>
  <c r="Z312" i="2"/>
  <c r="Y312" i="2"/>
  <c r="X312" i="2"/>
  <c r="Z311" i="2"/>
  <c r="Y311" i="2"/>
  <c r="X311" i="2"/>
  <c r="Z310" i="2"/>
  <c r="Y310" i="2"/>
  <c r="X310" i="2"/>
  <c r="Z309" i="2"/>
  <c r="Y309" i="2"/>
  <c r="X309" i="2"/>
  <c r="Z308" i="2"/>
  <c r="Y308" i="2"/>
  <c r="X308" i="2"/>
  <c r="Z307" i="2"/>
  <c r="Y307" i="2"/>
  <c r="X307" i="2"/>
  <c r="Z306" i="2"/>
  <c r="Y306" i="2"/>
  <c r="X306" i="2"/>
  <c r="Z305" i="2"/>
  <c r="Y305" i="2"/>
  <c r="X305" i="2"/>
  <c r="Z304" i="2"/>
  <c r="Y304" i="2"/>
  <c r="X304" i="2"/>
  <c r="Z303" i="2"/>
  <c r="Y303" i="2"/>
  <c r="X303" i="2"/>
  <c r="Z302" i="2"/>
  <c r="Y302" i="2"/>
  <c r="X302" i="2"/>
  <c r="Z301" i="2"/>
  <c r="Y301" i="2"/>
  <c r="X301" i="2"/>
  <c r="Z300" i="2"/>
  <c r="Y300" i="2"/>
  <c r="X300" i="2"/>
  <c r="Z299" i="2"/>
  <c r="Y299" i="2"/>
  <c r="X299" i="2"/>
  <c r="Z298" i="2"/>
  <c r="Y298" i="2"/>
  <c r="X298" i="2"/>
  <c r="Z297" i="2"/>
  <c r="Y297" i="2"/>
  <c r="X297" i="2"/>
  <c r="Z296" i="2"/>
  <c r="Y296" i="2"/>
  <c r="X296" i="2"/>
  <c r="Z295" i="2"/>
  <c r="Y295" i="2"/>
  <c r="X295" i="2"/>
  <c r="Z294" i="2"/>
  <c r="Y294" i="2"/>
  <c r="X294" i="2"/>
  <c r="Z293" i="2"/>
  <c r="Y293" i="2"/>
  <c r="X293" i="2"/>
  <c r="Z292" i="2"/>
  <c r="Y292" i="2"/>
  <c r="X292" i="2"/>
  <c r="Z291" i="2"/>
  <c r="Y291" i="2"/>
  <c r="X291" i="2"/>
  <c r="Z290" i="2"/>
  <c r="Y290" i="2"/>
  <c r="X290" i="2"/>
  <c r="Z289" i="2"/>
  <c r="Y289" i="2"/>
  <c r="X289" i="2"/>
  <c r="Z288" i="2"/>
  <c r="Y288" i="2"/>
  <c r="X288" i="2"/>
  <c r="Z287" i="2"/>
  <c r="Y287" i="2"/>
  <c r="X287" i="2"/>
  <c r="Z286" i="2"/>
  <c r="Y286" i="2"/>
  <c r="X286" i="2"/>
  <c r="Z285" i="2"/>
  <c r="Y285" i="2"/>
  <c r="X285" i="2"/>
  <c r="Z284" i="2"/>
  <c r="Y284" i="2"/>
  <c r="X284" i="2"/>
  <c r="Z283" i="2"/>
  <c r="Y283" i="2"/>
  <c r="X283" i="2"/>
  <c r="Z282" i="2"/>
  <c r="Y282" i="2"/>
  <c r="X282" i="2"/>
  <c r="Z281" i="2"/>
  <c r="Y281" i="2"/>
  <c r="X281" i="2"/>
  <c r="Z280" i="2"/>
  <c r="Y280" i="2"/>
  <c r="X280" i="2"/>
  <c r="Z279" i="2"/>
  <c r="Y279" i="2"/>
  <c r="X279" i="2"/>
  <c r="Z278" i="2"/>
  <c r="Y278" i="2"/>
  <c r="X278" i="2"/>
  <c r="Z277" i="2"/>
  <c r="Y277" i="2"/>
  <c r="X277" i="2"/>
  <c r="Z276" i="2"/>
  <c r="Y276" i="2"/>
  <c r="X276" i="2"/>
  <c r="Z275" i="2"/>
  <c r="Y275" i="2"/>
  <c r="X275" i="2"/>
  <c r="Z274" i="2"/>
  <c r="Y274" i="2"/>
  <c r="X274" i="2"/>
  <c r="Z273" i="2"/>
  <c r="Y273" i="2"/>
  <c r="X273" i="2"/>
  <c r="Z272" i="2"/>
  <c r="Y272" i="2"/>
  <c r="X272" i="2"/>
  <c r="Z271" i="2"/>
  <c r="Y271" i="2"/>
  <c r="X271" i="2"/>
  <c r="Z270" i="2"/>
  <c r="Y270" i="2"/>
  <c r="X270" i="2"/>
  <c r="Z269" i="2"/>
  <c r="Y269" i="2"/>
  <c r="X269" i="2"/>
  <c r="Z268" i="2"/>
  <c r="Y268" i="2"/>
  <c r="X268" i="2"/>
  <c r="Z267" i="2"/>
  <c r="Y267" i="2"/>
  <c r="X267" i="2"/>
  <c r="Z266" i="2"/>
  <c r="Y266" i="2"/>
  <c r="X266" i="2"/>
  <c r="Z265" i="2"/>
  <c r="Y265" i="2"/>
  <c r="X265" i="2"/>
  <c r="Z264" i="2"/>
  <c r="Y264" i="2"/>
  <c r="X264" i="2"/>
  <c r="Z263" i="2"/>
  <c r="Y263" i="2"/>
  <c r="X263" i="2"/>
  <c r="Z262" i="2"/>
  <c r="Y262" i="2"/>
  <c r="X262" i="2"/>
  <c r="Z261" i="2"/>
  <c r="Y261" i="2"/>
  <c r="X261" i="2"/>
  <c r="Z260" i="2"/>
  <c r="Y260" i="2"/>
  <c r="X260" i="2"/>
  <c r="Z259" i="2"/>
  <c r="Y259" i="2"/>
  <c r="X259" i="2"/>
  <c r="Z258" i="2"/>
  <c r="Y258" i="2"/>
  <c r="X258" i="2"/>
  <c r="Z257" i="2"/>
  <c r="Y257" i="2"/>
  <c r="X257" i="2"/>
  <c r="Z256" i="2"/>
  <c r="Y256" i="2"/>
  <c r="X256" i="2"/>
  <c r="Z255" i="2"/>
  <c r="Y255" i="2"/>
  <c r="X255" i="2"/>
  <c r="Z254" i="2"/>
  <c r="Y254" i="2"/>
  <c r="X254" i="2"/>
  <c r="Z253" i="2"/>
  <c r="Y253" i="2"/>
  <c r="X253" i="2"/>
  <c r="Z252" i="2"/>
  <c r="Y252" i="2"/>
  <c r="X252" i="2"/>
  <c r="Z251" i="2"/>
  <c r="Y251" i="2"/>
  <c r="X251" i="2"/>
  <c r="Z250" i="2"/>
  <c r="Y250" i="2"/>
  <c r="X250" i="2"/>
  <c r="Z249" i="2"/>
  <c r="Y249" i="2"/>
  <c r="X249" i="2"/>
  <c r="Z248" i="2"/>
  <c r="Y248" i="2"/>
  <c r="X248" i="2"/>
  <c r="Z247" i="2"/>
  <c r="Y247" i="2"/>
  <c r="X247" i="2"/>
  <c r="Z246" i="2"/>
  <c r="Y246" i="2"/>
  <c r="X246" i="2"/>
  <c r="Z245" i="2"/>
  <c r="Y245" i="2"/>
  <c r="X245" i="2"/>
  <c r="Z244" i="2"/>
  <c r="Y244" i="2"/>
  <c r="X244" i="2"/>
  <c r="Z243" i="2"/>
  <c r="Y243" i="2"/>
  <c r="X243" i="2"/>
  <c r="Z242" i="2"/>
  <c r="Y242" i="2"/>
  <c r="X242" i="2"/>
  <c r="Z241" i="2"/>
  <c r="Y241" i="2"/>
  <c r="X241" i="2"/>
  <c r="Z240" i="2"/>
  <c r="Y240" i="2"/>
  <c r="X240" i="2"/>
  <c r="Z239" i="2"/>
  <c r="Y239" i="2"/>
  <c r="X239" i="2"/>
  <c r="Z238" i="2"/>
  <c r="Y238" i="2"/>
  <c r="X238" i="2"/>
  <c r="Z237" i="2"/>
  <c r="Y237" i="2"/>
  <c r="X237" i="2"/>
  <c r="Z236" i="2"/>
  <c r="Y236" i="2"/>
  <c r="X236" i="2"/>
  <c r="Z235" i="2"/>
  <c r="Y235" i="2"/>
  <c r="X235" i="2"/>
  <c r="Z234" i="2"/>
  <c r="Y234" i="2"/>
  <c r="X234" i="2"/>
  <c r="Z233" i="2"/>
  <c r="Y233" i="2"/>
  <c r="X233" i="2"/>
  <c r="Z232" i="2"/>
  <c r="Y232" i="2"/>
  <c r="X232" i="2"/>
  <c r="Z231" i="2"/>
  <c r="Y231" i="2"/>
  <c r="X231" i="2"/>
  <c r="Z230" i="2"/>
  <c r="Y230" i="2"/>
  <c r="X230" i="2"/>
  <c r="Z229" i="2"/>
  <c r="Y229" i="2"/>
  <c r="X229" i="2"/>
  <c r="Z228" i="2"/>
  <c r="Y228" i="2"/>
  <c r="X228" i="2"/>
  <c r="Z227" i="2"/>
  <c r="Y227" i="2"/>
  <c r="X227" i="2"/>
  <c r="Z226" i="2"/>
  <c r="Y226" i="2"/>
  <c r="X226" i="2"/>
  <c r="Z225" i="2"/>
  <c r="Y225" i="2"/>
  <c r="X225" i="2"/>
  <c r="Z224" i="2"/>
  <c r="Y224" i="2"/>
  <c r="X224" i="2"/>
  <c r="Z223" i="2"/>
  <c r="Y223" i="2"/>
  <c r="X223" i="2"/>
  <c r="Z222" i="2"/>
  <c r="Y222" i="2"/>
  <c r="X222" i="2"/>
  <c r="Z221" i="2"/>
  <c r="Y221" i="2"/>
  <c r="X221" i="2"/>
  <c r="Z220" i="2"/>
  <c r="Y220" i="2"/>
  <c r="X220" i="2"/>
  <c r="Z219" i="2"/>
  <c r="Y219" i="2"/>
  <c r="X219" i="2"/>
  <c r="Z218" i="2"/>
  <c r="Y218" i="2"/>
  <c r="X218" i="2"/>
  <c r="Z217" i="2"/>
  <c r="Y217" i="2"/>
  <c r="X217" i="2"/>
  <c r="Z216" i="2"/>
  <c r="Y216" i="2"/>
  <c r="X216" i="2"/>
  <c r="Z215" i="2"/>
  <c r="Y215" i="2"/>
  <c r="X215" i="2"/>
  <c r="Z214" i="2"/>
  <c r="Y214" i="2"/>
  <c r="X214" i="2"/>
  <c r="Z213" i="2"/>
  <c r="Y213" i="2"/>
  <c r="X213" i="2"/>
  <c r="Z212" i="2"/>
  <c r="Y212" i="2"/>
  <c r="X212" i="2"/>
  <c r="Z211" i="2"/>
  <c r="Y211" i="2"/>
  <c r="X211" i="2"/>
  <c r="Z210" i="2"/>
  <c r="Y210" i="2"/>
  <c r="X210" i="2"/>
  <c r="Z209" i="2"/>
  <c r="Y209" i="2"/>
  <c r="X209" i="2"/>
  <c r="Z208" i="2"/>
  <c r="Y208" i="2"/>
  <c r="X208" i="2"/>
  <c r="Z207" i="2"/>
  <c r="Y207" i="2"/>
  <c r="X207" i="2"/>
  <c r="Z206" i="2"/>
  <c r="Y206" i="2"/>
  <c r="X206" i="2"/>
  <c r="Z205" i="2"/>
  <c r="Y205" i="2"/>
  <c r="X205" i="2"/>
  <c r="Z204" i="2"/>
  <c r="Y204" i="2"/>
  <c r="X204" i="2"/>
  <c r="Z203" i="2"/>
  <c r="Y203" i="2"/>
  <c r="X203" i="2"/>
  <c r="Z202" i="2"/>
  <c r="Y202" i="2"/>
  <c r="X202" i="2"/>
  <c r="Z201" i="2"/>
  <c r="Y201" i="2"/>
  <c r="X201" i="2"/>
  <c r="Z200" i="2"/>
  <c r="Y200" i="2"/>
  <c r="X200" i="2"/>
  <c r="Z199" i="2"/>
  <c r="Y199" i="2"/>
  <c r="X199" i="2"/>
  <c r="Z198" i="2"/>
  <c r="Y198" i="2"/>
  <c r="X198" i="2"/>
  <c r="Z197" i="2"/>
  <c r="Y197" i="2"/>
  <c r="X197" i="2"/>
  <c r="Z196" i="2"/>
  <c r="Y196" i="2"/>
  <c r="X196" i="2"/>
  <c r="Z195" i="2"/>
  <c r="Y195" i="2"/>
  <c r="X195" i="2"/>
  <c r="Z194" i="2"/>
  <c r="Y194" i="2"/>
  <c r="X194" i="2"/>
  <c r="Z193" i="2"/>
  <c r="Y193" i="2"/>
  <c r="X193" i="2"/>
  <c r="Z192" i="2"/>
  <c r="Y192" i="2"/>
  <c r="X192" i="2"/>
  <c r="Z191" i="2"/>
  <c r="Y191" i="2"/>
  <c r="X191" i="2"/>
  <c r="Z190" i="2"/>
  <c r="Y190" i="2"/>
  <c r="X190" i="2"/>
  <c r="Z189" i="2"/>
  <c r="Y189" i="2"/>
  <c r="X189" i="2"/>
  <c r="Z188" i="2"/>
  <c r="Y188" i="2"/>
  <c r="X188" i="2"/>
  <c r="Z187" i="2"/>
  <c r="Y187" i="2"/>
  <c r="X187" i="2"/>
  <c r="Z186" i="2"/>
  <c r="Y186" i="2"/>
  <c r="X186" i="2"/>
  <c r="Z185" i="2"/>
  <c r="Y185" i="2"/>
  <c r="X185" i="2"/>
  <c r="Z184" i="2"/>
  <c r="Y184" i="2"/>
  <c r="X184" i="2"/>
  <c r="Z183" i="2"/>
  <c r="Y183" i="2"/>
  <c r="X183" i="2"/>
  <c r="Z182" i="2"/>
  <c r="Y182" i="2"/>
  <c r="X182" i="2"/>
  <c r="Z181" i="2"/>
  <c r="Y181" i="2"/>
  <c r="X181" i="2"/>
  <c r="Z180" i="2"/>
  <c r="Y180" i="2"/>
  <c r="X180" i="2"/>
  <c r="Z179" i="2"/>
  <c r="Y179" i="2"/>
  <c r="X179" i="2"/>
  <c r="Z178" i="2"/>
  <c r="Y178" i="2"/>
  <c r="X178" i="2"/>
  <c r="Z177" i="2"/>
  <c r="Y177" i="2"/>
  <c r="X177" i="2"/>
  <c r="Z176" i="2"/>
  <c r="Y176" i="2"/>
  <c r="X176" i="2"/>
  <c r="Z175" i="2"/>
  <c r="Y175" i="2"/>
  <c r="X175" i="2"/>
  <c r="Z174" i="2"/>
  <c r="Y174" i="2"/>
  <c r="X174" i="2"/>
  <c r="Z173" i="2"/>
  <c r="Y173" i="2"/>
  <c r="X173" i="2"/>
  <c r="Z172" i="2"/>
  <c r="Y172" i="2"/>
  <c r="X172" i="2"/>
  <c r="Z171" i="2"/>
  <c r="Y171" i="2"/>
  <c r="X171" i="2"/>
  <c r="Z170" i="2"/>
  <c r="Y170" i="2"/>
  <c r="X170" i="2"/>
  <c r="Z169" i="2"/>
  <c r="Y169" i="2"/>
  <c r="X169" i="2"/>
  <c r="Z168" i="2"/>
  <c r="Y168" i="2"/>
  <c r="X168" i="2"/>
  <c r="Z167" i="2"/>
  <c r="Y167" i="2"/>
  <c r="X167" i="2"/>
  <c r="Z166" i="2"/>
  <c r="Y166" i="2"/>
  <c r="X166" i="2"/>
  <c r="Z165" i="2"/>
  <c r="Y165" i="2"/>
  <c r="X165" i="2"/>
  <c r="Z164" i="2"/>
  <c r="Y164" i="2"/>
  <c r="X164" i="2"/>
  <c r="Z163" i="2"/>
  <c r="Y163" i="2"/>
  <c r="X163" i="2"/>
  <c r="Z162" i="2"/>
  <c r="Y162" i="2"/>
  <c r="X162" i="2"/>
  <c r="Z161" i="2"/>
  <c r="Y161" i="2"/>
  <c r="X161" i="2"/>
  <c r="Z160" i="2"/>
  <c r="Y160" i="2"/>
  <c r="X160" i="2"/>
  <c r="Z159" i="2"/>
  <c r="Y159" i="2"/>
  <c r="X159" i="2"/>
  <c r="Z158" i="2"/>
  <c r="Y158" i="2"/>
  <c r="X158" i="2"/>
  <c r="Z157" i="2"/>
  <c r="Y157" i="2"/>
  <c r="X157" i="2"/>
  <c r="Z156" i="2"/>
  <c r="Y156" i="2"/>
  <c r="X156" i="2"/>
  <c r="Z155" i="2"/>
  <c r="Y155" i="2"/>
  <c r="X155" i="2"/>
  <c r="Z154" i="2"/>
  <c r="Y154" i="2"/>
  <c r="X154" i="2"/>
  <c r="Z153" i="2"/>
  <c r="Y153" i="2"/>
  <c r="X153" i="2"/>
  <c r="Z152" i="2"/>
  <c r="Y152" i="2"/>
  <c r="X152" i="2"/>
  <c r="Z151" i="2"/>
  <c r="Y151" i="2"/>
  <c r="X151" i="2"/>
  <c r="Z150" i="2"/>
  <c r="Y150" i="2"/>
  <c r="X150" i="2"/>
  <c r="Z149" i="2"/>
  <c r="Y149" i="2"/>
  <c r="X149" i="2"/>
  <c r="Z148" i="2"/>
  <c r="Y148" i="2"/>
  <c r="X148" i="2"/>
  <c r="Z147" i="2"/>
  <c r="Y147" i="2"/>
  <c r="X147" i="2"/>
  <c r="Z146" i="2"/>
  <c r="Y146" i="2"/>
  <c r="X146" i="2"/>
  <c r="Z145" i="2"/>
  <c r="Y145" i="2"/>
  <c r="X145" i="2"/>
  <c r="Z144" i="2"/>
  <c r="Y144" i="2"/>
  <c r="X144" i="2"/>
  <c r="Z143" i="2"/>
  <c r="Y143" i="2"/>
  <c r="X143" i="2"/>
  <c r="Z142" i="2"/>
  <c r="Y142" i="2"/>
  <c r="X142" i="2"/>
  <c r="Z141" i="2"/>
  <c r="Y141" i="2"/>
  <c r="X141" i="2"/>
  <c r="Z140" i="2"/>
  <c r="Y140" i="2"/>
  <c r="X140" i="2"/>
  <c r="Z139" i="2"/>
  <c r="Y139" i="2"/>
  <c r="X139" i="2"/>
  <c r="Z138" i="2"/>
  <c r="Y138" i="2"/>
  <c r="X138" i="2"/>
  <c r="Z137" i="2"/>
  <c r="Y137" i="2"/>
  <c r="X137" i="2"/>
  <c r="Z136" i="2"/>
  <c r="Y136" i="2"/>
  <c r="X136" i="2"/>
  <c r="Z135" i="2"/>
  <c r="Y135" i="2"/>
  <c r="X135" i="2"/>
  <c r="Z134" i="2"/>
  <c r="Y134" i="2"/>
  <c r="X134" i="2"/>
  <c r="Z133" i="2"/>
  <c r="Y133" i="2"/>
  <c r="X133" i="2"/>
  <c r="Z132" i="2"/>
  <c r="Y132" i="2"/>
  <c r="X132" i="2"/>
  <c r="Z131" i="2"/>
  <c r="Y131" i="2"/>
  <c r="X131" i="2"/>
  <c r="Z130" i="2"/>
  <c r="Y130" i="2"/>
  <c r="X130" i="2"/>
  <c r="Z129" i="2"/>
  <c r="Y129" i="2"/>
  <c r="X129" i="2"/>
  <c r="Z128" i="2"/>
  <c r="Y128" i="2"/>
  <c r="X128" i="2"/>
  <c r="Z127" i="2"/>
  <c r="Y127" i="2"/>
  <c r="X127" i="2"/>
  <c r="Z126" i="2"/>
  <c r="Y126" i="2"/>
  <c r="X126" i="2"/>
  <c r="Z125" i="2"/>
  <c r="Y125" i="2"/>
  <c r="X125" i="2"/>
  <c r="Z124" i="2"/>
  <c r="Y124" i="2"/>
  <c r="X124" i="2"/>
  <c r="Z123" i="2"/>
  <c r="Y123" i="2"/>
  <c r="X123" i="2"/>
  <c r="Z122" i="2"/>
  <c r="Y122" i="2"/>
  <c r="X122" i="2"/>
  <c r="Z121" i="2"/>
  <c r="Y121" i="2"/>
  <c r="X121" i="2"/>
  <c r="Z120" i="2"/>
  <c r="Y120" i="2"/>
  <c r="X120" i="2"/>
  <c r="Z119" i="2"/>
  <c r="Y119" i="2"/>
  <c r="X119" i="2"/>
  <c r="Z118" i="2"/>
  <c r="Y118" i="2"/>
  <c r="X118" i="2"/>
  <c r="Z117" i="2"/>
  <c r="Y117" i="2"/>
  <c r="X117" i="2"/>
  <c r="Z116" i="2"/>
  <c r="Y116" i="2"/>
  <c r="X116" i="2"/>
  <c r="Z115" i="2"/>
  <c r="Y115" i="2"/>
  <c r="X115" i="2"/>
  <c r="Z114" i="2"/>
  <c r="Y114" i="2"/>
  <c r="X114" i="2"/>
  <c r="Z113" i="2"/>
  <c r="Y113" i="2"/>
  <c r="X113" i="2"/>
  <c r="Z112" i="2"/>
  <c r="Y112" i="2"/>
  <c r="X112" i="2"/>
  <c r="Z111" i="2"/>
  <c r="Y111" i="2"/>
  <c r="X111" i="2"/>
  <c r="Z110" i="2"/>
  <c r="Y110" i="2"/>
  <c r="X110" i="2"/>
  <c r="Z109" i="2"/>
  <c r="Y109" i="2"/>
  <c r="X109" i="2"/>
  <c r="Z108" i="2"/>
  <c r="Y108" i="2"/>
  <c r="X108" i="2"/>
  <c r="Z107" i="2"/>
  <c r="Y107" i="2"/>
  <c r="X107" i="2"/>
  <c r="Z106" i="2"/>
  <c r="Y106" i="2"/>
  <c r="X106" i="2"/>
  <c r="Z105" i="2"/>
  <c r="Y105" i="2"/>
  <c r="X105" i="2"/>
  <c r="Z104" i="2"/>
  <c r="Y104" i="2"/>
  <c r="X104" i="2"/>
  <c r="Z103" i="2"/>
  <c r="Y103" i="2"/>
  <c r="X103" i="2"/>
  <c r="Z102" i="2"/>
  <c r="Y102" i="2"/>
  <c r="X102" i="2"/>
  <c r="Z101" i="2"/>
  <c r="Y101" i="2"/>
  <c r="X101" i="2"/>
  <c r="Z100" i="2"/>
  <c r="Y100" i="2"/>
  <c r="X100" i="2"/>
  <c r="Z99" i="2"/>
  <c r="Y99" i="2"/>
  <c r="X99" i="2"/>
  <c r="Z98" i="2"/>
  <c r="Y98" i="2"/>
  <c r="X98" i="2"/>
  <c r="Z97" i="2"/>
  <c r="Y97" i="2"/>
  <c r="X97" i="2"/>
  <c r="Z96" i="2"/>
  <c r="Y96" i="2"/>
  <c r="X96" i="2"/>
  <c r="Z95" i="2"/>
  <c r="Y95" i="2"/>
  <c r="X95" i="2"/>
  <c r="Z94" i="2"/>
  <c r="Y94" i="2"/>
  <c r="X94" i="2"/>
  <c r="Z93" i="2"/>
  <c r="Y93" i="2"/>
  <c r="X93" i="2"/>
  <c r="Z92" i="2"/>
  <c r="Y92" i="2"/>
  <c r="X92" i="2"/>
  <c r="Z91" i="2"/>
  <c r="Y91" i="2"/>
  <c r="X91" i="2"/>
  <c r="Z90" i="2"/>
  <c r="Y90" i="2"/>
  <c r="X90" i="2"/>
  <c r="Z89" i="2"/>
  <c r="Y89" i="2"/>
  <c r="X89" i="2"/>
  <c r="Z88" i="2"/>
  <c r="Y88" i="2"/>
  <c r="X88" i="2"/>
  <c r="Z87" i="2"/>
  <c r="Y87" i="2"/>
  <c r="X87" i="2"/>
  <c r="Z86" i="2"/>
  <c r="Y86" i="2"/>
  <c r="X86" i="2"/>
  <c r="Z85" i="2"/>
  <c r="Y85" i="2"/>
  <c r="X85" i="2"/>
  <c r="Z84" i="2"/>
  <c r="Y84" i="2"/>
  <c r="X84" i="2"/>
  <c r="Z83" i="2"/>
  <c r="Y83" i="2"/>
  <c r="X83" i="2"/>
  <c r="Z82" i="2"/>
  <c r="Y82" i="2"/>
  <c r="X82" i="2"/>
  <c r="Z81" i="2"/>
  <c r="Y81" i="2"/>
  <c r="X81" i="2"/>
  <c r="Z80" i="2"/>
  <c r="Y80" i="2"/>
  <c r="X80" i="2"/>
  <c r="Z79" i="2"/>
  <c r="Y79" i="2"/>
  <c r="X79" i="2"/>
  <c r="Z78" i="2"/>
  <c r="Y78" i="2"/>
  <c r="X78" i="2"/>
  <c r="Z77" i="2"/>
  <c r="Y77" i="2"/>
  <c r="X77" i="2"/>
  <c r="Z76" i="2"/>
  <c r="Y76" i="2"/>
  <c r="X76" i="2"/>
  <c r="Z75" i="2"/>
  <c r="Y75" i="2"/>
  <c r="X75" i="2"/>
  <c r="Z74" i="2"/>
  <c r="Y74" i="2"/>
  <c r="X74" i="2"/>
  <c r="Z73" i="2"/>
  <c r="Y73" i="2"/>
  <c r="X73" i="2"/>
  <c r="Z72" i="2"/>
  <c r="Y72" i="2"/>
  <c r="X72" i="2"/>
  <c r="Z71" i="2"/>
  <c r="Y71" i="2"/>
  <c r="X71" i="2"/>
  <c r="Z70" i="2"/>
  <c r="Y70" i="2"/>
  <c r="X70" i="2"/>
  <c r="Z69" i="2"/>
  <c r="Y69" i="2"/>
  <c r="X69" i="2"/>
  <c r="Z68" i="2"/>
  <c r="Y68" i="2"/>
  <c r="X68" i="2"/>
  <c r="Z67" i="2"/>
  <c r="Y67" i="2"/>
  <c r="X67" i="2"/>
  <c r="Z66" i="2"/>
  <c r="Y66" i="2"/>
  <c r="X66" i="2"/>
  <c r="Z65" i="2"/>
  <c r="Y65" i="2"/>
  <c r="X65" i="2"/>
  <c r="Z64" i="2"/>
  <c r="Y64" i="2"/>
  <c r="X64" i="2"/>
  <c r="Z63" i="2"/>
  <c r="Y63" i="2"/>
  <c r="X63" i="2"/>
  <c r="Z62" i="2"/>
  <c r="Y62" i="2"/>
  <c r="X62" i="2"/>
  <c r="Z61" i="2"/>
  <c r="Y61" i="2"/>
  <c r="X61" i="2"/>
  <c r="Z60" i="2"/>
  <c r="Y60" i="2"/>
  <c r="X60" i="2"/>
  <c r="Z59" i="2"/>
  <c r="Y59" i="2"/>
  <c r="X59" i="2"/>
  <c r="Z58" i="2"/>
  <c r="Y58" i="2"/>
  <c r="X58" i="2"/>
  <c r="Z57" i="2"/>
  <c r="Y57" i="2"/>
  <c r="X57" i="2"/>
  <c r="Z56" i="2"/>
  <c r="Y56" i="2"/>
  <c r="X56" i="2"/>
  <c r="Z55" i="2"/>
  <c r="Y55" i="2"/>
  <c r="X55" i="2"/>
  <c r="Z54" i="2"/>
  <c r="Y54" i="2"/>
  <c r="X54" i="2"/>
  <c r="Z53" i="2"/>
  <c r="Y53" i="2"/>
  <c r="X53" i="2"/>
  <c r="Z52" i="2"/>
  <c r="Y52" i="2"/>
  <c r="X52" i="2"/>
  <c r="Z51" i="2"/>
  <c r="Y51" i="2"/>
  <c r="X51" i="2"/>
  <c r="Z50" i="2"/>
  <c r="Y50" i="2"/>
  <c r="X50" i="2"/>
  <c r="Z49" i="2"/>
  <c r="Y49" i="2"/>
  <c r="X49" i="2"/>
  <c r="Z48" i="2"/>
  <c r="Y48" i="2"/>
  <c r="X48" i="2"/>
  <c r="Z47" i="2"/>
  <c r="Y47" i="2"/>
  <c r="X47" i="2"/>
  <c r="Z46" i="2"/>
  <c r="Y46" i="2"/>
  <c r="X46" i="2"/>
  <c r="Z45" i="2"/>
  <c r="Y45" i="2"/>
  <c r="X45" i="2"/>
  <c r="Z44" i="2"/>
  <c r="Y44" i="2"/>
  <c r="X44" i="2"/>
  <c r="Z43" i="2"/>
  <c r="Y43" i="2"/>
  <c r="X43" i="2"/>
  <c r="Z42" i="2"/>
  <c r="Y42" i="2"/>
  <c r="X42" i="2"/>
  <c r="Z41" i="2"/>
  <c r="Y41" i="2"/>
  <c r="X41" i="2"/>
  <c r="Z40" i="2"/>
  <c r="Y40" i="2"/>
  <c r="X40" i="2"/>
  <c r="Z39" i="2"/>
  <c r="Y39" i="2"/>
  <c r="X39" i="2"/>
  <c r="Z38" i="2"/>
  <c r="Y38" i="2"/>
  <c r="X38" i="2"/>
  <c r="Z37" i="2"/>
  <c r="Y37" i="2"/>
  <c r="X37" i="2"/>
  <c r="Z36" i="2"/>
  <c r="Y36" i="2"/>
  <c r="X36" i="2"/>
  <c r="Z35" i="2"/>
  <c r="Y35" i="2"/>
  <c r="X35" i="2"/>
  <c r="Z34" i="2"/>
  <c r="Y34" i="2"/>
  <c r="X34" i="2"/>
  <c r="Z33" i="2"/>
  <c r="Y33" i="2"/>
  <c r="X33" i="2"/>
  <c r="Z32" i="2"/>
  <c r="Y32" i="2"/>
  <c r="X32" i="2"/>
  <c r="Z31" i="2"/>
  <c r="Y31" i="2"/>
  <c r="X31" i="2"/>
  <c r="Z30" i="2"/>
  <c r="Y30" i="2"/>
  <c r="X30" i="2"/>
  <c r="Z29" i="2"/>
  <c r="Y29" i="2"/>
  <c r="X29" i="2"/>
  <c r="Z28" i="2"/>
  <c r="Y28" i="2"/>
  <c r="X28" i="2"/>
  <c r="Z27" i="2"/>
  <c r="Y27" i="2"/>
  <c r="X27" i="2"/>
  <c r="Z26" i="2"/>
  <c r="Y26" i="2"/>
  <c r="X26" i="2"/>
  <c r="Z25" i="2"/>
  <c r="Y25" i="2"/>
  <c r="X25" i="2"/>
  <c r="Z24" i="2"/>
  <c r="Y24" i="2"/>
  <c r="X24" i="2"/>
  <c r="Z23" i="2"/>
  <c r="Y23" i="2"/>
  <c r="X23" i="2"/>
  <c r="Z22" i="2"/>
  <c r="Y22" i="2"/>
  <c r="X22" i="2"/>
  <c r="Z21" i="2"/>
  <c r="Y21" i="2"/>
  <c r="X21" i="2"/>
  <c r="Z20" i="2"/>
  <c r="Y20" i="2"/>
  <c r="X20" i="2"/>
  <c r="Z19" i="2"/>
  <c r="Y19" i="2"/>
  <c r="X19" i="2"/>
  <c r="Z18" i="2"/>
  <c r="Y18" i="2"/>
  <c r="X18" i="2"/>
  <c r="Z17" i="2"/>
  <c r="Y17" i="2"/>
  <c r="X17" i="2"/>
  <c r="Z16" i="2"/>
  <c r="Y16" i="2"/>
  <c r="X16" i="2"/>
  <c r="Z15" i="2"/>
  <c r="Y15" i="2"/>
  <c r="X15" i="2"/>
  <c r="Z14" i="2"/>
  <c r="Y14" i="2"/>
  <c r="X14" i="2"/>
  <c r="Z13" i="2"/>
  <c r="Y13" i="2"/>
  <c r="X13" i="2"/>
  <c r="Z12" i="2"/>
  <c r="Y12" i="2"/>
  <c r="X12" i="2"/>
  <c r="Z11" i="2"/>
  <c r="Y11" i="2"/>
  <c r="X11" i="2"/>
  <c r="Z10" i="2"/>
  <c r="Y10" i="2"/>
  <c r="X10" i="2"/>
  <c r="Z9" i="2"/>
  <c r="Y9" i="2"/>
  <c r="X9" i="2"/>
  <c r="Z8" i="2"/>
  <c r="Y8" i="2"/>
  <c r="X8" i="2"/>
  <c r="Z7" i="2"/>
  <c r="Y7" i="2"/>
  <c r="X7" i="2"/>
  <c r="Z6" i="2"/>
  <c r="Y6" i="2"/>
  <c r="X6" i="2"/>
  <c r="Z5" i="2"/>
  <c r="Y5" i="2"/>
  <c r="X5" i="2"/>
  <c r="Z4" i="2"/>
  <c r="Y4" i="2"/>
  <c r="X4" i="2"/>
  <c r="Z3" i="2"/>
  <c r="Y3" i="2"/>
  <c r="X3" i="2"/>
  <c r="Z2" i="2"/>
  <c r="Y2" i="2"/>
  <c r="X2" i="2"/>
  <c r="H62" i="1"/>
  <c r="H61" i="1"/>
  <c r="H60" i="1"/>
  <c r="H59" i="1"/>
  <c r="F50" i="1"/>
  <c r="A50" i="1"/>
  <c r="D126" i="5" l="1"/>
  <c r="D187" i="5"/>
  <c r="H58" i="1"/>
  <c r="B10" i="3"/>
  <c r="D29" i="5"/>
  <c r="E29" i="5" s="1"/>
  <c r="C10" i="6"/>
  <c r="D185" i="5"/>
  <c r="D205" i="5"/>
  <c r="D125" i="5"/>
  <c r="D186" i="5"/>
  <c r="C6" i="6"/>
  <c r="B7" i="5"/>
  <c r="K50" i="1"/>
  <c r="D27" i="5"/>
  <c r="E27" i="5" s="1"/>
  <c r="D31" i="5"/>
  <c r="E31" i="5" s="1"/>
  <c r="H55" i="1"/>
  <c r="H56" i="1"/>
  <c r="D188" i="5"/>
  <c r="H57" i="1"/>
  <c r="D207" i="5"/>
  <c r="C7" i="6"/>
  <c r="D209" i="5"/>
  <c r="D208" i="5"/>
  <c r="C32" i="5"/>
  <c r="C9" i="6"/>
  <c r="B6" i="4"/>
  <c r="G7" i="1" s="1"/>
  <c r="I14" i="8"/>
  <c r="G14" i="8" s="1"/>
  <c r="I26" i="8"/>
  <c r="E26" i="8" s="1"/>
  <c r="D25" i="5"/>
  <c r="E25" i="5" s="1"/>
  <c r="D206" i="5"/>
  <c r="D210" i="5"/>
  <c r="I38" i="8"/>
  <c r="F38" i="8" s="1"/>
  <c r="B32" i="5"/>
  <c r="O50" i="1"/>
  <c r="D26" i="5"/>
  <c r="E26" i="5" s="1"/>
  <c r="D28" i="5"/>
  <c r="E28" i="5" s="1"/>
  <c r="D30" i="5"/>
  <c r="E30" i="5" s="1"/>
  <c r="C8" i="6"/>
  <c r="C5" i="6"/>
  <c r="I5" i="8"/>
  <c r="I6" i="8"/>
  <c r="I7" i="8"/>
  <c r="I8" i="8"/>
  <c r="I9" i="8"/>
  <c r="I10" i="8"/>
  <c r="I11" i="8"/>
  <c r="I12" i="8"/>
  <c r="I13" i="8"/>
  <c r="I17" i="8"/>
  <c r="I18" i="8"/>
  <c r="I19" i="8"/>
  <c r="I20" i="8"/>
  <c r="I21" i="8"/>
  <c r="I22" i="8"/>
  <c r="I23" i="8"/>
  <c r="I24" i="8"/>
  <c r="I25" i="8"/>
  <c r="I29" i="8"/>
  <c r="I30" i="8"/>
  <c r="I31" i="8"/>
  <c r="I32" i="8"/>
  <c r="I33" i="8"/>
  <c r="I34" i="8"/>
  <c r="I35" i="8"/>
  <c r="I36" i="8"/>
  <c r="I37" i="8"/>
  <c r="F26" i="8" l="1"/>
  <c r="A14" i="8"/>
  <c r="A38" i="8"/>
  <c r="B14" i="8"/>
  <c r="G26" i="8"/>
  <c r="A26" i="8"/>
  <c r="G38" i="8"/>
  <c r="B26" i="8"/>
  <c r="B38" i="8"/>
  <c r="C14" i="8"/>
  <c r="C26" i="8"/>
  <c r="C38" i="8"/>
  <c r="D14" i="8"/>
  <c r="D26" i="8"/>
  <c r="D38" i="8"/>
  <c r="E14" i="8"/>
  <c r="E38" i="8"/>
  <c r="F14" i="8"/>
  <c r="D32" i="5"/>
  <c r="H54" i="1"/>
  <c r="B13" i="8"/>
  <c r="A13" i="8"/>
  <c r="G13" i="8"/>
  <c r="F13" i="8"/>
  <c r="E13" i="8"/>
  <c r="D13" i="8"/>
  <c r="C13" i="8"/>
  <c r="B5" i="8"/>
  <c r="A5" i="8"/>
  <c r="G5" i="8"/>
  <c r="F5" i="8"/>
  <c r="E5" i="8"/>
  <c r="D5" i="8"/>
  <c r="C5" i="8"/>
  <c r="B34" i="8"/>
  <c r="A34" i="8"/>
  <c r="G34" i="8"/>
  <c r="F34" i="8"/>
  <c r="E34" i="8"/>
  <c r="D34" i="8"/>
  <c r="C34" i="8"/>
  <c r="B23" i="8"/>
  <c r="A23" i="8"/>
  <c r="G23" i="8"/>
  <c r="F23" i="8"/>
  <c r="E23" i="8"/>
  <c r="D23" i="8"/>
  <c r="C23" i="8"/>
  <c r="B12" i="8"/>
  <c r="A12" i="8"/>
  <c r="G12" i="8"/>
  <c r="F12" i="8"/>
  <c r="E12" i="8"/>
  <c r="D12" i="8"/>
  <c r="C12" i="8"/>
  <c r="B24" i="8"/>
  <c r="A24" i="8"/>
  <c r="G24" i="8"/>
  <c r="F24" i="8"/>
  <c r="E24" i="8"/>
  <c r="D24" i="8"/>
  <c r="C24" i="8"/>
  <c r="B32" i="8"/>
  <c r="A32" i="8"/>
  <c r="G32" i="8"/>
  <c r="F32" i="8"/>
  <c r="E32" i="8"/>
  <c r="D32" i="8"/>
  <c r="C32" i="8"/>
  <c r="B21" i="8"/>
  <c r="A21" i="8"/>
  <c r="G21" i="8"/>
  <c r="F21" i="8"/>
  <c r="E21" i="8"/>
  <c r="D21" i="8"/>
  <c r="C21" i="8"/>
  <c r="B10" i="8"/>
  <c r="A10" i="8"/>
  <c r="G10" i="8"/>
  <c r="F10" i="8"/>
  <c r="E10" i="8"/>
  <c r="D10" i="8"/>
  <c r="C10" i="8"/>
  <c r="B35" i="8"/>
  <c r="A35" i="8"/>
  <c r="G35" i="8"/>
  <c r="F35" i="8"/>
  <c r="E35" i="8"/>
  <c r="D35" i="8"/>
  <c r="C35" i="8"/>
  <c r="B11" i="8"/>
  <c r="A11" i="8"/>
  <c r="G11" i="8"/>
  <c r="F11" i="8"/>
  <c r="E11" i="8"/>
  <c r="D11" i="8"/>
  <c r="C11" i="8"/>
  <c r="B31" i="8"/>
  <c r="A31" i="8"/>
  <c r="G31" i="8"/>
  <c r="F31" i="8"/>
  <c r="E31" i="8"/>
  <c r="D31" i="8"/>
  <c r="C31" i="8"/>
  <c r="B20" i="8"/>
  <c r="A20" i="8"/>
  <c r="G20" i="8"/>
  <c r="F20" i="8"/>
  <c r="E20" i="8"/>
  <c r="D20" i="8"/>
  <c r="C20" i="8"/>
  <c r="B9" i="8"/>
  <c r="A9" i="8"/>
  <c r="G9" i="8"/>
  <c r="F9" i="8"/>
  <c r="E9" i="8"/>
  <c r="D9" i="8"/>
  <c r="C9" i="8"/>
  <c r="B33" i="8"/>
  <c r="A33" i="8"/>
  <c r="G33" i="8"/>
  <c r="F33" i="8"/>
  <c r="E33" i="8"/>
  <c r="D33" i="8"/>
  <c r="C33" i="8"/>
  <c r="B30" i="8"/>
  <c r="A30" i="8"/>
  <c r="G30" i="8"/>
  <c r="F30" i="8"/>
  <c r="E30" i="8"/>
  <c r="D30" i="8"/>
  <c r="C30" i="8"/>
  <c r="B19" i="8"/>
  <c r="A19" i="8"/>
  <c r="G19" i="8"/>
  <c r="F19" i="8"/>
  <c r="E19" i="8"/>
  <c r="D19" i="8"/>
  <c r="C19" i="8"/>
  <c r="B8" i="8"/>
  <c r="A8" i="8"/>
  <c r="G8" i="8"/>
  <c r="F8" i="8"/>
  <c r="E8" i="8"/>
  <c r="D8" i="8"/>
  <c r="C8" i="8"/>
  <c r="B37" i="8"/>
  <c r="A37" i="8"/>
  <c r="G37" i="8"/>
  <c r="F37" i="8"/>
  <c r="E37" i="8"/>
  <c r="D37" i="8"/>
  <c r="C37" i="8"/>
  <c r="B29" i="8"/>
  <c r="A29" i="8"/>
  <c r="G29" i="8"/>
  <c r="F29" i="8"/>
  <c r="E29" i="8"/>
  <c r="D29" i="8"/>
  <c r="C29" i="8"/>
  <c r="B18" i="8"/>
  <c r="A18" i="8"/>
  <c r="G18" i="8"/>
  <c r="F18" i="8"/>
  <c r="E18" i="8"/>
  <c r="D18" i="8"/>
  <c r="C18" i="8"/>
  <c r="B7" i="8"/>
  <c r="A7" i="8"/>
  <c r="G7" i="8"/>
  <c r="F7" i="8"/>
  <c r="E7" i="8"/>
  <c r="D7" i="8"/>
  <c r="C7" i="8"/>
  <c r="B22" i="8"/>
  <c r="A22" i="8"/>
  <c r="G22" i="8"/>
  <c r="F22" i="8"/>
  <c r="E22" i="8"/>
  <c r="D22" i="8"/>
  <c r="C22" i="8"/>
  <c r="B36" i="8"/>
  <c r="A36" i="8"/>
  <c r="G36" i="8"/>
  <c r="F36" i="8"/>
  <c r="E36" i="8"/>
  <c r="D36" i="8"/>
  <c r="C36" i="8"/>
  <c r="B25" i="8"/>
  <c r="A25" i="8"/>
  <c r="G25" i="8"/>
  <c r="F25" i="8"/>
  <c r="E25" i="8"/>
  <c r="D25" i="8"/>
  <c r="C25" i="8"/>
  <c r="B17" i="8"/>
  <c r="A17" i="8"/>
  <c r="G17" i="8"/>
  <c r="F17" i="8"/>
  <c r="E17" i="8"/>
  <c r="D17" i="8"/>
  <c r="C17" i="8"/>
  <c r="B6" i="8"/>
  <c r="A6" i="8"/>
  <c r="G6" i="8"/>
  <c r="F6" i="8"/>
  <c r="E6" i="8"/>
  <c r="D6" i="8"/>
  <c r="C6" i="8"/>
</calcChain>
</file>

<file path=xl/sharedStrings.xml><?xml version="1.0" encoding="utf-8"?>
<sst xmlns="http://schemas.openxmlformats.org/spreadsheetml/2006/main" count="26902" uniqueCount="3701">
  <si>
    <t>COLLEGE PLACEMENT ANALYTICS</t>
  </si>
  <si>
    <t>Student Placement &amp; Recruitment Insights</t>
  </si>
  <si>
    <t>TOTAL STUDENTS</t>
  </si>
  <si>
    <t>PLACED STUDENTS</t>
  </si>
  <si>
    <t>PLACEMENT RATE</t>
  </si>
  <si>
    <t>AVERAGE PACKAGE</t>
  </si>
  <si>
    <t>HIGHEST PACKAGE</t>
  </si>
  <si>
    <t>TOTAL OFFERS</t>
  </si>
  <si>
    <t>PLACEMENT OVERVIEW</t>
  </si>
  <si>
    <t>PACKAGE &amp; RECRUITMENT INSIGHTS</t>
  </si>
  <si>
    <t>INTERACTIVE FILTER PANEL  (choose a value, or "All" — the KPIs below update live)</t>
  </si>
  <si>
    <t>Department:</t>
  </si>
  <si>
    <t>Academic Year:</t>
  </si>
  <si>
    <t>Gender:</t>
  </si>
  <si>
    <t>All</t>
  </si>
  <si>
    <t>Filtered Students</t>
  </si>
  <si>
    <t>Filtered Placed</t>
  </si>
  <si>
    <t>Filtered Placement Rate</t>
  </si>
  <si>
    <t>Filtered Avg Package (LPA)</t>
  </si>
  <si>
    <t>KEY INSIGHTS</t>
  </si>
  <si>
    <t>Department with highest placement rate:</t>
  </si>
  <si>
    <t>Company hiring the most students:</t>
  </si>
  <si>
    <t>Company with the highest average package:</t>
  </si>
  <si>
    <t>Department with the highest average package:</t>
  </si>
  <si>
    <t>Academic year with the highest placement rate:</t>
  </si>
  <si>
    <t>Placement rate – students WITH internships vs WITHOUT:</t>
  </si>
  <si>
    <t>Placement rate – students WITH certifications vs WITHOUT:</t>
  </si>
  <si>
    <t>Average CGPA – Placed students vs Unplaced students:</t>
  </si>
  <si>
    <t>Students who received multiple offers (&gt;1):</t>
  </si>
  <si>
    <t>Student_ID</t>
  </si>
  <si>
    <t>Academic_Year</t>
  </si>
  <si>
    <t>Department</t>
  </si>
  <si>
    <t>Gender</t>
  </si>
  <si>
    <t>Age</t>
  </si>
  <si>
    <t>CGPA</t>
  </si>
  <si>
    <t>Attendance_Percentage</t>
  </si>
  <si>
    <t>Internship_Count</t>
  </si>
  <si>
    <t>Certifications</t>
  </si>
  <si>
    <t>Projects_Completed</t>
  </si>
  <si>
    <t>Aptitude_Score</t>
  </si>
  <si>
    <t>Technical_Score</t>
  </si>
  <si>
    <t>HR_Score</t>
  </si>
  <si>
    <t>Backlogs</t>
  </si>
  <si>
    <t>Placement_Status</t>
  </si>
  <si>
    <t>Company</t>
  </si>
  <si>
    <t>Industry</t>
  </si>
  <si>
    <t>Job_Role</t>
  </si>
  <si>
    <t>Package_LPA</t>
  </si>
  <si>
    <t>Placement_Date</t>
  </si>
  <si>
    <t>Offer_Count</t>
  </si>
  <si>
    <t>Placement_Year</t>
  </si>
  <si>
    <t>CGPA_Key</t>
  </si>
  <si>
    <t>Package_Key</t>
  </si>
  <si>
    <t>Technical_Key</t>
  </si>
  <si>
    <t>STU10001</t>
  </si>
  <si>
    <t>2024-25</t>
  </si>
  <si>
    <t>CSE</t>
  </si>
  <si>
    <t>Male</t>
  </si>
  <si>
    <t>Placed</t>
  </si>
  <si>
    <t>Microsoft</t>
  </si>
  <si>
    <t>Software Product</t>
  </si>
  <si>
    <t>Business Analyst</t>
  </si>
  <si>
    <t>STU10002</t>
  </si>
  <si>
    <t>2025-26</t>
  </si>
  <si>
    <t>Unplaced</t>
  </si>
  <si>
    <t>Not Placed</t>
  </si>
  <si>
    <t>STU10003</t>
  </si>
  <si>
    <t>2023-24</t>
  </si>
  <si>
    <t>ECE</t>
  </si>
  <si>
    <t>Female</t>
  </si>
  <si>
    <t>TCS</t>
  </si>
  <si>
    <t>IT Services</t>
  </si>
  <si>
    <t>Full Stack Developer</t>
  </si>
  <si>
    <t>STU10004</t>
  </si>
  <si>
    <t>IT</t>
  </si>
  <si>
    <t>Wipro</t>
  </si>
  <si>
    <t>Data Analyst</t>
  </si>
  <si>
    <t>STU10005</t>
  </si>
  <si>
    <t>MECH</t>
  </si>
  <si>
    <t>Infosys</t>
  </si>
  <si>
    <t>Cloud Engineer</t>
  </si>
  <si>
    <t>STU10006</t>
  </si>
  <si>
    <t>2022-23</t>
  </si>
  <si>
    <t>STU10007</t>
  </si>
  <si>
    <t>AIML</t>
  </si>
  <si>
    <t>Software Engineer</t>
  </si>
  <si>
    <t>STU10008</t>
  </si>
  <si>
    <t>Cognizant</t>
  </si>
  <si>
    <t>STU10009</t>
  </si>
  <si>
    <t>EEE</t>
  </si>
  <si>
    <t>IBM</t>
  </si>
  <si>
    <t>STU10010</t>
  </si>
  <si>
    <t>Deloitte</t>
  </si>
  <si>
    <t>Consulting</t>
  </si>
  <si>
    <t>STU10011</t>
  </si>
  <si>
    <t>Capgemini</t>
  </si>
  <si>
    <t>STU10012</t>
  </si>
  <si>
    <t>STU10013</t>
  </si>
  <si>
    <t>STU10014</t>
  </si>
  <si>
    <t>STU10015</t>
  </si>
  <si>
    <t>STU10016</t>
  </si>
  <si>
    <t>CIVIL</t>
  </si>
  <si>
    <t>STU10017</t>
  </si>
  <si>
    <t>STU10018</t>
  </si>
  <si>
    <t>Amazon</t>
  </si>
  <si>
    <t>E-commerce</t>
  </si>
  <si>
    <t>STU10019</t>
  </si>
  <si>
    <t>2021-22</t>
  </si>
  <si>
    <t>STU10020</t>
  </si>
  <si>
    <t>QA Engineer</t>
  </si>
  <si>
    <t>STU10021</t>
  </si>
  <si>
    <t>STU10022</t>
  </si>
  <si>
    <t>Accenture</t>
  </si>
  <si>
    <t>STU10023</t>
  </si>
  <si>
    <t>STU10024</t>
  </si>
  <si>
    <t>STU10025</t>
  </si>
  <si>
    <t>STU10026</t>
  </si>
  <si>
    <t>STU10027</t>
  </si>
  <si>
    <t>STU10028</t>
  </si>
  <si>
    <t>STU10029</t>
  </si>
  <si>
    <t>STU10030</t>
  </si>
  <si>
    <t>STU10031</t>
  </si>
  <si>
    <t>STU10032</t>
  </si>
  <si>
    <t>STU10033</t>
  </si>
  <si>
    <t>STU10034</t>
  </si>
  <si>
    <t>STU10035</t>
  </si>
  <si>
    <t>STU10036</t>
  </si>
  <si>
    <t>STU10037</t>
  </si>
  <si>
    <t>STU10038</t>
  </si>
  <si>
    <t>STU10039</t>
  </si>
  <si>
    <t>DevOps Engineer</t>
  </si>
  <si>
    <t>STU10040</t>
  </si>
  <si>
    <t>STU10041</t>
  </si>
  <si>
    <t>STU10042</t>
  </si>
  <si>
    <t>STU10043</t>
  </si>
  <si>
    <t>STU10044</t>
  </si>
  <si>
    <t>STU10045</t>
  </si>
  <si>
    <t>STU10046</t>
  </si>
  <si>
    <t>STU10047</t>
  </si>
  <si>
    <t>STU10048</t>
  </si>
  <si>
    <t>STU10049</t>
  </si>
  <si>
    <t>STU10050</t>
  </si>
  <si>
    <t>STU10051</t>
  </si>
  <si>
    <t>STU10052</t>
  </si>
  <si>
    <t>STU10053</t>
  </si>
  <si>
    <t>STU10054</t>
  </si>
  <si>
    <t>STU10055</t>
  </si>
  <si>
    <t>STU10056</t>
  </si>
  <si>
    <t>STU10057</t>
  </si>
  <si>
    <t>STU10058</t>
  </si>
  <si>
    <t>STU10059</t>
  </si>
  <si>
    <t>STU10060</t>
  </si>
  <si>
    <t>STU10061</t>
  </si>
  <si>
    <t>STU10062</t>
  </si>
  <si>
    <t>STU10063</t>
  </si>
  <si>
    <t>STU10064</t>
  </si>
  <si>
    <t>STU10065</t>
  </si>
  <si>
    <t>STU10066</t>
  </si>
  <si>
    <t>STU10067</t>
  </si>
  <si>
    <t>STU10068</t>
  </si>
  <si>
    <t>STU10069</t>
  </si>
  <si>
    <t>STU10070</t>
  </si>
  <si>
    <t>STU10071</t>
  </si>
  <si>
    <t>STU10072</t>
  </si>
  <si>
    <t>STU10073</t>
  </si>
  <si>
    <t>STU10074</t>
  </si>
  <si>
    <t>STU10075</t>
  </si>
  <si>
    <t>STU10076</t>
  </si>
  <si>
    <t>STU10077</t>
  </si>
  <si>
    <t>STU10078</t>
  </si>
  <si>
    <t>STU10079</t>
  </si>
  <si>
    <t>STU10080</t>
  </si>
  <si>
    <t>STU10081</t>
  </si>
  <si>
    <t>STU10082</t>
  </si>
  <si>
    <t>STU10083</t>
  </si>
  <si>
    <t>STU10084</t>
  </si>
  <si>
    <t>STU10085</t>
  </si>
  <si>
    <t>STU10086</t>
  </si>
  <si>
    <t>STU10087</t>
  </si>
  <si>
    <t>STU10088</t>
  </si>
  <si>
    <t>STU10089</t>
  </si>
  <si>
    <t>STU10090</t>
  </si>
  <si>
    <t>STU10091</t>
  </si>
  <si>
    <t>STU10092</t>
  </si>
  <si>
    <t>STU10093</t>
  </si>
  <si>
    <t>STU10094</t>
  </si>
  <si>
    <t>STU10095</t>
  </si>
  <si>
    <t>STU10096</t>
  </si>
  <si>
    <t>STU10097</t>
  </si>
  <si>
    <t>STU10098</t>
  </si>
  <si>
    <t>STU10099</t>
  </si>
  <si>
    <t>STU10100</t>
  </si>
  <si>
    <t>STU10101</t>
  </si>
  <si>
    <t>STU10102</t>
  </si>
  <si>
    <t>STU10103</t>
  </si>
  <si>
    <t>STU10104</t>
  </si>
  <si>
    <t>STU10105</t>
  </si>
  <si>
    <t>STU10106</t>
  </si>
  <si>
    <t>STU10107</t>
  </si>
  <si>
    <t>STU10108</t>
  </si>
  <si>
    <t>STU10109</t>
  </si>
  <si>
    <t>STU10110</t>
  </si>
  <si>
    <t>STU10111</t>
  </si>
  <si>
    <t>STU10112</t>
  </si>
  <si>
    <t>STU10113</t>
  </si>
  <si>
    <t>STU10114</t>
  </si>
  <si>
    <t>STU10115</t>
  </si>
  <si>
    <t>STU10116</t>
  </si>
  <si>
    <t>STU10117</t>
  </si>
  <si>
    <t>STU10118</t>
  </si>
  <si>
    <t>STU10119</t>
  </si>
  <si>
    <t>STU10120</t>
  </si>
  <si>
    <t>STU10121</t>
  </si>
  <si>
    <t>STU10122</t>
  </si>
  <si>
    <t>STU10123</t>
  </si>
  <si>
    <t>STU10124</t>
  </si>
  <si>
    <t>STU10125</t>
  </si>
  <si>
    <t>STU10126</t>
  </si>
  <si>
    <t>STU10127</t>
  </si>
  <si>
    <t>STU10128</t>
  </si>
  <si>
    <t>STU10129</t>
  </si>
  <si>
    <t>STU10130</t>
  </si>
  <si>
    <t>STU10131</t>
  </si>
  <si>
    <t>STU10132</t>
  </si>
  <si>
    <t>STU10133</t>
  </si>
  <si>
    <t>STU10134</t>
  </si>
  <si>
    <t>STU10135</t>
  </si>
  <si>
    <t>STU10136</t>
  </si>
  <si>
    <t>STU10137</t>
  </si>
  <si>
    <t>STU10138</t>
  </si>
  <si>
    <t>STU10139</t>
  </si>
  <si>
    <t>STU10140</t>
  </si>
  <si>
    <t>STU10141</t>
  </si>
  <si>
    <t>STU10142</t>
  </si>
  <si>
    <t>STU10143</t>
  </si>
  <si>
    <t>STU10144</t>
  </si>
  <si>
    <t>STU10145</t>
  </si>
  <si>
    <t>STU10146</t>
  </si>
  <si>
    <t>STU10147</t>
  </si>
  <si>
    <t>STU10148</t>
  </si>
  <si>
    <t>STU10149</t>
  </si>
  <si>
    <t>STU10150</t>
  </si>
  <si>
    <t>STU10151</t>
  </si>
  <si>
    <t>STU10152</t>
  </si>
  <si>
    <t>STU10153</t>
  </si>
  <si>
    <t>STU10154</t>
  </si>
  <si>
    <t>STU10155</t>
  </si>
  <si>
    <t>STU10156</t>
  </si>
  <si>
    <t>STU10157</t>
  </si>
  <si>
    <t>STU10158</t>
  </si>
  <si>
    <t>STU10159</t>
  </si>
  <si>
    <t>STU10160</t>
  </si>
  <si>
    <t>STU10161</t>
  </si>
  <si>
    <t>STU10162</t>
  </si>
  <si>
    <t>STU10163</t>
  </si>
  <si>
    <t>STU10164</t>
  </si>
  <si>
    <t>STU10165</t>
  </si>
  <si>
    <t>STU10166</t>
  </si>
  <si>
    <t>STU10167</t>
  </si>
  <si>
    <t>STU10168</t>
  </si>
  <si>
    <t>STU10169</t>
  </si>
  <si>
    <t>STU10170</t>
  </si>
  <si>
    <t>STU10171</t>
  </si>
  <si>
    <t>STU10172</t>
  </si>
  <si>
    <t>STU10173</t>
  </si>
  <si>
    <t>STU10174</t>
  </si>
  <si>
    <t>STU10175</t>
  </si>
  <si>
    <t>STU10176</t>
  </si>
  <si>
    <t>STU10177</t>
  </si>
  <si>
    <t>STU10178</t>
  </si>
  <si>
    <t>STU10179</t>
  </si>
  <si>
    <t>STU10180</t>
  </si>
  <si>
    <t>STU10181</t>
  </si>
  <si>
    <t>STU10182</t>
  </si>
  <si>
    <t>STU10183</t>
  </si>
  <si>
    <t>STU10184</t>
  </si>
  <si>
    <t>STU10185</t>
  </si>
  <si>
    <t>STU10186</t>
  </si>
  <si>
    <t>STU10187</t>
  </si>
  <si>
    <t>STU10188</t>
  </si>
  <si>
    <t>STU10189</t>
  </si>
  <si>
    <t>STU10190</t>
  </si>
  <si>
    <t>STU10191</t>
  </si>
  <si>
    <t>STU10192</t>
  </si>
  <si>
    <t>STU10193</t>
  </si>
  <si>
    <t>STU10194</t>
  </si>
  <si>
    <t>STU10195</t>
  </si>
  <si>
    <t>STU10196</t>
  </si>
  <si>
    <t>STU10197</t>
  </si>
  <si>
    <t>STU10198</t>
  </si>
  <si>
    <t>STU10199</t>
  </si>
  <si>
    <t>STU10200</t>
  </si>
  <si>
    <t>STU10201</t>
  </si>
  <si>
    <t>STU10202</t>
  </si>
  <si>
    <t>STU10203</t>
  </si>
  <si>
    <t>STU10204</t>
  </si>
  <si>
    <t>STU10205</t>
  </si>
  <si>
    <t>STU10206</t>
  </si>
  <si>
    <t>STU10207</t>
  </si>
  <si>
    <t>STU10208</t>
  </si>
  <si>
    <t>STU10209</t>
  </si>
  <si>
    <t>STU10210</t>
  </si>
  <si>
    <t>STU10211</t>
  </si>
  <si>
    <t>STU10212</t>
  </si>
  <si>
    <t>STU10213</t>
  </si>
  <si>
    <t>STU10214</t>
  </si>
  <si>
    <t>STU10215</t>
  </si>
  <si>
    <t>STU10216</t>
  </si>
  <si>
    <t>STU10217</t>
  </si>
  <si>
    <t>STU10218</t>
  </si>
  <si>
    <t>STU10219</t>
  </si>
  <si>
    <t>STU10220</t>
  </si>
  <si>
    <t>STU10221</t>
  </si>
  <si>
    <t>STU10222</t>
  </si>
  <si>
    <t>STU10223</t>
  </si>
  <si>
    <t>STU10224</t>
  </si>
  <si>
    <t>STU10225</t>
  </si>
  <si>
    <t>STU10226</t>
  </si>
  <si>
    <t>STU10227</t>
  </si>
  <si>
    <t>STU10228</t>
  </si>
  <si>
    <t>STU10229</t>
  </si>
  <si>
    <t>STU10230</t>
  </si>
  <si>
    <t>STU10231</t>
  </si>
  <si>
    <t>STU10232</t>
  </si>
  <si>
    <t>STU10233</t>
  </si>
  <si>
    <t>STU10234</t>
  </si>
  <si>
    <t>STU10235</t>
  </si>
  <si>
    <t>STU10236</t>
  </si>
  <si>
    <t>STU10237</t>
  </si>
  <si>
    <t>STU10238</t>
  </si>
  <si>
    <t>STU10239</t>
  </si>
  <si>
    <t>STU10240</t>
  </si>
  <si>
    <t>STU10241</t>
  </si>
  <si>
    <t>STU10242</t>
  </si>
  <si>
    <t>STU10243</t>
  </si>
  <si>
    <t>STU10244</t>
  </si>
  <si>
    <t>STU10245</t>
  </si>
  <si>
    <t>STU10246</t>
  </si>
  <si>
    <t>STU10247</t>
  </si>
  <si>
    <t>STU10248</t>
  </si>
  <si>
    <t>STU10249</t>
  </si>
  <si>
    <t>STU10250</t>
  </si>
  <si>
    <t>STU10251</t>
  </si>
  <si>
    <t>STU10252</t>
  </si>
  <si>
    <t>STU10253</t>
  </si>
  <si>
    <t>STU10254</t>
  </si>
  <si>
    <t>STU10255</t>
  </si>
  <si>
    <t>STU10256</t>
  </si>
  <si>
    <t>STU10257</t>
  </si>
  <si>
    <t>STU10258</t>
  </si>
  <si>
    <t>STU10259</t>
  </si>
  <si>
    <t>STU10260</t>
  </si>
  <si>
    <t>STU10261</t>
  </si>
  <si>
    <t>STU10262</t>
  </si>
  <si>
    <t>STU10263</t>
  </si>
  <si>
    <t>STU10264</t>
  </si>
  <si>
    <t>STU10265</t>
  </si>
  <si>
    <t>STU10266</t>
  </si>
  <si>
    <t>STU10267</t>
  </si>
  <si>
    <t>STU10268</t>
  </si>
  <si>
    <t>STU10269</t>
  </si>
  <si>
    <t>STU10270</t>
  </si>
  <si>
    <t>STU10271</t>
  </si>
  <si>
    <t>STU10272</t>
  </si>
  <si>
    <t>STU10273</t>
  </si>
  <si>
    <t>STU10274</t>
  </si>
  <si>
    <t>STU10275</t>
  </si>
  <si>
    <t>STU10276</t>
  </si>
  <si>
    <t>STU10277</t>
  </si>
  <si>
    <t>STU10278</t>
  </si>
  <si>
    <t>STU10279</t>
  </si>
  <si>
    <t>STU10280</t>
  </si>
  <si>
    <t>STU10281</t>
  </si>
  <si>
    <t>STU10282</t>
  </si>
  <si>
    <t>STU10283</t>
  </si>
  <si>
    <t>STU10284</t>
  </si>
  <si>
    <t>STU10285</t>
  </si>
  <si>
    <t>STU10286</t>
  </si>
  <si>
    <t>STU10287</t>
  </si>
  <si>
    <t>STU10288</t>
  </si>
  <si>
    <t>STU10289</t>
  </si>
  <si>
    <t>STU10290</t>
  </si>
  <si>
    <t>STU10291</t>
  </si>
  <si>
    <t>STU10292</t>
  </si>
  <si>
    <t>STU10293</t>
  </si>
  <si>
    <t>STU10294</t>
  </si>
  <si>
    <t>STU10295</t>
  </si>
  <si>
    <t>STU10296</t>
  </si>
  <si>
    <t>STU10297</t>
  </si>
  <si>
    <t>STU10298</t>
  </si>
  <si>
    <t>STU10299</t>
  </si>
  <si>
    <t>STU10300</t>
  </si>
  <si>
    <t>STU10301</t>
  </si>
  <si>
    <t>STU10302</t>
  </si>
  <si>
    <t>STU10303</t>
  </si>
  <si>
    <t>STU10304</t>
  </si>
  <si>
    <t>STU10305</t>
  </si>
  <si>
    <t>STU10306</t>
  </si>
  <si>
    <t>STU10307</t>
  </si>
  <si>
    <t>STU10308</t>
  </si>
  <si>
    <t>STU10309</t>
  </si>
  <si>
    <t>STU10310</t>
  </si>
  <si>
    <t>STU10311</t>
  </si>
  <si>
    <t>STU10312</t>
  </si>
  <si>
    <t>STU10313</t>
  </si>
  <si>
    <t>STU10314</t>
  </si>
  <si>
    <t>STU10315</t>
  </si>
  <si>
    <t>STU10316</t>
  </si>
  <si>
    <t>STU10317</t>
  </si>
  <si>
    <t>STU10318</t>
  </si>
  <si>
    <t>STU10319</t>
  </si>
  <si>
    <t>STU10320</t>
  </si>
  <si>
    <t>STU10321</t>
  </si>
  <si>
    <t>STU10322</t>
  </si>
  <si>
    <t>STU10323</t>
  </si>
  <si>
    <t>STU10324</t>
  </si>
  <si>
    <t>STU10325</t>
  </si>
  <si>
    <t>STU10326</t>
  </si>
  <si>
    <t>STU10327</t>
  </si>
  <si>
    <t>STU10328</t>
  </si>
  <si>
    <t>STU10329</t>
  </si>
  <si>
    <t>STU10330</t>
  </si>
  <si>
    <t>STU10331</t>
  </si>
  <si>
    <t>STU10332</t>
  </si>
  <si>
    <t>STU10333</t>
  </si>
  <si>
    <t>STU10334</t>
  </si>
  <si>
    <t>STU10335</t>
  </si>
  <si>
    <t>STU10336</t>
  </si>
  <si>
    <t>STU10337</t>
  </si>
  <si>
    <t>STU10338</t>
  </si>
  <si>
    <t>STU10339</t>
  </si>
  <si>
    <t>STU10340</t>
  </si>
  <si>
    <t>STU10341</t>
  </si>
  <si>
    <t>STU10342</t>
  </si>
  <si>
    <t>STU10343</t>
  </si>
  <si>
    <t>STU10344</t>
  </si>
  <si>
    <t>STU10345</t>
  </si>
  <si>
    <t>STU10346</t>
  </si>
  <si>
    <t>STU10347</t>
  </si>
  <si>
    <t>STU10348</t>
  </si>
  <si>
    <t>STU10349</t>
  </si>
  <si>
    <t>STU10350</t>
  </si>
  <si>
    <t>STU10351</t>
  </si>
  <si>
    <t>STU10352</t>
  </si>
  <si>
    <t>STU10353</t>
  </si>
  <si>
    <t>STU10354</t>
  </si>
  <si>
    <t>STU10355</t>
  </si>
  <si>
    <t>STU10356</t>
  </si>
  <si>
    <t>STU10357</t>
  </si>
  <si>
    <t>STU10358</t>
  </si>
  <si>
    <t>STU10359</t>
  </si>
  <si>
    <t>STU10360</t>
  </si>
  <si>
    <t>STU10361</t>
  </si>
  <si>
    <t>STU10362</t>
  </si>
  <si>
    <t>STU10363</t>
  </si>
  <si>
    <t>STU10364</t>
  </si>
  <si>
    <t>STU10365</t>
  </si>
  <si>
    <t>STU10366</t>
  </si>
  <si>
    <t>STU10367</t>
  </si>
  <si>
    <t>STU10368</t>
  </si>
  <si>
    <t>STU10369</t>
  </si>
  <si>
    <t>STU10370</t>
  </si>
  <si>
    <t>STU10371</t>
  </si>
  <si>
    <t>STU10372</t>
  </si>
  <si>
    <t>STU10373</t>
  </si>
  <si>
    <t>STU10374</t>
  </si>
  <si>
    <t>STU10375</t>
  </si>
  <si>
    <t>STU10376</t>
  </si>
  <si>
    <t>STU10377</t>
  </si>
  <si>
    <t>STU10378</t>
  </si>
  <si>
    <t>STU10379</t>
  </si>
  <si>
    <t>STU10380</t>
  </si>
  <si>
    <t>STU10381</t>
  </si>
  <si>
    <t>STU10382</t>
  </si>
  <si>
    <t>STU10383</t>
  </si>
  <si>
    <t>STU10384</t>
  </si>
  <si>
    <t>STU10385</t>
  </si>
  <si>
    <t>STU10386</t>
  </si>
  <si>
    <t>STU10387</t>
  </si>
  <si>
    <t>STU10388</t>
  </si>
  <si>
    <t>STU10389</t>
  </si>
  <si>
    <t>STU10390</t>
  </si>
  <si>
    <t>STU10391</t>
  </si>
  <si>
    <t>STU10392</t>
  </si>
  <si>
    <t>STU10393</t>
  </si>
  <si>
    <t>STU10394</t>
  </si>
  <si>
    <t>STU10395</t>
  </si>
  <si>
    <t>STU10396</t>
  </si>
  <si>
    <t>STU10397</t>
  </si>
  <si>
    <t>STU10398</t>
  </si>
  <si>
    <t>STU10399</t>
  </si>
  <si>
    <t>STU10400</t>
  </si>
  <si>
    <t>STU10401</t>
  </si>
  <si>
    <t>STU10402</t>
  </si>
  <si>
    <t>STU10403</t>
  </si>
  <si>
    <t>STU10404</t>
  </si>
  <si>
    <t>STU10405</t>
  </si>
  <si>
    <t>STU10406</t>
  </si>
  <si>
    <t>STU10407</t>
  </si>
  <si>
    <t>STU10408</t>
  </si>
  <si>
    <t>STU10409</t>
  </si>
  <si>
    <t>STU10410</t>
  </si>
  <si>
    <t>STU10411</t>
  </si>
  <si>
    <t>STU10412</t>
  </si>
  <si>
    <t>STU10413</t>
  </si>
  <si>
    <t>STU10414</t>
  </si>
  <si>
    <t>STU10415</t>
  </si>
  <si>
    <t>STU10416</t>
  </si>
  <si>
    <t>STU10417</t>
  </si>
  <si>
    <t>STU10418</t>
  </si>
  <si>
    <t>STU10419</t>
  </si>
  <si>
    <t>STU10420</t>
  </si>
  <si>
    <t>STU10421</t>
  </si>
  <si>
    <t>STU10422</t>
  </si>
  <si>
    <t>STU10423</t>
  </si>
  <si>
    <t>STU10424</t>
  </si>
  <si>
    <t>STU10425</t>
  </si>
  <si>
    <t>STU10426</t>
  </si>
  <si>
    <t>STU10427</t>
  </si>
  <si>
    <t>STU10428</t>
  </si>
  <si>
    <t>STU10429</t>
  </si>
  <si>
    <t>STU10430</t>
  </si>
  <si>
    <t>STU10431</t>
  </si>
  <si>
    <t>STU10432</t>
  </si>
  <si>
    <t>STU10433</t>
  </si>
  <si>
    <t>STU10434</t>
  </si>
  <si>
    <t>STU10435</t>
  </si>
  <si>
    <t>STU10436</t>
  </si>
  <si>
    <t>STU10437</t>
  </si>
  <si>
    <t>STU10438</t>
  </si>
  <si>
    <t>STU10439</t>
  </si>
  <si>
    <t>STU10440</t>
  </si>
  <si>
    <t>STU10441</t>
  </si>
  <si>
    <t>STU10442</t>
  </si>
  <si>
    <t>STU10443</t>
  </si>
  <si>
    <t>STU10444</t>
  </si>
  <si>
    <t>STU10445</t>
  </si>
  <si>
    <t>STU10446</t>
  </si>
  <si>
    <t>STU10447</t>
  </si>
  <si>
    <t>STU10448</t>
  </si>
  <si>
    <t>STU10449</t>
  </si>
  <si>
    <t>STU10450</t>
  </si>
  <si>
    <t>STU10451</t>
  </si>
  <si>
    <t>STU10452</t>
  </si>
  <si>
    <t>STU10453</t>
  </si>
  <si>
    <t>STU10454</t>
  </si>
  <si>
    <t>STU10455</t>
  </si>
  <si>
    <t>STU10456</t>
  </si>
  <si>
    <t>STU10457</t>
  </si>
  <si>
    <t>STU10458</t>
  </si>
  <si>
    <t>STU10459</t>
  </si>
  <si>
    <t>STU10460</t>
  </si>
  <si>
    <t>STU10461</t>
  </si>
  <si>
    <t>STU10462</t>
  </si>
  <si>
    <t>STU10463</t>
  </si>
  <si>
    <t>STU10464</t>
  </si>
  <si>
    <t>STU10465</t>
  </si>
  <si>
    <t>STU10466</t>
  </si>
  <si>
    <t>STU10467</t>
  </si>
  <si>
    <t>STU10468</t>
  </si>
  <si>
    <t>STU10469</t>
  </si>
  <si>
    <t>STU10470</t>
  </si>
  <si>
    <t>STU10471</t>
  </si>
  <si>
    <t>STU10472</t>
  </si>
  <si>
    <t>STU10473</t>
  </si>
  <si>
    <t>STU10474</t>
  </si>
  <si>
    <t>STU10475</t>
  </si>
  <si>
    <t>STU10476</t>
  </si>
  <si>
    <t>STU10477</t>
  </si>
  <si>
    <t>STU10478</t>
  </si>
  <si>
    <t>STU10479</t>
  </si>
  <si>
    <t>STU10480</t>
  </si>
  <si>
    <t>STU10481</t>
  </si>
  <si>
    <t>STU10482</t>
  </si>
  <si>
    <t>STU10483</t>
  </si>
  <si>
    <t>STU10484</t>
  </si>
  <si>
    <t>STU10485</t>
  </si>
  <si>
    <t>STU10486</t>
  </si>
  <si>
    <t>STU10487</t>
  </si>
  <si>
    <t>STU10488</t>
  </si>
  <si>
    <t>STU10489</t>
  </si>
  <si>
    <t>STU10490</t>
  </si>
  <si>
    <t>STU10491</t>
  </si>
  <si>
    <t>STU10492</t>
  </si>
  <si>
    <t>STU10493</t>
  </si>
  <si>
    <t>STU10494</t>
  </si>
  <si>
    <t>STU10495</t>
  </si>
  <si>
    <t>STU10496</t>
  </si>
  <si>
    <t>STU10497</t>
  </si>
  <si>
    <t>STU10498</t>
  </si>
  <si>
    <t>STU10499</t>
  </si>
  <si>
    <t>STU10500</t>
  </si>
  <si>
    <t>STU10501</t>
  </si>
  <si>
    <t>STU10502</t>
  </si>
  <si>
    <t>STU10503</t>
  </si>
  <si>
    <t>STU10504</t>
  </si>
  <si>
    <t>STU10505</t>
  </si>
  <si>
    <t>STU10506</t>
  </si>
  <si>
    <t>STU10507</t>
  </si>
  <si>
    <t>STU10508</t>
  </si>
  <si>
    <t>STU10509</t>
  </si>
  <si>
    <t>STU10510</t>
  </si>
  <si>
    <t>STU10511</t>
  </si>
  <si>
    <t>STU10512</t>
  </si>
  <si>
    <t>STU10513</t>
  </si>
  <si>
    <t>STU10514</t>
  </si>
  <si>
    <t>STU10515</t>
  </si>
  <si>
    <t>STU10516</t>
  </si>
  <si>
    <t>STU10517</t>
  </si>
  <si>
    <t>STU10518</t>
  </si>
  <si>
    <t>STU10519</t>
  </si>
  <si>
    <t>STU10520</t>
  </si>
  <si>
    <t>STU10521</t>
  </si>
  <si>
    <t>STU10522</t>
  </si>
  <si>
    <t>STU10523</t>
  </si>
  <si>
    <t>STU10524</t>
  </si>
  <si>
    <t>STU10525</t>
  </si>
  <si>
    <t>STU10526</t>
  </si>
  <si>
    <t>STU10527</t>
  </si>
  <si>
    <t>STU10528</t>
  </si>
  <si>
    <t>STU10529</t>
  </si>
  <si>
    <t>STU10530</t>
  </si>
  <si>
    <t>STU10531</t>
  </si>
  <si>
    <t>STU10532</t>
  </si>
  <si>
    <t>STU10533</t>
  </si>
  <si>
    <t>STU10534</t>
  </si>
  <si>
    <t>STU10535</t>
  </si>
  <si>
    <t>STU10536</t>
  </si>
  <si>
    <t>STU10537</t>
  </si>
  <si>
    <t>STU10538</t>
  </si>
  <si>
    <t>STU10539</t>
  </si>
  <si>
    <t>STU10540</t>
  </si>
  <si>
    <t>STU10541</t>
  </si>
  <si>
    <t>STU10542</t>
  </si>
  <si>
    <t>STU10543</t>
  </si>
  <si>
    <t>STU10544</t>
  </si>
  <si>
    <t>STU10545</t>
  </si>
  <si>
    <t>STU10546</t>
  </si>
  <si>
    <t>STU10547</t>
  </si>
  <si>
    <t>STU10548</t>
  </si>
  <si>
    <t>STU10549</t>
  </si>
  <si>
    <t>STU10550</t>
  </si>
  <si>
    <t>STU10551</t>
  </si>
  <si>
    <t>STU10552</t>
  </si>
  <si>
    <t>STU10553</t>
  </si>
  <si>
    <t>STU10554</t>
  </si>
  <si>
    <t>STU10555</t>
  </si>
  <si>
    <t>STU10556</t>
  </si>
  <si>
    <t>STU10557</t>
  </si>
  <si>
    <t>STU10558</t>
  </si>
  <si>
    <t>STU10559</t>
  </si>
  <si>
    <t>STU10560</t>
  </si>
  <si>
    <t>STU10561</t>
  </si>
  <si>
    <t>STU10562</t>
  </si>
  <si>
    <t>STU10563</t>
  </si>
  <si>
    <t>STU10564</t>
  </si>
  <si>
    <t>STU10565</t>
  </si>
  <si>
    <t>STU10566</t>
  </si>
  <si>
    <t>STU10567</t>
  </si>
  <si>
    <t>STU10568</t>
  </si>
  <si>
    <t>STU10569</t>
  </si>
  <si>
    <t>STU10570</t>
  </si>
  <si>
    <t>STU10571</t>
  </si>
  <si>
    <t>STU10572</t>
  </si>
  <si>
    <t>STU10573</t>
  </si>
  <si>
    <t>STU10574</t>
  </si>
  <si>
    <t>STU10575</t>
  </si>
  <si>
    <t>STU10576</t>
  </si>
  <si>
    <t>STU10577</t>
  </si>
  <si>
    <t>STU10578</t>
  </si>
  <si>
    <t>STU10579</t>
  </si>
  <si>
    <t>STU10580</t>
  </si>
  <si>
    <t>STU10581</t>
  </si>
  <si>
    <t>STU10582</t>
  </si>
  <si>
    <t>STU10583</t>
  </si>
  <si>
    <t>STU10584</t>
  </si>
  <si>
    <t>STU10585</t>
  </si>
  <si>
    <t>STU10586</t>
  </si>
  <si>
    <t>STU10587</t>
  </si>
  <si>
    <t>STU10588</t>
  </si>
  <si>
    <t>STU10589</t>
  </si>
  <si>
    <t>STU10590</t>
  </si>
  <si>
    <t>STU10591</t>
  </si>
  <si>
    <t>STU10592</t>
  </si>
  <si>
    <t>STU10593</t>
  </si>
  <si>
    <t>STU10594</t>
  </si>
  <si>
    <t>STU10595</t>
  </si>
  <si>
    <t>STU10596</t>
  </si>
  <si>
    <t>STU10597</t>
  </si>
  <si>
    <t>STU10598</t>
  </si>
  <si>
    <t>STU10599</t>
  </si>
  <si>
    <t>STU10600</t>
  </si>
  <si>
    <t>STU10601</t>
  </si>
  <si>
    <t>STU10602</t>
  </si>
  <si>
    <t>STU10603</t>
  </si>
  <si>
    <t>STU10604</t>
  </si>
  <si>
    <t>STU10605</t>
  </si>
  <si>
    <t>STU10606</t>
  </si>
  <si>
    <t>STU10607</t>
  </si>
  <si>
    <t>STU10608</t>
  </si>
  <si>
    <t>STU10609</t>
  </si>
  <si>
    <t>STU10610</t>
  </si>
  <si>
    <t>STU10611</t>
  </si>
  <si>
    <t>STU10612</t>
  </si>
  <si>
    <t>STU10613</t>
  </si>
  <si>
    <t>STU10614</t>
  </si>
  <si>
    <t>STU10615</t>
  </si>
  <si>
    <t>STU10616</t>
  </si>
  <si>
    <t>STU10617</t>
  </si>
  <si>
    <t>STU10618</t>
  </si>
  <si>
    <t>STU10619</t>
  </si>
  <si>
    <t>STU10620</t>
  </si>
  <si>
    <t>STU10621</t>
  </si>
  <si>
    <t>STU10622</t>
  </si>
  <si>
    <t>STU10623</t>
  </si>
  <si>
    <t>STU10624</t>
  </si>
  <si>
    <t>STU10625</t>
  </si>
  <si>
    <t>STU10626</t>
  </si>
  <si>
    <t>STU10627</t>
  </si>
  <si>
    <t>STU10628</t>
  </si>
  <si>
    <t>STU10629</t>
  </si>
  <si>
    <t>STU10630</t>
  </si>
  <si>
    <t>STU10631</t>
  </si>
  <si>
    <t>STU10632</t>
  </si>
  <si>
    <t>STU10633</t>
  </si>
  <si>
    <t>STU10634</t>
  </si>
  <si>
    <t>STU10635</t>
  </si>
  <si>
    <t>STU10636</t>
  </si>
  <si>
    <t>STU10637</t>
  </si>
  <si>
    <t>STU10638</t>
  </si>
  <si>
    <t>STU10639</t>
  </si>
  <si>
    <t>STU10640</t>
  </si>
  <si>
    <t>STU10641</t>
  </si>
  <si>
    <t>STU10642</t>
  </si>
  <si>
    <t>STU10643</t>
  </si>
  <si>
    <t>STU10644</t>
  </si>
  <si>
    <t>STU10645</t>
  </si>
  <si>
    <t>STU10646</t>
  </si>
  <si>
    <t>STU10647</t>
  </si>
  <si>
    <t>STU10648</t>
  </si>
  <si>
    <t>STU10649</t>
  </si>
  <si>
    <t>STU10650</t>
  </si>
  <si>
    <t>STU10651</t>
  </si>
  <si>
    <t>STU10652</t>
  </si>
  <si>
    <t>STU10653</t>
  </si>
  <si>
    <t>STU10654</t>
  </si>
  <si>
    <t>STU10655</t>
  </si>
  <si>
    <t>STU10656</t>
  </si>
  <si>
    <t>STU10657</t>
  </si>
  <si>
    <t>STU10658</t>
  </si>
  <si>
    <t>STU10659</t>
  </si>
  <si>
    <t>STU10660</t>
  </si>
  <si>
    <t>STU10661</t>
  </si>
  <si>
    <t>STU10662</t>
  </si>
  <si>
    <t>STU10663</t>
  </si>
  <si>
    <t>STU10664</t>
  </si>
  <si>
    <t>STU10665</t>
  </si>
  <si>
    <t>STU10666</t>
  </si>
  <si>
    <t>STU10667</t>
  </si>
  <si>
    <t>STU10668</t>
  </si>
  <si>
    <t>STU10669</t>
  </si>
  <si>
    <t>STU10670</t>
  </si>
  <si>
    <t>STU10671</t>
  </si>
  <si>
    <t>STU10672</t>
  </si>
  <si>
    <t>STU10673</t>
  </si>
  <si>
    <t>STU10674</t>
  </si>
  <si>
    <t>STU10675</t>
  </si>
  <si>
    <t>STU10676</t>
  </si>
  <si>
    <t>STU10677</t>
  </si>
  <si>
    <t>STU10678</t>
  </si>
  <si>
    <t>STU10679</t>
  </si>
  <si>
    <t>STU10680</t>
  </si>
  <si>
    <t>STU10681</t>
  </si>
  <si>
    <t>STU10682</t>
  </si>
  <si>
    <t>STU10683</t>
  </si>
  <si>
    <t>STU10684</t>
  </si>
  <si>
    <t>STU10685</t>
  </si>
  <si>
    <t>STU10686</t>
  </si>
  <si>
    <t>STU10687</t>
  </si>
  <si>
    <t>STU10688</t>
  </si>
  <si>
    <t>STU10689</t>
  </si>
  <si>
    <t>STU10690</t>
  </si>
  <si>
    <t>STU10691</t>
  </si>
  <si>
    <t>STU10692</t>
  </si>
  <si>
    <t>STU10693</t>
  </si>
  <si>
    <t>STU10694</t>
  </si>
  <si>
    <t>STU10695</t>
  </si>
  <si>
    <t>STU10696</t>
  </si>
  <si>
    <t>STU10697</t>
  </si>
  <si>
    <t>STU10698</t>
  </si>
  <si>
    <t>STU10699</t>
  </si>
  <si>
    <t>STU10700</t>
  </si>
  <si>
    <t>STU10701</t>
  </si>
  <si>
    <t>STU10702</t>
  </si>
  <si>
    <t>STU10703</t>
  </si>
  <si>
    <t>STU10704</t>
  </si>
  <si>
    <t>STU10705</t>
  </si>
  <si>
    <t>STU10706</t>
  </si>
  <si>
    <t>STU10707</t>
  </si>
  <si>
    <t>STU10708</t>
  </si>
  <si>
    <t>STU10709</t>
  </si>
  <si>
    <t>STU10710</t>
  </si>
  <si>
    <t>STU10711</t>
  </si>
  <si>
    <t>STU10712</t>
  </si>
  <si>
    <t>STU10713</t>
  </si>
  <si>
    <t>STU10714</t>
  </si>
  <si>
    <t>STU10715</t>
  </si>
  <si>
    <t>STU10716</t>
  </si>
  <si>
    <t>STU10717</t>
  </si>
  <si>
    <t>STU10718</t>
  </si>
  <si>
    <t>STU10719</t>
  </si>
  <si>
    <t>STU10720</t>
  </si>
  <si>
    <t>STU10721</t>
  </si>
  <si>
    <t>STU10722</t>
  </si>
  <si>
    <t>STU10723</t>
  </si>
  <si>
    <t>STU10724</t>
  </si>
  <si>
    <t>STU10725</t>
  </si>
  <si>
    <t>STU10726</t>
  </si>
  <si>
    <t>STU10727</t>
  </si>
  <si>
    <t>STU10728</t>
  </si>
  <si>
    <t>STU10729</t>
  </si>
  <si>
    <t>STU10730</t>
  </si>
  <si>
    <t>STU10731</t>
  </si>
  <si>
    <t>STU10732</t>
  </si>
  <si>
    <t>STU10733</t>
  </si>
  <si>
    <t>STU10734</t>
  </si>
  <si>
    <t>STU10735</t>
  </si>
  <si>
    <t>STU10736</t>
  </si>
  <si>
    <t>STU10737</t>
  </si>
  <si>
    <t>STU10738</t>
  </si>
  <si>
    <t>STU10739</t>
  </si>
  <si>
    <t>STU10740</t>
  </si>
  <si>
    <t>STU10741</t>
  </si>
  <si>
    <t>STU10742</t>
  </si>
  <si>
    <t>STU10743</t>
  </si>
  <si>
    <t>STU10744</t>
  </si>
  <si>
    <t>STU10745</t>
  </si>
  <si>
    <t>STU10746</t>
  </si>
  <si>
    <t>STU10747</t>
  </si>
  <si>
    <t>STU10748</t>
  </si>
  <si>
    <t>STU10749</t>
  </si>
  <si>
    <t>STU10750</t>
  </si>
  <si>
    <t>STU10751</t>
  </si>
  <si>
    <t>STU10752</t>
  </si>
  <si>
    <t>STU10753</t>
  </si>
  <si>
    <t>STU10754</t>
  </si>
  <si>
    <t>STU10755</t>
  </si>
  <si>
    <t>STU10756</t>
  </si>
  <si>
    <t>STU10757</t>
  </si>
  <si>
    <t>STU10758</t>
  </si>
  <si>
    <t>STU10759</t>
  </si>
  <si>
    <t>STU10760</t>
  </si>
  <si>
    <t>STU10761</t>
  </si>
  <si>
    <t>STU10762</t>
  </si>
  <si>
    <t>STU10763</t>
  </si>
  <si>
    <t>STU10764</t>
  </si>
  <si>
    <t>STU10765</t>
  </si>
  <si>
    <t>STU10766</t>
  </si>
  <si>
    <t>STU10767</t>
  </si>
  <si>
    <t>STU10768</t>
  </si>
  <si>
    <t>STU10769</t>
  </si>
  <si>
    <t>STU10770</t>
  </si>
  <si>
    <t>STU10771</t>
  </si>
  <si>
    <t>STU10772</t>
  </si>
  <si>
    <t>STU10773</t>
  </si>
  <si>
    <t>STU10774</t>
  </si>
  <si>
    <t>STU10775</t>
  </si>
  <si>
    <t>STU10776</t>
  </si>
  <si>
    <t>STU10777</t>
  </si>
  <si>
    <t>STU10778</t>
  </si>
  <si>
    <t>STU10779</t>
  </si>
  <si>
    <t>STU10780</t>
  </si>
  <si>
    <t>STU10781</t>
  </si>
  <si>
    <t>STU10782</t>
  </si>
  <si>
    <t>STU10783</t>
  </si>
  <si>
    <t>STU10784</t>
  </si>
  <si>
    <t>STU10785</t>
  </si>
  <si>
    <t>STU10786</t>
  </si>
  <si>
    <t>STU10787</t>
  </si>
  <si>
    <t>STU10788</t>
  </si>
  <si>
    <t>STU10789</t>
  </si>
  <si>
    <t>STU10790</t>
  </si>
  <si>
    <t>STU10791</t>
  </si>
  <si>
    <t>STU10792</t>
  </si>
  <si>
    <t>STU10793</t>
  </si>
  <si>
    <t>STU10794</t>
  </si>
  <si>
    <t>STU10795</t>
  </si>
  <si>
    <t>STU10796</t>
  </si>
  <si>
    <t>STU10797</t>
  </si>
  <si>
    <t>STU10798</t>
  </si>
  <si>
    <t>STU10799</t>
  </si>
  <si>
    <t>STU10800</t>
  </si>
  <si>
    <t>STU10801</t>
  </si>
  <si>
    <t>STU10802</t>
  </si>
  <si>
    <t>STU10803</t>
  </si>
  <si>
    <t>STU10804</t>
  </si>
  <si>
    <t>STU10805</t>
  </si>
  <si>
    <t>STU10806</t>
  </si>
  <si>
    <t>STU10807</t>
  </si>
  <si>
    <t>STU10808</t>
  </si>
  <si>
    <t>STU10809</t>
  </si>
  <si>
    <t>STU10810</t>
  </si>
  <si>
    <t>STU10811</t>
  </si>
  <si>
    <t>STU10812</t>
  </si>
  <si>
    <t>STU10813</t>
  </si>
  <si>
    <t>STU10814</t>
  </si>
  <si>
    <t>STU10815</t>
  </si>
  <si>
    <t>STU10816</t>
  </si>
  <si>
    <t>STU10817</t>
  </si>
  <si>
    <t>STU10818</t>
  </si>
  <si>
    <t>STU10819</t>
  </si>
  <si>
    <t>STU10820</t>
  </si>
  <si>
    <t>STU10821</t>
  </si>
  <si>
    <t>STU10822</t>
  </si>
  <si>
    <t>STU10823</t>
  </si>
  <si>
    <t>STU10824</t>
  </si>
  <si>
    <t>STU10825</t>
  </si>
  <si>
    <t>STU10826</t>
  </si>
  <si>
    <t>STU10827</t>
  </si>
  <si>
    <t>STU10828</t>
  </si>
  <si>
    <t>STU10829</t>
  </si>
  <si>
    <t>STU10830</t>
  </si>
  <si>
    <t>STU10831</t>
  </si>
  <si>
    <t>STU10832</t>
  </si>
  <si>
    <t>STU10833</t>
  </si>
  <si>
    <t>STU10834</t>
  </si>
  <si>
    <t>STU10835</t>
  </si>
  <si>
    <t>STU10836</t>
  </si>
  <si>
    <t>STU10837</t>
  </si>
  <si>
    <t>STU10838</t>
  </si>
  <si>
    <t>STU10839</t>
  </si>
  <si>
    <t>STU10840</t>
  </si>
  <si>
    <t>STU10841</t>
  </si>
  <si>
    <t>STU10842</t>
  </si>
  <si>
    <t>STU10843</t>
  </si>
  <si>
    <t>STU10844</t>
  </si>
  <si>
    <t>STU10845</t>
  </si>
  <si>
    <t>STU10846</t>
  </si>
  <si>
    <t>STU10847</t>
  </si>
  <si>
    <t>STU10848</t>
  </si>
  <si>
    <t>STU10849</t>
  </si>
  <si>
    <t>STU10850</t>
  </si>
  <si>
    <t>STU10851</t>
  </si>
  <si>
    <t>STU10852</t>
  </si>
  <si>
    <t>STU10853</t>
  </si>
  <si>
    <t>STU10854</t>
  </si>
  <si>
    <t>STU10855</t>
  </si>
  <si>
    <t>STU10856</t>
  </si>
  <si>
    <t>STU10857</t>
  </si>
  <si>
    <t>STU10858</t>
  </si>
  <si>
    <t>STU10859</t>
  </si>
  <si>
    <t>STU10860</t>
  </si>
  <si>
    <t>STU10861</t>
  </si>
  <si>
    <t>STU10862</t>
  </si>
  <si>
    <t>STU10863</t>
  </si>
  <si>
    <t>STU10864</t>
  </si>
  <si>
    <t>STU10865</t>
  </si>
  <si>
    <t>STU10866</t>
  </si>
  <si>
    <t>STU10867</t>
  </si>
  <si>
    <t>STU10868</t>
  </si>
  <si>
    <t>STU10869</t>
  </si>
  <si>
    <t>STU10870</t>
  </si>
  <si>
    <t>STU10871</t>
  </si>
  <si>
    <t>STU10872</t>
  </si>
  <si>
    <t>STU10873</t>
  </si>
  <si>
    <t>STU10874</t>
  </si>
  <si>
    <t>STU10875</t>
  </si>
  <si>
    <t>STU10876</t>
  </si>
  <si>
    <t>STU10877</t>
  </si>
  <si>
    <t>STU10878</t>
  </si>
  <si>
    <t>STU10879</t>
  </si>
  <si>
    <t>STU10880</t>
  </si>
  <si>
    <t>STU10881</t>
  </si>
  <si>
    <t>STU10882</t>
  </si>
  <si>
    <t>STU10883</t>
  </si>
  <si>
    <t>STU10884</t>
  </si>
  <si>
    <t>STU10885</t>
  </si>
  <si>
    <t>STU10886</t>
  </si>
  <si>
    <t>STU10887</t>
  </si>
  <si>
    <t>STU10888</t>
  </si>
  <si>
    <t>STU10889</t>
  </si>
  <si>
    <t>STU10890</t>
  </si>
  <si>
    <t>STU10891</t>
  </si>
  <si>
    <t>STU10892</t>
  </si>
  <si>
    <t>STU10893</t>
  </si>
  <si>
    <t>STU10894</t>
  </si>
  <si>
    <t>STU10895</t>
  </si>
  <si>
    <t>STU10896</t>
  </si>
  <si>
    <t>STU10897</t>
  </si>
  <si>
    <t>STU10898</t>
  </si>
  <si>
    <t>STU10899</t>
  </si>
  <si>
    <t>STU10900</t>
  </si>
  <si>
    <t>STU10901</t>
  </si>
  <si>
    <t>STU10902</t>
  </si>
  <si>
    <t>STU10903</t>
  </si>
  <si>
    <t>STU10904</t>
  </si>
  <si>
    <t>STU10905</t>
  </si>
  <si>
    <t>STU10906</t>
  </si>
  <si>
    <t>STU10907</t>
  </si>
  <si>
    <t>STU10908</t>
  </si>
  <si>
    <t>STU10909</t>
  </si>
  <si>
    <t>STU10910</t>
  </si>
  <si>
    <t>STU10911</t>
  </si>
  <si>
    <t>STU10912</t>
  </si>
  <si>
    <t>STU10913</t>
  </si>
  <si>
    <t>STU10914</t>
  </si>
  <si>
    <t>STU10915</t>
  </si>
  <si>
    <t>STU10916</t>
  </si>
  <si>
    <t>STU10917</t>
  </si>
  <si>
    <t>STU10918</t>
  </si>
  <si>
    <t>STU10919</t>
  </si>
  <si>
    <t>STU10920</t>
  </si>
  <si>
    <t>STU10921</t>
  </si>
  <si>
    <t>STU10922</t>
  </si>
  <si>
    <t>STU10923</t>
  </si>
  <si>
    <t>STU10924</t>
  </si>
  <si>
    <t>STU10925</t>
  </si>
  <si>
    <t>STU10926</t>
  </si>
  <si>
    <t>STU10927</t>
  </si>
  <si>
    <t>STU10928</t>
  </si>
  <si>
    <t>STU10929</t>
  </si>
  <si>
    <t>STU10930</t>
  </si>
  <si>
    <t>STU10931</t>
  </si>
  <si>
    <t>STU10932</t>
  </si>
  <si>
    <t>STU10933</t>
  </si>
  <si>
    <t>STU10934</t>
  </si>
  <si>
    <t>STU10935</t>
  </si>
  <si>
    <t>STU10936</t>
  </si>
  <si>
    <t>STU10937</t>
  </si>
  <si>
    <t>STU10938</t>
  </si>
  <si>
    <t>STU10939</t>
  </si>
  <si>
    <t>STU10940</t>
  </si>
  <si>
    <t>STU10941</t>
  </si>
  <si>
    <t>STU10942</t>
  </si>
  <si>
    <t>STU10943</t>
  </si>
  <si>
    <t>STU10944</t>
  </si>
  <si>
    <t>STU10945</t>
  </si>
  <si>
    <t>STU10946</t>
  </si>
  <si>
    <t>STU10947</t>
  </si>
  <si>
    <t>STU10948</t>
  </si>
  <si>
    <t>STU10949</t>
  </si>
  <si>
    <t>STU10950</t>
  </si>
  <si>
    <t>STU10951</t>
  </si>
  <si>
    <t>STU10952</t>
  </si>
  <si>
    <t>STU10953</t>
  </si>
  <si>
    <t>STU10954</t>
  </si>
  <si>
    <t>STU10955</t>
  </si>
  <si>
    <t>STU10956</t>
  </si>
  <si>
    <t>STU10957</t>
  </si>
  <si>
    <t>STU10958</t>
  </si>
  <si>
    <t>STU10959</t>
  </si>
  <si>
    <t>STU10960</t>
  </si>
  <si>
    <t>STU10961</t>
  </si>
  <si>
    <t>STU10962</t>
  </si>
  <si>
    <t>STU10963</t>
  </si>
  <si>
    <t>STU10964</t>
  </si>
  <si>
    <t>STU10965</t>
  </si>
  <si>
    <t>STU10966</t>
  </si>
  <si>
    <t>STU10967</t>
  </si>
  <si>
    <t>STU10968</t>
  </si>
  <si>
    <t>STU10969</t>
  </si>
  <si>
    <t>STU10970</t>
  </si>
  <si>
    <t>STU10971</t>
  </si>
  <si>
    <t>STU10972</t>
  </si>
  <si>
    <t>STU10973</t>
  </si>
  <si>
    <t>STU10974</t>
  </si>
  <si>
    <t>STU10975</t>
  </si>
  <si>
    <t>STU10976</t>
  </si>
  <si>
    <t>STU10977</t>
  </si>
  <si>
    <t>STU10978</t>
  </si>
  <si>
    <t>STU10979</t>
  </si>
  <si>
    <t>STU10980</t>
  </si>
  <si>
    <t>STU10981</t>
  </si>
  <si>
    <t>STU10982</t>
  </si>
  <si>
    <t>STU10983</t>
  </si>
  <si>
    <t>STU10984</t>
  </si>
  <si>
    <t>STU10985</t>
  </si>
  <si>
    <t>STU10986</t>
  </si>
  <si>
    <t>STU10987</t>
  </si>
  <si>
    <t>STU10988</t>
  </si>
  <si>
    <t>STU10989</t>
  </si>
  <si>
    <t>STU10990</t>
  </si>
  <si>
    <t>STU10991</t>
  </si>
  <si>
    <t>STU10992</t>
  </si>
  <si>
    <t>STU10993</t>
  </si>
  <si>
    <t>STU10994</t>
  </si>
  <si>
    <t>STU10995</t>
  </si>
  <si>
    <t>STU10996</t>
  </si>
  <si>
    <t>STU10997</t>
  </si>
  <si>
    <t>STU10998</t>
  </si>
  <si>
    <t>STU10999</t>
  </si>
  <si>
    <t>STU11000</t>
  </si>
  <si>
    <t>STU11001</t>
  </si>
  <si>
    <t>STU11002</t>
  </si>
  <si>
    <t>STU11003</t>
  </si>
  <si>
    <t>STU11004</t>
  </si>
  <si>
    <t>STU11005</t>
  </si>
  <si>
    <t>STU11006</t>
  </si>
  <si>
    <t>STU11007</t>
  </si>
  <si>
    <t>STU11008</t>
  </si>
  <si>
    <t>STU11009</t>
  </si>
  <si>
    <t>STU11010</t>
  </si>
  <si>
    <t>STU11011</t>
  </si>
  <si>
    <t>STU11012</t>
  </si>
  <si>
    <t>STU11013</t>
  </si>
  <si>
    <t>STU11014</t>
  </si>
  <si>
    <t>STU11015</t>
  </si>
  <si>
    <t>STU11016</t>
  </si>
  <si>
    <t>STU11017</t>
  </si>
  <si>
    <t>STU11018</t>
  </si>
  <si>
    <t>STU11019</t>
  </si>
  <si>
    <t>STU11020</t>
  </si>
  <si>
    <t>STU11021</t>
  </si>
  <si>
    <t>STU11022</t>
  </si>
  <si>
    <t>STU11023</t>
  </si>
  <si>
    <t>STU11024</t>
  </si>
  <si>
    <t>STU11025</t>
  </si>
  <si>
    <t>STU11026</t>
  </si>
  <si>
    <t>STU11027</t>
  </si>
  <si>
    <t>STU11028</t>
  </si>
  <si>
    <t>STU11029</t>
  </si>
  <si>
    <t>STU11030</t>
  </si>
  <si>
    <t>STU11031</t>
  </si>
  <si>
    <t>STU11032</t>
  </si>
  <si>
    <t>STU11033</t>
  </si>
  <si>
    <t>STU11034</t>
  </si>
  <si>
    <t>STU11035</t>
  </si>
  <si>
    <t>STU11036</t>
  </si>
  <si>
    <t>STU11037</t>
  </si>
  <si>
    <t>STU11038</t>
  </si>
  <si>
    <t>STU11039</t>
  </si>
  <si>
    <t>STU11040</t>
  </si>
  <si>
    <t>STU11041</t>
  </si>
  <si>
    <t>STU11042</t>
  </si>
  <si>
    <t>STU11043</t>
  </si>
  <si>
    <t>STU11044</t>
  </si>
  <si>
    <t>STU11045</t>
  </si>
  <si>
    <t>STU11046</t>
  </si>
  <si>
    <t>STU11047</t>
  </si>
  <si>
    <t>STU11048</t>
  </si>
  <si>
    <t>STU11049</t>
  </si>
  <si>
    <t>STU11050</t>
  </si>
  <si>
    <t>STU11051</t>
  </si>
  <si>
    <t>STU11052</t>
  </si>
  <si>
    <t>STU11053</t>
  </si>
  <si>
    <t>STU11054</t>
  </si>
  <si>
    <t>STU11055</t>
  </si>
  <si>
    <t>STU11056</t>
  </si>
  <si>
    <t>STU11057</t>
  </si>
  <si>
    <t>STU11058</t>
  </si>
  <si>
    <t>STU11059</t>
  </si>
  <si>
    <t>STU11060</t>
  </si>
  <si>
    <t>STU11061</t>
  </si>
  <si>
    <t>STU11062</t>
  </si>
  <si>
    <t>STU11063</t>
  </si>
  <si>
    <t>STU11064</t>
  </si>
  <si>
    <t>STU11065</t>
  </si>
  <si>
    <t>STU11066</t>
  </si>
  <si>
    <t>STU11067</t>
  </si>
  <si>
    <t>STU11068</t>
  </si>
  <si>
    <t>STU11069</t>
  </si>
  <si>
    <t>STU11070</t>
  </si>
  <si>
    <t>STU11071</t>
  </si>
  <si>
    <t>STU11072</t>
  </si>
  <si>
    <t>STU11073</t>
  </si>
  <si>
    <t>STU11074</t>
  </si>
  <si>
    <t>STU11075</t>
  </si>
  <si>
    <t>STU11076</t>
  </si>
  <si>
    <t>STU11077</t>
  </si>
  <si>
    <t>STU11078</t>
  </si>
  <si>
    <t>STU11079</t>
  </si>
  <si>
    <t>STU11080</t>
  </si>
  <si>
    <t>STU11081</t>
  </si>
  <si>
    <t>STU11082</t>
  </si>
  <si>
    <t>STU11083</t>
  </si>
  <si>
    <t>STU11084</t>
  </si>
  <si>
    <t>STU11085</t>
  </si>
  <si>
    <t>STU11086</t>
  </si>
  <si>
    <t>STU11087</t>
  </si>
  <si>
    <t>STU11088</t>
  </si>
  <si>
    <t>STU11089</t>
  </si>
  <si>
    <t>STU11090</t>
  </si>
  <si>
    <t>STU11091</t>
  </si>
  <si>
    <t>STU11092</t>
  </si>
  <si>
    <t>STU11093</t>
  </si>
  <si>
    <t>STU11094</t>
  </si>
  <si>
    <t>STU11095</t>
  </si>
  <si>
    <t>STU11096</t>
  </si>
  <si>
    <t>STU11097</t>
  </si>
  <si>
    <t>STU11098</t>
  </si>
  <si>
    <t>STU11099</t>
  </si>
  <si>
    <t>STU11100</t>
  </si>
  <si>
    <t>STU11101</t>
  </si>
  <si>
    <t>STU11102</t>
  </si>
  <si>
    <t>STU11103</t>
  </si>
  <si>
    <t>STU11104</t>
  </si>
  <si>
    <t>STU11105</t>
  </si>
  <si>
    <t>STU11106</t>
  </si>
  <si>
    <t>STU11107</t>
  </si>
  <si>
    <t>STU11108</t>
  </si>
  <si>
    <t>STU11109</t>
  </si>
  <si>
    <t>STU11110</t>
  </si>
  <si>
    <t>STU11111</t>
  </si>
  <si>
    <t>STU11112</t>
  </si>
  <si>
    <t>STU11113</t>
  </si>
  <si>
    <t>STU11114</t>
  </si>
  <si>
    <t>STU11115</t>
  </si>
  <si>
    <t>STU11116</t>
  </si>
  <si>
    <t>STU11117</t>
  </si>
  <si>
    <t>STU11118</t>
  </si>
  <si>
    <t>STU11119</t>
  </si>
  <si>
    <t>STU11120</t>
  </si>
  <si>
    <t>STU11121</t>
  </si>
  <si>
    <t>STU11122</t>
  </si>
  <si>
    <t>STU11123</t>
  </si>
  <si>
    <t>STU11124</t>
  </si>
  <si>
    <t>STU11125</t>
  </si>
  <si>
    <t>STU11126</t>
  </si>
  <si>
    <t>STU11127</t>
  </si>
  <si>
    <t>STU11128</t>
  </si>
  <si>
    <t>STU11129</t>
  </si>
  <si>
    <t>STU11130</t>
  </si>
  <si>
    <t>STU11131</t>
  </si>
  <si>
    <t>STU11132</t>
  </si>
  <si>
    <t>STU11133</t>
  </si>
  <si>
    <t>STU11134</t>
  </si>
  <si>
    <t>STU11135</t>
  </si>
  <si>
    <t>STU11136</t>
  </si>
  <si>
    <t>STU11137</t>
  </si>
  <si>
    <t>STU11138</t>
  </si>
  <si>
    <t>STU11139</t>
  </si>
  <si>
    <t>STU11140</t>
  </si>
  <si>
    <t>STU11141</t>
  </si>
  <si>
    <t>STU11142</t>
  </si>
  <si>
    <t>STU11143</t>
  </si>
  <si>
    <t>STU11144</t>
  </si>
  <si>
    <t>STU11145</t>
  </si>
  <si>
    <t>STU11146</t>
  </si>
  <si>
    <t>STU11147</t>
  </si>
  <si>
    <t>STU11148</t>
  </si>
  <si>
    <t>STU11149</t>
  </si>
  <si>
    <t>STU11150</t>
  </si>
  <si>
    <t>STU11151</t>
  </si>
  <si>
    <t>STU11152</t>
  </si>
  <si>
    <t>STU11153</t>
  </si>
  <si>
    <t>STU11154</t>
  </si>
  <si>
    <t>STU11155</t>
  </si>
  <si>
    <t>STU11156</t>
  </si>
  <si>
    <t>STU11157</t>
  </si>
  <si>
    <t>STU11158</t>
  </si>
  <si>
    <t>STU11159</t>
  </si>
  <si>
    <t>STU11160</t>
  </si>
  <si>
    <t>STU11161</t>
  </si>
  <si>
    <t>STU11162</t>
  </si>
  <si>
    <t>STU11163</t>
  </si>
  <si>
    <t>STU11164</t>
  </si>
  <si>
    <t>STU11165</t>
  </si>
  <si>
    <t>STU11166</t>
  </si>
  <si>
    <t>STU11167</t>
  </si>
  <si>
    <t>STU11168</t>
  </si>
  <si>
    <t>STU11169</t>
  </si>
  <si>
    <t>STU11170</t>
  </si>
  <si>
    <t>STU11171</t>
  </si>
  <si>
    <t>STU11172</t>
  </si>
  <si>
    <t>STU11173</t>
  </si>
  <si>
    <t>STU11174</t>
  </si>
  <si>
    <t>STU11175</t>
  </si>
  <si>
    <t>STU11176</t>
  </si>
  <si>
    <t>STU11177</t>
  </si>
  <si>
    <t>STU11178</t>
  </si>
  <si>
    <t>STU11179</t>
  </si>
  <si>
    <t>STU11180</t>
  </si>
  <si>
    <t>STU11181</t>
  </si>
  <si>
    <t>STU11182</t>
  </si>
  <si>
    <t>STU11183</t>
  </si>
  <si>
    <t>STU11184</t>
  </si>
  <si>
    <t>STU11185</t>
  </si>
  <si>
    <t>STU11186</t>
  </si>
  <si>
    <t>STU11187</t>
  </si>
  <si>
    <t>STU11188</t>
  </si>
  <si>
    <t>STU11189</t>
  </si>
  <si>
    <t>STU11190</t>
  </si>
  <si>
    <t>STU11191</t>
  </si>
  <si>
    <t>STU11192</t>
  </si>
  <si>
    <t>STU11193</t>
  </si>
  <si>
    <t>STU11194</t>
  </si>
  <si>
    <t>STU11195</t>
  </si>
  <si>
    <t>STU11196</t>
  </si>
  <si>
    <t>STU11197</t>
  </si>
  <si>
    <t>STU11198</t>
  </si>
  <si>
    <t>STU11199</t>
  </si>
  <si>
    <t>STU11200</t>
  </si>
  <si>
    <t>STU11201</t>
  </si>
  <si>
    <t>STU11202</t>
  </si>
  <si>
    <t>STU11203</t>
  </si>
  <si>
    <t>STU11204</t>
  </si>
  <si>
    <t>STU11205</t>
  </si>
  <si>
    <t>STU11206</t>
  </si>
  <si>
    <t>STU11207</t>
  </si>
  <si>
    <t>STU11208</t>
  </si>
  <si>
    <t>STU11209</t>
  </si>
  <si>
    <t>STU11210</t>
  </si>
  <si>
    <t>STU11211</t>
  </si>
  <si>
    <t>STU11212</t>
  </si>
  <si>
    <t>STU11213</t>
  </si>
  <si>
    <t>STU11214</t>
  </si>
  <si>
    <t>STU11215</t>
  </si>
  <si>
    <t>STU11216</t>
  </si>
  <si>
    <t>STU11217</t>
  </si>
  <si>
    <t>STU11218</t>
  </si>
  <si>
    <t>STU11219</t>
  </si>
  <si>
    <t>STU11220</t>
  </si>
  <si>
    <t>STU11221</t>
  </si>
  <si>
    <t>STU11222</t>
  </si>
  <si>
    <t>STU11223</t>
  </si>
  <si>
    <t>STU11224</t>
  </si>
  <si>
    <t>STU11225</t>
  </si>
  <si>
    <t>STU11226</t>
  </si>
  <si>
    <t>STU11227</t>
  </si>
  <si>
    <t>STU11228</t>
  </si>
  <si>
    <t>STU11229</t>
  </si>
  <si>
    <t>STU11230</t>
  </si>
  <si>
    <t>STU11231</t>
  </si>
  <si>
    <t>STU11232</t>
  </si>
  <si>
    <t>STU11233</t>
  </si>
  <si>
    <t>STU11234</t>
  </si>
  <si>
    <t>STU11235</t>
  </si>
  <si>
    <t>STU11236</t>
  </si>
  <si>
    <t>STU11237</t>
  </si>
  <si>
    <t>STU11238</t>
  </si>
  <si>
    <t>STU11239</t>
  </si>
  <si>
    <t>STU11240</t>
  </si>
  <si>
    <t>STU11241</t>
  </si>
  <si>
    <t>STU11242</t>
  </si>
  <si>
    <t>STU11243</t>
  </si>
  <si>
    <t>STU11244</t>
  </si>
  <si>
    <t>STU11245</t>
  </si>
  <si>
    <t>STU11246</t>
  </si>
  <si>
    <t>STU11247</t>
  </si>
  <si>
    <t>STU11248</t>
  </si>
  <si>
    <t>STU11249</t>
  </si>
  <si>
    <t>STU11250</t>
  </si>
  <si>
    <t>STU11251</t>
  </si>
  <si>
    <t>STU11252</t>
  </si>
  <si>
    <t>STU11253</t>
  </si>
  <si>
    <t>STU11254</t>
  </si>
  <si>
    <t>STU11255</t>
  </si>
  <si>
    <t>STU11256</t>
  </si>
  <si>
    <t>STU11257</t>
  </si>
  <si>
    <t>STU11258</t>
  </si>
  <si>
    <t>STU11259</t>
  </si>
  <si>
    <t>STU11260</t>
  </si>
  <si>
    <t>STU11261</t>
  </si>
  <si>
    <t>STU11262</t>
  </si>
  <si>
    <t>STU11263</t>
  </si>
  <si>
    <t>STU11264</t>
  </si>
  <si>
    <t>STU11265</t>
  </si>
  <si>
    <t>STU11266</t>
  </si>
  <si>
    <t>STU11267</t>
  </si>
  <si>
    <t>STU11268</t>
  </si>
  <si>
    <t>STU11269</t>
  </si>
  <si>
    <t>STU11270</t>
  </si>
  <si>
    <t>STU11271</t>
  </si>
  <si>
    <t>STU11272</t>
  </si>
  <si>
    <t>STU11273</t>
  </si>
  <si>
    <t>STU11274</t>
  </si>
  <si>
    <t>STU11275</t>
  </si>
  <si>
    <t>STU11276</t>
  </si>
  <si>
    <t>STU11277</t>
  </si>
  <si>
    <t>STU11278</t>
  </si>
  <si>
    <t>STU11279</t>
  </si>
  <si>
    <t>STU11280</t>
  </si>
  <si>
    <t>STU11281</t>
  </si>
  <si>
    <t>STU11282</t>
  </si>
  <si>
    <t>STU11283</t>
  </si>
  <si>
    <t>STU11284</t>
  </si>
  <si>
    <t>STU11285</t>
  </si>
  <si>
    <t>STU11286</t>
  </si>
  <si>
    <t>STU11287</t>
  </si>
  <si>
    <t>STU11288</t>
  </si>
  <si>
    <t>STU11289</t>
  </si>
  <si>
    <t>STU11290</t>
  </si>
  <si>
    <t>STU11291</t>
  </si>
  <si>
    <t>STU11292</t>
  </si>
  <si>
    <t>STU11293</t>
  </si>
  <si>
    <t>STU11294</t>
  </si>
  <si>
    <t>STU11295</t>
  </si>
  <si>
    <t>STU11296</t>
  </si>
  <si>
    <t>STU11297</t>
  </si>
  <si>
    <t>STU11298</t>
  </si>
  <si>
    <t>STU11299</t>
  </si>
  <si>
    <t>STU11300</t>
  </si>
  <si>
    <t>STU11301</t>
  </si>
  <si>
    <t>STU11302</t>
  </si>
  <si>
    <t>STU11303</t>
  </si>
  <si>
    <t>STU11304</t>
  </si>
  <si>
    <t>STU11305</t>
  </si>
  <si>
    <t>STU11306</t>
  </si>
  <si>
    <t>STU11307</t>
  </si>
  <si>
    <t>STU11308</t>
  </si>
  <si>
    <t>STU11309</t>
  </si>
  <si>
    <t>STU11310</t>
  </si>
  <si>
    <t>STU11311</t>
  </si>
  <si>
    <t>STU11312</t>
  </si>
  <si>
    <t>STU11313</t>
  </si>
  <si>
    <t>STU11314</t>
  </si>
  <si>
    <t>STU11315</t>
  </si>
  <si>
    <t>STU11316</t>
  </si>
  <si>
    <t>STU11317</t>
  </si>
  <si>
    <t>STU11318</t>
  </si>
  <si>
    <t>STU11319</t>
  </si>
  <si>
    <t>STU11320</t>
  </si>
  <si>
    <t>STU11321</t>
  </si>
  <si>
    <t>STU11322</t>
  </si>
  <si>
    <t>STU11323</t>
  </si>
  <si>
    <t>STU11324</t>
  </si>
  <si>
    <t>STU11325</t>
  </si>
  <si>
    <t>STU11326</t>
  </si>
  <si>
    <t>STU11327</t>
  </si>
  <si>
    <t>STU11328</t>
  </si>
  <si>
    <t>STU11329</t>
  </si>
  <si>
    <t>STU11330</t>
  </si>
  <si>
    <t>STU11331</t>
  </si>
  <si>
    <t>STU11332</t>
  </si>
  <si>
    <t>STU11333</t>
  </si>
  <si>
    <t>STU11334</t>
  </si>
  <si>
    <t>STU11335</t>
  </si>
  <si>
    <t>STU11336</t>
  </si>
  <si>
    <t>STU11337</t>
  </si>
  <si>
    <t>STU11338</t>
  </si>
  <si>
    <t>STU11339</t>
  </si>
  <si>
    <t>STU11340</t>
  </si>
  <si>
    <t>STU11341</t>
  </si>
  <si>
    <t>STU11342</t>
  </si>
  <si>
    <t>STU11343</t>
  </si>
  <si>
    <t>STU11344</t>
  </si>
  <si>
    <t>STU11345</t>
  </si>
  <si>
    <t>STU11346</t>
  </si>
  <si>
    <t>STU11347</t>
  </si>
  <si>
    <t>STU11348</t>
  </si>
  <si>
    <t>STU11349</t>
  </si>
  <si>
    <t>STU11350</t>
  </si>
  <si>
    <t>STU11351</t>
  </si>
  <si>
    <t>STU11352</t>
  </si>
  <si>
    <t>STU11353</t>
  </si>
  <si>
    <t>STU11354</t>
  </si>
  <si>
    <t>STU11355</t>
  </si>
  <si>
    <t>STU11356</t>
  </si>
  <si>
    <t>STU11357</t>
  </si>
  <si>
    <t>STU11358</t>
  </si>
  <si>
    <t>STU11359</t>
  </si>
  <si>
    <t>STU11360</t>
  </si>
  <si>
    <t>STU11361</t>
  </si>
  <si>
    <t>STU11362</t>
  </si>
  <si>
    <t>STU11363</t>
  </si>
  <si>
    <t>STU11364</t>
  </si>
  <si>
    <t>STU11365</t>
  </si>
  <si>
    <t>STU11366</t>
  </si>
  <si>
    <t>STU11367</t>
  </si>
  <si>
    <t>STU11368</t>
  </si>
  <si>
    <t>STU11369</t>
  </si>
  <si>
    <t>STU11370</t>
  </si>
  <si>
    <t>STU11371</t>
  </si>
  <si>
    <t>STU11372</t>
  </si>
  <si>
    <t>STU11373</t>
  </si>
  <si>
    <t>STU11374</t>
  </si>
  <si>
    <t>STU11375</t>
  </si>
  <si>
    <t>STU11376</t>
  </si>
  <si>
    <t>STU11377</t>
  </si>
  <si>
    <t>STU11378</t>
  </si>
  <si>
    <t>STU11379</t>
  </si>
  <si>
    <t>STU11380</t>
  </si>
  <si>
    <t>STU11381</t>
  </si>
  <si>
    <t>STU11382</t>
  </si>
  <si>
    <t>STU11383</t>
  </si>
  <si>
    <t>STU11384</t>
  </si>
  <si>
    <t>STU11385</t>
  </si>
  <si>
    <t>STU11386</t>
  </si>
  <si>
    <t>STU11387</t>
  </si>
  <si>
    <t>STU11388</t>
  </si>
  <si>
    <t>STU11389</t>
  </si>
  <si>
    <t>STU11390</t>
  </si>
  <si>
    <t>STU11391</t>
  </si>
  <si>
    <t>STU11392</t>
  </si>
  <si>
    <t>STU11393</t>
  </si>
  <si>
    <t>STU11394</t>
  </si>
  <si>
    <t>STU11395</t>
  </si>
  <si>
    <t>STU11396</t>
  </si>
  <si>
    <t>STU11397</t>
  </si>
  <si>
    <t>STU11398</t>
  </si>
  <si>
    <t>STU11399</t>
  </si>
  <si>
    <t>STU11400</t>
  </si>
  <si>
    <t>STU11401</t>
  </si>
  <si>
    <t>STU11402</t>
  </si>
  <si>
    <t>STU11403</t>
  </si>
  <si>
    <t>STU11404</t>
  </si>
  <si>
    <t>STU11405</t>
  </si>
  <si>
    <t>STU11406</t>
  </si>
  <si>
    <t>STU11407</t>
  </si>
  <si>
    <t>STU11408</t>
  </si>
  <si>
    <t>STU11409</t>
  </si>
  <si>
    <t>STU11410</t>
  </si>
  <si>
    <t>STU11411</t>
  </si>
  <si>
    <t>STU11412</t>
  </si>
  <si>
    <t>STU11413</t>
  </si>
  <si>
    <t>STU11414</t>
  </si>
  <si>
    <t>STU11415</t>
  </si>
  <si>
    <t>STU11416</t>
  </si>
  <si>
    <t>STU11417</t>
  </si>
  <si>
    <t>STU11418</t>
  </si>
  <si>
    <t>STU11419</t>
  </si>
  <si>
    <t>STU11420</t>
  </si>
  <si>
    <t>STU11421</t>
  </si>
  <si>
    <t>STU11422</t>
  </si>
  <si>
    <t>STU11423</t>
  </si>
  <si>
    <t>STU11424</t>
  </si>
  <si>
    <t>STU11425</t>
  </si>
  <si>
    <t>STU11426</t>
  </si>
  <si>
    <t>STU11427</t>
  </si>
  <si>
    <t>STU11428</t>
  </si>
  <si>
    <t>STU11429</t>
  </si>
  <si>
    <t>STU11430</t>
  </si>
  <si>
    <t>STU11431</t>
  </si>
  <si>
    <t>STU11432</t>
  </si>
  <si>
    <t>STU11433</t>
  </si>
  <si>
    <t>STU11434</t>
  </si>
  <si>
    <t>STU11435</t>
  </si>
  <si>
    <t>STU11436</t>
  </si>
  <si>
    <t>STU11437</t>
  </si>
  <si>
    <t>STU11438</t>
  </si>
  <si>
    <t>STU11439</t>
  </si>
  <si>
    <t>STU11440</t>
  </si>
  <si>
    <t>STU11441</t>
  </si>
  <si>
    <t>STU11442</t>
  </si>
  <si>
    <t>STU11443</t>
  </si>
  <si>
    <t>STU11444</t>
  </si>
  <si>
    <t>STU11445</t>
  </si>
  <si>
    <t>STU11446</t>
  </si>
  <si>
    <t>STU11447</t>
  </si>
  <si>
    <t>STU11448</t>
  </si>
  <si>
    <t>STU11449</t>
  </si>
  <si>
    <t>STU11450</t>
  </si>
  <si>
    <t>STU11451</t>
  </si>
  <si>
    <t>STU11452</t>
  </si>
  <si>
    <t>STU11453</t>
  </si>
  <si>
    <t>STU11454</t>
  </si>
  <si>
    <t>STU11455</t>
  </si>
  <si>
    <t>STU11456</t>
  </si>
  <si>
    <t>STU11457</t>
  </si>
  <si>
    <t>STU11458</t>
  </si>
  <si>
    <t>STU11459</t>
  </si>
  <si>
    <t>STU11460</t>
  </si>
  <si>
    <t>STU11461</t>
  </si>
  <si>
    <t>STU11462</t>
  </si>
  <si>
    <t>STU11463</t>
  </si>
  <si>
    <t>STU11464</t>
  </si>
  <si>
    <t>STU11465</t>
  </si>
  <si>
    <t>STU11466</t>
  </si>
  <si>
    <t>STU11467</t>
  </si>
  <si>
    <t>STU11468</t>
  </si>
  <si>
    <t>STU11469</t>
  </si>
  <si>
    <t>STU11470</t>
  </si>
  <si>
    <t>STU11471</t>
  </si>
  <si>
    <t>STU11472</t>
  </si>
  <si>
    <t>STU11473</t>
  </si>
  <si>
    <t>STU11474</t>
  </si>
  <si>
    <t>STU11475</t>
  </si>
  <si>
    <t>STU11476</t>
  </si>
  <si>
    <t>STU11477</t>
  </si>
  <si>
    <t>STU11478</t>
  </si>
  <si>
    <t>STU11479</t>
  </si>
  <si>
    <t>STU11480</t>
  </si>
  <si>
    <t>STU11481</t>
  </si>
  <si>
    <t>STU11482</t>
  </si>
  <si>
    <t>STU11483</t>
  </si>
  <si>
    <t>STU11484</t>
  </si>
  <si>
    <t>STU11485</t>
  </si>
  <si>
    <t>STU11486</t>
  </si>
  <si>
    <t>STU11487</t>
  </si>
  <si>
    <t>STU11488</t>
  </si>
  <si>
    <t>STU11489</t>
  </si>
  <si>
    <t>STU11490</t>
  </si>
  <si>
    <t>STU11491</t>
  </si>
  <si>
    <t>STU11492</t>
  </si>
  <si>
    <t>STU11493</t>
  </si>
  <si>
    <t>STU11494</t>
  </si>
  <si>
    <t>STU11495</t>
  </si>
  <si>
    <t>STU11496</t>
  </si>
  <si>
    <t>STU11497</t>
  </si>
  <si>
    <t>STU11498</t>
  </si>
  <si>
    <t>STU11499</t>
  </si>
  <si>
    <t>STU11500</t>
  </si>
  <si>
    <t>STU11501</t>
  </si>
  <si>
    <t>STU11502</t>
  </si>
  <si>
    <t>STU11503</t>
  </si>
  <si>
    <t>STU11504</t>
  </si>
  <si>
    <t>STU11505</t>
  </si>
  <si>
    <t>STU11506</t>
  </si>
  <si>
    <t>STU11507</t>
  </si>
  <si>
    <t>STU11508</t>
  </si>
  <si>
    <t>STU11509</t>
  </si>
  <si>
    <t>STU11510</t>
  </si>
  <si>
    <t>STU11511</t>
  </si>
  <si>
    <t>STU11512</t>
  </si>
  <si>
    <t>STU11513</t>
  </si>
  <si>
    <t>STU11514</t>
  </si>
  <si>
    <t>STU11515</t>
  </si>
  <si>
    <t>STU11516</t>
  </si>
  <si>
    <t>STU11517</t>
  </si>
  <si>
    <t>STU11518</t>
  </si>
  <si>
    <t>STU11519</t>
  </si>
  <si>
    <t>STU11520</t>
  </si>
  <si>
    <t>STU11521</t>
  </si>
  <si>
    <t>STU11522</t>
  </si>
  <si>
    <t>STU11523</t>
  </si>
  <si>
    <t>STU11524</t>
  </si>
  <si>
    <t>STU11525</t>
  </si>
  <si>
    <t>STU11526</t>
  </si>
  <si>
    <t>STU11527</t>
  </si>
  <si>
    <t>STU11528</t>
  </si>
  <si>
    <t>STU11529</t>
  </si>
  <si>
    <t>STU11530</t>
  </si>
  <si>
    <t>STU11531</t>
  </si>
  <si>
    <t>STU11532</t>
  </si>
  <si>
    <t>STU11533</t>
  </si>
  <si>
    <t>STU11534</t>
  </si>
  <si>
    <t>STU11535</t>
  </si>
  <si>
    <t>STU11536</t>
  </si>
  <si>
    <t>STU11537</t>
  </si>
  <si>
    <t>STU11538</t>
  </si>
  <si>
    <t>STU11539</t>
  </si>
  <si>
    <t>STU11540</t>
  </si>
  <si>
    <t>STU11541</t>
  </si>
  <si>
    <t>STU11542</t>
  </si>
  <si>
    <t>STU11543</t>
  </si>
  <si>
    <t>STU11544</t>
  </si>
  <si>
    <t>STU11545</t>
  </si>
  <si>
    <t>STU11546</t>
  </si>
  <si>
    <t>STU11547</t>
  </si>
  <si>
    <t>STU11548</t>
  </si>
  <si>
    <t>STU11549</t>
  </si>
  <si>
    <t>STU11550</t>
  </si>
  <si>
    <t>STU11551</t>
  </si>
  <si>
    <t>STU11552</t>
  </si>
  <si>
    <t>STU11553</t>
  </si>
  <si>
    <t>STU11554</t>
  </si>
  <si>
    <t>STU11555</t>
  </si>
  <si>
    <t>STU11556</t>
  </si>
  <si>
    <t>STU11557</t>
  </si>
  <si>
    <t>STU11558</t>
  </si>
  <si>
    <t>STU11559</t>
  </si>
  <si>
    <t>STU11560</t>
  </si>
  <si>
    <t>STU11561</t>
  </si>
  <si>
    <t>STU11562</t>
  </si>
  <si>
    <t>STU11563</t>
  </si>
  <si>
    <t>STU11564</t>
  </si>
  <si>
    <t>STU11565</t>
  </si>
  <si>
    <t>STU11566</t>
  </si>
  <si>
    <t>STU11567</t>
  </si>
  <si>
    <t>STU11568</t>
  </si>
  <si>
    <t>STU11569</t>
  </si>
  <si>
    <t>STU11570</t>
  </si>
  <si>
    <t>STU11571</t>
  </si>
  <si>
    <t>STU11572</t>
  </si>
  <si>
    <t>STU11573</t>
  </si>
  <si>
    <t>STU11574</t>
  </si>
  <si>
    <t>STU11575</t>
  </si>
  <si>
    <t>STU11576</t>
  </si>
  <si>
    <t>STU11577</t>
  </si>
  <si>
    <t>STU11578</t>
  </si>
  <si>
    <t>STU11579</t>
  </si>
  <si>
    <t>STU11580</t>
  </si>
  <si>
    <t>STU11581</t>
  </si>
  <si>
    <t>STU11582</t>
  </si>
  <si>
    <t>STU11583</t>
  </si>
  <si>
    <t>STU11584</t>
  </si>
  <si>
    <t>STU11585</t>
  </si>
  <si>
    <t>STU11586</t>
  </si>
  <si>
    <t>STU11587</t>
  </si>
  <si>
    <t>STU11588</t>
  </si>
  <si>
    <t>STU11589</t>
  </si>
  <si>
    <t>STU11590</t>
  </si>
  <si>
    <t>STU11591</t>
  </si>
  <si>
    <t>STU11592</t>
  </si>
  <si>
    <t>STU11593</t>
  </si>
  <si>
    <t>STU11594</t>
  </si>
  <si>
    <t>STU11595</t>
  </si>
  <si>
    <t>STU11596</t>
  </si>
  <si>
    <t>STU11597</t>
  </si>
  <si>
    <t>STU11598</t>
  </si>
  <si>
    <t>STU11599</t>
  </si>
  <si>
    <t>STU11600</t>
  </si>
  <si>
    <t>STU11601</t>
  </si>
  <si>
    <t>STU11602</t>
  </si>
  <si>
    <t>STU11603</t>
  </si>
  <si>
    <t>STU11604</t>
  </si>
  <si>
    <t>STU11605</t>
  </si>
  <si>
    <t>STU11606</t>
  </si>
  <si>
    <t>STU11607</t>
  </si>
  <si>
    <t>STU11608</t>
  </si>
  <si>
    <t>STU11609</t>
  </si>
  <si>
    <t>STU11610</t>
  </si>
  <si>
    <t>STU11611</t>
  </si>
  <si>
    <t>STU11612</t>
  </si>
  <si>
    <t>STU11613</t>
  </si>
  <si>
    <t>STU11614</t>
  </si>
  <si>
    <t>STU11615</t>
  </si>
  <si>
    <t>STU11616</t>
  </si>
  <si>
    <t>STU11617</t>
  </si>
  <si>
    <t>STU11618</t>
  </si>
  <si>
    <t>STU11619</t>
  </si>
  <si>
    <t>STU11620</t>
  </si>
  <si>
    <t>STU11621</t>
  </si>
  <si>
    <t>STU11622</t>
  </si>
  <si>
    <t>STU11623</t>
  </si>
  <si>
    <t>STU11624</t>
  </si>
  <si>
    <t>STU11625</t>
  </si>
  <si>
    <t>STU11626</t>
  </si>
  <si>
    <t>STU11627</t>
  </si>
  <si>
    <t>STU11628</t>
  </si>
  <si>
    <t>STU11629</t>
  </si>
  <si>
    <t>STU11630</t>
  </si>
  <si>
    <t>STU11631</t>
  </si>
  <si>
    <t>STU11632</t>
  </si>
  <si>
    <t>STU11633</t>
  </si>
  <si>
    <t>STU11634</t>
  </si>
  <si>
    <t>STU11635</t>
  </si>
  <si>
    <t>STU11636</t>
  </si>
  <si>
    <t>STU11637</t>
  </si>
  <si>
    <t>STU11638</t>
  </si>
  <si>
    <t>STU11639</t>
  </si>
  <si>
    <t>STU11640</t>
  </si>
  <si>
    <t>STU11641</t>
  </si>
  <si>
    <t>STU11642</t>
  </si>
  <si>
    <t>STU11643</t>
  </si>
  <si>
    <t>STU11644</t>
  </si>
  <si>
    <t>STU11645</t>
  </si>
  <si>
    <t>STU11646</t>
  </si>
  <si>
    <t>STU11647</t>
  </si>
  <si>
    <t>STU11648</t>
  </si>
  <si>
    <t>STU11649</t>
  </si>
  <si>
    <t>STU11650</t>
  </si>
  <si>
    <t>STU11651</t>
  </si>
  <si>
    <t>STU11652</t>
  </si>
  <si>
    <t>STU11653</t>
  </si>
  <si>
    <t>STU11654</t>
  </si>
  <si>
    <t>STU11655</t>
  </si>
  <si>
    <t>STU11656</t>
  </si>
  <si>
    <t>STU11657</t>
  </si>
  <si>
    <t>STU11658</t>
  </si>
  <si>
    <t>STU11659</t>
  </si>
  <si>
    <t>STU11660</t>
  </si>
  <si>
    <t>STU11661</t>
  </si>
  <si>
    <t>STU11662</t>
  </si>
  <si>
    <t>STU11663</t>
  </si>
  <si>
    <t>STU11664</t>
  </si>
  <si>
    <t>STU11665</t>
  </si>
  <si>
    <t>STU11666</t>
  </si>
  <si>
    <t>STU11667</t>
  </si>
  <si>
    <t>STU11668</t>
  </si>
  <si>
    <t>STU11669</t>
  </si>
  <si>
    <t>STU11670</t>
  </si>
  <si>
    <t>STU11671</t>
  </si>
  <si>
    <t>STU11672</t>
  </si>
  <si>
    <t>STU11673</t>
  </si>
  <si>
    <t>STU11674</t>
  </si>
  <si>
    <t>STU11675</t>
  </si>
  <si>
    <t>STU11676</t>
  </si>
  <si>
    <t>STU11677</t>
  </si>
  <si>
    <t>STU11678</t>
  </si>
  <si>
    <t>STU11679</t>
  </si>
  <si>
    <t>STU11680</t>
  </si>
  <si>
    <t>STU11681</t>
  </si>
  <si>
    <t>STU11682</t>
  </si>
  <si>
    <t>STU11683</t>
  </si>
  <si>
    <t>STU11684</t>
  </si>
  <si>
    <t>STU11685</t>
  </si>
  <si>
    <t>STU11686</t>
  </si>
  <si>
    <t>STU11687</t>
  </si>
  <si>
    <t>STU11688</t>
  </si>
  <si>
    <t>STU11689</t>
  </si>
  <si>
    <t>STU11690</t>
  </si>
  <si>
    <t>STU11691</t>
  </si>
  <si>
    <t>STU11692</t>
  </si>
  <si>
    <t>STU11693</t>
  </si>
  <si>
    <t>STU11694</t>
  </si>
  <si>
    <t>STU11695</t>
  </si>
  <si>
    <t>STU11696</t>
  </si>
  <si>
    <t>STU11697</t>
  </si>
  <si>
    <t>STU11698</t>
  </si>
  <si>
    <t>STU11699</t>
  </si>
  <si>
    <t>STU11700</t>
  </si>
  <si>
    <t>STU11701</t>
  </si>
  <si>
    <t>STU11702</t>
  </si>
  <si>
    <t>STU11703</t>
  </si>
  <si>
    <t>STU11704</t>
  </si>
  <si>
    <t>STU11705</t>
  </si>
  <si>
    <t>STU11706</t>
  </si>
  <si>
    <t>STU11707</t>
  </si>
  <si>
    <t>STU11708</t>
  </si>
  <si>
    <t>STU11709</t>
  </si>
  <si>
    <t>STU11710</t>
  </si>
  <si>
    <t>STU11711</t>
  </si>
  <si>
    <t>STU11712</t>
  </si>
  <si>
    <t>STU11713</t>
  </si>
  <si>
    <t>STU11714</t>
  </si>
  <si>
    <t>STU11715</t>
  </si>
  <si>
    <t>STU11716</t>
  </si>
  <si>
    <t>STU11717</t>
  </si>
  <si>
    <t>STU11718</t>
  </si>
  <si>
    <t>STU11719</t>
  </si>
  <si>
    <t>STU11720</t>
  </si>
  <si>
    <t>STU11721</t>
  </si>
  <si>
    <t>STU11722</t>
  </si>
  <si>
    <t>STU11723</t>
  </si>
  <si>
    <t>STU11724</t>
  </si>
  <si>
    <t>STU11725</t>
  </si>
  <si>
    <t>STU11726</t>
  </si>
  <si>
    <t>STU11727</t>
  </si>
  <si>
    <t>STU11728</t>
  </si>
  <si>
    <t>STU11729</t>
  </si>
  <si>
    <t>STU11730</t>
  </si>
  <si>
    <t>STU11731</t>
  </si>
  <si>
    <t>STU11732</t>
  </si>
  <si>
    <t>STU11733</t>
  </si>
  <si>
    <t>STU11734</t>
  </si>
  <si>
    <t>STU11735</t>
  </si>
  <si>
    <t>STU11736</t>
  </si>
  <si>
    <t>STU11737</t>
  </si>
  <si>
    <t>STU11738</t>
  </si>
  <si>
    <t>STU11739</t>
  </si>
  <si>
    <t>STU11740</t>
  </si>
  <si>
    <t>STU11741</t>
  </si>
  <si>
    <t>STU11742</t>
  </si>
  <si>
    <t>STU11743</t>
  </si>
  <si>
    <t>STU11744</t>
  </si>
  <si>
    <t>STU11745</t>
  </si>
  <si>
    <t>STU11746</t>
  </si>
  <si>
    <t>STU11747</t>
  </si>
  <si>
    <t>STU11748</t>
  </si>
  <si>
    <t>STU11749</t>
  </si>
  <si>
    <t>STU11750</t>
  </si>
  <si>
    <t>STU11751</t>
  </si>
  <si>
    <t>STU11752</t>
  </si>
  <si>
    <t>STU11753</t>
  </si>
  <si>
    <t>STU11754</t>
  </si>
  <si>
    <t>STU11755</t>
  </si>
  <si>
    <t>STU11756</t>
  </si>
  <si>
    <t>STU11757</t>
  </si>
  <si>
    <t>STU11758</t>
  </si>
  <si>
    <t>STU11759</t>
  </si>
  <si>
    <t>STU11760</t>
  </si>
  <si>
    <t>STU11761</t>
  </si>
  <si>
    <t>STU11762</t>
  </si>
  <si>
    <t>STU11763</t>
  </si>
  <si>
    <t>STU11764</t>
  </si>
  <si>
    <t>STU11765</t>
  </si>
  <si>
    <t>STU11766</t>
  </si>
  <si>
    <t>STU11767</t>
  </si>
  <si>
    <t>STU11768</t>
  </si>
  <si>
    <t>STU11769</t>
  </si>
  <si>
    <t>STU11770</t>
  </si>
  <si>
    <t>STU11771</t>
  </si>
  <si>
    <t>STU11772</t>
  </si>
  <si>
    <t>STU11773</t>
  </si>
  <si>
    <t>STU11774</t>
  </si>
  <si>
    <t>STU11775</t>
  </si>
  <si>
    <t>STU11776</t>
  </si>
  <si>
    <t>STU11777</t>
  </si>
  <si>
    <t>STU11778</t>
  </si>
  <si>
    <t>STU11779</t>
  </si>
  <si>
    <t>STU11780</t>
  </si>
  <si>
    <t>STU11781</t>
  </si>
  <si>
    <t>STU11782</t>
  </si>
  <si>
    <t>STU11783</t>
  </si>
  <si>
    <t>STU11784</t>
  </si>
  <si>
    <t>STU11785</t>
  </si>
  <si>
    <t>STU11786</t>
  </si>
  <si>
    <t>STU11787</t>
  </si>
  <si>
    <t>STU11788</t>
  </si>
  <si>
    <t>STU11789</t>
  </si>
  <si>
    <t>STU11790</t>
  </si>
  <si>
    <t>STU11791</t>
  </si>
  <si>
    <t>STU11792</t>
  </si>
  <si>
    <t>STU11793</t>
  </si>
  <si>
    <t>STU11794</t>
  </si>
  <si>
    <t>STU11795</t>
  </si>
  <si>
    <t>STU11796</t>
  </si>
  <si>
    <t>STU11797</t>
  </si>
  <si>
    <t>STU11798</t>
  </si>
  <si>
    <t>STU11799</t>
  </si>
  <si>
    <t>STU11800</t>
  </si>
  <si>
    <t>STU11801</t>
  </si>
  <si>
    <t>STU11802</t>
  </si>
  <si>
    <t>STU11803</t>
  </si>
  <si>
    <t>STU11804</t>
  </si>
  <si>
    <t>STU11805</t>
  </si>
  <si>
    <t>STU11806</t>
  </si>
  <si>
    <t>STU11807</t>
  </si>
  <si>
    <t>STU11808</t>
  </si>
  <si>
    <t>STU11809</t>
  </si>
  <si>
    <t>STU11810</t>
  </si>
  <si>
    <t>STU11811</t>
  </si>
  <si>
    <t>STU11812</t>
  </si>
  <si>
    <t>STU11813</t>
  </si>
  <si>
    <t>STU11814</t>
  </si>
  <si>
    <t>STU11815</t>
  </si>
  <si>
    <t>STU11816</t>
  </si>
  <si>
    <t>STU11817</t>
  </si>
  <si>
    <t>STU11818</t>
  </si>
  <si>
    <t>STU11819</t>
  </si>
  <si>
    <t>STU11820</t>
  </si>
  <si>
    <t>STU11821</t>
  </si>
  <si>
    <t>STU11822</t>
  </si>
  <si>
    <t>STU11823</t>
  </si>
  <si>
    <t>STU11824</t>
  </si>
  <si>
    <t>STU11825</t>
  </si>
  <si>
    <t>STU11826</t>
  </si>
  <si>
    <t>STU11827</t>
  </si>
  <si>
    <t>STU11828</t>
  </si>
  <si>
    <t>STU11829</t>
  </si>
  <si>
    <t>STU11830</t>
  </si>
  <si>
    <t>STU11831</t>
  </si>
  <si>
    <t>STU11832</t>
  </si>
  <si>
    <t>STU11833</t>
  </si>
  <si>
    <t>STU11834</t>
  </si>
  <si>
    <t>STU11835</t>
  </si>
  <si>
    <t>STU11836</t>
  </si>
  <si>
    <t>STU11837</t>
  </si>
  <si>
    <t>STU11838</t>
  </si>
  <si>
    <t>STU11839</t>
  </si>
  <si>
    <t>STU11840</t>
  </si>
  <si>
    <t>STU11841</t>
  </si>
  <si>
    <t>STU11842</t>
  </si>
  <si>
    <t>STU11843</t>
  </si>
  <si>
    <t>STU11844</t>
  </si>
  <si>
    <t>STU11845</t>
  </si>
  <si>
    <t>STU11846</t>
  </si>
  <si>
    <t>STU11847</t>
  </si>
  <si>
    <t>STU11848</t>
  </si>
  <si>
    <t>STU11849</t>
  </si>
  <si>
    <t>STU11850</t>
  </si>
  <si>
    <t>STU11851</t>
  </si>
  <si>
    <t>STU11852</t>
  </si>
  <si>
    <t>STU11853</t>
  </si>
  <si>
    <t>STU11854</t>
  </si>
  <si>
    <t>STU11855</t>
  </si>
  <si>
    <t>STU11856</t>
  </si>
  <si>
    <t>STU11857</t>
  </si>
  <si>
    <t>STU11858</t>
  </si>
  <si>
    <t>STU11859</t>
  </si>
  <si>
    <t>STU11860</t>
  </si>
  <si>
    <t>STU11861</t>
  </si>
  <si>
    <t>STU11862</t>
  </si>
  <si>
    <t>STU11863</t>
  </si>
  <si>
    <t>STU11864</t>
  </si>
  <si>
    <t>STU11865</t>
  </si>
  <si>
    <t>STU11866</t>
  </si>
  <si>
    <t>STU11867</t>
  </si>
  <si>
    <t>STU11868</t>
  </si>
  <si>
    <t>STU11869</t>
  </si>
  <si>
    <t>STU11870</t>
  </si>
  <si>
    <t>STU11871</t>
  </si>
  <si>
    <t>STU11872</t>
  </si>
  <si>
    <t>STU11873</t>
  </si>
  <si>
    <t>STU11874</t>
  </si>
  <si>
    <t>STU11875</t>
  </si>
  <si>
    <t>STU11876</t>
  </si>
  <si>
    <t>STU11877</t>
  </si>
  <si>
    <t>STU11878</t>
  </si>
  <si>
    <t>STU11879</t>
  </si>
  <si>
    <t>STU11880</t>
  </si>
  <si>
    <t>STU11881</t>
  </si>
  <si>
    <t>STU11882</t>
  </si>
  <si>
    <t>STU11883</t>
  </si>
  <si>
    <t>STU11884</t>
  </si>
  <si>
    <t>STU11885</t>
  </si>
  <si>
    <t>STU11886</t>
  </si>
  <si>
    <t>STU11887</t>
  </si>
  <si>
    <t>STU11888</t>
  </si>
  <si>
    <t>STU11889</t>
  </si>
  <si>
    <t>STU11890</t>
  </si>
  <si>
    <t>STU11891</t>
  </si>
  <si>
    <t>STU11892</t>
  </si>
  <si>
    <t>STU11893</t>
  </si>
  <si>
    <t>STU11894</t>
  </si>
  <si>
    <t>STU11895</t>
  </si>
  <si>
    <t>STU11896</t>
  </si>
  <si>
    <t>STU11897</t>
  </si>
  <si>
    <t>STU11898</t>
  </si>
  <si>
    <t>STU11899</t>
  </si>
  <si>
    <t>STU11900</t>
  </si>
  <si>
    <t>STU11901</t>
  </si>
  <si>
    <t>STU11902</t>
  </si>
  <si>
    <t>STU11903</t>
  </si>
  <si>
    <t>STU11904</t>
  </si>
  <si>
    <t>STU11905</t>
  </si>
  <si>
    <t>STU11906</t>
  </si>
  <si>
    <t>STU11907</t>
  </si>
  <si>
    <t>STU11908</t>
  </si>
  <si>
    <t>STU11909</t>
  </si>
  <si>
    <t>STU11910</t>
  </si>
  <si>
    <t>STU11911</t>
  </si>
  <si>
    <t>STU11912</t>
  </si>
  <si>
    <t>STU11913</t>
  </si>
  <si>
    <t>STU11914</t>
  </si>
  <si>
    <t>STU11915</t>
  </si>
  <si>
    <t>STU11916</t>
  </si>
  <si>
    <t>STU11917</t>
  </si>
  <si>
    <t>STU11918</t>
  </si>
  <si>
    <t>STU11919</t>
  </si>
  <si>
    <t>STU11920</t>
  </si>
  <si>
    <t>STU11921</t>
  </si>
  <si>
    <t>STU11922</t>
  </si>
  <si>
    <t>STU11923</t>
  </si>
  <si>
    <t>STU11924</t>
  </si>
  <si>
    <t>STU11925</t>
  </si>
  <si>
    <t>STU11926</t>
  </si>
  <si>
    <t>STU11927</t>
  </si>
  <si>
    <t>STU11928</t>
  </si>
  <si>
    <t>STU11929</t>
  </si>
  <si>
    <t>STU11930</t>
  </si>
  <si>
    <t>STU11931</t>
  </si>
  <si>
    <t>STU11932</t>
  </si>
  <si>
    <t>STU11933</t>
  </si>
  <si>
    <t>STU11934</t>
  </si>
  <si>
    <t>STU11935</t>
  </si>
  <si>
    <t>STU11936</t>
  </si>
  <si>
    <t>STU11937</t>
  </si>
  <si>
    <t>STU11938</t>
  </si>
  <si>
    <t>STU11939</t>
  </si>
  <si>
    <t>STU11940</t>
  </si>
  <si>
    <t>STU11941</t>
  </si>
  <si>
    <t>STU11942</t>
  </si>
  <si>
    <t>STU11943</t>
  </si>
  <si>
    <t>STU11944</t>
  </si>
  <si>
    <t>STU11945</t>
  </si>
  <si>
    <t>STU11946</t>
  </si>
  <si>
    <t>STU11947</t>
  </si>
  <si>
    <t>STU11948</t>
  </si>
  <si>
    <t>STU11949</t>
  </si>
  <si>
    <t>STU11950</t>
  </si>
  <si>
    <t>STU11951</t>
  </si>
  <si>
    <t>STU11952</t>
  </si>
  <si>
    <t>STU11953</t>
  </si>
  <si>
    <t>STU11954</t>
  </si>
  <si>
    <t>STU11955</t>
  </si>
  <si>
    <t>STU11956</t>
  </si>
  <si>
    <t>STU11957</t>
  </si>
  <si>
    <t>STU11958</t>
  </si>
  <si>
    <t>STU11959</t>
  </si>
  <si>
    <t>STU11960</t>
  </si>
  <si>
    <t>STU11961</t>
  </si>
  <si>
    <t>STU11962</t>
  </si>
  <si>
    <t>STU11963</t>
  </si>
  <si>
    <t>STU11964</t>
  </si>
  <si>
    <t>STU11965</t>
  </si>
  <si>
    <t>STU11966</t>
  </si>
  <si>
    <t>STU11967</t>
  </si>
  <si>
    <t>STU11968</t>
  </si>
  <si>
    <t>STU11969</t>
  </si>
  <si>
    <t>STU11970</t>
  </si>
  <si>
    <t>STU11971</t>
  </si>
  <si>
    <t>STU11972</t>
  </si>
  <si>
    <t>STU11973</t>
  </si>
  <si>
    <t>STU11974</t>
  </si>
  <si>
    <t>STU11975</t>
  </si>
  <si>
    <t>STU11976</t>
  </si>
  <si>
    <t>STU11977</t>
  </si>
  <si>
    <t>STU11978</t>
  </si>
  <si>
    <t>STU11979</t>
  </si>
  <si>
    <t>STU11980</t>
  </si>
  <si>
    <t>STU11981</t>
  </si>
  <si>
    <t>STU11982</t>
  </si>
  <si>
    <t>STU11983</t>
  </si>
  <si>
    <t>STU11984</t>
  </si>
  <si>
    <t>STU11985</t>
  </si>
  <si>
    <t>STU11986</t>
  </si>
  <si>
    <t>STU11987</t>
  </si>
  <si>
    <t>STU11988</t>
  </si>
  <si>
    <t>STU11989</t>
  </si>
  <si>
    <t>STU11990</t>
  </si>
  <si>
    <t>STU11991</t>
  </si>
  <si>
    <t>STU11992</t>
  </si>
  <si>
    <t>STU11993</t>
  </si>
  <si>
    <t>STU11994</t>
  </si>
  <si>
    <t>STU11995</t>
  </si>
  <si>
    <t>STU11996</t>
  </si>
  <si>
    <t>STU11997</t>
  </si>
  <si>
    <t>STU11998</t>
  </si>
  <si>
    <t>STU11999</t>
  </si>
  <si>
    <t>STU12000</t>
  </si>
  <si>
    <t>STU12001</t>
  </si>
  <si>
    <t>STU12002</t>
  </si>
  <si>
    <t>STU12003</t>
  </si>
  <si>
    <t>STU12004</t>
  </si>
  <si>
    <t>STU12005</t>
  </si>
  <si>
    <t>STU12006</t>
  </si>
  <si>
    <t>STU12007</t>
  </si>
  <si>
    <t>STU12008</t>
  </si>
  <si>
    <t>STU12009</t>
  </si>
  <si>
    <t>STU12010</t>
  </si>
  <si>
    <t>STU12011</t>
  </si>
  <si>
    <t>STU12012</t>
  </si>
  <si>
    <t>STU12013</t>
  </si>
  <si>
    <t>STU12014</t>
  </si>
  <si>
    <t>STU12015</t>
  </si>
  <si>
    <t>STU12016</t>
  </si>
  <si>
    <t>STU12017</t>
  </si>
  <si>
    <t>STU12018</t>
  </si>
  <si>
    <t>STU12019</t>
  </si>
  <si>
    <t>STU12020</t>
  </si>
  <si>
    <t>STU12021</t>
  </si>
  <si>
    <t>STU12022</t>
  </si>
  <si>
    <t>STU12023</t>
  </si>
  <si>
    <t>STU12024</t>
  </si>
  <si>
    <t>STU12025</t>
  </si>
  <si>
    <t>STU12026</t>
  </si>
  <si>
    <t>STU12027</t>
  </si>
  <si>
    <t>STU12028</t>
  </si>
  <si>
    <t>STU12029</t>
  </si>
  <si>
    <t>STU12030</t>
  </si>
  <si>
    <t>STU12031</t>
  </si>
  <si>
    <t>STU12032</t>
  </si>
  <si>
    <t>STU12033</t>
  </si>
  <si>
    <t>STU12034</t>
  </si>
  <si>
    <t>STU12035</t>
  </si>
  <si>
    <t>STU12036</t>
  </si>
  <si>
    <t>STU12037</t>
  </si>
  <si>
    <t>STU12038</t>
  </si>
  <si>
    <t>STU12039</t>
  </si>
  <si>
    <t>STU12040</t>
  </si>
  <si>
    <t>STU12041</t>
  </si>
  <si>
    <t>STU12042</t>
  </si>
  <si>
    <t>STU12043</t>
  </si>
  <si>
    <t>STU12044</t>
  </si>
  <si>
    <t>STU12045</t>
  </si>
  <si>
    <t>STU12046</t>
  </si>
  <si>
    <t>STU12047</t>
  </si>
  <si>
    <t>STU12048</t>
  </si>
  <si>
    <t>STU12049</t>
  </si>
  <si>
    <t>STU12050</t>
  </si>
  <si>
    <t>STU12051</t>
  </si>
  <si>
    <t>STU12052</t>
  </si>
  <si>
    <t>STU12053</t>
  </si>
  <si>
    <t>STU12054</t>
  </si>
  <si>
    <t>STU12055</t>
  </si>
  <si>
    <t>STU12056</t>
  </si>
  <si>
    <t>STU12057</t>
  </si>
  <si>
    <t>STU12058</t>
  </si>
  <si>
    <t>STU12059</t>
  </si>
  <si>
    <t>STU12060</t>
  </si>
  <si>
    <t>STU12061</t>
  </si>
  <si>
    <t>STU12062</t>
  </si>
  <si>
    <t>STU12063</t>
  </si>
  <si>
    <t>STU12064</t>
  </si>
  <si>
    <t>STU12065</t>
  </si>
  <si>
    <t>STU12066</t>
  </si>
  <si>
    <t>STU12067</t>
  </si>
  <si>
    <t>STU12068</t>
  </si>
  <si>
    <t>STU12069</t>
  </si>
  <si>
    <t>STU12070</t>
  </si>
  <si>
    <t>STU12071</t>
  </si>
  <si>
    <t>STU12072</t>
  </si>
  <si>
    <t>STU12073</t>
  </si>
  <si>
    <t>STU12074</t>
  </si>
  <si>
    <t>STU12075</t>
  </si>
  <si>
    <t>STU12076</t>
  </si>
  <si>
    <t>STU12077</t>
  </si>
  <si>
    <t>STU12078</t>
  </si>
  <si>
    <t>STU12079</t>
  </si>
  <si>
    <t>STU12080</t>
  </si>
  <si>
    <t>STU12081</t>
  </si>
  <si>
    <t>STU12082</t>
  </si>
  <si>
    <t>STU12083</t>
  </si>
  <si>
    <t>STU12084</t>
  </si>
  <si>
    <t>STU12085</t>
  </si>
  <si>
    <t>STU12086</t>
  </si>
  <si>
    <t>STU12087</t>
  </si>
  <si>
    <t>STU12088</t>
  </si>
  <si>
    <t>STU12089</t>
  </si>
  <si>
    <t>STU12090</t>
  </si>
  <si>
    <t>STU12091</t>
  </si>
  <si>
    <t>STU12092</t>
  </si>
  <si>
    <t>STU12093</t>
  </si>
  <si>
    <t>STU12094</t>
  </si>
  <si>
    <t>STU12095</t>
  </si>
  <si>
    <t>STU12096</t>
  </si>
  <si>
    <t>STU12097</t>
  </si>
  <si>
    <t>STU12098</t>
  </si>
  <si>
    <t>STU12099</t>
  </si>
  <si>
    <t>STU12100</t>
  </si>
  <si>
    <t>STU12101</t>
  </si>
  <si>
    <t>STU12102</t>
  </si>
  <si>
    <t>STU12103</t>
  </si>
  <si>
    <t>STU12104</t>
  </si>
  <si>
    <t>STU12105</t>
  </si>
  <si>
    <t>STU12106</t>
  </si>
  <si>
    <t>STU12107</t>
  </si>
  <si>
    <t>STU12108</t>
  </si>
  <si>
    <t>STU12109</t>
  </si>
  <si>
    <t>STU12110</t>
  </si>
  <si>
    <t>STU12111</t>
  </si>
  <si>
    <t>STU12112</t>
  </si>
  <si>
    <t>STU12113</t>
  </si>
  <si>
    <t>STU12114</t>
  </si>
  <si>
    <t>STU12115</t>
  </si>
  <si>
    <t>STU12116</t>
  </si>
  <si>
    <t>STU12117</t>
  </si>
  <si>
    <t>STU12118</t>
  </si>
  <si>
    <t>STU12119</t>
  </si>
  <si>
    <t>STU12120</t>
  </si>
  <si>
    <t>STU12121</t>
  </si>
  <si>
    <t>STU12122</t>
  </si>
  <si>
    <t>STU12123</t>
  </si>
  <si>
    <t>STU12124</t>
  </si>
  <si>
    <t>STU12125</t>
  </si>
  <si>
    <t>STU12126</t>
  </si>
  <si>
    <t>STU12127</t>
  </si>
  <si>
    <t>STU12128</t>
  </si>
  <si>
    <t>STU12129</t>
  </si>
  <si>
    <t>STU12130</t>
  </si>
  <si>
    <t>STU12131</t>
  </si>
  <si>
    <t>STU12132</t>
  </si>
  <si>
    <t>STU12133</t>
  </si>
  <si>
    <t>STU12134</t>
  </si>
  <si>
    <t>STU12135</t>
  </si>
  <si>
    <t>STU12136</t>
  </si>
  <si>
    <t>STU12137</t>
  </si>
  <si>
    <t>STU12138</t>
  </si>
  <si>
    <t>STU12139</t>
  </si>
  <si>
    <t>STU12140</t>
  </si>
  <si>
    <t>STU12141</t>
  </si>
  <si>
    <t>STU12142</t>
  </si>
  <si>
    <t>STU12143</t>
  </si>
  <si>
    <t>STU12144</t>
  </si>
  <si>
    <t>STU12145</t>
  </si>
  <si>
    <t>STU12146</t>
  </si>
  <si>
    <t>STU12147</t>
  </si>
  <si>
    <t>STU12148</t>
  </si>
  <si>
    <t>STU12149</t>
  </si>
  <si>
    <t>STU12150</t>
  </si>
  <si>
    <t>STU12151</t>
  </si>
  <si>
    <t>STU12152</t>
  </si>
  <si>
    <t>STU12153</t>
  </si>
  <si>
    <t>STU12154</t>
  </si>
  <si>
    <t>STU12155</t>
  </si>
  <si>
    <t>STU12156</t>
  </si>
  <si>
    <t>STU12157</t>
  </si>
  <si>
    <t>STU12158</t>
  </si>
  <si>
    <t>STU12159</t>
  </si>
  <si>
    <t>STU12160</t>
  </si>
  <si>
    <t>STU12161</t>
  </si>
  <si>
    <t>STU12162</t>
  </si>
  <si>
    <t>STU12163</t>
  </si>
  <si>
    <t>STU12164</t>
  </si>
  <si>
    <t>STU12165</t>
  </si>
  <si>
    <t>STU12166</t>
  </si>
  <si>
    <t>STU12167</t>
  </si>
  <si>
    <t>STU12168</t>
  </si>
  <si>
    <t>STU12169</t>
  </si>
  <si>
    <t>STU12170</t>
  </si>
  <si>
    <t>STU12171</t>
  </si>
  <si>
    <t>STU12172</t>
  </si>
  <si>
    <t>STU12173</t>
  </si>
  <si>
    <t>STU12174</t>
  </si>
  <si>
    <t>STU12175</t>
  </si>
  <si>
    <t>STU12176</t>
  </si>
  <si>
    <t>STU12177</t>
  </si>
  <si>
    <t>STU12178</t>
  </si>
  <si>
    <t>STU12179</t>
  </si>
  <si>
    <t>STU12180</t>
  </si>
  <si>
    <t>STU12181</t>
  </si>
  <si>
    <t>STU12182</t>
  </si>
  <si>
    <t>STU12183</t>
  </si>
  <si>
    <t>STU12184</t>
  </si>
  <si>
    <t>STU12185</t>
  </si>
  <si>
    <t>STU12186</t>
  </si>
  <si>
    <t>STU12187</t>
  </si>
  <si>
    <t>STU12188</t>
  </si>
  <si>
    <t>STU12189</t>
  </si>
  <si>
    <t>STU12190</t>
  </si>
  <si>
    <t>STU12191</t>
  </si>
  <si>
    <t>STU12192</t>
  </si>
  <si>
    <t>STU12193</t>
  </si>
  <si>
    <t>STU12194</t>
  </si>
  <si>
    <t>STU12195</t>
  </si>
  <si>
    <t>STU12196</t>
  </si>
  <si>
    <t>STU12197</t>
  </si>
  <si>
    <t>STU12198</t>
  </si>
  <si>
    <t>STU12199</t>
  </si>
  <si>
    <t>STU12200</t>
  </si>
  <si>
    <t>STU12201</t>
  </si>
  <si>
    <t>STU12202</t>
  </si>
  <si>
    <t>STU12203</t>
  </si>
  <si>
    <t>STU12204</t>
  </si>
  <si>
    <t>STU12205</t>
  </si>
  <si>
    <t>STU12206</t>
  </si>
  <si>
    <t>STU12207</t>
  </si>
  <si>
    <t>STU12208</t>
  </si>
  <si>
    <t>STU12209</t>
  </si>
  <si>
    <t>STU12210</t>
  </si>
  <si>
    <t>STU12211</t>
  </si>
  <si>
    <t>STU12212</t>
  </si>
  <si>
    <t>STU12213</t>
  </si>
  <si>
    <t>STU12214</t>
  </si>
  <si>
    <t>STU12215</t>
  </si>
  <si>
    <t>STU12216</t>
  </si>
  <si>
    <t>STU12217</t>
  </si>
  <si>
    <t>STU12218</t>
  </si>
  <si>
    <t>STU12219</t>
  </si>
  <si>
    <t>STU12220</t>
  </si>
  <si>
    <t>STU12221</t>
  </si>
  <si>
    <t>STU12222</t>
  </si>
  <si>
    <t>STU12223</t>
  </si>
  <si>
    <t>STU12224</t>
  </si>
  <si>
    <t>STU12225</t>
  </si>
  <si>
    <t>STU12226</t>
  </si>
  <si>
    <t>STU12227</t>
  </si>
  <si>
    <t>STU12228</t>
  </si>
  <si>
    <t>STU12229</t>
  </si>
  <si>
    <t>STU12230</t>
  </si>
  <si>
    <t>STU12231</t>
  </si>
  <si>
    <t>STU12232</t>
  </si>
  <si>
    <t>STU12233</t>
  </si>
  <si>
    <t>STU12234</t>
  </si>
  <si>
    <t>STU12235</t>
  </si>
  <si>
    <t>STU12236</t>
  </si>
  <si>
    <t>STU12237</t>
  </si>
  <si>
    <t>STU12238</t>
  </si>
  <si>
    <t>STU12239</t>
  </si>
  <si>
    <t>STU12240</t>
  </si>
  <si>
    <t>STU12241</t>
  </si>
  <si>
    <t>STU12242</t>
  </si>
  <si>
    <t>STU12243</t>
  </si>
  <si>
    <t>STU12244</t>
  </si>
  <si>
    <t>STU12245</t>
  </si>
  <si>
    <t>STU12246</t>
  </si>
  <si>
    <t>STU12247</t>
  </si>
  <si>
    <t>STU12248</t>
  </si>
  <si>
    <t>STU12249</t>
  </si>
  <si>
    <t>STU12250</t>
  </si>
  <si>
    <t>STU12251</t>
  </si>
  <si>
    <t>STU12252</t>
  </si>
  <si>
    <t>STU12253</t>
  </si>
  <si>
    <t>STU12254</t>
  </si>
  <si>
    <t>STU12255</t>
  </si>
  <si>
    <t>STU12256</t>
  </si>
  <si>
    <t>STU12257</t>
  </si>
  <si>
    <t>STU12258</t>
  </si>
  <si>
    <t>STU12259</t>
  </si>
  <si>
    <t>STU12260</t>
  </si>
  <si>
    <t>STU12261</t>
  </si>
  <si>
    <t>STU12262</t>
  </si>
  <si>
    <t>STU12263</t>
  </si>
  <si>
    <t>STU12264</t>
  </si>
  <si>
    <t>STU12265</t>
  </si>
  <si>
    <t>STU12266</t>
  </si>
  <si>
    <t>STU12267</t>
  </si>
  <si>
    <t>STU12268</t>
  </si>
  <si>
    <t>STU12269</t>
  </si>
  <si>
    <t>STU12270</t>
  </si>
  <si>
    <t>STU12271</t>
  </si>
  <si>
    <t>STU12272</t>
  </si>
  <si>
    <t>STU12273</t>
  </si>
  <si>
    <t>STU12274</t>
  </si>
  <si>
    <t>STU12275</t>
  </si>
  <si>
    <t>STU12276</t>
  </si>
  <si>
    <t>STU12277</t>
  </si>
  <si>
    <t>STU12278</t>
  </si>
  <si>
    <t>STU12279</t>
  </si>
  <si>
    <t>STU12280</t>
  </si>
  <si>
    <t>STU12281</t>
  </si>
  <si>
    <t>STU12282</t>
  </si>
  <si>
    <t>STU12283</t>
  </si>
  <si>
    <t>STU12284</t>
  </si>
  <si>
    <t>STU12285</t>
  </si>
  <si>
    <t>STU12286</t>
  </si>
  <si>
    <t>STU12287</t>
  </si>
  <si>
    <t>STU12288</t>
  </si>
  <si>
    <t>STU12289</t>
  </si>
  <si>
    <t>STU12290</t>
  </si>
  <si>
    <t>STU12291</t>
  </si>
  <si>
    <t>STU12292</t>
  </si>
  <si>
    <t>STU12293</t>
  </si>
  <si>
    <t>STU12294</t>
  </si>
  <si>
    <t>STU12295</t>
  </si>
  <si>
    <t>STU12296</t>
  </si>
  <si>
    <t>STU12297</t>
  </si>
  <si>
    <t>STU12298</t>
  </si>
  <si>
    <t>STU12299</t>
  </si>
  <si>
    <t>STU12300</t>
  </si>
  <si>
    <t>STU12301</t>
  </si>
  <si>
    <t>STU12302</t>
  </si>
  <si>
    <t>STU12303</t>
  </si>
  <si>
    <t>STU12304</t>
  </si>
  <si>
    <t>STU12305</t>
  </si>
  <si>
    <t>STU12306</t>
  </si>
  <si>
    <t>STU12307</t>
  </si>
  <si>
    <t>STU12308</t>
  </si>
  <si>
    <t>STU12309</t>
  </si>
  <si>
    <t>STU12310</t>
  </si>
  <si>
    <t>STU12311</t>
  </si>
  <si>
    <t>STU12312</t>
  </si>
  <si>
    <t>STU12313</t>
  </si>
  <si>
    <t>STU12314</t>
  </si>
  <si>
    <t>STU12315</t>
  </si>
  <si>
    <t>STU12316</t>
  </si>
  <si>
    <t>STU12317</t>
  </si>
  <si>
    <t>STU12318</t>
  </si>
  <si>
    <t>STU12319</t>
  </si>
  <si>
    <t>STU12320</t>
  </si>
  <si>
    <t>STU12321</t>
  </si>
  <si>
    <t>STU12322</t>
  </si>
  <si>
    <t>STU12323</t>
  </si>
  <si>
    <t>STU12324</t>
  </si>
  <si>
    <t>STU12325</t>
  </si>
  <si>
    <t>STU12326</t>
  </si>
  <si>
    <t>STU12327</t>
  </si>
  <si>
    <t>STU12328</t>
  </si>
  <si>
    <t>STU12329</t>
  </si>
  <si>
    <t>STU12330</t>
  </si>
  <si>
    <t>STU12331</t>
  </si>
  <si>
    <t>STU12332</t>
  </si>
  <si>
    <t>STU12333</t>
  </si>
  <si>
    <t>STU12334</t>
  </si>
  <si>
    <t>STU12335</t>
  </si>
  <si>
    <t>STU12336</t>
  </si>
  <si>
    <t>STU12337</t>
  </si>
  <si>
    <t>STU12338</t>
  </si>
  <si>
    <t>STU12339</t>
  </si>
  <si>
    <t>STU12340</t>
  </si>
  <si>
    <t>STU12341</t>
  </si>
  <si>
    <t>STU12342</t>
  </si>
  <si>
    <t>STU12343</t>
  </si>
  <si>
    <t>STU12344</t>
  </si>
  <si>
    <t>STU12345</t>
  </si>
  <si>
    <t>STU12346</t>
  </si>
  <si>
    <t>STU12347</t>
  </si>
  <si>
    <t>STU12348</t>
  </si>
  <si>
    <t>STU12349</t>
  </si>
  <si>
    <t>STU12350</t>
  </si>
  <si>
    <t>STU12351</t>
  </si>
  <si>
    <t>STU12352</t>
  </si>
  <si>
    <t>STU12353</t>
  </si>
  <si>
    <t>STU12354</t>
  </si>
  <si>
    <t>STU12355</t>
  </si>
  <si>
    <t>STU12356</t>
  </si>
  <si>
    <t>STU12357</t>
  </si>
  <si>
    <t>STU12358</t>
  </si>
  <si>
    <t>STU12359</t>
  </si>
  <si>
    <t>STU12360</t>
  </si>
  <si>
    <t>STU12361</t>
  </si>
  <si>
    <t>STU12362</t>
  </si>
  <si>
    <t>STU12363</t>
  </si>
  <si>
    <t>STU12364</t>
  </si>
  <si>
    <t>STU12365</t>
  </si>
  <si>
    <t>STU12366</t>
  </si>
  <si>
    <t>STU12367</t>
  </si>
  <si>
    <t>STU12368</t>
  </si>
  <si>
    <t>STU12369</t>
  </si>
  <si>
    <t>STU12370</t>
  </si>
  <si>
    <t>STU12371</t>
  </si>
  <si>
    <t>STU12372</t>
  </si>
  <si>
    <t>STU12373</t>
  </si>
  <si>
    <t>STU12374</t>
  </si>
  <si>
    <t>STU12375</t>
  </si>
  <si>
    <t>STU12376</t>
  </si>
  <si>
    <t>STU12377</t>
  </si>
  <si>
    <t>STU12378</t>
  </si>
  <si>
    <t>STU12379</t>
  </si>
  <si>
    <t>STU12380</t>
  </si>
  <si>
    <t>STU12381</t>
  </si>
  <si>
    <t>STU12382</t>
  </si>
  <si>
    <t>STU12383</t>
  </si>
  <si>
    <t>STU12384</t>
  </si>
  <si>
    <t>STU12385</t>
  </si>
  <si>
    <t>STU12386</t>
  </si>
  <si>
    <t>STU12387</t>
  </si>
  <si>
    <t>STU12388</t>
  </si>
  <si>
    <t>STU12389</t>
  </si>
  <si>
    <t>STU12390</t>
  </si>
  <si>
    <t>STU12391</t>
  </si>
  <si>
    <t>STU12392</t>
  </si>
  <si>
    <t>STU12393</t>
  </si>
  <si>
    <t>STU12394</t>
  </si>
  <si>
    <t>STU12395</t>
  </si>
  <si>
    <t>STU12396</t>
  </si>
  <si>
    <t>STU12397</t>
  </si>
  <si>
    <t>STU12398</t>
  </si>
  <si>
    <t>STU12399</t>
  </si>
  <si>
    <t>STU12400</t>
  </si>
  <si>
    <t>STU12401</t>
  </si>
  <si>
    <t>STU12402</t>
  </si>
  <si>
    <t>STU12403</t>
  </si>
  <si>
    <t>STU12404</t>
  </si>
  <si>
    <t>STU12405</t>
  </si>
  <si>
    <t>STU12406</t>
  </si>
  <si>
    <t>STU12407</t>
  </si>
  <si>
    <t>STU12408</t>
  </si>
  <si>
    <t>STU12409</t>
  </si>
  <si>
    <t>STU12410</t>
  </si>
  <si>
    <t>STU12411</t>
  </si>
  <si>
    <t>STU12412</t>
  </si>
  <si>
    <t>STU12413</t>
  </si>
  <si>
    <t>STU12414</t>
  </si>
  <si>
    <t>STU12415</t>
  </si>
  <si>
    <t>STU12416</t>
  </si>
  <si>
    <t>STU12417</t>
  </si>
  <si>
    <t>STU12418</t>
  </si>
  <si>
    <t>STU12419</t>
  </si>
  <si>
    <t>STU12420</t>
  </si>
  <si>
    <t>STU12421</t>
  </si>
  <si>
    <t>STU12422</t>
  </si>
  <si>
    <t>STU12423</t>
  </si>
  <si>
    <t>STU12424</t>
  </si>
  <si>
    <t>STU12425</t>
  </si>
  <si>
    <t>STU12426</t>
  </si>
  <si>
    <t>STU12427</t>
  </si>
  <si>
    <t>STU12428</t>
  </si>
  <si>
    <t>STU12429</t>
  </si>
  <si>
    <t>STU12430</t>
  </si>
  <si>
    <t>STU12431</t>
  </si>
  <si>
    <t>STU12432</t>
  </si>
  <si>
    <t>STU12433</t>
  </si>
  <si>
    <t>STU12434</t>
  </si>
  <si>
    <t>STU12435</t>
  </si>
  <si>
    <t>STU12436</t>
  </si>
  <si>
    <t>STU12437</t>
  </si>
  <si>
    <t>STU12438</t>
  </si>
  <si>
    <t>STU12439</t>
  </si>
  <si>
    <t>STU12440</t>
  </si>
  <si>
    <t>STU12441</t>
  </si>
  <si>
    <t>STU12442</t>
  </si>
  <si>
    <t>STU12443</t>
  </si>
  <si>
    <t>STU12444</t>
  </si>
  <si>
    <t>STU12445</t>
  </si>
  <si>
    <t>STU12446</t>
  </si>
  <si>
    <t>STU12447</t>
  </si>
  <si>
    <t>STU12448</t>
  </si>
  <si>
    <t>STU12449</t>
  </si>
  <si>
    <t>STU12450</t>
  </si>
  <si>
    <t>STU12451</t>
  </si>
  <si>
    <t>STU12452</t>
  </si>
  <si>
    <t>STU12453</t>
  </si>
  <si>
    <t>STU12454</t>
  </si>
  <si>
    <t>STU12455</t>
  </si>
  <si>
    <t>STU12456</t>
  </si>
  <si>
    <t>STU12457</t>
  </si>
  <si>
    <t>STU12458</t>
  </si>
  <si>
    <t>STU12459</t>
  </si>
  <si>
    <t>STU12460</t>
  </si>
  <si>
    <t>STU12461</t>
  </si>
  <si>
    <t>STU12462</t>
  </si>
  <si>
    <t>STU12463</t>
  </si>
  <si>
    <t>STU12464</t>
  </si>
  <si>
    <t>STU12465</t>
  </si>
  <si>
    <t>STU12466</t>
  </si>
  <si>
    <t>STU12467</t>
  </si>
  <si>
    <t>STU12468</t>
  </si>
  <si>
    <t>STU12469</t>
  </si>
  <si>
    <t>STU12470</t>
  </si>
  <si>
    <t>STU12471</t>
  </si>
  <si>
    <t>STU12472</t>
  </si>
  <si>
    <t>STU12473</t>
  </si>
  <si>
    <t>STU12474</t>
  </si>
  <si>
    <t>STU12475</t>
  </si>
  <si>
    <t>STU12476</t>
  </si>
  <si>
    <t>STU12477</t>
  </si>
  <si>
    <t>STU12478</t>
  </si>
  <si>
    <t>STU12479</t>
  </si>
  <si>
    <t>STU12480</t>
  </si>
  <si>
    <t>STU12481</t>
  </si>
  <si>
    <t>STU12482</t>
  </si>
  <si>
    <t>STU12483</t>
  </si>
  <si>
    <t>STU12484</t>
  </si>
  <si>
    <t>STU12485</t>
  </si>
  <si>
    <t>STU12486</t>
  </si>
  <si>
    <t>STU12487</t>
  </si>
  <si>
    <t>STU12488</t>
  </si>
  <si>
    <t>STU12489</t>
  </si>
  <si>
    <t>STU12490</t>
  </si>
  <si>
    <t>STU12491</t>
  </si>
  <si>
    <t>STU12492</t>
  </si>
  <si>
    <t>STU12493</t>
  </si>
  <si>
    <t>STU12494</t>
  </si>
  <si>
    <t>STU12495</t>
  </si>
  <si>
    <t>STU12496</t>
  </si>
  <si>
    <t>STU12497</t>
  </si>
  <si>
    <t>STU12498</t>
  </si>
  <si>
    <t>STU12499</t>
  </si>
  <si>
    <t>STU12500</t>
  </si>
  <si>
    <t>STU12501</t>
  </si>
  <si>
    <t>STU12502</t>
  </si>
  <si>
    <t>STU12503</t>
  </si>
  <si>
    <t>STU12504</t>
  </si>
  <si>
    <t>STU12505</t>
  </si>
  <si>
    <t>STU12506</t>
  </si>
  <si>
    <t>STU12507</t>
  </si>
  <si>
    <t>STU12508</t>
  </si>
  <si>
    <t>STU12509</t>
  </si>
  <si>
    <t>STU12510</t>
  </si>
  <si>
    <t>STU12511</t>
  </si>
  <si>
    <t>STU12512</t>
  </si>
  <si>
    <t>STU12513</t>
  </si>
  <si>
    <t>STU12514</t>
  </si>
  <si>
    <t>STU12515</t>
  </si>
  <si>
    <t>STU12516</t>
  </si>
  <si>
    <t>STU12517</t>
  </si>
  <si>
    <t>STU12518</t>
  </si>
  <si>
    <t>STU12519</t>
  </si>
  <si>
    <t>STU12520</t>
  </si>
  <si>
    <t>STU12521</t>
  </si>
  <si>
    <t>STU12522</t>
  </si>
  <si>
    <t>STU12523</t>
  </si>
  <si>
    <t>STU12524</t>
  </si>
  <si>
    <t>STU12525</t>
  </si>
  <si>
    <t>STU12526</t>
  </si>
  <si>
    <t>STU12527</t>
  </si>
  <si>
    <t>STU12528</t>
  </si>
  <si>
    <t>STU12529</t>
  </si>
  <si>
    <t>STU12530</t>
  </si>
  <si>
    <t>STU12531</t>
  </si>
  <si>
    <t>STU12532</t>
  </si>
  <si>
    <t>STU12533</t>
  </si>
  <si>
    <t>STU12534</t>
  </si>
  <si>
    <t>STU12535</t>
  </si>
  <si>
    <t>STU12536</t>
  </si>
  <si>
    <t>STU12537</t>
  </si>
  <si>
    <t>STU12538</t>
  </si>
  <si>
    <t>STU12539</t>
  </si>
  <si>
    <t>STU12540</t>
  </si>
  <si>
    <t>STU12541</t>
  </si>
  <si>
    <t>STU12542</t>
  </si>
  <si>
    <t>STU12543</t>
  </si>
  <si>
    <t>STU12544</t>
  </si>
  <si>
    <t>STU12545</t>
  </si>
  <si>
    <t>STU12546</t>
  </si>
  <si>
    <t>STU12547</t>
  </si>
  <si>
    <t>STU12548</t>
  </si>
  <si>
    <t>STU12549</t>
  </si>
  <si>
    <t>STU12550</t>
  </si>
  <si>
    <t>STU12551</t>
  </si>
  <si>
    <t>STU12552</t>
  </si>
  <si>
    <t>STU12553</t>
  </si>
  <si>
    <t>STU12554</t>
  </si>
  <si>
    <t>STU12555</t>
  </si>
  <si>
    <t>STU12556</t>
  </si>
  <si>
    <t>STU12557</t>
  </si>
  <si>
    <t>STU12558</t>
  </si>
  <si>
    <t>STU12559</t>
  </si>
  <si>
    <t>STU12560</t>
  </si>
  <si>
    <t>STU12561</t>
  </si>
  <si>
    <t>STU12562</t>
  </si>
  <si>
    <t>STU12563</t>
  </si>
  <si>
    <t>STU12564</t>
  </si>
  <si>
    <t>STU12565</t>
  </si>
  <si>
    <t>STU12566</t>
  </si>
  <si>
    <t>STU12567</t>
  </si>
  <si>
    <t>STU12568</t>
  </si>
  <si>
    <t>STU12569</t>
  </si>
  <si>
    <t>STU12570</t>
  </si>
  <si>
    <t>STU12571</t>
  </si>
  <si>
    <t>STU12572</t>
  </si>
  <si>
    <t>STU12573</t>
  </si>
  <si>
    <t>STU12574</t>
  </si>
  <si>
    <t>STU12575</t>
  </si>
  <si>
    <t>STU12576</t>
  </si>
  <si>
    <t>STU12577</t>
  </si>
  <si>
    <t>STU12578</t>
  </si>
  <si>
    <t>STU12579</t>
  </si>
  <si>
    <t>STU12580</t>
  </si>
  <si>
    <t>STU12581</t>
  </si>
  <si>
    <t>STU12582</t>
  </si>
  <si>
    <t>STU12583</t>
  </si>
  <si>
    <t>STU12584</t>
  </si>
  <si>
    <t>STU12585</t>
  </si>
  <si>
    <t>STU12586</t>
  </si>
  <si>
    <t>STU12587</t>
  </si>
  <si>
    <t>STU12588</t>
  </si>
  <si>
    <t>STU12589</t>
  </si>
  <si>
    <t>STU12590</t>
  </si>
  <si>
    <t>STU12591</t>
  </si>
  <si>
    <t>STU12592</t>
  </si>
  <si>
    <t>STU12593</t>
  </si>
  <si>
    <t>STU12594</t>
  </si>
  <si>
    <t>STU12595</t>
  </si>
  <si>
    <t>STU12596</t>
  </si>
  <si>
    <t>STU12597</t>
  </si>
  <si>
    <t>STU12598</t>
  </si>
  <si>
    <t>STU12599</t>
  </si>
  <si>
    <t>STU12600</t>
  </si>
  <si>
    <t>STU12601</t>
  </si>
  <si>
    <t>STU12602</t>
  </si>
  <si>
    <t>STU12603</t>
  </si>
  <si>
    <t>STU12604</t>
  </si>
  <si>
    <t>STU12605</t>
  </si>
  <si>
    <t>STU12606</t>
  </si>
  <si>
    <t>STU12607</t>
  </si>
  <si>
    <t>STU12608</t>
  </si>
  <si>
    <t>STU12609</t>
  </si>
  <si>
    <t>STU12610</t>
  </si>
  <si>
    <t>STU12611</t>
  </si>
  <si>
    <t>STU12612</t>
  </si>
  <si>
    <t>STU12613</t>
  </si>
  <si>
    <t>STU12614</t>
  </si>
  <si>
    <t>STU12615</t>
  </si>
  <si>
    <t>STU12616</t>
  </si>
  <si>
    <t>STU12617</t>
  </si>
  <si>
    <t>STU12618</t>
  </si>
  <si>
    <t>STU12619</t>
  </si>
  <si>
    <t>STU12620</t>
  </si>
  <si>
    <t>STU12621</t>
  </si>
  <si>
    <t>STU12622</t>
  </si>
  <si>
    <t>STU12623</t>
  </si>
  <si>
    <t>STU12624</t>
  </si>
  <si>
    <t>STU12625</t>
  </si>
  <si>
    <t>STU12626</t>
  </si>
  <si>
    <t>STU12627</t>
  </si>
  <si>
    <t>STU12628</t>
  </si>
  <si>
    <t>STU12629</t>
  </si>
  <si>
    <t>STU12630</t>
  </si>
  <si>
    <t>STU12631</t>
  </si>
  <si>
    <t>STU12632</t>
  </si>
  <si>
    <t>STU12633</t>
  </si>
  <si>
    <t>STU12634</t>
  </si>
  <si>
    <t>STU12635</t>
  </si>
  <si>
    <t>STU12636</t>
  </si>
  <si>
    <t>STU12637</t>
  </si>
  <si>
    <t>STU12638</t>
  </si>
  <si>
    <t>STU12639</t>
  </si>
  <si>
    <t>STU12640</t>
  </si>
  <si>
    <t>STU12641</t>
  </si>
  <si>
    <t>STU12642</t>
  </si>
  <si>
    <t>STU12643</t>
  </si>
  <si>
    <t>STU12644</t>
  </si>
  <si>
    <t>STU12645</t>
  </si>
  <si>
    <t>STU12646</t>
  </si>
  <si>
    <t>STU12647</t>
  </si>
  <si>
    <t>STU12648</t>
  </si>
  <si>
    <t>STU12649</t>
  </si>
  <si>
    <t>STU12650</t>
  </si>
  <si>
    <t>STU12651</t>
  </si>
  <si>
    <t>STU12652</t>
  </si>
  <si>
    <t>STU12653</t>
  </si>
  <si>
    <t>STU12654</t>
  </si>
  <si>
    <t>STU12655</t>
  </si>
  <si>
    <t>STU12656</t>
  </si>
  <si>
    <t>STU12657</t>
  </si>
  <si>
    <t>STU12658</t>
  </si>
  <si>
    <t>STU12659</t>
  </si>
  <si>
    <t>STU12660</t>
  </si>
  <si>
    <t>STU12661</t>
  </si>
  <si>
    <t>STU12662</t>
  </si>
  <si>
    <t>STU12663</t>
  </si>
  <si>
    <t>STU12664</t>
  </si>
  <si>
    <t>STU12665</t>
  </si>
  <si>
    <t>STU12666</t>
  </si>
  <si>
    <t>STU12667</t>
  </si>
  <si>
    <t>STU12668</t>
  </si>
  <si>
    <t>STU12669</t>
  </si>
  <si>
    <t>STU12670</t>
  </si>
  <si>
    <t>STU12671</t>
  </si>
  <si>
    <t>STU12672</t>
  </si>
  <si>
    <t>STU12673</t>
  </si>
  <si>
    <t>STU12674</t>
  </si>
  <si>
    <t>STU12675</t>
  </si>
  <si>
    <t>STU12676</t>
  </si>
  <si>
    <t>STU12677</t>
  </si>
  <si>
    <t>STU12678</t>
  </si>
  <si>
    <t>STU12679</t>
  </si>
  <si>
    <t>STU12680</t>
  </si>
  <si>
    <t>STU12681</t>
  </si>
  <si>
    <t>STU12682</t>
  </si>
  <si>
    <t>STU12683</t>
  </si>
  <si>
    <t>STU12684</t>
  </si>
  <si>
    <t>STU12685</t>
  </si>
  <si>
    <t>STU12686</t>
  </si>
  <si>
    <t>STU12687</t>
  </si>
  <si>
    <t>STU12688</t>
  </si>
  <si>
    <t>STU12689</t>
  </si>
  <si>
    <t>STU12690</t>
  </si>
  <si>
    <t>STU12691</t>
  </si>
  <si>
    <t>STU12692</t>
  </si>
  <si>
    <t>STU12693</t>
  </si>
  <si>
    <t>STU12694</t>
  </si>
  <si>
    <t>STU12695</t>
  </si>
  <si>
    <t>STU12696</t>
  </si>
  <si>
    <t>STU12697</t>
  </si>
  <si>
    <t>STU12698</t>
  </si>
  <si>
    <t>STU12699</t>
  </si>
  <si>
    <t>STU12700</t>
  </si>
  <si>
    <t>STU12701</t>
  </si>
  <si>
    <t>STU12702</t>
  </si>
  <si>
    <t>STU12703</t>
  </si>
  <si>
    <t>STU12704</t>
  </si>
  <si>
    <t>STU12705</t>
  </si>
  <si>
    <t>STU12706</t>
  </si>
  <si>
    <t>STU12707</t>
  </si>
  <si>
    <t>STU12708</t>
  </si>
  <si>
    <t>STU12709</t>
  </si>
  <si>
    <t>STU12710</t>
  </si>
  <si>
    <t>STU12711</t>
  </si>
  <si>
    <t>STU12712</t>
  </si>
  <si>
    <t>STU12713</t>
  </si>
  <si>
    <t>STU12714</t>
  </si>
  <si>
    <t>STU12715</t>
  </si>
  <si>
    <t>STU12716</t>
  </si>
  <si>
    <t>STU12717</t>
  </si>
  <si>
    <t>STU12718</t>
  </si>
  <si>
    <t>STU12719</t>
  </si>
  <si>
    <t>STU12720</t>
  </si>
  <si>
    <t>STU12721</t>
  </si>
  <si>
    <t>STU12722</t>
  </si>
  <si>
    <t>STU12723</t>
  </si>
  <si>
    <t>STU12724</t>
  </si>
  <si>
    <t>STU12725</t>
  </si>
  <si>
    <t>STU12726</t>
  </si>
  <si>
    <t>STU12727</t>
  </si>
  <si>
    <t>STU12728</t>
  </si>
  <si>
    <t>STU12729</t>
  </si>
  <si>
    <t>STU12730</t>
  </si>
  <si>
    <t>STU12731</t>
  </si>
  <si>
    <t>STU12732</t>
  </si>
  <si>
    <t>STU12733</t>
  </si>
  <si>
    <t>STU12734</t>
  </si>
  <si>
    <t>STU12735</t>
  </si>
  <si>
    <t>STU12736</t>
  </si>
  <si>
    <t>STU12737</t>
  </si>
  <si>
    <t>STU12738</t>
  </si>
  <si>
    <t>STU12739</t>
  </si>
  <si>
    <t>STU12740</t>
  </si>
  <si>
    <t>STU12741</t>
  </si>
  <si>
    <t>STU12742</t>
  </si>
  <si>
    <t>STU12743</t>
  </si>
  <si>
    <t>STU12744</t>
  </si>
  <si>
    <t>STU12745</t>
  </si>
  <si>
    <t>STU12746</t>
  </si>
  <si>
    <t>STU12747</t>
  </si>
  <si>
    <t>STU12748</t>
  </si>
  <si>
    <t>STU12749</t>
  </si>
  <si>
    <t>STU12750</t>
  </si>
  <si>
    <t>STU12751</t>
  </si>
  <si>
    <t>STU12752</t>
  </si>
  <si>
    <t>STU12753</t>
  </si>
  <si>
    <t>STU12754</t>
  </si>
  <si>
    <t>STU12755</t>
  </si>
  <si>
    <t>STU12756</t>
  </si>
  <si>
    <t>STU12757</t>
  </si>
  <si>
    <t>STU12758</t>
  </si>
  <si>
    <t>STU12759</t>
  </si>
  <si>
    <t>STU12760</t>
  </si>
  <si>
    <t>STU12761</t>
  </si>
  <si>
    <t>STU12762</t>
  </si>
  <si>
    <t>STU12763</t>
  </si>
  <si>
    <t>STU12764</t>
  </si>
  <si>
    <t>STU12765</t>
  </si>
  <si>
    <t>STU12766</t>
  </si>
  <si>
    <t>STU12767</t>
  </si>
  <si>
    <t>STU12768</t>
  </si>
  <si>
    <t>STU12769</t>
  </si>
  <si>
    <t>STU12770</t>
  </si>
  <si>
    <t>STU12771</t>
  </si>
  <si>
    <t>STU12772</t>
  </si>
  <si>
    <t>STU12773</t>
  </si>
  <si>
    <t>STU12774</t>
  </si>
  <si>
    <t>STU12775</t>
  </si>
  <si>
    <t>STU12776</t>
  </si>
  <si>
    <t>STU12777</t>
  </si>
  <si>
    <t>STU12778</t>
  </si>
  <si>
    <t>STU12779</t>
  </si>
  <si>
    <t>STU12780</t>
  </si>
  <si>
    <t>STU12781</t>
  </si>
  <si>
    <t>STU12782</t>
  </si>
  <si>
    <t>STU12783</t>
  </si>
  <si>
    <t>STU12784</t>
  </si>
  <si>
    <t>STU12785</t>
  </si>
  <si>
    <t>STU12786</t>
  </si>
  <si>
    <t>STU12787</t>
  </si>
  <si>
    <t>STU12788</t>
  </si>
  <si>
    <t>STU12789</t>
  </si>
  <si>
    <t>STU12790</t>
  </si>
  <si>
    <t>STU12791</t>
  </si>
  <si>
    <t>STU12792</t>
  </si>
  <si>
    <t>STU12793</t>
  </si>
  <si>
    <t>STU12794</t>
  </si>
  <si>
    <t>STU12795</t>
  </si>
  <si>
    <t>STU12796</t>
  </si>
  <si>
    <t>STU12797</t>
  </si>
  <si>
    <t>STU12798</t>
  </si>
  <si>
    <t>STU12799</t>
  </si>
  <si>
    <t>STU12800</t>
  </si>
  <si>
    <t>STU12801</t>
  </si>
  <si>
    <t>STU12802</t>
  </si>
  <si>
    <t>STU12803</t>
  </si>
  <si>
    <t>STU12804</t>
  </si>
  <si>
    <t>STU12805</t>
  </si>
  <si>
    <t>STU12806</t>
  </si>
  <si>
    <t>STU12807</t>
  </si>
  <si>
    <t>STU12808</t>
  </si>
  <si>
    <t>STU12809</t>
  </si>
  <si>
    <t>STU12810</t>
  </si>
  <si>
    <t>STU12811</t>
  </si>
  <si>
    <t>STU12812</t>
  </si>
  <si>
    <t>STU12813</t>
  </si>
  <si>
    <t>STU12814</t>
  </si>
  <si>
    <t>STU12815</t>
  </si>
  <si>
    <t>STU12816</t>
  </si>
  <si>
    <t>STU12817</t>
  </si>
  <si>
    <t>STU12818</t>
  </si>
  <si>
    <t>STU12819</t>
  </si>
  <si>
    <t>STU12820</t>
  </si>
  <si>
    <t>STU12821</t>
  </si>
  <si>
    <t>STU12822</t>
  </si>
  <si>
    <t>STU12823</t>
  </si>
  <si>
    <t>STU12824</t>
  </si>
  <si>
    <t>STU12825</t>
  </si>
  <si>
    <t>STU12826</t>
  </si>
  <si>
    <t>STU12827</t>
  </si>
  <si>
    <t>STU12828</t>
  </si>
  <si>
    <t>STU12829</t>
  </si>
  <si>
    <t>STU12830</t>
  </si>
  <si>
    <t>STU12831</t>
  </si>
  <si>
    <t>STU12832</t>
  </si>
  <si>
    <t>STU12833</t>
  </si>
  <si>
    <t>STU12834</t>
  </si>
  <si>
    <t>STU12835</t>
  </si>
  <si>
    <t>STU12836</t>
  </si>
  <si>
    <t>STU12837</t>
  </si>
  <si>
    <t>STU12838</t>
  </si>
  <si>
    <t>STU12839</t>
  </si>
  <si>
    <t>STU12840</t>
  </si>
  <si>
    <t>STU12841</t>
  </si>
  <si>
    <t>STU12842</t>
  </si>
  <si>
    <t>STU12843</t>
  </si>
  <si>
    <t>STU12844</t>
  </si>
  <si>
    <t>STU12845</t>
  </si>
  <si>
    <t>STU12846</t>
  </si>
  <si>
    <t>STU12847</t>
  </si>
  <si>
    <t>STU12848</t>
  </si>
  <si>
    <t>STU12849</t>
  </si>
  <si>
    <t>STU12850</t>
  </si>
  <si>
    <t>STU12851</t>
  </si>
  <si>
    <t>STU12852</t>
  </si>
  <si>
    <t>STU12853</t>
  </si>
  <si>
    <t>STU12854</t>
  </si>
  <si>
    <t>STU12855</t>
  </si>
  <si>
    <t>STU12856</t>
  </si>
  <si>
    <t>STU12857</t>
  </si>
  <si>
    <t>STU12858</t>
  </si>
  <si>
    <t>STU12859</t>
  </si>
  <si>
    <t>STU12860</t>
  </si>
  <si>
    <t>STU12861</t>
  </si>
  <si>
    <t>STU12862</t>
  </si>
  <si>
    <t>STU12863</t>
  </si>
  <si>
    <t>STU12864</t>
  </si>
  <si>
    <t>STU12865</t>
  </si>
  <si>
    <t>STU12866</t>
  </si>
  <si>
    <t>STU12867</t>
  </si>
  <si>
    <t>STU12868</t>
  </si>
  <si>
    <t>STU12869</t>
  </si>
  <si>
    <t>STU12870</t>
  </si>
  <si>
    <t>STU12871</t>
  </si>
  <si>
    <t>STU12872</t>
  </si>
  <si>
    <t>STU12873</t>
  </si>
  <si>
    <t>STU12874</t>
  </si>
  <si>
    <t>STU12875</t>
  </si>
  <si>
    <t>STU12876</t>
  </si>
  <si>
    <t>STU12877</t>
  </si>
  <si>
    <t>STU12878</t>
  </si>
  <si>
    <t>STU12879</t>
  </si>
  <si>
    <t>STU12880</t>
  </si>
  <si>
    <t>STU12881</t>
  </si>
  <si>
    <t>STU12882</t>
  </si>
  <si>
    <t>STU12883</t>
  </si>
  <si>
    <t>STU12884</t>
  </si>
  <si>
    <t>STU12885</t>
  </si>
  <si>
    <t>STU12886</t>
  </si>
  <si>
    <t>STU12887</t>
  </si>
  <si>
    <t>STU12888</t>
  </si>
  <si>
    <t>STU12889</t>
  </si>
  <si>
    <t>STU12890</t>
  </si>
  <si>
    <t>STU12891</t>
  </si>
  <si>
    <t>STU12892</t>
  </si>
  <si>
    <t>STU12893</t>
  </si>
  <si>
    <t>STU12894</t>
  </si>
  <si>
    <t>STU12895</t>
  </si>
  <si>
    <t>STU12896</t>
  </si>
  <si>
    <t>STU12897</t>
  </si>
  <si>
    <t>STU12898</t>
  </si>
  <si>
    <t>STU12899</t>
  </si>
  <si>
    <t>STU12900</t>
  </si>
  <si>
    <t>STU12901</t>
  </si>
  <si>
    <t>STU12902</t>
  </si>
  <si>
    <t>STU12903</t>
  </si>
  <si>
    <t>STU12904</t>
  </si>
  <si>
    <t>STU12905</t>
  </si>
  <si>
    <t>STU12906</t>
  </si>
  <si>
    <t>STU12907</t>
  </si>
  <si>
    <t>STU12908</t>
  </si>
  <si>
    <t>STU12909</t>
  </si>
  <si>
    <t>STU12910</t>
  </si>
  <si>
    <t>STU12911</t>
  </si>
  <si>
    <t>STU12912</t>
  </si>
  <si>
    <t>STU12913</t>
  </si>
  <si>
    <t>STU12914</t>
  </si>
  <si>
    <t>STU12915</t>
  </si>
  <si>
    <t>STU12916</t>
  </si>
  <si>
    <t>STU12917</t>
  </si>
  <si>
    <t>STU12918</t>
  </si>
  <si>
    <t>STU12919</t>
  </si>
  <si>
    <t>STU12920</t>
  </si>
  <si>
    <t>STU12921</t>
  </si>
  <si>
    <t>STU12922</t>
  </si>
  <si>
    <t>STU12923</t>
  </si>
  <si>
    <t>STU12924</t>
  </si>
  <si>
    <t>STU12925</t>
  </si>
  <si>
    <t>STU12926</t>
  </si>
  <si>
    <t>STU12927</t>
  </si>
  <si>
    <t>STU12928</t>
  </si>
  <si>
    <t>STU12929</t>
  </si>
  <si>
    <t>STU12930</t>
  </si>
  <si>
    <t>STU12931</t>
  </si>
  <si>
    <t>STU12932</t>
  </si>
  <si>
    <t>STU12933</t>
  </si>
  <si>
    <t>STU12934</t>
  </si>
  <si>
    <t>STU12935</t>
  </si>
  <si>
    <t>STU12936</t>
  </si>
  <si>
    <t>STU12937</t>
  </si>
  <si>
    <t>STU12938</t>
  </si>
  <si>
    <t>STU12939</t>
  </si>
  <si>
    <t>STU12940</t>
  </si>
  <si>
    <t>STU12941</t>
  </si>
  <si>
    <t>STU12942</t>
  </si>
  <si>
    <t>STU12943</t>
  </si>
  <si>
    <t>STU12944</t>
  </si>
  <si>
    <t>STU12945</t>
  </si>
  <si>
    <t>STU12946</t>
  </si>
  <si>
    <t>STU12947</t>
  </si>
  <si>
    <t>STU12948</t>
  </si>
  <si>
    <t>STU12949</t>
  </si>
  <si>
    <t>STU12950</t>
  </si>
  <si>
    <t>STU12951</t>
  </si>
  <si>
    <t>STU12952</t>
  </si>
  <si>
    <t>STU12953</t>
  </si>
  <si>
    <t>STU12954</t>
  </si>
  <si>
    <t>STU12955</t>
  </si>
  <si>
    <t>STU12956</t>
  </si>
  <si>
    <t>STU12957</t>
  </si>
  <si>
    <t>STU12958</t>
  </si>
  <si>
    <t>STU12959</t>
  </si>
  <si>
    <t>STU12960</t>
  </si>
  <si>
    <t>STU12961</t>
  </si>
  <si>
    <t>STU12962</t>
  </si>
  <si>
    <t>STU12963</t>
  </si>
  <si>
    <t>STU12964</t>
  </si>
  <si>
    <t>STU12965</t>
  </si>
  <si>
    <t>STU12966</t>
  </si>
  <si>
    <t>STU12967</t>
  </si>
  <si>
    <t>STU12968</t>
  </si>
  <si>
    <t>STU12969</t>
  </si>
  <si>
    <t>STU12970</t>
  </si>
  <si>
    <t>STU12971</t>
  </si>
  <si>
    <t>STU12972</t>
  </si>
  <si>
    <t>STU12973</t>
  </si>
  <si>
    <t>STU12974</t>
  </si>
  <si>
    <t>STU12975</t>
  </si>
  <si>
    <t>STU12976</t>
  </si>
  <si>
    <t>STU12977</t>
  </si>
  <si>
    <t>STU12978</t>
  </si>
  <si>
    <t>STU12979</t>
  </si>
  <si>
    <t>STU12980</t>
  </si>
  <si>
    <t>STU12981</t>
  </si>
  <si>
    <t>STU12982</t>
  </si>
  <si>
    <t>STU12983</t>
  </si>
  <si>
    <t>STU12984</t>
  </si>
  <si>
    <t>STU12985</t>
  </si>
  <si>
    <t>STU12986</t>
  </si>
  <si>
    <t>STU12987</t>
  </si>
  <si>
    <t>STU12988</t>
  </si>
  <si>
    <t>STU12989</t>
  </si>
  <si>
    <t>STU12990</t>
  </si>
  <si>
    <t>STU12991</t>
  </si>
  <si>
    <t>STU12992</t>
  </si>
  <si>
    <t>STU12993</t>
  </si>
  <si>
    <t>STU12994</t>
  </si>
  <si>
    <t>STU12995</t>
  </si>
  <si>
    <t>STU12996</t>
  </si>
  <si>
    <t>STU12997</t>
  </si>
  <si>
    <t>STU12998</t>
  </si>
  <si>
    <t>STU12999</t>
  </si>
  <si>
    <t>STU13000</t>
  </si>
  <si>
    <t>STU13001</t>
  </si>
  <si>
    <t>STU13002</t>
  </si>
  <si>
    <t>STU13003</t>
  </si>
  <si>
    <t>STU13004</t>
  </si>
  <si>
    <t>STU13005</t>
  </si>
  <si>
    <t>STU13006</t>
  </si>
  <si>
    <t>STU13007</t>
  </si>
  <si>
    <t>STU13008</t>
  </si>
  <si>
    <t>STU13009</t>
  </si>
  <si>
    <t>STU13010</t>
  </si>
  <si>
    <t>STU13011</t>
  </si>
  <si>
    <t>STU13012</t>
  </si>
  <si>
    <t>STU13013</t>
  </si>
  <si>
    <t>STU13014</t>
  </si>
  <si>
    <t>STU13015</t>
  </si>
  <si>
    <t>STU13016</t>
  </si>
  <si>
    <t>STU13017</t>
  </si>
  <si>
    <t>STU13018</t>
  </si>
  <si>
    <t>STU13019</t>
  </si>
  <si>
    <t>STU13020</t>
  </si>
  <si>
    <t>STU13021</t>
  </si>
  <si>
    <t>STU13022</t>
  </si>
  <si>
    <t>STU13023</t>
  </si>
  <si>
    <t>STU13024</t>
  </si>
  <si>
    <t>STU13025</t>
  </si>
  <si>
    <t>STU13026</t>
  </si>
  <si>
    <t>STU13027</t>
  </si>
  <si>
    <t>STU13028</t>
  </si>
  <si>
    <t>STU13029</t>
  </si>
  <si>
    <t>STU13030</t>
  </si>
  <si>
    <t>STU13031</t>
  </si>
  <si>
    <t>STU13032</t>
  </si>
  <si>
    <t>STU13033</t>
  </si>
  <si>
    <t>STU13034</t>
  </si>
  <si>
    <t>STU13035</t>
  </si>
  <si>
    <t>STU13036</t>
  </si>
  <si>
    <t>STU13037</t>
  </si>
  <si>
    <t>STU13038</t>
  </si>
  <si>
    <t>STU13039</t>
  </si>
  <si>
    <t>STU13040</t>
  </si>
  <si>
    <t>STU13041</t>
  </si>
  <si>
    <t>STU13042</t>
  </si>
  <si>
    <t>STU13043</t>
  </si>
  <si>
    <t>STU13044</t>
  </si>
  <si>
    <t>STU13045</t>
  </si>
  <si>
    <t>STU13046</t>
  </si>
  <si>
    <t>STU13047</t>
  </si>
  <si>
    <t>STU13048</t>
  </si>
  <si>
    <t>STU13049</t>
  </si>
  <si>
    <t>STU13050</t>
  </si>
  <si>
    <t>STU13051</t>
  </si>
  <si>
    <t>STU13052</t>
  </si>
  <si>
    <t>STU13053</t>
  </si>
  <si>
    <t>STU13054</t>
  </si>
  <si>
    <t>STU13055</t>
  </si>
  <si>
    <t>STU13056</t>
  </si>
  <si>
    <t>STU13057</t>
  </si>
  <si>
    <t>STU13058</t>
  </si>
  <si>
    <t>STU13059</t>
  </si>
  <si>
    <t>STU13060</t>
  </si>
  <si>
    <t>STU13061</t>
  </si>
  <si>
    <t>STU13062</t>
  </si>
  <si>
    <t>STU13063</t>
  </si>
  <si>
    <t>STU13064</t>
  </si>
  <si>
    <t>STU13065</t>
  </si>
  <si>
    <t>STU13066</t>
  </si>
  <si>
    <t>STU13067</t>
  </si>
  <si>
    <t>STU13068</t>
  </si>
  <si>
    <t>STU13069</t>
  </si>
  <si>
    <t>STU13070</t>
  </si>
  <si>
    <t>STU13071</t>
  </si>
  <si>
    <t>STU13072</t>
  </si>
  <si>
    <t>STU13073</t>
  </si>
  <si>
    <t>STU13074</t>
  </si>
  <si>
    <t>STU13075</t>
  </si>
  <si>
    <t>STU13076</t>
  </si>
  <si>
    <t>STU13077</t>
  </si>
  <si>
    <t>STU13078</t>
  </si>
  <si>
    <t>STU13079</t>
  </si>
  <si>
    <t>STU13080</t>
  </si>
  <si>
    <t>STU13081</t>
  </si>
  <si>
    <t>STU13082</t>
  </si>
  <si>
    <t>STU13083</t>
  </si>
  <si>
    <t>STU13084</t>
  </si>
  <si>
    <t>STU13085</t>
  </si>
  <si>
    <t>STU13086</t>
  </si>
  <si>
    <t>STU13087</t>
  </si>
  <si>
    <t>STU13088</t>
  </si>
  <si>
    <t>STU13089</t>
  </si>
  <si>
    <t>STU13090</t>
  </si>
  <si>
    <t>STU13091</t>
  </si>
  <si>
    <t>STU13092</t>
  </si>
  <si>
    <t>STU13093</t>
  </si>
  <si>
    <t>STU13094</t>
  </si>
  <si>
    <t>STU13095</t>
  </si>
  <si>
    <t>STU13096</t>
  </si>
  <si>
    <t>STU13097</t>
  </si>
  <si>
    <t>STU13098</t>
  </si>
  <si>
    <t>STU13099</t>
  </si>
  <si>
    <t>STU13100</t>
  </si>
  <si>
    <t>STU13101</t>
  </si>
  <si>
    <t>STU13102</t>
  </si>
  <si>
    <t>STU13103</t>
  </si>
  <si>
    <t>STU13104</t>
  </si>
  <si>
    <t>STU13105</t>
  </si>
  <si>
    <t>STU13106</t>
  </si>
  <si>
    <t>STU13107</t>
  </si>
  <si>
    <t>STU13108</t>
  </si>
  <si>
    <t>STU13109</t>
  </si>
  <si>
    <t>STU13110</t>
  </si>
  <si>
    <t>STU13111</t>
  </si>
  <si>
    <t>STU13112</t>
  </si>
  <si>
    <t>STU13113</t>
  </si>
  <si>
    <t>STU13114</t>
  </si>
  <si>
    <t>STU13115</t>
  </si>
  <si>
    <t>STU13116</t>
  </si>
  <si>
    <t>STU13117</t>
  </si>
  <si>
    <t>STU13118</t>
  </si>
  <si>
    <t>STU13119</t>
  </si>
  <si>
    <t>STU13120</t>
  </si>
  <si>
    <t>STU13121</t>
  </si>
  <si>
    <t>STU13122</t>
  </si>
  <si>
    <t>STU13123</t>
  </si>
  <si>
    <t>STU13124</t>
  </si>
  <si>
    <t>STU13125</t>
  </si>
  <si>
    <t>STU13126</t>
  </si>
  <si>
    <t>STU13127</t>
  </si>
  <si>
    <t>STU13128</t>
  </si>
  <si>
    <t>STU13129</t>
  </si>
  <si>
    <t>STU13130</t>
  </si>
  <si>
    <t>STU13131</t>
  </si>
  <si>
    <t>STU13132</t>
  </si>
  <si>
    <t>STU13133</t>
  </si>
  <si>
    <t>STU13134</t>
  </si>
  <si>
    <t>STU13135</t>
  </si>
  <si>
    <t>STU13136</t>
  </si>
  <si>
    <t>STU13137</t>
  </si>
  <si>
    <t>STU13138</t>
  </si>
  <si>
    <t>STU13139</t>
  </si>
  <si>
    <t>STU13140</t>
  </si>
  <si>
    <t>STU13141</t>
  </si>
  <si>
    <t>STU13142</t>
  </si>
  <si>
    <t>STU13143</t>
  </si>
  <si>
    <t>STU13144</t>
  </si>
  <si>
    <t>STU13145</t>
  </si>
  <si>
    <t>STU13146</t>
  </si>
  <si>
    <t>STU13147</t>
  </si>
  <si>
    <t>STU13148</t>
  </si>
  <si>
    <t>STU13149</t>
  </si>
  <si>
    <t>STU13150</t>
  </si>
  <si>
    <t>STU13151</t>
  </si>
  <si>
    <t>STU13152</t>
  </si>
  <si>
    <t>STU13153</t>
  </si>
  <si>
    <t>STU13154</t>
  </si>
  <si>
    <t>STU13155</t>
  </si>
  <si>
    <t>STU13156</t>
  </si>
  <si>
    <t>STU13157</t>
  </si>
  <si>
    <t>STU13158</t>
  </si>
  <si>
    <t>STU13159</t>
  </si>
  <si>
    <t>STU13160</t>
  </si>
  <si>
    <t>STU13161</t>
  </si>
  <si>
    <t>STU13162</t>
  </si>
  <si>
    <t>STU13163</t>
  </si>
  <si>
    <t>STU13164</t>
  </si>
  <si>
    <t>STU13165</t>
  </si>
  <si>
    <t>STU13166</t>
  </si>
  <si>
    <t>STU13167</t>
  </si>
  <si>
    <t>STU13168</t>
  </si>
  <si>
    <t>STU13169</t>
  </si>
  <si>
    <t>STU13170</t>
  </si>
  <si>
    <t>STU13171</t>
  </si>
  <si>
    <t>STU13172</t>
  </si>
  <si>
    <t>STU13173</t>
  </si>
  <si>
    <t>STU13174</t>
  </si>
  <si>
    <t>STU13175</t>
  </si>
  <si>
    <t>STU13176</t>
  </si>
  <si>
    <t>STU13177</t>
  </si>
  <si>
    <t>STU13178</t>
  </si>
  <si>
    <t>STU13179</t>
  </si>
  <si>
    <t>STU13180</t>
  </si>
  <si>
    <t>STU13181</t>
  </si>
  <si>
    <t>STU13182</t>
  </si>
  <si>
    <t>STU13183</t>
  </si>
  <si>
    <t>STU13184</t>
  </si>
  <si>
    <t>STU13185</t>
  </si>
  <si>
    <t>STU13186</t>
  </si>
  <si>
    <t>STU13187</t>
  </si>
  <si>
    <t>STU13188</t>
  </si>
  <si>
    <t>STU13189</t>
  </si>
  <si>
    <t>STU13190</t>
  </si>
  <si>
    <t>STU13191</t>
  </si>
  <si>
    <t>STU13192</t>
  </si>
  <si>
    <t>STU13193</t>
  </si>
  <si>
    <t>STU13194</t>
  </si>
  <si>
    <t>STU13195</t>
  </si>
  <si>
    <t>STU13196</t>
  </si>
  <si>
    <t>STU13197</t>
  </si>
  <si>
    <t>STU13198</t>
  </si>
  <si>
    <t>STU13199</t>
  </si>
  <si>
    <t>STU13200</t>
  </si>
  <si>
    <t>STU13201</t>
  </si>
  <si>
    <t>STU13202</t>
  </si>
  <si>
    <t>STU13203</t>
  </si>
  <si>
    <t>STU13204</t>
  </si>
  <si>
    <t>STU13205</t>
  </si>
  <si>
    <t>STU13206</t>
  </si>
  <si>
    <t>STU13207</t>
  </si>
  <si>
    <t>STU13208</t>
  </si>
  <si>
    <t>STU13209</t>
  </si>
  <si>
    <t>STU13210</t>
  </si>
  <si>
    <t>STU13211</t>
  </si>
  <si>
    <t>STU13212</t>
  </si>
  <si>
    <t>STU13213</t>
  </si>
  <si>
    <t>STU13214</t>
  </si>
  <si>
    <t>STU13215</t>
  </si>
  <si>
    <t>STU13216</t>
  </si>
  <si>
    <t>STU13217</t>
  </si>
  <si>
    <t>STU13218</t>
  </si>
  <si>
    <t>STU13219</t>
  </si>
  <si>
    <t>STU13220</t>
  </si>
  <si>
    <t>STU13221</t>
  </si>
  <si>
    <t>STU13222</t>
  </si>
  <si>
    <t>STU13223</t>
  </si>
  <si>
    <t>STU13224</t>
  </si>
  <si>
    <t>STU13225</t>
  </si>
  <si>
    <t>STU13226</t>
  </si>
  <si>
    <t>STU13227</t>
  </si>
  <si>
    <t>STU13228</t>
  </si>
  <si>
    <t>STU13229</t>
  </si>
  <si>
    <t>STU13230</t>
  </si>
  <si>
    <t>STU13231</t>
  </si>
  <si>
    <t>STU13232</t>
  </si>
  <si>
    <t>STU13233</t>
  </si>
  <si>
    <t>STU13234</t>
  </si>
  <si>
    <t>STU13235</t>
  </si>
  <si>
    <t>STU13236</t>
  </si>
  <si>
    <t>STU13237</t>
  </si>
  <si>
    <t>STU13238</t>
  </si>
  <si>
    <t>STU13239</t>
  </si>
  <si>
    <t>STU13240</t>
  </si>
  <si>
    <t>STU13241</t>
  </si>
  <si>
    <t>STU13242</t>
  </si>
  <si>
    <t>STU13243</t>
  </si>
  <si>
    <t>STU13244</t>
  </si>
  <si>
    <t>STU13245</t>
  </si>
  <si>
    <t>STU13246</t>
  </si>
  <si>
    <t>STU13247</t>
  </si>
  <si>
    <t>STU13248</t>
  </si>
  <si>
    <t>STU13249</t>
  </si>
  <si>
    <t>STU13250</t>
  </si>
  <si>
    <t>STU13251</t>
  </si>
  <si>
    <t>STU13252</t>
  </si>
  <si>
    <t>STU13253</t>
  </si>
  <si>
    <t>STU13254</t>
  </si>
  <si>
    <t>STU13255</t>
  </si>
  <si>
    <t>STU13256</t>
  </si>
  <si>
    <t>STU13257</t>
  </si>
  <si>
    <t>STU13258</t>
  </si>
  <si>
    <t>STU13259</t>
  </si>
  <si>
    <t>STU13260</t>
  </si>
  <si>
    <t>STU13261</t>
  </si>
  <si>
    <t>STU13262</t>
  </si>
  <si>
    <t>STU13263</t>
  </si>
  <si>
    <t>STU13264</t>
  </si>
  <si>
    <t>STU13265</t>
  </si>
  <si>
    <t>STU13266</t>
  </si>
  <si>
    <t>STU13267</t>
  </si>
  <si>
    <t>STU13268</t>
  </si>
  <si>
    <t>STU13269</t>
  </si>
  <si>
    <t>STU13270</t>
  </si>
  <si>
    <t>STU13271</t>
  </si>
  <si>
    <t>STU13272</t>
  </si>
  <si>
    <t>STU13273</t>
  </si>
  <si>
    <t>STU13274</t>
  </si>
  <si>
    <t>STU13275</t>
  </si>
  <si>
    <t>STU13276</t>
  </si>
  <si>
    <t>STU13277</t>
  </si>
  <si>
    <t>STU13278</t>
  </si>
  <si>
    <t>STU13279</t>
  </si>
  <si>
    <t>STU13280</t>
  </si>
  <si>
    <t>STU13281</t>
  </si>
  <si>
    <t>STU13282</t>
  </si>
  <si>
    <t>STU13283</t>
  </si>
  <si>
    <t>STU13284</t>
  </si>
  <si>
    <t>STU13285</t>
  </si>
  <si>
    <t>STU13286</t>
  </si>
  <si>
    <t>STU13287</t>
  </si>
  <si>
    <t>STU13288</t>
  </si>
  <si>
    <t>STU13289</t>
  </si>
  <si>
    <t>STU13290</t>
  </si>
  <si>
    <t>STU13291</t>
  </si>
  <si>
    <t>STU13292</t>
  </si>
  <si>
    <t>STU13293</t>
  </si>
  <si>
    <t>STU13294</t>
  </si>
  <si>
    <t>STU13295</t>
  </si>
  <si>
    <t>STU13296</t>
  </si>
  <si>
    <t>STU13297</t>
  </si>
  <si>
    <t>STU13298</t>
  </si>
  <si>
    <t>STU13299</t>
  </si>
  <si>
    <t>STU13300</t>
  </si>
  <si>
    <t>STU13301</t>
  </si>
  <si>
    <t>STU13302</t>
  </si>
  <si>
    <t>STU13303</t>
  </si>
  <si>
    <t>STU13304</t>
  </si>
  <si>
    <t>STU13305</t>
  </si>
  <si>
    <t>STU13306</t>
  </si>
  <si>
    <t>STU13307</t>
  </si>
  <si>
    <t>STU13308</t>
  </si>
  <si>
    <t>STU13309</t>
  </si>
  <si>
    <t>STU13310</t>
  </si>
  <si>
    <t>STU13311</t>
  </si>
  <si>
    <t>STU13312</t>
  </si>
  <si>
    <t>STU13313</t>
  </si>
  <si>
    <t>STU13314</t>
  </si>
  <si>
    <t>STU13315</t>
  </si>
  <si>
    <t>STU13316</t>
  </si>
  <si>
    <t>STU13317</t>
  </si>
  <si>
    <t>STU13318</t>
  </si>
  <si>
    <t>STU13319</t>
  </si>
  <si>
    <t>STU13320</t>
  </si>
  <si>
    <t>STU13321</t>
  </si>
  <si>
    <t>STU13322</t>
  </si>
  <si>
    <t>STU13323</t>
  </si>
  <si>
    <t>STU13324</t>
  </si>
  <si>
    <t>STU13325</t>
  </si>
  <si>
    <t>STU13326</t>
  </si>
  <si>
    <t>STU13327</t>
  </si>
  <si>
    <t>STU13328</t>
  </si>
  <si>
    <t>STU13329</t>
  </si>
  <si>
    <t>STU13330</t>
  </si>
  <si>
    <t>STU13331</t>
  </si>
  <si>
    <t>STU13332</t>
  </si>
  <si>
    <t>STU13333</t>
  </si>
  <si>
    <t>STU13334</t>
  </si>
  <si>
    <t>STU13335</t>
  </si>
  <si>
    <t>STU13336</t>
  </si>
  <si>
    <t>STU13337</t>
  </si>
  <si>
    <t>STU13338</t>
  </si>
  <si>
    <t>STU13339</t>
  </si>
  <si>
    <t>STU13340</t>
  </si>
  <si>
    <t>STU13341</t>
  </si>
  <si>
    <t>STU13342</t>
  </si>
  <si>
    <t>STU13343</t>
  </si>
  <si>
    <t>STU13344</t>
  </si>
  <si>
    <t>STU13345</t>
  </si>
  <si>
    <t>STU13346</t>
  </si>
  <si>
    <t>STU13347</t>
  </si>
  <si>
    <t>STU13348</t>
  </si>
  <si>
    <t>STU13349</t>
  </si>
  <si>
    <t>STU13350</t>
  </si>
  <si>
    <t>STU13351</t>
  </si>
  <si>
    <t>STU13352</t>
  </si>
  <si>
    <t>STU13353</t>
  </si>
  <si>
    <t>STU13354</t>
  </si>
  <si>
    <t>STU13355</t>
  </si>
  <si>
    <t>STU13356</t>
  </si>
  <si>
    <t>STU13357</t>
  </si>
  <si>
    <t>STU13358</t>
  </si>
  <si>
    <t>STU13359</t>
  </si>
  <si>
    <t>STU13360</t>
  </si>
  <si>
    <t>STU13361</t>
  </si>
  <si>
    <t>STU13362</t>
  </si>
  <si>
    <t>STU13363</t>
  </si>
  <si>
    <t>STU13364</t>
  </si>
  <si>
    <t>STU13365</t>
  </si>
  <si>
    <t>STU13366</t>
  </si>
  <si>
    <t>STU13367</t>
  </si>
  <si>
    <t>STU13368</t>
  </si>
  <si>
    <t>STU13369</t>
  </si>
  <si>
    <t>STU13370</t>
  </si>
  <si>
    <t>STU13371</t>
  </si>
  <si>
    <t>STU13372</t>
  </si>
  <si>
    <t>STU13373</t>
  </si>
  <si>
    <t>STU13374</t>
  </si>
  <si>
    <t>STU13375</t>
  </si>
  <si>
    <t>STU13376</t>
  </si>
  <si>
    <t>STU13377</t>
  </si>
  <si>
    <t>STU13378</t>
  </si>
  <si>
    <t>STU13379</t>
  </si>
  <si>
    <t>STU13380</t>
  </si>
  <si>
    <t>STU13381</t>
  </si>
  <si>
    <t>STU13382</t>
  </si>
  <si>
    <t>STU13383</t>
  </si>
  <si>
    <t>STU13384</t>
  </si>
  <si>
    <t>STU13385</t>
  </si>
  <si>
    <t>STU13386</t>
  </si>
  <si>
    <t>STU13387</t>
  </si>
  <si>
    <t>STU13388</t>
  </si>
  <si>
    <t>STU13389</t>
  </si>
  <si>
    <t>STU13390</t>
  </si>
  <si>
    <t>STU13391</t>
  </si>
  <si>
    <t>STU13392</t>
  </si>
  <si>
    <t>STU13393</t>
  </si>
  <si>
    <t>STU13394</t>
  </si>
  <si>
    <t>STU13395</t>
  </si>
  <si>
    <t>STU13396</t>
  </si>
  <si>
    <t>STU13397</t>
  </si>
  <si>
    <t>STU13398</t>
  </si>
  <si>
    <t>STU13399</t>
  </si>
  <si>
    <t>STU13400</t>
  </si>
  <si>
    <t>STU13401</t>
  </si>
  <si>
    <t>STU13402</t>
  </si>
  <si>
    <t>STU13403</t>
  </si>
  <si>
    <t>STU13404</t>
  </si>
  <si>
    <t>STU13405</t>
  </si>
  <si>
    <t>STU13406</t>
  </si>
  <si>
    <t>STU13407</t>
  </si>
  <si>
    <t>STU13408</t>
  </si>
  <si>
    <t>STU13409</t>
  </si>
  <si>
    <t>STU13410</t>
  </si>
  <si>
    <t>STU13411</t>
  </si>
  <si>
    <t>STU13412</t>
  </si>
  <si>
    <t>STU13413</t>
  </si>
  <si>
    <t>STU13414</t>
  </si>
  <si>
    <t>STU13415</t>
  </si>
  <si>
    <t>STU13416</t>
  </si>
  <si>
    <t>STU13417</t>
  </si>
  <si>
    <t>STU13418</t>
  </si>
  <si>
    <t>STU13419</t>
  </si>
  <si>
    <t>STU13420</t>
  </si>
  <si>
    <t>STU13421</t>
  </si>
  <si>
    <t>STU13422</t>
  </si>
  <si>
    <t>STU13423</t>
  </si>
  <si>
    <t>STU13424</t>
  </si>
  <si>
    <t>STU13425</t>
  </si>
  <si>
    <t>STU13426</t>
  </si>
  <si>
    <t>STU13427</t>
  </si>
  <si>
    <t>STU13428</t>
  </si>
  <si>
    <t>STU13429</t>
  </si>
  <si>
    <t>STU13430</t>
  </si>
  <si>
    <t>STU13431</t>
  </si>
  <si>
    <t>STU13432</t>
  </si>
  <si>
    <t>STU13433</t>
  </si>
  <si>
    <t>STU13434</t>
  </si>
  <si>
    <t>STU13435</t>
  </si>
  <si>
    <t>STU13436</t>
  </si>
  <si>
    <t>STU13437</t>
  </si>
  <si>
    <t>STU13438</t>
  </si>
  <si>
    <t>STU13439</t>
  </si>
  <si>
    <t>STU13440</t>
  </si>
  <si>
    <t>STU13441</t>
  </si>
  <si>
    <t>STU13442</t>
  </si>
  <si>
    <t>STU13443</t>
  </si>
  <si>
    <t>STU13444</t>
  </si>
  <si>
    <t>STU13445</t>
  </si>
  <si>
    <t>STU13446</t>
  </si>
  <si>
    <t>STU13447</t>
  </si>
  <si>
    <t>STU13448</t>
  </si>
  <si>
    <t>STU13449</t>
  </si>
  <si>
    <t>STU13450</t>
  </si>
  <si>
    <t>STU13451</t>
  </si>
  <si>
    <t>STU13452</t>
  </si>
  <si>
    <t>STU13453</t>
  </si>
  <si>
    <t>STU13454</t>
  </si>
  <si>
    <t>STU13455</t>
  </si>
  <si>
    <t>STU13456</t>
  </si>
  <si>
    <t>STU13457</t>
  </si>
  <si>
    <t>STU13458</t>
  </si>
  <si>
    <t>STU13459</t>
  </si>
  <si>
    <t>STU13460</t>
  </si>
  <si>
    <t>STU13461</t>
  </si>
  <si>
    <t>STU13462</t>
  </si>
  <si>
    <t>STU13463</t>
  </si>
  <si>
    <t>STU13464</t>
  </si>
  <si>
    <t>STU13465</t>
  </si>
  <si>
    <t>STU13466</t>
  </si>
  <si>
    <t>STU13467</t>
  </si>
  <si>
    <t>STU13468</t>
  </si>
  <si>
    <t>STU13469</t>
  </si>
  <si>
    <t>STU13470</t>
  </si>
  <si>
    <t>STU13471</t>
  </si>
  <si>
    <t>STU13472</t>
  </si>
  <si>
    <t>STU13473</t>
  </si>
  <si>
    <t>STU13474</t>
  </si>
  <si>
    <t>STU13475</t>
  </si>
  <si>
    <t>STU13476</t>
  </si>
  <si>
    <t>STU13477</t>
  </si>
  <si>
    <t>STU13478</t>
  </si>
  <si>
    <t>STU13479</t>
  </si>
  <si>
    <t>STU13480</t>
  </si>
  <si>
    <t>STU13481</t>
  </si>
  <si>
    <t>STU13482</t>
  </si>
  <si>
    <t>STU13483</t>
  </si>
  <si>
    <t>STU13484</t>
  </si>
  <si>
    <t>STU13485</t>
  </si>
  <si>
    <t>STU13486</t>
  </si>
  <si>
    <t>STU13487</t>
  </si>
  <si>
    <t>STU13488</t>
  </si>
  <si>
    <t>STU13489</t>
  </si>
  <si>
    <t>STU13490</t>
  </si>
  <si>
    <t>STU13491</t>
  </si>
  <si>
    <t>STU13492</t>
  </si>
  <si>
    <t>STU13493</t>
  </si>
  <si>
    <t>STU13494</t>
  </si>
  <si>
    <t>STU13495</t>
  </si>
  <si>
    <t>STU13496</t>
  </si>
  <si>
    <t>STU13497</t>
  </si>
  <si>
    <t>STU13498</t>
  </si>
  <si>
    <t>STU13499</t>
  </si>
  <si>
    <t>STU13500</t>
  </si>
  <si>
    <t>DATA CLEANING &amp; QUALITY REPORT</t>
  </si>
  <si>
    <t>Data Quality Summary</t>
  </si>
  <si>
    <t>Metric</t>
  </si>
  <si>
    <t>Value</t>
  </si>
  <si>
    <t>Total Records</t>
  </si>
  <si>
    <t>Duplicate Student IDs</t>
  </si>
  <si>
    <t>Missing Values (Industry)</t>
  </si>
  <si>
    <t>Missing Values (Job Role)</t>
  </si>
  <si>
    <t>Missing Values (Placement Date)</t>
  </si>
  <si>
    <t>Total Missing Values</t>
  </si>
  <si>
    <t>Placed Students</t>
  </si>
  <si>
    <t>Unplaced Students</t>
  </si>
  <si>
    <t>CGPA Out of Range (&lt;0 or &gt;10)</t>
  </si>
  <si>
    <t>Attendance Out of Range (&lt;0 or &gt;100)</t>
  </si>
  <si>
    <t>Cleaning Notes</t>
  </si>
  <si>
    <t>• No duplicate Student IDs were found in the dataset (3,500 unique records).</t>
  </si>
  <si>
    <t>• Missing values in Industry, Job_Role and Placement_Date are EXPECTED: these fields are</t>
  </si>
  <si>
    <t xml:space="preserve">   only populated for students with Placement_Status = 'Placed'. No correction needed.</t>
  </si>
  <si>
    <t>• All numeric fields (CGPA, Attendance %, Scores) fall within valid expected ranges.</t>
  </si>
  <si>
    <t>• Data types verified: dates recognised as dates, numeric fields stored as numbers, text</t>
  </si>
  <si>
    <t xml:space="preserve">   fields consistent (no stray capitalisation/whitespace variants detected).</t>
  </si>
  <si>
    <t>• Original Raw_Data sheet has been preserved unmodified; this sheet only reports on it.</t>
  </si>
  <si>
    <t>KPI / SUMMARY SHEET — College Placement Analytics</t>
  </si>
  <si>
    <t>KPI</t>
  </si>
  <si>
    <t>All KPIs are formula-driven off Raw_Data and recalculate automatically when the data changes.</t>
  </si>
  <si>
    <t>Total Students</t>
  </si>
  <si>
    <t>Placement Rate</t>
  </si>
  <si>
    <t>Average Package (LPA)</t>
  </si>
  <si>
    <t>Highest Package (LPA)</t>
  </si>
  <si>
    <t>Lowest Package (LPA, Placed only)</t>
  </si>
  <si>
    <t>Total Offers</t>
  </si>
  <si>
    <t>Average CGPA</t>
  </si>
  <si>
    <t>Average Attendance (%)</t>
  </si>
  <si>
    <t>Total Recruiters (Companies)</t>
  </si>
  <si>
    <t>Students with Internships</t>
  </si>
  <si>
    <t>Students with Certifications</t>
  </si>
  <si>
    <t>Average Aptitude Score</t>
  </si>
  <si>
    <t>Average Technical Score</t>
  </si>
  <si>
    <t>Average HR Score</t>
  </si>
  <si>
    <t>PIVOT-STYLE SUMMARY TABLES &amp; CHARTS (formula-driven, live off Raw_Data)</t>
  </si>
  <si>
    <t>Pivot 1: Placement Status</t>
  </si>
  <si>
    <t>Status</t>
  </si>
  <si>
    <t>Count of Student_ID</t>
  </si>
  <si>
    <t>Total</t>
  </si>
  <si>
    <t>Pivot 2: Department-wise Placement</t>
  </si>
  <si>
    <t>Pivot 3: Academic Year Placement</t>
  </si>
  <si>
    <t>Pivot 4: Company Hiring</t>
  </si>
  <si>
    <t>Pivot 5: Department Average Package</t>
  </si>
  <si>
    <t>Average Package_LPA</t>
  </si>
  <si>
    <t>Pivot 6: Company Average Package</t>
  </si>
  <si>
    <t>Pivot 7: Gender-wise Placement</t>
  </si>
  <si>
    <t>Pivot 8: Industry-wise Hiring</t>
  </si>
  <si>
    <t>Pivot 9: Job Role Analysis</t>
  </si>
  <si>
    <t>Pivot 10: Internship Count vs Placement</t>
  </si>
  <si>
    <t>0</t>
  </si>
  <si>
    <t>1</t>
  </si>
  <si>
    <t>2</t>
  </si>
  <si>
    <t>3</t>
  </si>
  <si>
    <t>Pivot 11: Certifications vs Placement</t>
  </si>
  <si>
    <t>4</t>
  </si>
  <si>
    <t>5</t>
  </si>
  <si>
    <t>Pivot 12: CGPA Analysis by Department</t>
  </si>
  <si>
    <t>SALARY / PACKAGE ANALYSIS</t>
  </si>
  <si>
    <t>Total Placed (for %):</t>
  </si>
  <si>
    <t>Package Band Distribution (Placed Students)</t>
  </si>
  <si>
    <t>Package Band</t>
  </si>
  <si>
    <t>Number of Students</t>
  </si>
  <si>
    <t>Percentage</t>
  </si>
  <si>
    <t>0-3 LPA</t>
  </si>
  <si>
    <t>3-6 LPA</t>
  </si>
  <si>
    <t>6-10 LPA</t>
  </si>
  <si>
    <t>10-15 LPA</t>
  </si>
  <si>
    <t>15-20 LPA</t>
  </si>
  <si>
    <t>20+ LPA</t>
  </si>
  <si>
    <t>Average / Highest Package by Department</t>
  </si>
  <si>
    <t>Average / Highest Package by Company</t>
  </si>
  <si>
    <t>Average Package by Job Role</t>
  </si>
  <si>
    <t>STUDENT PERFORMANCE ANALYSIS</t>
  </si>
  <si>
    <t>Performance Factors: Placed vs Unplaced (Averages)</t>
  </si>
  <si>
    <t>Factor</t>
  </si>
  <si>
    <t>Avg (Placed)</t>
  </si>
  <si>
    <t>Avg (Unplaced)</t>
  </si>
  <si>
    <t>Attendance (%)</t>
  </si>
  <si>
    <t>Internships</t>
  </si>
  <si>
    <t>Projects Completed</t>
  </si>
  <si>
    <t>Aptitude Score</t>
  </si>
  <si>
    <t>Technical Score</t>
  </si>
  <si>
    <t>HR Score</t>
  </si>
  <si>
    <t>Placement Rate by CGPA Band</t>
  </si>
  <si>
    <t>CGPA Band</t>
  </si>
  <si>
    <t>&lt; 6.5</t>
  </si>
  <si>
    <t>6.5 - 7.5</t>
  </si>
  <si>
    <t>7.5 - 8.5</t>
  </si>
  <si>
    <t>8.5 - 9.5</t>
  </si>
  <si>
    <t>9.5 - 10.0</t>
  </si>
  <si>
    <t>Placement Rate by Attendance Band</t>
  </si>
  <si>
    <t>Attendance Band</t>
  </si>
  <si>
    <t>&lt; 65%</t>
  </si>
  <si>
    <t>65 - 75%</t>
  </si>
  <si>
    <t>75 - 85%</t>
  </si>
  <si>
    <t>85 - 95%</t>
  </si>
  <si>
    <t>95 - 100%</t>
  </si>
  <si>
    <t>TOP 10 STUDENTS</t>
  </si>
  <si>
    <t>Top 10 Students by CGPA</t>
  </si>
  <si>
    <t>Top 10 Students by Package</t>
  </si>
  <si>
    <t>Top 10 Students by Technical Score</t>
  </si>
  <si>
    <t>RECRUITER ANALYSIS</t>
  </si>
  <si>
    <t>Hiring Count</t>
  </si>
  <si>
    <t>Distinct Job Roles Offered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</si>
</sst>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\-mmm\-yyyy"/>
    <numFmt numFmtId="166" formatCode="0.0%"/>
    <numFmt numFmtId="167" formatCode="0.00&quot; LPA&quot;"/>
  </numFmts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3"/>
      <color rgb="FFFFFFFF"/>
      <name val="Arial"/>
    </font>
    <font>
      <b/>
      <sz val="13"/>
      <color rgb="FF8B0000"/>
      <name val="Arial"/>
    </font>
    <font>
      <b/>
      <sz val="10"/>
      <color rgb="FF404040"/>
      <name val="Arial"/>
    </font>
    <font>
      <sz val="10"/>
      <color rgb="FF404040"/>
      <name val="Arial"/>
    </font>
    <font>
      <b/>
      <sz val="11"/>
      <color rgb="FF8B0000"/>
      <name val="Arial"/>
    </font>
    <font>
      <i/>
      <sz val="9"/>
      <color rgb="FF404040"/>
      <name val="Arial"/>
    </font>
    <font>
      <b/>
      <sz val="26"/>
      <color rgb="FFFFFFFF"/>
      <name val="Arial"/>
    </font>
    <font>
      <i/>
      <sz val="13"/>
      <color rgb="FFFFFFFF"/>
      <name val="Arial"/>
    </font>
    <font>
      <b/>
      <sz val="10"/>
      <color rgb="FFFFFFFF"/>
      <name val="Arial"/>
    </font>
    <font>
      <b/>
      <sz val="18"/>
      <color rgb="FFFFFFFF"/>
      <name val="Arial"/>
    </font>
    <font>
      <b/>
      <sz val="12"/>
      <color rgb="FFFFFFFF"/>
      <name val="Arial"/>
    </font>
    <font>
      <b/>
      <sz val="12"/>
      <color rgb="FF8B0000"/>
      <name val="Arial"/>
    </font>
    <font>
      <b/>
      <sz val="14"/>
      <color rgb="FFFFFFFF"/>
      <name val="Arial"/>
    </font>
    <font>
      <b/>
      <sz val="10"/>
      <color rgb="FF8B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8B0000"/>
      </patternFill>
    </fill>
    <fill>
      <patternFill patternType="solid">
        <fgColor rgb="FFC0392B"/>
      </patternFill>
    </fill>
    <fill>
      <patternFill patternType="solid">
        <fgColor rgb="FFFDEDEC"/>
      </patternFill>
    </fill>
    <fill>
      <patternFill patternType="solid">
        <fgColor rgb="FF404040"/>
      </patternFill>
    </fill>
    <fill>
      <patternFill patternType="solid">
        <fgColor rgb="FFFADBD8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8B0000"/>
      </left>
      <right style="medium">
        <color rgb="FF8B0000"/>
      </right>
      <top style="medium">
        <color rgb="FF8B0000"/>
      </top>
      <bottom style="medium">
        <color rgb="FF8B0000"/>
      </bottom>
      <diagonal/>
    </border>
    <border>
      <left/>
      <right/>
      <top style="medium">
        <color rgb="FF8B0000"/>
      </top>
      <bottom/>
      <diagonal/>
    </border>
    <border>
      <left/>
      <right style="medium">
        <color rgb="FF8B0000"/>
      </right>
      <top style="medium">
        <color rgb="FF8B0000"/>
      </top>
      <bottom/>
      <diagonal/>
    </border>
    <border>
      <left/>
      <right/>
      <top style="medium">
        <color rgb="FF8B0000"/>
      </top>
      <bottom style="medium">
        <color rgb="FF8B0000"/>
      </bottom>
      <diagonal/>
    </border>
    <border>
      <left/>
      <right style="medium">
        <color rgb="FF8B0000"/>
      </right>
      <top style="medium">
        <color rgb="FF8B0000"/>
      </top>
      <bottom style="medium">
        <color rgb="FF8B0000"/>
      </bottom>
      <diagonal/>
    </border>
    <border>
      <left style="medium">
        <color rgb="FF8B0000"/>
      </left>
      <right/>
      <top/>
      <bottom/>
      <diagonal/>
    </border>
    <border>
      <left/>
      <right style="medium">
        <color rgb="FF8B0000"/>
      </right>
      <top/>
      <bottom/>
      <diagonal/>
    </border>
    <border>
      <left style="medium">
        <color rgb="FF8B0000"/>
      </left>
      <right/>
      <top/>
      <bottom style="medium">
        <color rgb="FF8B0000"/>
      </bottom>
      <diagonal/>
    </border>
    <border>
      <left/>
      <right/>
      <top/>
      <bottom style="medium">
        <color rgb="FF8B0000"/>
      </bottom>
      <diagonal/>
    </border>
    <border>
      <left/>
      <right style="medium">
        <color rgb="FF8B0000"/>
      </right>
      <top/>
      <bottom style="medium">
        <color rgb="FF8B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" fontId="5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/>
    <xf numFmtId="1" fontId="5" fillId="4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vertical="center" wrapText="1"/>
    </xf>
    <xf numFmtId="166" fontId="6" fillId="4" borderId="1" xfId="0" applyNumberFormat="1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1" fontId="0" fillId="0" borderId="0" xfId="0" applyNumberFormat="1"/>
    <xf numFmtId="166" fontId="5" fillId="0" borderId="1" xfId="0" applyNumberFormat="1" applyFont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15" fillId="4" borderId="0" xfId="0" applyFont="1" applyFill="1" applyAlignment="1">
      <alignment horizontal="left" vertical="center"/>
    </xf>
    <xf numFmtId="0" fontId="0" fillId="0" borderId="0" xfId="0"/>
    <xf numFmtId="0" fontId="10" fillId="5" borderId="0" xfId="0" applyFont="1" applyFill="1" applyAlignment="1">
      <alignment horizontal="center" vertical="center" wrapText="1"/>
    </xf>
    <xf numFmtId="1" fontId="11" fillId="3" borderId="4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2" fontId="14" fillId="3" borderId="0" xfId="0" applyNumberFormat="1" applyFont="1" applyFill="1" applyAlignment="1">
      <alignment horizontal="center" vertical="center" wrapText="1"/>
    </xf>
    <xf numFmtId="0" fontId="4" fillId="0" borderId="0" xfId="0" applyFont="1"/>
    <xf numFmtId="166" fontId="11" fillId="2" borderId="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1" fontId="11" fillId="2" borderId="4" xfId="0" applyNumberFormat="1" applyFont="1" applyFill="1" applyBorder="1" applyAlignment="1">
      <alignment horizontal="center" vertical="center" wrapText="1"/>
    </xf>
    <xf numFmtId="167" fontId="11" fillId="2" borderId="4" xfId="0" applyNumberFormat="1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4" fillId="4" borderId="0" xfId="0" applyFont="1" applyFill="1"/>
    <xf numFmtId="166" fontId="14" fillId="3" borderId="0" xfId="0" applyNumberFormat="1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1" fontId="14" fillId="3" borderId="0" xfId="0" applyNumberFormat="1" applyFont="1" applyFill="1" applyAlignment="1">
      <alignment horizontal="center" vertical="center" wrapText="1"/>
    </xf>
    <xf numFmtId="167" fontId="11" fillId="3" borderId="4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7" fillId="0" borderId="0" xfId="0" applyFont="1"/>
  </cellXfs>
  <cellStyles count="1">
    <cellStyle name="Normal" xfId="0" builtinId="0"/>
  </cellStyles>
  <dxfs count="7">
    <dxf>
      <font>
        <color rgb="FF9C0006"/>
        <name val="Arial"/>
      </font>
      <fill>
        <patternFill patternType="solid">
          <fgColor rgb="FFFFC7CE"/>
        </patternFill>
      </fill>
    </dxf>
    <dxf>
      <font>
        <color rgb="FF006100"/>
        <name val="Arial"/>
      </font>
      <fill>
        <patternFill patternType="solid">
          <fgColor rgb="FFC6EFCE"/>
        </patternFill>
      </fill>
    </dxf>
    <dxf>
      <font>
        <color rgb="FF9C0006"/>
        <name val="Arial"/>
      </font>
      <fill>
        <patternFill patternType="solid">
          <fgColor rgb="FFFFC7CE"/>
        </patternFill>
      </fill>
    </dxf>
    <dxf>
      <font>
        <color rgb="FF006100"/>
        <name val="Arial"/>
      </font>
      <fill>
        <patternFill patternType="solid">
          <fgColor rgb="FFC6EFCE"/>
        </patternFill>
      </fill>
    </dxf>
    <dxf>
      <font>
        <color rgb="FF9C0006"/>
        <name val="Arial"/>
      </font>
      <fill>
        <patternFill patternType="solid">
          <fgColor rgb="FFFFC7CE"/>
        </patternFill>
      </fill>
    </dxf>
    <dxf>
      <font>
        <color rgb="FF006100"/>
        <name val="Arial"/>
      </font>
      <fill>
        <patternFill patternType="solid">
          <fgColor rgb="FFC6EFCE"/>
        </patternFill>
      </fill>
    </dxf>
    <dxf>
      <font>
        <color rgb="FF9C0006"/>
        <name val="Arial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Placement Status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Pivot_Tables!$B$4</c:f>
              <c:strCache>
                <c:ptCount val="1"/>
                <c:pt idx="0">
                  <c:v>Count of Student_ID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Pivot_Tables!$A$5:$A$6</c:f>
              <c:strCache>
                <c:ptCount val="2"/>
                <c:pt idx="0">
                  <c:v>Placed</c:v>
                </c:pt>
                <c:pt idx="1">
                  <c:v>Unplaced</c:v>
                </c:pt>
              </c:strCache>
            </c:strRef>
          </c:cat>
          <c:val>
            <c:numRef>
              <c:f>Pivot_Tables!$B$5:$B$6</c:f>
              <c:numCache>
                <c:formatCode>0</c:formatCode>
                <c:ptCount val="2"/>
                <c:pt idx="0">
                  <c:v>2780</c:v>
                </c:pt>
                <c:pt idx="1">
                  <c:v>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B-42A4-B94C-FB9ACC8C2A6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Placement Trend by Academic Year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Pivot_Tables!$C$44</c:f>
              <c:strCache>
                <c:ptCount val="1"/>
                <c:pt idx="0">
                  <c:v>Placement Rate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Pivot_Tables!$A$45:$A$49</c:f>
              <c:strCache>
                <c:ptCount val="5"/>
                <c:pt idx="0">
                  <c:v>2021-22</c:v>
                </c:pt>
                <c:pt idx="1">
                  <c:v>2022-23</c:v>
                </c:pt>
                <c:pt idx="2">
                  <c:v>2023-24</c:v>
                </c:pt>
                <c:pt idx="3">
                  <c:v>2024-25</c:v>
                </c:pt>
                <c:pt idx="4">
                  <c:v>2025-26</c:v>
                </c:pt>
              </c:strCache>
            </c:strRef>
          </c:cat>
          <c:val>
            <c:numRef>
              <c:f>Pivot_Tables!$C$45:$C$49</c:f>
              <c:numCache>
                <c:formatCode>0.0%</c:formatCode>
                <c:ptCount val="5"/>
                <c:pt idx="0">
                  <c:v>0.79526462395543174</c:v>
                </c:pt>
                <c:pt idx="1">
                  <c:v>0.79197622585438332</c:v>
                </c:pt>
                <c:pt idx="2">
                  <c:v>0.81081081081081086</c:v>
                </c:pt>
                <c:pt idx="3">
                  <c:v>0.7799174690508941</c:v>
                </c:pt>
                <c:pt idx="4">
                  <c:v>0.79469273743016755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D4-44CD-8BC9-C8013E10B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Placement Rate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Placement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Pivot_Tables!$B$24</c:f>
              <c:strCache>
                <c:ptCount val="1"/>
                <c:pt idx="0">
                  <c:v>Placed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Pivot_Tables!$A$25:$A$31</c:f>
              <c:strCache>
                <c:ptCount val="7"/>
                <c:pt idx="0">
                  <c:v>AIML</c:v>
                </c:pt>
                <c:pt idx="1">
                  <c:v>CIVIL</c:v>
                </c:pt>
                <c:pt idx="2">
                  <c:v>CSE</c:v>
                </c:pt>
                <c:pt idx="3">
                  <c:v>ECE</c:v>
                </c:pt>
                <c:pt idx="4">
                  <c:v>EEE</c:v>
                </c:pt>
                <c:pt idx="5">
                  <c:v>IT</c:v>
                </c:pt>
                <c:pt idx="6">
                  <c:v>MECH</c:v>
                </c:pt>
              </c:strCache>
            </c:strRef>
          </c:cat>
          <c:val>
            <c:numRef>
              <c:f>Pivot_Tables!$B$25:$B$31</c:f>
              <c:numCache>
                <c:formatCode>0</c:formatCode>
                <c:ptCount val="7"/>
                <c:pt idx="0">
                  <c:v>308</c:v>
                </c:pt>
                <c:pt idx="1">
                  <c:v>291</c:v>
                </c:pt>
                <c:pt idx="2">
                  <c:v>708</c:v>
                </c:pt>
                <c:pt idx="3">
                  <c:v>419</c:v>
                </c:pt>
                <c:pt idx="4">
                  <c:v>270</c:v>
                </c:pt>
                <c:pt idx="5">
                  <c:v>439</c:v>
                </c:pt>
                <c:pt idx="6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2-4D5D-A602-14EDD5581101}"/>
            </c:ext>
          </c:extLst>
        </c:ser>
        <c:ser>
          <c:idx val="1"/>
          <c:order val="1"/>
          <c:tx>
            <c:strRef>
              <c:f>Pivot_Tables!$C$24</c:f>
              <c:strCache>
                <c:ptCount val="1"/>
                <c:pt idx="0">
                  <c:v>Unplaced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Pivot_Tables!$A$25:$A$31</c:f>
              <c:strCache>
                <c:ptCount val="7"/>
                <c:pt idx="0">
                  <c:v>AIML</c:v>
                </c:pt>
                <c:pt idx="1">
                  <c:v>CIVIL</c:v>
                </c:pt>
                <c:pt idx="2">
                  <c:v>CSE</c:v>
                </c:pt>
                <c:pt idx="3">
                  <c:v>ECE</c:v>
                </c:pt>
                <c:pt idx="4">
                  <c:v>EEE</c:v>
                </c:pt>
                <c:pt idx="5">
                  <c:v>IT</c:v>
                </c:pt>
                <c:pt idx="6">
                  <c:v>MECH</c:v>
                </c:pt>
              </c:strCache>
            </c:strRef>
          </c:cat>
          <c:val>
            <c:numRef>
              <c:f>Pivot_Tables!$C$25:$C$31</c:f>
              <c:numCache>
                <c:formatCode>0</c:formatCode>
                <c:ptCount val="7"/>
                <c:pt idx="0">
                  <c:v>86</c:v>
                </c:pt>
                <c:pt idx="1">
                  <c:v>78</c:v>
                </c:pt>
                <c:pt idx="2">
                  <c:v>186</c:v>
                </c:pt>
                <c:pt idx="3">
                  <c:v>126</c:v>
                </c:pt>
                <c:pt idx="4">
                  <c:v>59</c:v>
                </c:pt>
                <c:pt idx="5">
                  <c:v>116</c:v>
                </c:pt>
                <c:pt idx="6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A2-4D5D-A602-14EDD5581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Students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Package Distribution (Placed)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Salary_Analysis!$B$4</c:f>
              <c:strCache>
                <c:ptCount val="1"/>
                <c:pt idx="0">
                  <c:v>Number of Students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D94-4DFE-B68E-68DB9287230A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D94-4DFE-B68E-68DB9287230A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D94-4DFE-B68E-68DB9287230A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D94-4DFE-B68E-68DB9287230A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D94-4DFE-B68E-68DB9287230A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D94-4DFE-B68E-68DB928723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Salary_Analysis!$A$5:$A$10</c:f>
              <c:strCache>
                <c:ptCount val="6"/>
                <c:pt idx="0">
                  <c:v>0-3 LPA</c:v>
                </c:pt>
                <c:pt idx="1">
                  <c:v>3-6 LPA</c:v>
                </c:pt>
                <c:pt idx="2">
                  <c:v>6-10 LPA</c:v>
                </c:pt>
                <c:pt idx="3">
                  <c:v>10-15 LPA</c:v>
                </c:pt>
                <c:pt idx="4">
                  <c:v>15-20 LPA</c:v>
                </c:pt>
                <c:pt idx="5">
                  <c:v>20+ LPA</c:v>
                </c:pt>
              </c:strCache>
            </c:strRef>
          </c:cat>
          <c:val>
            <c:numRef>
              <c:f>Salary_Analysis!$B$5:$B$10</c:f>
              <c:numCache>
                <c:formatCode>0</c:formatCode>
                <c:ptCount val="6"/>
                <c:pt idx="0">
                  <c:v>0</c:v>
                </c:pt>
                <c:pt idx="1">
                  <c:v>597</c:v>
                </c:pt>
                <c:pt idx="2">
                  <c:v>1547</c:v>
                </c:pt>
                <c:pt idx="3">
                  <c:v>162</c:v>
                </c:pt>
                <c:pt idx="4">
                  <c:v>370</c:v>
                </c:pt>
                <c:pt idx="5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7-4383-9BFF-74B861A9C59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Students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Recruiting Companies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Pivot_Tables!$B$64</c:f>
              <c:strCache>
                <c:ptCount val="1"/>
                <c:pt idx="0">
                  <c:v>Count of Student_ID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4D-45E6-8232-F51D69EED819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54D-45E6-8232-F51D69EED819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54D-45E6-8232-F51D69EED819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754D-45E6-8232-F51D69EED819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754D-45E6-8232-F51D69EED819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754D-45E6-8232-F51D69EED819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754D-45E6-8232-F51D69EED819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754D-45E6-8232-F51D69EED819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754D-45E6-8232-F51D69EED819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4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754D-45E6-8232-F51D69EED8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Pivot_Tables!$A$65:$A$74</c:f>
              <c:strCache>
                <c:ptCount val="10"/>
                <c:pt idx="0">
                  <c:v>Accenture</c:v>
                </c:pt>
                <c:pt idx="1">
                  <c:v>Amazon</c:v>
                </c:pt>
                <c:pt idx="2">
                  <c:v>Capgemini</c:v>
                </c:pt>
                <c:pt idx="3">
                  <c:v>Cognizant</c:v>
                </c:pt>
                <c:pt idx="4">
                  <c:v>Deloitte</c:v>
                </c:pt>
                <c:pt idx="5">
                  <c:v>IBM</c:v>
                </c:pt>
                <c:pt idx="6">
                  <c:v>Infosys</c:v>
                </c:pt>
                <c:pt idx="7">
                  <c:v>Microsoft</c:v>
                </c:pt>
                <c:pt idx="8">
                  <c:v>TCS</c:v>
                </c:pt>
                <c:pt idx="9">
                  <c:v>Wipro</c:v>
                </c:pt>
              </c:strCache>
            </c:strRef>
          </c:cat>
          <c:val>
            <c:numRef>
              <c:f>Pivot_Tables!$B$65:$B$74</c:f>
              <c:numCache>
                <c:formatCode>0</c:formatCode>
                <c:ptCount val="10"/>
                <c:pt idx="0">
                  <c:v>298</c:v>
                </c:pt>
                <c:pt idx="1">
                  <c:v>265</c:v>
                </c:pt>
                <c:pt idx="2">
                  <c:v>264</c:v>
                </c:pt>
                <c:pt idx="3">
                  <c:v>270</c:v>
                </c:pt>
                <c:pt idx="4">
                  <c:v>249</c:v>
                </c:pt>
                <c:pt idx="5">
                  <c:v>270</c:v>
                </c:pt>
                <c:pt idx="6">
                  <c:v>293</c:v>
                </c:pt>
                <c:pt idx="7">
                  <c:v>297</c:v>
                </c:pt>
                <c:pt idx="8">
                  <c:v>293</c:v>
                </c:pt>
                <c:pt idx="9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8-4E5F-97FB-AB4642BB855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Placement by Gender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Pivot_Tables!$B$124</c:f>
              <c:strCache>
                <c:ptCount val="1"/>
                <c:pt idx="0">
                  <c:v>Placed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Pivot_Tables!$A$125:$A$126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Pivot_Tables!$B$125:$B$126</c:f>
              <c:numCache>
                <c:formatCode>0</c:formatCode>
                <c:ptCount val="2"/>
                <c:pt idx="0">
                  <c:v>1587</c:v>
                </c:pt>
                <c:pt idx="1">
                  <c:v>1193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9-40B1-8A7F-7E0908F6C6F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Placement Status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Pivot_Tables!$B$4</c:f>
              <c:strCache>
                <c:ptCount val="1"/>
                <c:pt idx="0">
                  <c:v>Count of Student_ID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Pivot_Tables!$A$5:$A$6</c:f>
              <c:strCache>
                <c:ptCount val="2"/>
                <c:pt idx="0">
                  <c:v>Placed</c:v>
                </c:pt>
                <c:pt idx="1">
                  <c:v>Unplaced</c:v>
                </c:pt>
              </c:strCache>
            </c:strRef>
          </c:cat>
          <c:val>
            <c:numRef>
              <c:f>Pivot_Tables!$B$5:$B$6</c:f>
              <c:numCache>
                <c:formatCode>0</c:formatCode>
                <c:ptCount val="2"/>
                <c:pt idx="0">
                  <c:v>2780</c:v>
                </c:pt>
                <c:pt idx="1">
                  <c:v>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C-45A8-8C10-E7F5C60A131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Placement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Pivot_Tables!$B$24</c:f>
              <c:strCache>
                <c:ptCount val="1"/>
                <c:pt idx="0">
                  <c:v>Placed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Pivot_Tables!$A$25:$A$31</c:f>
              <c:strCache>
                <c:ptCount val="7"/>
                <c:pt idx="0">
                  <c:v>AIML</c:v>
                </c:pt>
                <c:pt idx="1">
                  <c:v>CIVIL</c:v>
                </c:pt>
                <c:pt idx="2">
                  <c:v>CSE</c:v>
                </c:pt>
                <c:pt idx="3">
                  <c:v>ECE</c:v>
                </c:pt>
                <c:pt idx="4">
                  <c:v>EEE</c:v>
                </c:pt>
                <c:pt idx="5">
                  <c:v>IT</c:v>
                </c:pt>
                <c:pt idx="6">
                  <c:v>MECH</c:v>
                </c:pt>
              </c:strCache>
            </c:strRef>
          </c:cat>
          <c:val>
            <c:numRef>
              <c:f>Pivot_Tables!$B$25:$B$31</c:f>
              <c:numCache>
                <c:formatCode>0</c:formatCode>
                <c:ptCount val="7"/>
                <c:pt idx="0">
                  <c:v>308</c:v>
                </c:pt>
                <c:pt idx="1">
                  <c:v>291</c:v>
                </c:pt>
                <c:pt idx="2">
                  <c:v>708</c:v>
                </c:pt>
                <c:pt idx="3">
                  <c:v>419</c:v>
                </c:pt>
                <c:pt idx="4">
                  <c:v>270</c:v>
                </c:pt>
                <c:pt idx="5">
                  <c:v>439</c:v>
                </c:pt>
                <c:pt idx="6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B-4AA0-8D99-CD26202CF04C}"/>
            </c:ext>
          </c:extLst>
        </c:ser>
        <c:ser>
          <c:idx val="1"/>
          <c:order val="1"/>
          <c:tx>
            <c:strRef>
              <c:f>Pivot_Tables!$C$24</c:f>
              <c:strCache>
                <c:ptCount val="1"/>
                <c:pt idx="0">
                  <c:v>Unplaced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Pivot_Tables!$A$25:$A$31</c:f>
              <c:strCache>
                <c:ptCount val="7"/>
                <c:pt idx="0">
                  <c:v>AIML</c:v>
                </c:pt>
                <c:pt idx="1">
                  <c:v>CIVIL</c:v>
                </c:pt>
                <c:pt idx="2">
                  <c:v>CSE</c:v>
                </c:pt>
                <c:pt idx="3">
                  <c:v>ECE</c:v>
                </c:pt>
                <c:pt idx="4">
                  <c:v>EEE</c:v>
                </c:pt>
                <c:pt idx="5">
                  <c:v>IT</c:v>
                </c:pt>
                <c:pt idx="6">
                  <c:v>MECH</c:v>
                </c:pt>
              </c:strCache>
            </c:strRef>
          </c:cat>
          <c:val>
            <c:numRef>
              <c:f>Pivot_Tables!$C$25:$C$31</c:f>
              <c:numCache>
                <c:formatCode>0</c:formatCode>
                <c:ptCount val="7"/>
                <c:pt idx="0">
                  <c:v>86</c:v>
                </c:pt>
                <c:pt idx="1">
                  <c:v>78</c:v>
                </c:pt>
                <c:pt idx="2">
                  <c:v>186</c:v>
                </c:pt>
                <c:pt idx="3">
                  <c:v>126</c:v>
                </c:pt>
                <c:pt idx="4">
                  <c:v>59</c:v>
                </c:pt>
                <c:pt idx="5">
                  <c:v>116</c:v>
                </c:pt>
                <c:pt idx="6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CB-4AA0-8D99-CD26202CF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Students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Placement Trend by Academic Year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Pivot_Tables!$C$44</c:f>
              <c:strCache>
                <c:ptCount val="1"/>
                <c:pt idx="0">
                  <c:v>Placement Rate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Pivot_Tables!$A$45:$A$49</c:f>
              <c:strCache>
                <c:ptCount val="5"/>
                <c:pt idx="0">
                  <c:v>2021-22</c:v>
                </c:pt>
                <c:pt idx="1">
                  <c:v>2022-23</c:v>
                </c:pt>
                <c:pt idx="2">
                  <c:v>2023-24</c:v>
                </c:pt>
                <c:pt idx="3">
                  <c:v>2024-25</c:v>
                </c:pt>
                <c:pt idx="4">
                  <c:v>2025-26</c:v>
                </c:pt>
              </c:strCache>
            </c:strRef>
          </c:cat>
          <c:val>
            <c:numRef>
              <c:f>Pivot_Tables!$C$45:$C$49</c:f>
              <c:numCache>
                <c:formatCode>0.0%</c:formatCode>
                <c:ptCount val="5"/>
                <c:pt idx="0">
                  <c:v>0.79526462395543174</c:v>
                </c:pt>
                <c:pt idx="1">
                  <c:v>0.79197622585438332</c:v>
                </c:pt>
                <c:pt idx="2">
                  <c:v>0.81081081081081086</c:v>
                </c:pt>
                <c:pt idx="3">
                  <c:v>0.7799174690508941</c:v>
                </c:pt>
                <c:pt idx="4">
                  <c:v>0.79469273743016755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C0-4388-BF4E-BB6962934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Placement Rate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Recruiting Companies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Pivot_Tables!$B$64</c:f>
              <c:strCache>
                <c:ptCount val="1"/>
                <c:pt idx="0">
                  <c:v>Count of Student_ID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Pivot_Tables!$A$65:$A$74</c:f>
              <c:strCache>
                <c:ptCount val="10"/>
                <c:pt idx="0">
                  <c:v>Accenture</c:v>
                </c:pt>
                <c:pt idx="1">
                  <c:v>Amazon</c:v>
                </c:pt>
                <c:pt idx="2">
                  <c:v>Capgemini</c:v>
                </c:pt>
                <c:pt idx="3">
                  <c:v>Cognizant</c:v>
                </c:pt>
                <c:pt idx="4">
                  <c:v>Deloitte</c:v>
                </c:pt>
                <c:pt idx="5">
                  <c:v>IBM</c:v>
                </c:pt>
                <c:pt idx="6">
                  <c:v>Infosys</c:v>
                </c:pt>
                <c:pt idx="7">
                  <c:v>Microsoft</c:v>
                </c:pt>
                <c:pt idx="8">
                  <c:v>TCS</c:v>
                </c:pt>
                <c:pt idx="9">
                  <c:v>Wipro</c:v>
                </c:pt>
              </c:strCache>
            </c:strRef>
          </c:cat>
          <c:val>
            <c:numRef>
              <c:f>Pivot_Tables!$B$65:$B$74</c:f>
              <c:numCache>
                <c:formatCode>0</c:formatCode>
                <c:ptCount val="10"/>
                <c:pt idx="0">
                  <c:v>298</c:v>
                </c:pt>
                <c:pt idx="1">
                  <c:v>265</c:v>
                </c:pt>
                <c:pt idx="2">
                  <c:v>264</c:v>
                </c:pt>
                <c:pt idx="3">
                  <c:v>270</c:v>
                </c:pt>
                <c:pt idx="4">
                  <c:v>249</c:v>
                </c:pt>
                <c:pt idx="5">
                  <c:v>270</c:v>
                </c:pt>
                <c:pt idx="6">
                  <c:v>293</c:v>
                </c:pt>
                <c:pt idx="7">
                  <c:v>297</c:v>
                </c:pt>
                <c:pt idx="8">
                  <c:v>293</c:v>
                </c:pt>
                <c:pt idx="9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25-4712-BE37-C6CFCEB5A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Students Hired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Package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Pivot_Tables!$B$84</c:f>
              <c:strCache>
                <c:ptCount val="1"/>
                <c:pt idx="0">
                  <c:v>Average Package_LPA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Pivot_Tables!$A$85:$A$91</c:f>
              <c:strCache>
                <c:ptCount val="7"/>
                <c:pt idx="0">
                  <c:v>AIML</c:v>
                </c:pt>
                <c:pt idx="1">
                  <c:v>CIVIL</c:v>
                </c:pt>
                <c:pt idx="2">
                  <c:v>CSE</c:v>
                </c:pt>
                <c:pt idx="3">
                  <c:v>ECE</c:v>
                </c:pt>
                <c:pt idx="4">
                  <c:v>EEE</c:v>
                </c:pt>
                <c:pt idx="5">
                  <c:v>IT</c:v>
                </c:pt>
                <c:pt idx="6">
                  <c:v>MECH</c:v>
                </c:pt>
              </c:strCache>
            </c:strRef>
          </c:cat>
          <c:val>
            <c:numRef>
              <c:f>Pivot_Tables!$B$85:$B$91</c:f>
              <c:numCache>
                <c:formatCode>0.00</c:formatCode>
                <c:ptCount val="7"/>
                <c:pt idx="0">
                  <c:v>9.216396103896102</c:v>
                </c:pt>
                <c:pt idx="1">
                  <c:v>9.32704467353952</c:v>
                </c:pt>
                <c:pt idx="2">
                  <c:v>9.0775564971751344</c:v>
                </c:pt>
                <c:pt idx="3">
                  <c:v>9.3092601431980952</c:v>
                </c:pt>
                <c:pt idx="4">
                  <c:v>8.7347777777777758</c:v>
                </c:pt>
                <c:pt idx="5">
                  <c:v>8.9116173120728881</c:v>
                </c:pt>
                <c:pt idx="6">
                  <c:v>9.3765797101449202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2-42EF-8778-212076E79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LPA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Package by Company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Pivot_Tables!$B$104</c:f>
              <c:strCache>
                <c:ptCount val="1"/>
                <c:pt idx="0">
                  <c:v>Average Package_LPA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Pivot_Tables!$A$105:$A$114</c:f>
              <c:strCache>
                <c:ptCount val="10"/>
                <c:pt idx="0">
                  <c:v>Accenture</c:v>
                </c:pt>
                <c:pt idx="1">
                  <c:v>Amazon</c:v>
                </c:pt>
                <c:pt idx="2">
                  <c:v>Capgemini</c:v>
                </c:pt>
                <c:pt idx="3">
                  <c:v>Cognizant</c:v>
                </c:pt>
                <c:pt idx="4">
                  <c:v>Deloitte</c:v>
                </c:pt>
                <c:pt idx="5">
                  <c:v>IBM</c:v>
                </c:pt>
                <c:pt idx="6">
                  <c:v>Infosys</c:v>
                </c:pt>
                <c:pt idx="7">
                  <c:v>Microsoft</c:v>
                </c:pt>
                <c:pt idx="8">
                  <c:v>TCS</c:v>
                </c:pt>
                <c:pt idx="9">
                  <c:v>Wipro</c:v>
                </c:pt>
              </c:strCache>
            </c:strRef>
          </c:cat>
          <c:val>
            <c:numRef>
              <c:f>Pivot_Tables!$B$105:$B$114</c:f>
              <c:numCache>
                <c:formatCode>0.00</c:formatCode>
                <c:ptCount val="10"/>
                <c:pt idx="0">
                  <c:v>7.017684563758392</c:v>
                </c:pt>
                <c:pt idx="1">
                  <c:v>15.48498113207547</c:v>
                </c:pt>
                <c:pt idx="2">
                  <c:v>6.8153787878787853</c:v>
                </c:pt>
                <c:pt idx="3">
                  <c:v>6.4715185185185202</c:v>
                </c:pt>
                <c:pt idx="4">
                  <c:v>9.0563855421686856</c:v>
                </c:pt>
                <c:pt idx="5">
                  <c:v>8.4452962962963003</c:v>
                </c:pt>
                <c:pt idx="6">
                  <c:v>6.2783617747440275</c:v>
                </c:pt>
                <c:pt idx="7">
                  <c:v>19.557710437710433</c:v>
                </c:pt>
                <c:pt idx="8">
                  <c:v>5.9132081911262793</c:v>
                </c:pt>
                <c:pt idx="9">
                  <c:v>6.1509608540925296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3-4477-B845-88A6A507D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LPA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Placement by Gender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Pivot_Tables!$B$124</c:f>
              <c:strCache>
                <c:ptCount val="1"/>
                <c:pt idx="0">
                  <c:v>Placed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Pivot_Tables!$A$125:$A$126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Pivot_Tables!$B$125:$B$126</c:f>
              <c:numCache>
                <c:formatCode>0</c:formatCode>
                <c:ptCount val="2"/>
                <c:pt idx="0">
                  <c:v>1587</c:v>
                </c:pt>
                <c:pt idx="1">
                  <c:v>1193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5-460D-9A97-18B3A3B557F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Industry-wise Hiring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Pivot_Tables!$B$144</c:f>
              <c:strCache>
                <c:ptCount val="1"/>
                <c:pt idx="0">
                  <c:v>Count of Student_ID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Pivot_Tables!$A$145:$A$148</c:f>
              <c:strCache>
                <c:ptCount val="4"/>
                <c:pt idx="0">
                  <c:v>Consulting</c:v>
                </c:pt>
                <c:pt idx="1">
                  <c:v>E-commerce</c:v>
                </c:pt>
                <c:pt idx="2">
                  <c:v>IT Services</c:v>
                </c:pt>
                <c:pt idx="3">
                  <c:v>Software Product</c:v>
                </c:pt>
              </c:strCache>
            </c:strRef>
          </c:cat>
          <c:val>
            <c:numRef>
              <c:f>Pivot_Tables!$B$145:$B$148</c:f>
              <c:numCache>
                <c:formatCode>0</c:formatCode>
                <c:ptCount val="4"/>
                <c:pt idx="0">
                  <c:v>811</c:v>
                </c:pt>
                <c:pt idx="1">
                  <c:v>265</c:v>
                </c:pt>
                <c:pt idx="2">
                  <c:v>1137</c:v>
                </c:pt>
                <c:pt idx="3">
                  <c:v>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9-4842-9B41-0BBD77D8D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Students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Students Hired by Job Role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Pivot_Tables!$B$164</c:f>
              <c:strCache>
                <c:ptCount val="1"/>
                <c:pt idx="0">
                  <c:v>Count of Student_ID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Pivot_Tables!$A$165:$A$171</c:f>
              <c:strCache>
                <c:ptCount val="7"/>
                <c:pt idx="0">
                  <c:v>Business Analyst</c:v>
                </c:pt>
                <c:pt idx="1">
                  <c:v>Cloud Engineer</c:v>
                </c:pt>
                <c:pt idx="2">
                  <c:v>Data Analyst</c:v>
                </c:pt>
                <c:pt idx="3">
                  <c:v>DevOps Engineer</c:v>
                </c:pt>
                <c:pt idx="4">
                  <c:v>Full Stack Developer</c:v>
                </c:pt>
                <c:pt idx="5">
                  <c:v>QA Engineer</c:v>
                </c:pt>
                <c:pt idx="6">
                  <c:v>Software Engineer</c:v>
                </c:pt>
              </c:strCache>
            </c:strRef>
          </c:cat>
          <c:val>
            <c:numRef>
              <c:f>Pivot_Tables!$B$165:$B$171</c:f>
              <c:numCache>
                <c:formatCode>0</c:formatCode>
                <c:ptCount val="7"/>
                <c:pt idx="0">
                  <c:v>426</c:v>
                </c:pt>
                <c:pt idx="1">
                  <c:v>356</c:v>
                </c:pt>
                <c:pt idx="2">
                  <c:v>396</c:v>
                </c:pt>
                <c:pt idx="3">
                  <c:v>379</c:v>
                </c:pt>
                <c:pt idx="4">
                  <c:v>379</c:v>
                </c:pt>
                <c:pt idx="5">
                  <c:v>432</c:v>
                </c:pt>
                <c:pt idx="6">
                  <c:v>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A-4D82-A636-F66C05D1E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Students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Internship Count vs Placement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Pivot_Tables!$B$184</c:f>
              <c:strCache>
                <c:ptCount val="1"/>
                <c:pt idx="0">
                  <c:v>Placed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Pivot_Tables!$A$185:$A$188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Pivot_Tables!$B$185:$B$188</c:f>
              <c:numCache>
                <c:formatCode>0</c:formatCode>
                <c:ptCount val="4"/>
                <c:pt idx="0">
                  <c:v>442</c:v>
                </c:pt>
                <c:pt idx="1">
                  <c:v>1179</c:v>
                </c:pt>
                <c:pt idx="2">
                  <c:v>836</c:v>
                </c:pt>
                <c:pt idx="3">
                  <c:v>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7-429F-8AC7-506C50ECBC32}"/>
            </c:ext>
          </c:extLst>
        </c:ser>
        <c:ser>
          <c:idx val="1"/>
          <c:order val="1"/>
          <c:tx>
            <c:strRef>
              <c:f>Pivot_Tables!$C$184</c:f>
              <c:strCache>
                <c:ptCount val="1"/>
                <c:pt idx="0">
                  <c:v>Unplaced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Pivot_Tables!$A$185:$A$188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Pivot_Tables!$C$185:$C$188</c:f>
              <c:numCache>
                <c:formatCode>0</c:formatCode>
                <c:ptCount val="4"/>
                <c:pt idx="0">
                  <c:v>170</c:v>
                </c:pt>
                <c:pt idx="1">
                  <c:v>308</c:v>
                </c:pt>
                <c:pt idx="2">
                  <c:v>191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27-429F-8AC7-506C50ECB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Students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Certifications vs Placement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Pivot_Tables!$B$204</c:f>
              <c:strCache>
                <c:ptCount val="1"/>
                <c:pt idx="0">
                  <c:v>Placed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Pivot_Tables!$A$205:$A$210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Pivot_Tables!$B$205:$B$210</c:f>
              <c:numCache>
                <c:formatCode>0</c:formatCode>
                <c:ptCount val="6"/>
                <c:pt idx="0">
                  <c:v>397</c:v>
                </c:pt>
                <c:pt idx="1">
                  <c:v>692</c:v>
                </c:pt>
                <c:pt idx="2">
                  <c:v>733</c:v>
                </c:pt>
                <c:pt idx="3">
                  <c:v>566</c:v>
                </c:pt>
                <c:pt idx="4">
                  <c:v>289</c:v>
                </c:pt>
                <c:pt idx="5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D-4FA1-9D76-C05ADBCC2E3C}"/>
            </c:ext>
          </c:extLst>
        </c:ser>
        <c:ser>
          <c:idx val="1"/>
          <c:order val="1"/>
          <c:tx>
            <c:strRef>
              <c:f>Pivot_Tables!$C$204</c:f>
              <c:strCache>
                <c:ptCount val="1"/>
                <c:pt idx="0">
                  <c:v>Unplaced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Pivot_Tables!$A$205:$A$210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Pivot_Tables!$C$205:$C$210</c:f>
              <c:numCache>
                <c:formatCode>0</c:formatCode>
                <c:ptCount val="6"/>
                <c:pt idx="0">
                  <c:v>118</c:v>
                </c:pt>
                <c:pt idx="1">
                  <c:v>200</c:v>
                </c:pt>
                <c:pt idx="2">
                  <c:v>202</c:v>
                </c:pt>
                <c:pt idx="3">
                  <c:v>114</c:v>
                </c:pt>
                <c:pt idx="4">
                  <c:v>64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DD-4FA1-9D76-C05ADBCC2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Students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Package Distribution (Placed Students)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Salary_Analysis!$B$4</c:f>
              <c:strCache>
                <c:ptCount val="1"/>
                <c:pt idx="0">
                  <c:v>Number of Students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Salary_Analysis!$A$5:$A$10</c:f>
              <c:strCache>
                <c:ptCount val="6"/>
                <c:pt idx="0">
                  <c:v>0-3 LPA</c:v>
                </c:pt>
                <c:pt idx="1">
                  <c:v>3-6 LPA</c:v>
                </c:pt>
                <c:pt idx="2">
                  <c:v>6-10 LPA</c:v>
                </c:pt>
                <c:pt idx="3">
                  <c:v>10-15 LPA</c:v>
                </c:pt>
                <c:pt idx="4">
                  <c:v>15-20 LPA</c:v>
                </c:pt>
                <c:pt idx="5">
                  <c:v>20+ LPA</c:v>
                </c:pt>
              </c:strCache>
            </c:strRef>
          </c:cat>
          <c:val>
            <c:numRef>
              <c:f>Salary_Analysis!$B$5:$B$10</c:f>
              <c:numCache>
                <c:formatCode>0</c:formatCode>
                <c:ptCount val="6"/>
                <c:pt idx="0">
                  <c:v>0</c:v>
                </c:pt>
                <c:pt idx="1">
                  <c:v>597</c:v>
                </c:pt>
                <c:pt idx="2">
                  <c:v>1547</c:v>
                </c:pt>
                <c:pt idx="3">
                  <c:v>162</c:v>
                </c:pt>
                <c:pt idx="4">
                  <c:v>370</c:v>
                </c:pt>
                <c:pt idx="5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F-4AB9-A968-A45B8CCBD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Students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Score-Based Factors: Placed vs Unplaced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Student_Analysis!$B$4</c:f>
              <c:strCache>
                <c:ptCount val="1"/>
                <c:pt idx="0">
                  <c:v>Avg (Placed)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Student_Analysis!$A$5:$A$9</c:f>
              <c:strCache>
                <c:ptCount val="5"/>
                <c:pt idx="0">
                  <c:v>CGPA</c:v>
                </c:pt>
                <c:pt idx="1">
                  <c:v>Attendance (%)</c:v>
                </c:pt>
                <c:pt idx="2">
                  <c:v>Internships</c:v>
                </c:pt>
                <c:pt idx="3">
                  <c:v>Certifications</c:v>
                </c:pt>
                <c:pt idx="4">
                  <c:v>Projects Completed</c:v>
                </c:pt>
              </c:strCache>
            </c:strRef>
          </c:cat>
          <c:val>
            <c:numRef>
              <c:f>Student_Analysis!$B$5:$B$9</c:f>
              <c:numCache>
                <c:formatCode>0.0</c:formatCode>
                <c:ptCount val="5"/>
                <c:pt idx="0" formatCode="0.00">
                  <c:v>7.7593381294964141</c:v>
                </c:pt>
                <c:pt idx="1">
                  <c:v>82.14366906474838</c:v>
                </c:pt>
                <c:pt idx="2" formatCode="0.00">
                  <c:v>1.3741007194244603</c:v>
                </c:pt>
                <c:pt idx="3" formatCode="0.00">
                  <c:v>1.9881294964028777</c:v>
                </c:pt>
                <c:pt idx="4" formatCode="0.00">
                  <c:v>3.7151079136690646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F-40F1-BF47-2F21C49A2AE4}"/>
            </c:ext>
          </c:extLst>
        </c:ser>
        <c:ser>
          <c:idx val="1"/>
          <c:order val="1"/>
          <c:tx>
            <c:strRef>
              <c:f>Student_Analysis!$C$4</c:f>
              <c:strCache>
                <c:ptCount val="1"/>
                <c:pt idx="0">
                  <c:v>Avg (Unplaced)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Student_Analysis!$A$5:$A$9</c:f>
              <c:strCache>
                <c:ptCount val="5"/>
                <c:pt idx="0">
                  <c:v>CGPA</c:v>
                </c:pt>
                <c:pt idx="1">
                  <c:v>Attendance (%)</c:v>
                </c:pt>
                <c:pt idx="2">
                  <c:v>Internships</c:v>
                </c:pt>
                <c:pt idx="3">
                  <c:v>Certifications</c:v>
                </c:pt>
                <c:pt idx="4">
                  <c:v>Projects Completed</c:v>
                </c:pt>
              </c:strCache>
            </c:strRef>
          </c:cat>
          <c:val>
            <c:numRef>
              <c:f>Student_Analysis!$C$5:$C$9</c:f>
              <c:numCache>
                <c:formatCode>0.0</c:formatCode>
                <c:ptCount val="5"/>
                <c:pt idx="0" formatCode="0.00">
                  <c:v>7.260694444444443</c:v>
                </c:pt>
                <c:pt idx="1">
                  <c:v>81.088194444444468</c:v>
                </c:pt>
                <c:pt idx="2" formatCode="0.00">
                  <c:v>1.1708333333333334</c:v>
                </c:pt>
                <c:pt idx="3" formatCode="0.00">
                  <c:v>1.8222222222222222</c:v>
                </c:pt>
                <c:pt idx="4" formatCode="0.00">
                  <c:v>3.5333333333333332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4F-40F1-BF47-2F21C49A2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Count-Based Factors: Placed vs Unplaced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Student_Analysis!$B$9</c:f>
              <c:strCache>
                <c:ptCount val="1"/>
                <c:pt idx="0">
                  <c:v>3.72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Student_Analysis!$A$10:$A$13</c:f>
              <c:strCache>
                <c:ptCount val="4"/>
                <c:pt idx="0">
                  <c:v>Aptitude Score</c:v>
                </c:pt>
                <c:pt idx="1">
                  <c:v>Technical Score</c:v>
                </c:pt>
                <c:pt idx="2">
                  <c:v>HR Score</c:v>
                </c:pt>
                <c:pt idx="3">
                  <c:v>Backlogs</c:v>
                </c:pt>
              </c:strCache>
            </c:strRef>
          </c:cat>
          <c:val>
            <c:numRef>
              <c:f>Student_Analysis!$B$10:$B$13</c:f>
              <c:numCache>
                <c:formatCode>0.0</c:formatCode>
                <c:ptCount val="4"/>
                <c:pt idx="0">
                  <c:v>67.730107913669158</c:v>
                </c:pt>
                <c:pt idx="1">
                  <c:v>70.351618705035861</c:v>
                </c:pt>
                <c:pt idx="2">
                  <c:v>73.788453237410096</c:v>
                </c:pt>
                <c:pt idx="3" formatCode="0.00">
                  <c:v>0.36798561151079134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0-447D-BDCF-80A5E3CC7B9A}"/>
            </c:ext>
          </c:extLst>
        </c:ser>
        <c:ser>
          <c:idx val="1"/>
          <c:order val="1"/>
          <c:tx>
            <c:strRef>
              <c:f>Student_Analysis!$C$9</c:f>
              <c:strCache>
                <c:ptCount val="1"/>
                <c:pt idx="0">
                  <c:v>3.53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Student_Analysis!$A$10:$A$13</c:f>
              <c:strCache>
                <c:ptCount val="4"/>
                <c:pt idx="0">
                  <c:v>Aptitude Score</c:v>
                </c:pt>
                <c:pt idx="1">
                  <c:v>Technical Score</c:v>
                </c:pt>
                <c:pt idx="2">
                  <c:v>HR Score</c:v>
                </c:pt>
                <c:pt idx="3">
                  <c:v>Backlogs</c:v>
                </c:pt>
              </c:strCache>
            </c:strRef>
          </c:cat>
          <c:val>
            <c:numRef>
              <c:f>Student_Analysis!$C$10:$C$13</c:f>
              <c:numCache>
                <c:formatCode>0.0</c:formatCode>
                <c:ptCount val="4"/>
                <c:pt idx="0">
                  <c:v>68.440694444444503</c:v>
                </c:pt>
                <c:pt idx="1">
                  <c:v>68.345416666666765</c:v>
                </c:pt>
                <c:pt idx="2">
                  <c:v>73.37555555555565</c:v>
                </c:pt>
                <c:pt idx="3" formatCode="0.00">
                  <c:v>0.55138888888888893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C0-447D-BDCF-80A5E3CC7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Placement Rate by CGPA Band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Student_Analysis!$C$22</c:f>
              <c:strCache>
                <c:ptCount val="1"/>
                <c:pt idx="0">
                  <c:v>Placement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Student_Analysis!$A$23:$A$27</c:f>
              <c:strCache>
                <c:ptCount val="5"/>
                <c:pt idx="0">
                  <c:v>&lt; 6.5</c:v>
                </c:pt>
                <c:pt idx="1">
                  <c:v>6.5 - 7.5</c:v>
                </c:pt>
                <c:pt idx="2">
                  <c:v>7.5 - 8.5</c:v>
                </c:pt>
                <c:pt idx="3">
                  <c:v>8.5 - 9.5</c:v>
                </c:pt>
                <c:pt idx="4">
                  <c:v>9.5 - 10.0</c:v>
                </c:pt>
              </c:strCache>
            </c:strRef>
          </c:cat>
          <c:val>
            <c:numRef>
              <c:f>Student_Analysis!$C$23:$C$27</c:f>
              <c:numCache>
                <c:formatCode>0.0%</c:formatCode>
                <c:ptCount val="5"/>
                <c:pt idx="0">
                  <c:v>0.62569832402234637</c:v>
                </c:pt>
                <c:pt idx="1">
                  <c:v>0.734375</c:v>
                </c:pt>
                <c:pt idx="2">
                  <c:v>0.841374269005848</c:v>
                </c:pt>
                <c:pt idx="3">
                  <c:v>0.8970588235294118</c:v>
                </c:pt>
                <c:pt idx="4">
                  <c:v>0.91025641025641024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3-4D3E-BE00-D9668AED5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Placement Rate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Placement Rate by Attendance Band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Student_Analysis!$C$29</c:f>
              <c:strCache>
                <c:ptCount val="1"/>
                <c:pt idx="0">
                  <c:v>Placement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Student_Analysis!$A$30:$A$34</c:f>
              <c:strCache>
                <c:ptCount val="5"/>
                <c:pt idx="0">
                  <c:v>&lt; 65%</c:v>
                </c:pt>
                <c:pt idx="1">
                  <c:v>65 - 75%</c:v>
                </c:pt>
                <c:pt idx="2">
                  <c:v>75 - 85%</c:v>
                </c:pt>
                <c:pt idx="3">
                  <c:v>85 - 95%</c:v>
                </c:pt>
                <c:pt idx="4">
                  <c:v>95 - 100%</c:v>
                </c:pt>
              </c:strCache>
            </c:strRef>
          </c:cat>
          <c:val>
            <c:numRef>
              <c:f>Student_Analysis!$C$30:$C$34</c:f>
              <c:numCache>
                <c:formatCode>0.0%</c:formatCode>
                <c:ptCount val="5"/>
                <c:pt idx="0">
                  <c:v>0.75257731958762886</c:v>
                </c:pt>
                <c:pt idx="1">
                  <c:v>0.75503875968992251</c:v>
                </c:pt>
                <c:pt idx="2">
                  <c:v>0.79863481228668942</c:v>
                </c:pt>
                <c:pt idx="3">
                  <c:v>0.81195756991321122</c:v>
                </c:pt>
                <c:pt idx="4">
                  <c:v>0.8125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0-486C-A8E7-EB1F19C49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Placement Rate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Recruiting Companies (Hiring 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Recruiter_Analysis!$B$3</c:f>
              <c:strCache>
                <c:ptCount val="1"/>
                <c:pt idx="0">
                  <c:v>Hiring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Recruiter_Analysis!$A$4:$A$13</c:f>
              <c:strCache>
                <c:ptCount val="10"/>
                <c:pt idx="0">
                  <c:v>Accenture</c:v>
                </c:pt>
                <c:pt idx="1">
                  <c:v>Microsoft</c:v>
                </c:pt>
                <c:pt idx="2">
                  <c:v>TCS</c:v>
                </c:pt>
                <c:pt idx="3">
                  <c:v>Infosys</c:v>
                </c:pt>
                <c:pt idx="4">
                  <c:v>Wipro</c:v>
                </c:pt>
                <c:pt idx="5">
                  <c:v>Cognizant</c:v>
                </c:pt>
                <c:pt idx="6">
                  <c:v>IBM</c:v>
                </c:pt>
                <c:pt idx="7">
                  <c:v>Amazon</c:v>
                </c:pt>
                <c:pt idx="8">
                  <c:v>Capgemini</c:v>
                </c:pt>
                <c:pt idx="9">
                  <c:v>Deloitte</c:v>
                </c:pt>
              </c:strCache>
            </c:strRef>
          </c:cat>
          <c:val>
            <c:numRef>
              <c:f>Recruiter_Analysis!$B$4:$B$13</c:f>
              <c:numCache>
                <c:formatCode>0</c:formatCode>
                <c:ptCount val="10"/>
                <c:pt idx="0">
                  <c:v>298</c:v>
                </c:pt>
                <c:pt idx="1">
                  <c:v>297</c:v>
                </c:pt>
                <c:pt idx="2">
                  <c:v>293</c:v>
                </c:pt>
                <c:pt idx="3">
                  <c:v>293</c:v>
                </c:pt>
                <c:pt idx="4">
                  <c:v>281</c:v>
                </c:pt>
                <c:pt idx="5">
                  <c:v>270</c:v>
                </c:pt>
                <c:pt idx="6">
                  <c:v>270</c:v>
                </c:pt>
                <c:pt idx="7">
                  <c:v>265</c:v>
                </c:pt>
                <c:pt idx="8">
                  <c:v>264</c:v>
                </c:pt>
                <c:pt idx="9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5-42B8-A0F1-0A7FD516A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Package by Recruiter (LPA)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Recruiter_Analysis!$C$3</c:f>
              <c:strCache>
                <c:ptCount val="1"/>
                <c:pt idx="0">
                  <c:v>Average Package (LPA)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Recruiter_Analysis!$A$4:$A$13</c:f>
              <c:strCache>
                <c:ptCount val="10"/>
                <c:pt idx="0">
                  <c:v>Accenture</c:v>
                </c:pt>
                <c:pt idx="1">
                  <c:v>Microsoft</c:v>
                </c:pt>
                <c:pt idx="2">
                  <c:v>TCS</c:v>
                </c:pt>
                <c:pt idx="3">
                  <c:v>Infosys</c:v>
                </c:pt>
                <c:pt idx="4">
                  <c:v>Wipro</c:v>
                </c:pt>
                <c:pt idx="5">
                  <c:v>Cognizant</c:v>
                </c:pt>
                <c:pt idx="6">
                  <c:v>IBM</c:v>
                </c:pt>
                <c:pt idx="7">
                  <c:v>Amazon</c:v>
                </c:pt>
                <c:pt idx="8">
                  <c:v>Capgemini</c:v>
                </c:pt>
                <c:pt idx="9">
                  <c:v>Deloitte</c:v>
                </c:pt>
              </c:strCache>
            </c:strRef>
          </c:cat>
          <c:val>
            <c:numRef>
              <c:f>Recruiter_Analysis!$C$4:$C$13</c:f>
              <c:numCache>
                <c:formatCode>0.00</c:formatCode>
                <c:ptCount val="10"/>
                <c:pt idx="0">
                  <c:v>7.017684563758392</c:v>
                </c:pt>
                <c:pt idx="1">
                  <c:v>19.557710437710433</c:v>
                </c:pt>
                <c:pt idx="2">
                  <c:v>5.9132081911262793</c:v>
                </c:pt>
                <c:pt idx="3">
                  <c:v>6.2783617747440275</c:v>
                </c:pt>
                <c:pt idx="4">
                  <c:v>6.1509608540925296</c:v>
                </c:pt>
                <c:pt idx="5">
                  <c:v>6.4715185185185202</c:v>
                </c:pt>
                <c:pt idx="6">
                  <c:v>8.4452962962963003</c:v>
                </c:pt>
                <c:pt idx="7">
                  <c:v>15.48498113207547</c:v>
                </c:pt>
                <c:pt idx="8">
                  <c:v>6.8153787878787853</c:v>
                </c:pt>
                <c:pt idx="9">
                  <c:v>9.0563855421686856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3-4F68-858A-95C0947BE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39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11</xdr:row>
      <xdr:rowOff>0</xdr:rowOff>
    </xdr:from>
    <xdr:ext cx="39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0</xdr:colOff>
      <xdr:row>11</xdr:row>
      <xdr:rowOff>0</xdr:rowOff>
    </xdr:from>
    <xdr:ext cx="39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28</xdr:row>
      <xdr:rowOff>0</xdr:rowOff>
    </xdr:from>
    <xdr:ext cx="396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</xdr:col>
      <xdr:colOff>0</xdr:colOff>
      <xdr:row>28</xdr:row>
      <xdr:rowOff>0</xdr:rowOff>
    </xdr:from>
    <xdr:ext cx="396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12</xdr:col>
      <xdr:colOff>0</xdr:colOff>
      <xdr:row>28</xdr:row>
      <xdr:rowOff>0</xdr:rowOff>
    </xdr:from>
    <xdr:ext cx="3960000" cy="288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43</xdr:row>
      <xdr:rowOff>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63</xdr:row>
      <xdr:rowOff>0</xdr:rowOff>
    </xdr:from>
    <xdr:ext cx="576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83</xdr:row>
      <xdr:rowOff>0</xdr:rowOff>
    </xdr:from>
    <xdr:ext cx="576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5</xdr:col>
      <xdr:colOff>0</xdr:colOff>
      <xdr:row>103</xdr:row>
      <xdr:rowOff>0</xdr:rowOff>
    </xdr:from>
    <xdr:ext cx="5760000" cy="288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123</xdr:row>
      <xdr:rowOff>0</xdr:rowOff>
    </xdr:from>
    <xdr:ext cx="4320000" cy="288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5</xdr:col>
      <xdr:colOff>0</xdr:colOff>
      <xdr:row>143</xdr:row>
      <xdr:rowOff>0</xdr:rowOff>
    </xdr:from>
    <xdr:ext cx="5760000" cy="288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163</xdr:row>
      <xdr:rowOff>0</xdr:rowOff>
    </xdr:from>
    <xdr:ext cx="5760000" cy="288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5</xdr:col>
      <xdr:colOff>0</xdr:colOff>
      <xdr:row>183</xdr:row>
      <xdr:rowOff>0</xdr:rowOff>
    </xdr:from>
    <xdr:ext cx="5760000" cy="288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203</xdr:row>
      <xdr:rowOff>0</xdr:rowOff>
    </xdr:from>
    <xdr:ext cx="5760000" cy="288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19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35</xdr:row>
      <xdr:rowOff>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0</xdr:colOff>
      <xdr:row>51</xdr:row>
      <xdr:rowOff>0</xdr:rowOff>
    </xdr:from>
    <xdr:ext cx="576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33</xdr:row>
      <xdr:rowOff>0</xdr:rowOff>
    </xdr:from>
    <xdr:ext cx="61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lacement" displayName="tblPlacement" ref="A1:V3501">
  <autoFilter ref="A1:V3501" xr:uid="{00000000-0009-0000-0100-000001000000}"/>
  <tableColumns count="22">
    <tableColumn id="1" xr3:uid="{00000000-0010-0000-0000-000001000000}" name="Student_ID"/>
    <tableColumn id="2" xr3:uid="{00000000-0010-0000-0000-000002000000}" name="Academic_Year"/>
    <tableColumn id="3" xr3:uid="{00000000-0010-0000-0000-000003000000}" name="Department"/>
    <tableColumn id="4" xr3:uid="{00000000-0010-0000-0000-000004000000}" name="Gender"/>
    <tableColumn id="5" xr3:uid="{00000000-0010-0000-0000-000005000000}" name="Age"/>
    <tableColumn id="6" xr3:uid="{00000000-0010-0000-0000-000006000000}" name="CGPA"/>
    <tableColumn id="7" xr3:uid="{00000000-0010-0000-0000-000007000000}" name="Attendance_Percentage"/>
    <tableColumn id="8" xr3:uid="{00000000-0010-0000-0000-000008000000}" name="Internship_Count"/>
    <tableColumn id="9" xr3:uid="{00000000-0010-0000-0000-000009000000}" name="Certifications"/>
    <tableColumn id="10" xr3:uid="{00000000-0010-0000-0000-00000A000000}" name="Projects_Completed"/>
    <tableColumn id="11" xr3:uid="{00000000-0010-0000-0000-00000B000000}" name="Aptitude_Score"/>
    <tableColumn id="12" xr3:uid="{00000000-0010-0000-0000-00000C000000}" name="Technical_Score"/>
    <tableColumn id="13" xr3:uid="{00000000-0010-0000-0000-00000D000000}" name="HR_Score"/>
    <tableColumn id="14" xr3:uid="{00000000-0010-0000-0000-00000E000000}" name="Backlogs"/>
    <tableColumn id="15" xr3:uid="{00000000-0010-0000-0000-00000F000000}" name="Placement_Status"/>
    <tableColumn id="16" xr3:uid="{00000000-0010-0000-0000-000010000000}" name="Company"/>
    <tableColumn id="17" xr3:uid="{00000000-0010-0000-0000-000011000000}" name="Industry"/>
    <tableColumn id="18" xr3:uid="{00000000-0010-0000-0000-000012000000}" name="Job_Role"/>
    <tableColumn id="19" xr3:uid="{00000000-0010-0000-0000-000013000000}" name="Package_LPA"/>
    <tableColumn id="20" xr3:uid="{00000000-0010-0000-0000-000014000000}" name="Placement_Date"/>
    <tableColumn id="21" xr3:uid="{00000000-0010-0000-0000-000015000000}" name="Offer_Count"/>
    <tableColumn id="22" xr3:uid="{00000000-0010-0000-0000-000016000000}" name="Placement_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2"/>
  <sheetViews>
    <sheetView showGridLines="0" tabSelected="1" zoomScale="90" workbookViewId="0">
      <selection activeCell="N47" sqref="N47"/>
    </sheetView>
  </sheetViews>
  <sheetFormatPr defaultRowHeight="14.4" x14ac:dyDescent="0.3"/>
  <cols>
    <col min="1" max="18" width="11" customWidth="1"/>
  </cols>
  <sheetData>
    <row r="1" spans="1:18" ht="19.95" customHeight="1" x14ac:dyDescent="0.3">
      <c r="A1" s="63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</row>
    <row r="2" spans="1:18" ht="19.95" customHeight="1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</row>
    <row r="3" spans="1:18" ht="19.95" customHeight="1" x14ac:dyDescent="0.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</row>
    <row r="4" spans="1:18" ht="22.05" customHeight="1" x14ac:dyDescent="0.3">
      <c r="A4" s="58" t="s">
        <v>1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</row>
    <row r="6" spans="1:18" ht="19.95" customHeight="1" x14ac:dyDescent="0.3">
      <c r="A6" s="38" t="s">
        <v>2</v>
      </c>
      <c r="B6" s="39"/>
      <c r="C6" s="40"/>
      <c r="D6" s="38" t="s">
        <v>3</v>
      </c>
      <c r="E6" s="39"/>
      <c r="F6" s="40"/>
      <c r="G6" s="38" t="s">
        <v>4</v>
      </c>
      <c r="H6" s="39"/>
      <c r="I6" s="40"/>
      <c r="J6" s="38" t="s">
        <v>5</v>
      </c>
      <c r="K6" s="39"/>
      <c r="L6" s="40"/>
      <c r="M6" s="38" t="s">
        <v>6</v>
      </c>
      <c r="N6" s="39"/>
      <c r="O6" s="40"/>
      <c r="P6" s="38" t="s">
        <v>7</v>
      </c>
      <c r="Q6" s="39"/>
      <c r="R6" s="40"/>
    </row>
    <row r="7" spans="1:18" ht="18" customHeight="1" x14ac:dyDescent="0.3">
      <c r="A7" s="56">
        <f>Summary!B3</f>
        <v>3500</v>
      </c>
      <c r="B7" s="45"/>
      <c r="C7" s="46"/>
      <c r="D7" s="44">
        <f>Summary!B4</f>
        <v>2780</v>
      </c>
      <c r="E7" s="45"/>
      <c r="F7" s="46"/>
      <c r="G7" s="54">
        <f>Summary!B6</f>
        <v>0.79428571428571426</v>
      </c>
      <c r="H7" s="45"/>
      <c r="I7" s="46"/>
      <c r="J7" s="65">
        <f>Summary!B7</f>
        <v>9.1315899280575632</v>
      </c>
      <c r="K7" s="45"/>
      <c r="L7" s="46"/>
      <c r="M7" s="57">
        <f>Summary!B8</f>
        <v>23.34</v>
      </c>
      <c r="N7" s="45"/>
      <c r="O7" s="46"/>
      <c r="P7" s="44">
        <f>Summary!B10</f>
        <v>4181</v>
      </c>
      <c r="Q7" s="45"/>
      <c r="R7" s="46"/>
    </row>
    <row r="8" spans="1:18" ht="18" customHeight="1" x14ac:dyDescent="0.3">
      <c r="A8" s="47"/>
      <c r="B8" s="42"/>
      <c r="C8" s="48"/>
      <c r="D8" s="47"/>
      <c r="E8" s="42"/>
      <c r="F8" s="48"/>
      <c r="G8" s="47"/>
      <c r="H8" s="42"/>
      <c r="I8" s="48"/>
      <c r="J8" s="47"/>
      <c r="K8" s="42"/>
      <c r="L8" s="48"/>
      <c r="M8" s="47"/>
      <c r="N8" s="42"/>
      <c r="O8" s="48"/>
      <c r="P8" s="47"/>
      <c r="Q8" s="42"/>
      <c r="R8" s="48"/>
    </row>
    <row r="9" spans="1:18" ht="18" customHeight="1" x14ac:dyDescent="0.3">
      <c r="A9" s="49"/>
      <c r="B9" s="50"/>
      <c r="C9" s="51"/>
      <c r="D9" s="49"/>
      <c r="E9" s="50"/>
      <c r="F9" s="51"/>
      <c r="G9" s="49"/>
      <c r="H9" s="50"/>
      <c r="I9" s="51"/>
      <c r="J9" s="49"/>
      <c r="K9" s="50"/>
      <c r="L9" s="51"/>
      <c r="M9" s="49"/>
      <c r="N9" s="50"/>
      <c r="O9" s="51"/>
      <c r="P9" s="49"/>
      <c r="Q9" s="50"/>
      <c r="R9" s="51"/>
    </row>
    <row r="11" spans="1:18" ht="18" customHeight="1" x14ac:dyDescent="0.3">
      <c r="A11" s="60" t="s">
        <v>8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</row>
    <row r="28" spans="1:18" ht="18" customHeight="1" x14ac:dyDescent="0.3">
      <c r="A28" s="60" t="s">
        <v>9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</row>
    <row r="45" spans="1:18" ht="18" customHeight="1" x14ac:dyDescent="0.3">
      <c r="A45" s="60" t="s">
        <v>10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</row>
    <row r="46" spans="1:18" x14ac:dyDescent="0.3">
      <c r="B46" s="19" t="s">
        <v>11</v>
      </c>
      <c r="H46" s="19" t="s">
        <v>12</v>
      </c>
      <c r="N46" s="19" t="s">
        <v>13</v>
      </c>
    </row>
    <row r="47" spans="1:18" ht="15.6" x14ac:dyDescent="0.3">
      <c r="B47" s="37" t="s">
        <v>14</v>
      </c>
      <c r="H47" s="37" t="s">
        <v>14</v>
      </c>
      <c r="N47" s="37" t="s">
        <v>14</v>
      </c>
    </row>
    <row r="49" spans="1:18" x14ac:dyDescent="0.3">
      <c r="A49" s="43" t="s">
        <v>15</v>
      </c>
      <c r="B49" s="42"/>
      <c r="C49" s="42"/>
      <c r="D49" s="42"/>
      <c r="F49" s="43" t="s">
        <v>16</v>
      </c>
      <c r="G49" s="42"/>
      <c r="H49" s="42"/>
      <c r="I49" s="42"/>
      <c r="K49" s="43" t="s">
        <v>17</v>
      </c>
      <c r="L49" s="42"/>
      <c r="M49" s="42"/>
      <c r="O49" s="43" t="s">
        <v>18</v>
      </c>
      <c r="P49" s="42"/>
      <c r="Q49" s="42"/>
    </row>
    <row r="50" spans="1:18" ht="22.05" customHeight="1" x14ac:dyDescent="0.3">
      <c r="A50" s="64">
        <f>SUMPRODUCT((((Raw_Data!$C$2:$C$3501=$B$47)+($B$47="All"))&gt;0)*(((Raw_Data!$B$2:$B$3501=$H$47)+($H$47="All"))&gt;0)*(((Raw_Data!$D$2:$D$3501=$N$47)+($N$47="All"))&gt;0))</f>
        <v>3500</v>
      </c>
      <c r="B50" s="42"/>
      <c r="C50" s="42"/>
      <c r="D50" s="42"/>
      <c r="F50" s="64">
        <f>SUMPRODUCT((((Raw_Data!$C$2:$C$3501=$B$47)+($B$47="All"))&gt;0)*(((Raw_Data!$B$2:$B$3501=$H$47)+($H$47="All"))&gt;0)*(((Raw_Data!$D$2:$D$3501=$N$47)+($N$47="All"))&gt;0)*(Raw_Data!$O$2:$O$3501="Placed"))</f>
        <v>2780</v>
      </c>
      <c r="G50" s="42"/>
      <c r="H50" s="42"/>
      <c r="I50" s="42"/>
      <c r="K50" s="62">
        <f>IFERROR(F50/A50,0)</f>
        <v>0.79428571428571426</v>
      </c>
      <c r="L50" s="42"/>
      <c r="M50" s="42"/>
      <c r="O50" s="52">
        <f>IFERROR(SUMPRODUCT((((Raw_Data!$C$2:$C$3501=$B$47)+($B$47="All"))&gt;0)*(((Raw_Data!$B$2:$B$3501=$H$47)+($H$47="All"))&gt;0)*(((Raw_Data!$D$2:$D$3501=$N$47)+($N$47="All"))&gt;0)*(Raw_Data!$O$2:$O$3501="Placed")*Raw_Data!$S$2:$S$3501)/F50,0)</f>
        <v>9.1315899280575632</v>
      </c>
      <c r="P50" s="42"/>
      <c r="Q50" s="42"/>
    </row>
    <row r="53" spans="1:18" ht="18" customHeight="1" x14ac:dyDescent="0.3">
      <c r="A53" s="59" t="s">
        <v>19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</row>
    <row r="54" spans="1:18" x14ac:dyDescent="0.3">
      <c r="A54" s="53" t="s">
        <v>20</v>
      </c>
      <c r="B54" s="42"/>
      <c r="C54" s="42"/>
      <c r="D54" s="42"/>
      <c r="E54" s="42"/>
      <c r="F54" s="42"/>
      <c r="G54" s="42"/>
      <c r="H54" s="55" t="str">
        <f>INDEX(Pivot_Tables!$A$25:$A$31,MATCH(MAX(Pivot_Tables!$E$25:$E$31),Pivot_Tables!$E$25:$E$31,0))&amp;"  ("&amp;TEXT(MAX(Pivot_Tables!$E$25:$E$31),"0.0%")&amp;")"</f>
        <v>MECH  (83.3%)</v>
      </c>
      <c r="I54" s="42"/>
      <c r="J54" s="42"/>
      <c r="K54" s="42"/>
      <c r="L54" s="42"/>
      <c r="M54" s="42"/>
      <c r="N54" s="42"/>
      <c r="O54" s="42"/>
      <c r="P54" s="42"/>
      <c r="Q54" s="42"/>
      <c r="R54" s="42"/>
    </row>
    <row r="55" spans="1:18" x14ac:dyDescent="0.3">
      <c r="A55" s="61" t="s">
        <v>21</v>
      </c>
      <c r="B55" s="42"/>
      <c r="C55" s="42"/>
      <c r="D55" s="42"/>
      <c r="E55" s="42"/>
      <c r="F55" s="42"/>
      <c r="G55" s="42"/>
      <c r="H55" s="41" t="str">
        <f>INDEX(Pivot_Tables!$A$65:$A$74,MATCH(MAX(Pivot_Tables!$B$65:$B$74),Pivot_Tables!$B$65:$B$74,0))&amp;"  ("&amp;MAX(Pivot_Tables!$B$65:$B$74)&amp;" students)"</f>
        <v>Accenture  (298 students)</v>
      </c>
      <c r="I55" s="42"/>
      <c r="J55" s="42"/>
      <c r="K55" s="42"/>
      <c r="L55" s="42"/>
      <c r="M55" s="42"/>
      <c r="N55" s="42"/>
      <c r="O55" s="42"/>
      <c r="P55" s="42"/>
      <c r="Q55" s="42"/>
      <c r="R55" s="42"/>
    </row>
    <row r="56" spans="1:18" x14ac:dyDescent="0.3">
      <c r="A56" s="53" t="s">
        <v>22</v>
      </c>
      <c r="B56" s="42"/>
      <c r="C56" s="42"/>
      <c r="D56" s="42"/>
      <c r="E56" s="42"/>
      <c r="F56" s="42"/>
      <c r="G56" s="42"/>
      <c r="H56" s="55" t="str">
        <f>INDEX(Pivot_Tables!$A$105:$A$114,MATCH(MAX(Pivot_Tables!$B$105:$B$114),Pivot_Tables!$B$105:$B$114,0))&amp;"  ("&amp;TEXT(MAX(Pivot_Tables!$B$105:$B$114),"0.00")&amp;" LPA)"</f>
        <v>Microsoft  (19.56 LPA)</v>
      </c>
      <c r="I56" s="42"/>
      <c r="J56" s="42"/>
      <c r="K56" s="42"/>
      <c r="L56" s="42"/>
      <c r="M56" s="42"/>
      <c r="N56" s="42"/>
      <c r="O56" s="42"/>
      <c r="P56" s="42"/>
      <c r="Q56" s="42"/>
      <c r="R56" s="42"/>
    </row>
    <row r="57" spans="1:18" x14ac:dyDescent="0.3">
      <c r="A57" s="61" t="s">
        <v>23</v>
      </c>
      <c r="B57" s="42"/>
      <c r="C57" s="42"/>
      <c r="D57" s="42"/>
      <c r="E57" s="42"/>
      <c r="F57" s="42"/>
      <c r="G57" s="42"/>
      <c r="H57" s="41" t="str">
        <f>INDEX(Pivot_Tables!$A$85:$A$91,MATCH(MAX(Pivot_Tables!$B$85:$B$91),Pivot_Tables!$B$85:$B$91,0))&amp;"  ("&amp;TEXT(MAX(Pivot_Tables!$B$85:$B$91),"0.00")&amp;" LPA)"</f>
        <v>MECH  (9.38 LPA)</v>
      </c>
      <c r="I57" s="42"/>
      <c r="J57" s="42"/>
      <c r="K57" s="42"/>
      <c r="L57" s="42"/>
      <c r="M57" s="42"/>
      <c r="N57" s="42"/>
      <c r="O57" s="42"/>
      <c r="P57" s="42"/>
      <c r="Q57" s="42"/>
      <c r="R57" s="42"/>
    </row>
    <row r="58" spans="1:18" x14ac:dyDescent="0.3">
      <c r="A58" s="53" t="s">
        <v>24</v>
      </c>
      <c r="B58" s="42"/>
      <c r="C58" s="42"/>
      <c r="D58" s="42"/>
      <c r="E58" s="42"/>
      <c r="F58" s="42"/>
      <c r="G58" s="42"/>
      <c r="H58" s="55" t="str">
        <f>INDEX(Pivot_Tables!$A$45:$A$49,MATCH(MAX(Pivot_Tables!$C$45:$C$49),Pivot_Tables!$C$45:$C$49,0))&amp;"  ("&amp;TEXT(MAX(Pivot_Tables!$C$45:$C$49),"0.0%")&amp;")"</f>
        <v>2023-24  (81.1%)</v>
      </c>
      <c r="I58" s="42"/>
      <c r="J58" s="42"/>
      <c r="K58" s="42"/>
      <c r="L58" s="42"/>
      <c r="M58" s="42"/>
      <c r="N58" s="42"/>
      <c r="O58" s="42"/>
      <c r="P58" s="42"/>
      <c r="Q58" s="42"/>
      <c r="R58" s="42"/>
    </row>
    <row r="59" spans="1:18" x14ac:dyDescent="0.3">
      <c r="A59" s="61" t="s">
        <v>25</v>
      </c>
      <c r="B59" s="42"/>
      <c r="C59" s="42"/>
      <c r="D59" s="42"/>
      <c r="E59" s="42"/>
      <c r="F59" s="42"/>
      <c r="G59" s="42"/>
      <c r="H59" s="41" t="str">
        <f>TEXT(COUNTIFS(Raw_Data!$H$2:$H$3501,"&gt;0",Raw_Data!$O$2:$O$3501,"Placed")/COUNTIF(Raw_Data!$H$2:$H$3501,"&gt;0"),"0.0%")&amp;" vs "&amp;TEXT(COUNTIFS(Raw_Data!$H$2:$H$3501,0,Raw_Data!$O$2:$O$3501,"Placed")/COUNTIF(Raw_Data!$H$2:$H$3501,0),"0.0%")</f>
        <v>81.0% vs 72.2%</v>
      </c>
      <c r="I59" s="42"/>
      <c r="J59" s="42"/>
      <c r="K59" s="42"/>
      <c r="L59" s="42"/>
      <c r="M59" s="42"/>
      <c r="N59" s="42"/>
      <c r="O59" s="42"/>
      <c r="P59" s="42"/>
      <c r="Q59" s="42"/>
      <c r="R59" s="42"/>
    </row>
    <row r="60" spans="1:18" x14ac:dyDescent="0.3">
      <c r="A60" s="53" t="s">
        <v>26</v>
      </c>
      <c r="B60" s="42"/>
      <c r="C60" s="42"/>
      <c r="D60" s="42"/>
      <c r="E60" s="42"/>
      <c r="F60" s="42"/>
      <c r="G60" s="42"/>
      <c r="H60" s="55" t="str">
        <f>TEXT(COUNTIFS(Raw_Data!$I$2:$I$3501,"&gt;0",Raw_Data!$O$2:$O$3501,"Placed")/COUNTIF(Raw_Data!$I$2:$I$3501,"&gt;0"),"0.0%")&amp;" vs "&amp;TEXT(COUNTIFS(Raw_Data!$I$2:$I$3501,0,Raw_Data!$O$2:$O$3501,"Placed")/COUNTIF(Raw_Data!$I$2:$I$3501,0),"0.0%")</f>
        <v>79.8% vs 77.1%</v>
      </c>
      <c r="I60" s="42"/>
      <c r="J60" s="42"/>
      <c r="K60" s="42"/>
      <c r="L60" s="42"/>
      <c r="M60" s="42"/>
      <c r="N60" s="42"/>
      <c r="O60" s="42"/>
      <c r="P60" s="42"/>
      <c r="Q60" s="42"/>
      <c r="R60" s="42"/>
    </row>
    <row r="61" spans="1:18" x14ac:dyDescent="0.3">
      <c r="A61" s="61" t="s">
        <v>27</v>
      </c>
      <c r="B61" s="42"/>
      <c r="C61" s="42"/>
      <c r="D61" s="42"/>
      <c r="E61" s="42"/>
      <c r="F61" s="42"/>
      <c r="G61" s="42"/>
      <c r="H61" s="41" t="str">
        <f>TEXT(AVERAGEIF(Raw_Data!$O$2:$O$3501,"Placed",Raw_Data!$F$2:$F$3501),"0.00")&amp;" vs "&amp;TEXT(AVERAGEIF(Raw_Data!$O$2:$O$3501,"Unplaced",Raw_Data!$F$2:$F$3501),"0.00")</f>
        <v>7.76 vs 7.26</v>
      </c>
      <c r="I61" s="42"/>
      <c r="J61" s="42"/>
      <c r="K61" s="42"/>
      <c r="L61" s="42"/>
      <c r="M61" s="42"/>
      <c r="N61" s="42"/>
      <c r="O61" s="42"/>
      <c r="P61" s="42"/>
      <c r="Q61" s="42"/>
      <c r="R61" s="42"/>
    </row>
    <row r="62" spans="1:18" x14ac:dyDescent="0.3">
      <c r="A62" s="53" t="s">
        <v>28</v>
      </c>
      <c r="B62" s="42"/>
      <c r="C62" s="42"/>
      <c r="D62" s="42"/>
      <c r="E62" s="42"/>
      <c r="F62" s="42"/>
      <c r="G62" s="42"/>
      <c r="H62" s="55" t="str">
        <f>COUNTIF(Raw_Data!$U$2:$U$3501,"&gt;1")&amp;"  students out of "&amp;COUNTA(Raw_Data!$A$2:$A$3501)</f>
        <v>1085  students out of 3500</v>
      </c>
      <c r="I62" s="42"/>
      <c r="J62" s="42"/>
      <c r="K62" s="42"/>
      <c r="L62" s="42"/>
      <c r="M62" s="42"/>
      <c r="N62" s="42"/>
      <c r="O62" s="42"/>
      <c r="P62" s="42"/>
      <c r="Q62" s="42"/>
      <c r="R62" s="42"/>
    </row>
  </sheetData>
  <mergeCells count="44">
    <mergeCell ref="A1:R3"/>
    <mergeCell ref="P6:R6"/>
    <mergeCell ref="A61:G61"/>
    <mergeCell ref="H61:R61"/>
    <mergeCell ref="A28:R28"/>
    <mergeCell ref="A54:G54"/>
    <mergeCell ref="K49:M49"/>
    <mergeCell ref="H57:R57"/>
    <mergeCell ref="F50:I50"/>
    <mergeCell ref="A56:G56"/>
    <mergeCell ref="A50:D50"/>
    <mergeCell ref="A55:G55"/>
    <mergeCell ref="J7:L9"/>
    <mergeCell ref="A4:R4"/>
    <mergeCell ref="A53:R53"/>
    <mergeCell ref="A11:R11"/>
    <mergeCell ref="A6:C6"/>
    <mergeCell ref="D6:F6"/>
    <mergeCell ref="A49:D49"/>
    <mergeCell ref="J6:L6"/>
    <mergeCell ref="O49:Q49"/>
    <mergeCell ref="K50:M50"/>
    <mergeCell ref="G6:I6"/>
    <mergeCell ref="A45:R45"/>
    <mergeCell ref="A62:G62"/>
    <mergeCell ref="G7:I9"/>
    <mergeCell ref="H54:R54"/>
    <mergeCell ref="A7:C9"/>
    <mergeCell ref="M7:O9"/>
    <mergeCell ref="H58:R58"/>
    <mergeCell ref="A58:G58"/>
    <mergeCell ref="P7:R9"/>
    <mergeCell ref="A60:G60"/>
    <mergeCell ref="H56:R56"/>
    <mergeCell ref="H59:R59"/>
    <mergeCell ref="H60:R60"/>
    <mergeCell ref="A59:G59"/>
    <mergeCell ref="H62:R62"/>
    <mergeCell ref="A57:G57"/>
    <mergeCell ref="M6:O6"/>
    <mergeCell ref="H55:R55"/>
    <mergeCell ref="F49:I49"/>
    <mergeCell ref="D7:F9"/>
    <mergeCell ref="O50:Q50"/>
  </mergeCells>
  <dataValidations count="3">
    <dataValidation type="list" sqref="B47" xr:uid="{00000000-0002-0000-0000-000000000000}">
      <formula1>"All,AIML,CIVIL,CSE,ECE,EEE,IT,MECH"</formula1>
    </dataValidation>
    <dataValidation type="list" sqref="H47" xr:uid="{00000000-0002-0000-0000-000001000000}">
      <formula1>"All,2021-22,2022-23,2023-24,2024-25,2025-26"</formula1>
    </dataValidation>
    <dataValidation type="list" sqref="N47" xr:uid="{00000000-0002-0000-0000-000002000000}">
      <formula1>"All,Male,Female"</formula1>
    </dataValidation>
  </dataValidations>
  <printOptions horizontalCentered="1"/>
  <pageMargins left="0.3" right="0.3" top="0.4" bottom="0.4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3501"/>
  <sheetViews>
    <sheetView showGridLines="0" workbookViewId="0">
      <pane ySplit="1" topLeftCell="A2" activePane="bottomLeft" state="frozen"/>
      <selection pane="bottomLeft" activeCell="AA3475" sqref="AA3475"/>
    </sheetView>
  </sheetViews>
  <sheetFormatPr defaultRowHeight="14.4" x14ac:dyDescent="0.3"/>
  <cols>
    <col min="1" max="1" width="12" customWidth="1"/>
    <col min="2" max="2" width="13" customWidth="1"/>
    <col min="3" max="3" width="11" customWidth="1"/>
    <col min="4" max="4" width="9" customWidth="1"/>
    <col min="5" max="5" width="13.77734375" customWidth="1"/>
    <col min="6" max="6" width="7" customWidth="1"/>
    <col min="7" max="7" width="11" customWidth="1"/>
    <col min="8" max="8" width="9" customWidth="1"/>
    <col min="9" max="10" width="10" customWidth="1"/>
    <col min="11" max="14" width="9" customWidth="1"/>
    <col min="15" max="15" width="15" customWidth="1"/>
    <col min="16" max="16" width="12" customWidth="1"/>
    <col min="17" max="17" width="16" customWidth="1"/>
    <col min="18" max="18" width="19" customWidth="1"/>
    <col min="19" max="19" width="11" customWidth="1"/>
    <col min="20" max="20" width="14" customWidth="1"/>
    <col min="21" max="21" width="10" customWidth="1"/>
    <col min="22" max="22" width="14" customWidth="1"/>
    <col min="24" max="26" width="13" hidden="1" customWidth="1"/>
  </cols>
  <sheetData>
    <row r="1" spans="1:26" ht="22.05" customHeight="1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X1" s="2" t="s">
        <v>51</v>
      </c>
      <c r="Y1" s="2" t="s">
        <v>52</v>
      </c>
      <c r="Z1" s="2" t="s">
        <v>53</v>
      </c>
    </row>
    <row r="2" spans="1:26" x14ac:dyDescent="0.3">
      <c r="A2" t="s">
        <v>54</v>
      </c>
      <c r="B2" t="s">
        <v>55</v>
      </c>
      <c r="C2" t="s">
        <v>56</v>
      </c>
      <c r="D2" t="s">
        <v>57</v>
      </c>
      <c r="E2">
        <v>22</v>
      </c>
      <c r="F2" s="3">
        <v>6.54</v>
      </c>
      <c r="G2" s="4">
        <v>93.5</v>
      </c>
      <c r="H2">
        <v>1</v>
      </c>
      <c r="I2">
        <v>1</v>
      </c>
      <c r="J2">
        <v>6</v>
      </c>
      <c r="K2" s="4">
        <v>60.5</v>
      </c>
      <c r="L2" s="4">
        <v>97.7</v>
      </c>
      <c r="M2" s="4">
        <v>71.599999999999994</v>
      </c>
      <c r="N2">
        <v>1</v>
      </c>
      <c r="O2" t="s">
        <v>58</v>
      </c>
      <c r="P2" t="s">
        <v>59</v>
      </c>
      <c r="Q2" t="s">
        <v>60</v>
      </c>
      <c r="R2" t="s">
        <v>61</v>
      </c>
      <c r="S2" s="3">
        <v>19.829999999999998</v>
      </c>
      <c r="T2" s="5">
        <v>45505</v>
      </c>
      <c r="U2">
        <v>2</v>
      </c>
      <c r="V2">
        <v>2024</v>
      </c>
      <c r="X2">
        <f t="shared" ref="X2:X65" si="0">F2-ROW()*0.0000001</f>
        <v>6.5399998000000004</v>
      </c>
      <c r="Y2">
        <f t="shared" ref="Y2:Y65" si="1">S2-ROW()*0.0000001</f>
        <v>19.8299998</v>
      </c>
      <c r="Z2">
        <f t="shared" ref="Z2:Z65" si="2">L2-ROW()*0.0000001</f>
        <v>97.699999800000001</v>
      </c>
    </row>
    <row r="3" spans="1:26" x14ac:dyDescent="0.3">
      <c r="A3" t="s">
        <v>62</v>
      </c>
      <c r="B3" t="s">
        <v>63</v>
      </c>
      <c r="C3" t="s">
        <v>56</v>
      </c>
      <c r="D3" t="s">
        <v>57</v>
      </c>
      <c r="E3">
        <v>20</v>
      </c>
      <c r="F3" s="3">
        <v>6.16</v>
      </c>
      <c r="G3" s="4">
        <v>62.3</v>
      </c>
      <c r="H3">
        <v>1</v>
      </c>
      <c r="I3">
        <v>0</v>
      </c>
      <c r="J3">
        <v>6</v>
      </c>
      <c r="K3" s="4">
        <v>59.3</v>
      </c>
      <c r="L3" s="4">
        <v>88.1</v>
      </c>
      <c r="M3" s="4">
        <v>50.8</v>
      </c>
      <c r="N3">
        <v>0</v>
      </c>
      <c r="O3" t="s">
        <v>64</v>
      </c>
      <c r="P3" t="s">
        <v>65</v>
      </c>
      <c r="S3" s="3">
        <v>0</v>
      </c>
      <c r="T3" s="5"/>
      <c r="U3">
        <v>0</v>
      </c>
      <c r="V3">
        <v>2025</v>
      </c>
      <c r="X3">
        <f t="shared" si="0"/>
        <v>6.1599997000000002</v>
      </c>
      <c r="Y3">
        <f t="shared" si="1"/>
        <v>-2.9999999999999999E-7</v>
      </c>
      <c r="Z3">
        <f t="shared" si="2"/>
        <v>88.099999699999998</v>
      </c>
    </row>
    <row r="4" spans="1:26" x14ac:dyDescent="0.3">
      <c r="A4" t="s">
        <v>66</v>
      </c>
      <c r="B4" t="s">
        <v>67</v>
      </c>
      <c r="C4" t="s">
        <v>68</v>
      </c>
      <c r="D4" t="s">
        <v>69</v>
      </c>
      <c r="E4">
        <v>22</v>
      </c>
      <c r="F4" s="3">
        <v>7.27</v>
      </c>
      <c r="G4" s="4">
        <v>72.599999999999994</v>
      </c>
      <c r="H4">
        <v>2</v>
      </c>
      <c r="I4">
        <v>1</v>
      </c>
      <c r="J4">
        <v>5</v>
      </c>
      <c r="K4" s="4">
        <v>44.9</v>
      </c>
      <c r="L4" s="4">
        <v>57.8</v>
      </c>
      <c r="M4" s="4">
        <v>68.8</v>
      </c>
      <c r="N4">
        <v>1</v>
      </c>
      <c r="O4" t="s">
        <v>58</v>
      </c>
      <c r="P4" t="s">
        <v>70</v>
      </c>
      <c r="Q4" t="s">
        <v>71</v>
      </c>
      <c r="R4" t="s">
        <v>72</v>
      </c>
      <c r="S4" s="3">
        <v>5.07</v>
      </c>
      <c r="T4" s="5">
        <v>45187</v>
      </c>
      <c r="U4">
        <v>1</v>
      </c>
      <c r="V4">
        <v>2023</v>
      </c>
      <c r="X4">
        <f t="shared" si="0"/>
        <v>7.2699995999999993</v>
      </c>
      <c r="Y4">
        <f t="shared" si="1"/>
        <v>5.0699996000000001</v>
      </c>
      <c r="Z4">
        <f t="shared" si="2"/>
        <v>57.7999996</v>
      </c>
    </row>
    <row r="5" spans="1:26" x14ac:dyDescent="0.3">
      <c r="A5" t="s">
        <v>73</v>
      </c>
      <c r="B5" t="s">
        <v>63</v>
      </c>
      <c r="C5" t="s">
        <v>74</v>
      </c>
      <c r="D5" t="s">
        <v>57</v>
      </c>
      <c r="E5">
        <v>21</v>
      </c>
      <c r="F5" s="3">
        <v>6.63</v>
      </c>
      <c r="G5" s="4">
        <v>72.900000000000006</v>
      </c>
      <c r="H5">
        <v>1</v>
      </c>
      <c r="I5">
        <v>3</v>
      </c>
      <c r="J5">
        <v>6</v>
      </c>
      <c r="K5" s="4">
        <v>80.2</v>
      </c>
      <c r="L5" s="4">
        <v>79.099999999999994</v>
      </c>
      <c r="M5" s="4">
        <v>76.400000000000006</v>
      </c>
      <c r="N5">
        <v>0</v>
      </c>
      <c r="O5" t="s">
        <v>58</v>
      </c>
      <c r="P5" t="s">
        <v>75</v>
      </c>
      <c r="Q5" t="s">
        <v>71</v>
      </c>
      <c r="R5" t="s">
        <v>76</v>
      </c>
      <c r="S5" s="3">
        <v>5.25</v>
      </c>
      <c r="T5" s="5">
        <v>45873</v>
      </c>
      <c r="U5">
        <v>1</v>
      </c>
      <c r="V5">
        <v>2025</v>
      </c>
      <c r="X5">
        <f t="shared" si="0"/>
        <v>6.6299995000000003</v>
      </c>
      <c r="Y5">
        <f t="shared" si="1"/>
        <v>5.2499995000000004</v>
      </c>
      <c r="Z5">
        <f t="shared" si="2"/>
        <v>79.099999499999996</v>
      </c>
    </row>
    <row r="6" spans="1:26" x14ac:dyDescent="0.3">
      <c r="A6" t="s">
        <v>77</v>
      </c>
      <c r="B6" t="s">
        <v>63</v>
      </c>
      <c r="C6" t="s">
        <v>78</v>
      </c>
      <c r="D6" t="s">
        <v>69</v>
      </c>
      <c r="E6">
        <v>22</v>
      </c>
      <c r="F6" s="3">
        <v>8.15</v>
      </c>
      <c r="G6" s="4">
        <v>81.5</v>
      </c>
      <c r="H6">
        <v>1</v>
      </c>
      <c r="I6">
        <v>2</v>
      </c>
      <c r="J6">
        <v>2</v>
      </c>
      <c r="K6" s="4">
        <v>50.4</v>
      </c>
      <c r="L6" s="4">
        <v>56.8</v>
      </c>
      <c r="M6" s="4">
        <v>84.4</v>
      </c>
      <c r="N6">
        <v>0</v>
      </c>
      <c r="O6" t="s">
        <v>58</v>
      </c>
      <c r="P6" t="s">
        <v>79</v>
      </c>
      <c r="Q6" t="s">
        <v>71</v>
      </c>
      <c r="R6" t="s">
        <v>80</v>
      </c>
      <c r="S6" s="3">
        <v>6.64</v>
      </c>
      <c r="T6" s="5">
        <v>45891</v>
      </c>
      <c r="U6">
        <v>1</v>
      </c>
      <c r="V6">
        <v>2025</v>
      </c>
      <c r="X6">
        <f t="shared" si="0"/>
        <v>8.1499994000000004</v>
      </c>
      <c r="Y6">
        <f t="shared" si="1"/>
        <v>6.6399993999999998</v>
      </c>
      <c r="Z6">
        <f t="shared" si="2"/>
        <v>56.799999399999997</v>
      </c>
    </row>
    <row r="7" spans="1:26" x14ac:dyDescent="0.3">
      <c r="A7" t="s">
        <v>81</v>
      </c>
      <c r="B7" t="s">
        <v>82</v>
      </c>
      <c r="C7" t="s">
        <v>74</v>
      </c>
      <c r="D7" t="s">
        <v>57</v>
      </c>
      <c r="E7">
        <v>22</v>
      </c>
      <c r="F7" s="3">
        <v>8.16</v>
      </c>
      <c r="G7" s="4">
        <v>65.3</v>
      </c>
      <c r="H7">
        <v>1</v>
      </c>
      <c r="I7">
        <v>2</v>
      </c>
      <c r="J7">
        <v>6</v>
      </c>
      <c r="K7" s="4">
        <v>57.9</v>
      </c>
      <c r="L7" s="4">
        <v>57.8</v>
      </c>
      <c r="M7" s="4">
        <v>64.599999999999994</v>
      </c>
      <c r="N7">
        <v>0</v>
      </c>
      <c r="O7" t="s">
        <v>58</v>
      </c>
      <c r="P7" t="s">
        <v>70</v>
      </c>
      <c r="Q7" t="s">
        <v>71</v>
      </c>
      <c r="R7" t="s">
        <v>80</v>
      </c>
      <c r="S7" s="3">
        <v>6.19</v>
      </c>
      <c r="T7" s="5">
        <v>44861</v>
      </c>
      <c r="U7">
        <v>1</v>
      </c>
      <c r="V7">
        <v>2022</v>
      </c>
      <c r="X7">
        <f t="shared" si="0"/>
        <v>8.1599993000000008</v>
      </c>
      <c r="Y7">
        <f t="shared" si="1"/>
        <v>6.1899993000000002</v>
      </c>
      <c r="Z7">
        <f t="shared" si="2"/>
        <v>57.799999299999996</v>
      </c>
    </row>
    <row r="8" spans="1:26" x14ac:dyDescent="0.3">
      <c r="A8" t="s">
        <v>83</v>
      </c>
      <c r="B8" t="s">
        <v>67</v>
      </c>
      <c r="C8" t="s">
        <v>84</v>
      </c>
      <c r="D8" t="s">
        <v>69</v>
      </c>
      <c r="E8">
        <v>23</v>
      </c>
      <c r="F8" s="3">
        <v>7.52</v>
      </c>
      <c r="G8" s="4">
        <v>91.9</v>
      </c>
      <c r="H8">
        <v>1</v>
      </c>
      <c r="I8">
        <v>2</v>
      </c>
      <c r="J8">
        <v>2</v>
      </c>
      <c r="K8" s="4">
        <v>54.7</v>
      </c>
      <c r="L8" s="4">
        <v>63.4</v>
      </c>
      <c r="M8" s="4">
        <v>76.099999999999994</v>
      </c>
      <c r="N8">
        <v>0</v>
      </c>
      <c r="O8" t="s">
        <v>58</v>
      </c>
      <c r="P8" t="s">
        <v>59</v>
      </c>
      <c r="Q8" t="s">
        <v>60</v>
      </c>
      <c r="R8" t="s">
        <v>85</v>
      </c>
      <c r="S8" s="3">
        <v>19.579999999999998</v>
      </c>
      <c r="T8" s="5">
        <v>45193</v>
      </c>
      <c r="U8">
        <v>1</v>
      </c>
      <c r="V8">
        <v>2023</v>
      </c>
      <c r="X8">
        <f t="shared" si="0"/>
        <v>7.5199992</v>
      </c>
      <c r="Y8">
        <f t="shared" si="1"/>
        <v>19.5799992</v>
      </c>
      <c r="Z8">
        <f t="shared" si="2"/>
        <v>63.399999199999996</v>
      </c>
    </row>
    <row r="9" spans="1:26" x14ac:dyDescent="0.3">
      <c r="A9" t="s">
        <v>86</v>
      </c>
      <c r="B9" t="s">
        <v>67</v>
      </c>
      <c r="C9" t="s">
        <v>84</v>
      </c>
      <c r="D9" t="s">
        <v>69</v>
      </c>
      <c r="E9">
        <v>22</v>
      </c>
      <c r="F9" s="3">
        <v>8.24</v>
      </c>
      <c r="G9" s="4">
        <v>64.099999999999994</v>
      </c>
      <c r="H9">
        <v>1</v>
      </c>
      <c r="I9">
        <v>0</v>
      </c>
      <c r="J9">
        <v>3</v>
      </c>
      <c r="K9" s="4">
        <v>79.7</v>
      </c>
      <c r="L9" s="4">
        <v>60.9</v>
      </c>
      <c r="M9" s="4">
        <v>77.3</v>
      </c>
      <c r="N9">
        <v>0</v>
      </c>
      <c r="O9" t="s">
        <v>58</v>
      </c>
      <c r="P9" t="s">
        <v>87</v>
      </c>
      <c r="Q9" t="s">
        <v>71</v>
      </c>
      <c r="R9" t="s">
        <v>76</v>
      </c>
      <c r="S9" s="3">
        <v>6.47</v>
      </c>
      <c r="T9" s="5">
        <v>45170</v>
      </c>
      <c r="U9">
        <v>1</v>
      </c>
      <c r="V9">
        <v>2023</v>
      </c>
      <c r="X9">
        <f t="shared" si="0"/>
        <v>8.2399991000000004</v>
      </c>
      <c r="Y9">
        <f t="shared" si="1"/>
        <v>6.4699990999999999</v>
      </c>
      <c r="Z9">
        <f t="shared" si="2"/>
        <v>60.899999099999995</v>
      </c>
    </row>
    <row r="10" spans="1:26" x14ac:dyDescent="0.3">
      <c r="A10" t="s">
        <v>88</v>
      </c>
      <c r="B10" t="s">
        <v>67</v>
      </c>
      <c r="C10" t="s">
        <v>89</v>
      </c>
      <c r="D10" t="s">
        <v>69</v>
      </c>
      <c r="E10">
        <v>23</v>
      </c>
      <c r="F10" s="3">
        <v>7.71</v>
      </c>
      <c r="G10" s="4">
        <v>91.3</v>
      </c>
      <c r="H10">
        <v>1</v>
      </c>
      <c r="I10">
        <v>1</v>
      </c>
      <c r="J10">
        <v>3</v>
      </c>
      <c r="K10" s="4">
        <v>59.8</v>
      </c>
      <c r="L10" s="4">
        <v>46.6</v>
      </c>
      <c r="M10" s="4">
        <v>52.5</v>
      </c>
      <c r="N10">
        <v>2</v>
      </c>
      <c r="O10" t="s">
        <v>58</v>
      </c>
      <c r="P10" t="s">
        <v>90</v>
      </c>
      <c r="Q10" t="s">
        <v>60</v>
      </c>
      <c r="R10" t="s">
        <v>76</v>
      </c>
      <c r="S10" s="3">
        <v>7.62</v>
      </c>
      <c r="T10" s="5">
        <v>45248</v>
      </c>
      <c r="U10">
        <v>1</v>
      </c>
      <c r="V10">
        <v>2023</v>
      </c>
      <c r="X10">
        <f t="shared" si="0"/>
        <v>7.7099989999999998</v>
      </c>
      <c r="Y10">
        <f t="shared" si="1"/>
        <v>7.619999</v>
      </c>
      <c r="Z10">
        <f t="shared" si="2"/>
        <v>46.599999000000004</v>
      </c>
    </row>
    <row r="11" spans="1:26" x14ac:dyDescent="0.3">
      <c r="A11" t="s">
        <v>91</v>
      </c>
      <c r="B11" t="s">
        <v>63</v>
      </c>
      <c r="C11" t="s">
        <v>84</v>
      </c>
      <c r="D11" t="s">
        <v>69</v>
      </c>
      <c r="E11">
        <v>21</v>
      </c>
      <c r="F11" s="3">
        <v>9.33</v>
      </c>
      <c r="G11" s="4">
        <v>89.8</v>
      </c>
      <c r="H11">
        <v>1</v>
      </c>
      <c r="I11">
        <v>1</v>
      </c>
      <c r="J11">
        <v>6</v>
      </c>
      <c r="K11" s="4">
        <v>81.5</v>
      </c>
      <c r="L11" s="4">
        <v>89.9</v>
      </c>
      <c r="M11" s="4">
        <v>58.9</v>
      </c>
      <c r="N11">
        <v>0</v>
      </c>
      <c r="O11" t="s">
        <v>58</v>
      </c>
      <c r="P11" t="s">
        <v>92</v>
      </c>
      <c r="Q11" t="s">
        <v>93</v>
      </c>
      <c r="R11" t="s">
        <v>76</v>
      </c>
      <c r="S11" s="3">
        <v>11.56</v>
      </c>
      <c r="T11" s="5">
        <v>45935</v>
      </c>
      <c r="U11">
        <v>3</v>
      </c>
      <c r="V11">
        <v>2025</v>
      </c>
      <c r="X11">
        <f t="shared" si="0"/>
        <v>9.3299988999999997</v>
      </c>
      <c r="Y11">
        <f t="shared" si="1"/>
        <v>11.5599989</v>
      </c>
      <c r="Z11">
        <f t="shared" si="2"/>
        <v>89.8999989</v>
      </c>
    </row>
    <row r="12" spans="1:26" x14ac:dyDescent="0.3">
      <c r="A12" t="s">
        <v>94</v>
      </c>
      <c r="B12" t="s">
        <v>55</v>
      </c>
      <c r="C12" t="s">
        <v>78</v>
      </c>
      <c r="D12" t="s">
        <v>57</v>
      </c>
      <c r="E12">
        <v>20</v>
      </c>
      <c r="F12" s="3">
        <v>8.2100000000000009</v>
      </c>
      <c r="G12" s="4">
        <v>72.2</v>
      </c>
      <c r="H12">
        <v>2</v>
      </c>
      <c r="I12">
        <v>1</v>
      </c>
      <c r="J12">
        <v>4</v>
      </c>
      <c r="K12" s="4">
        <v>76.2</v>
      </c>
      <c r="L12" s="4">
        <v>73.2</v>
      </c>
      <c r="M12" s="4">
        <v>80</v>
      </c>
      <c r="N12">
        <v>0</v>
      </c>
      <c r="O12" t="s">
        <v>58</v>
      </c>
      <c r="P12" t="s">
        <v>95</v>
      </c>
      <c r="Q12" t="s">
        <v>93</v>
      </c>
      <c r="R12" t="s">
        <v>61</v>
      </c>
      <c r="S12" s="3">
        <v>6.72</v>
      </c>
      <c r="T12" s="5">
        <v>45604</v>
      </c>
      <c r="U12">
        <v>1</v>
      </c>
      <c r="V12">
        <v>2024</v>
      </c>
      <c r="X12">
        <f t="shared" si="0"/>
        <v>8.209998800000001</v>
      </c>
      <c r="Y12">
        <f t="shared" si="1"/>
        <v>6.7199987999999999</v>
      </c>
      <c r="Z12">
        <f t="shared" si="2"/>
        <v>73.199998800000003</v>
      </c>
    </row>
    <row r="13" spans="1:26" x14ac:dyDescent="0.3">
      <c r="A13" t="s">
        <v>96</v>
      </c>
      <c r="B13" t="s">
        <v>67</v>
      </c>
      <c r="C13" t="s">
        <v>68</v>
      </c>
      <c r="D13" t="s">
        <v>69</v>
      </c>
      <c r="E13">
        <v>23</v>
      </c>
      <c r="F13" s="3">
        <v>8.4600000000000009</v>
      </c>
      <c r="G13" s="4">
        <v>93.4</v>
      </c>
      <c r="H13">
        <v>2</v>
      </c>
      <c r="I13">
        <v>4</v>
      </c>
      <c r="J13">
        <v>4</v>
      </c>
      <c r="K13" s="4">
        <v>54.8</v>
      </c>
      <c r="L13" s="4">
        <v>93.3</v>
      </c>
      <c r="M13" s="4">
        <v>74.7</v>
      </c>
      <c r="N13">
        <v>0</v>
      </c>
      <c r="O13" t="s">
        <v>64</v>
      </c>
      <c r="P13" t="s">
        <v>65</v>
      </c>
      <c r="S13" s="3">
        <v>0</v>
      </c>
      <c r="T13" s="5"/>
      <c r="U13">
        <v>0</v>
      </c>
      <c r="V13">
        <v>2023</v>
      </c>
      <c r="X13">
        <f t="shared" si="0"/>
        <v>8.4599987000000016</v>
      </c>
      <c r="Y13">
        <f t="shared" si="1"/>
        <v>-1.2999999999999998E-6</v>
      </c>
      <c r="Z13">
        <f t="shared" si="2"/>
        <v>93.299998700000003</v>
      </c>
    </row>
    <row r="14" spans="1:26" x14ac:dyDescent="0.3">
      <c r="A14" t="s">
        <v>97</v>
      </c>
      <c r="B14" t="s">
        <v>63</v>
      </c>
      <c r="C14" t="s">
        <v>56</v>
      </c>
      <c r="D14" t="s">
        <v>69</v>
      </c>
      <c r="E14">
        <v>22</v>
      </c>
      <c r="F14" s="3">
        <v>6.35</v>
      </c>
      <c r="G14" s="4">
        <v>79</v>
      </c>
      <c r="H14">
        <v>2</v>
      </c>
      <c r="I14">
        <v>2</v>
      </c>
      <c r="J14">
        <v>6</v>
      </c>
      <c r="K14" s="4">
        <v>66.599999999999994</v>
      </c>
      <c r="L14" s="4">
        <v>67.5</v>
      </c>
      <c r="M14" s="4">
        <v>75.099999999999994</v>
      </c>
      <c r="N14">
        <v>0</v>
      </c>
      <c r="O14" t="s">
        <v>58</v>
      </c>
      <c r="P14" t="s">
        <v>95</v>
      </c>
      <c r="Q14" t="s">
        <v>93</v>
      </c>
      <c r="R14" t="s">
        <v>72</v>
      </c>
      <c r="S14" s="3">
        <v>6.05</v>
      </c>
      <c r="T14" s="5">
        <v>45989</v>
      </c>
      <c r="U14">
        <v>1</v>
      </c>
      <c r="V14">
        <v>2025</v>
      </c>
      <c r="X14">
        <f t="shared" si="0"/>
        <v>6.3499985999999993</v>
      </c>
      <c r="Y14">
        <f t="shared" si="1"/>
        <v>6.0499985999999994</v>
      </c>
      <c r="Z14">
        <f t="shared" si="2"/>
        <v>67.499998599999998</v>
      </c>
    </row>
    <row r="15" spans="1:26" x14ac:dyDescent="0.3">
      <c r="A15" t="s">
        <v>98</v>
      </c>
      <c r="B15" t="s">
        <v>82</v>
      </c>
      <c r="C15" t="s">
        <v>68</v>
      </c>
      <c r="D15" t="s">
        <v>69</v>
      </c>
      <c r="E15">
        <v>22</v>
      </c>
      <c r="F15" s="3">
        <v>6.6</v>
      </c>
      <c r="G15" s="4">
        <v>76.7</v>
      </c>
      <c r="H15">
        <v>1</v>
      </c>
      <c r="I15">
        <v>3</v>
      </c>
      <c r="J15">
        <v>4</v>
      </c>
      <c r="K15" s="4">
        <v>44.2</v>
      </c>
      <c r="L15" s="4">
        <v>48</v>
      </c>
      <c r="M15" s="4">
        <v>62.8</v>
      </c>
      <c r="N15">
        <v>0</v>
      </c>
      <c r="O15" t="s">
        <v>58</v>
      </c>
      <c r="P15" t="s">
        <v>59</v>
      </c>
      <c r="Q15" t="s">
        <v>60</v>
      </c>
      <c r="R15" t="s">
        <v>61</v>
      </c>
      <c r="S15" s="3">
        <v>17.79</v>
      </c>
      <c r="T15" s="5">
        <v>44844</v>
      </c>
      <c r="U15">
        <v>2</v>
      </c>
      <c r="V15">
        <v>2022</v>
      </c>
      <c r="X15">
        <f t="shared" si="0"/>
        <v>6.5999984999999999</v>
      </c>
      <c r="Y15">
        <f t="shared" si="1"/>
        <v>17.789998499999999</v>
      </c>
      <c r="Z15">
        <f t="shared" si="2"/>
        <v>47.999998499999997</v>
      </c>
    </row>
    <row r="16" spans="1:26" x14ac:dyDescent="0.3">
      <c r="A16" t="s">
        <v>99</v>
      </c>
      <c r="B16" t="s">
        <v>55</v>
      </c>
      <c r="C16" t="s">
        <v>89</v>
      </c>
      <c r="D16" t="s">
        <v>69</v>
      </c>
      <c r="E16">
        <v>23</v>
      </c>
      <c r="F16" s="3">
        <v>8.08</v>
      </c>
      <c r="G16" s="4">
        <v>78.2</v>
      </c>
      <c r="H16">
        <v>0</v>
      </c>
      <c r="I16">
        <v>1</v>
      </c>
      <c r="J16">
        <v>4</v>
      </c>
      <c r="K16" s="4">
        <v>73.599999999999994</v>
      </c>
      <c r="L16" s="4">
        <v>85.4</v>
      </c>
      <c r="M16" s="4">
        <v>56.6</v>
      </c>
      <c r="N16">
        <v>1</v>
      </c>
      <c r="O16" t="s">
        <v>58</v>
      </c>
      <c r="P16" t="s">
        <v>75</v>
      </c>
      <c r="Q16" t="s">
        <v>71</v>
      </c>
      <c r="R16" t="s">
        <v>80</v>
      </c>
      <c r="S16" s="3">
        <v>5.84</v>
      </c>
      <c r="T16" s="5">
        <v>45604</v>
      </c>
      <c r="U16">
        <v>2</v>
      </c>
      <c r="V16">
        <v>2024</v>
      </c>
      <c r="X16">
        <f t="shared" si="0"/>
        <v>8.0799984000000009</v>
      </c>
      <c r="Y16">
        <f t="shared" si="1"/>
        <v>5.8399983999999998</v>
      </c>
      <c r="Z16">
        <f t="shared" si="2"/>
        <v>85.399998400000001</v>
      </c>
    </row>
    <row r="17" spans="1:26" x14ac:dyDescent="0.3">
      <c r="A17" t="s">
        <v>100</v>
      </c>
      <c r="B17" t="s">
        <v>82</v>
      </c>
      <c r="C17" t="s">
        <v>101</v>
      </c>
      <c r="D17" t="s">
        <v>69</v>
      </c>
      <c r="E17">
        <v>21</v>
      </c>
      <c r="F17" s="3">
        <v>6.26</v>
      </c>
      <c r="G17" s="4">
        <v>79</v>
      </c>
      <c r="H17">
        <v>1</v>
      </c>
      <c r="I17">
        <v>1</v>
      </c>
      <c r="J17">
        <v>1</v>
      </c>
      <c r="K17" s="4">
        <v>58.8</v>
      </c>
      <c r="L17" s="4">
        <v>73.900000000000006</v>
      </c>
      <c r="M17" s="4">
        <v>79.7</v>
      </c>
      <c r="N17">
        <v>0</v>
      </c>
      <c r="O17" t="s">
        <v>64</v>
      </c>
      <c r="P17" t="s">
        <v>65</v>
      </c>
      <c r="S17" s="3">
        <v>0</v>
      </c>
      <c r="T17" s="5"/>
      <c r="U17">
        <v>0</v>
      </c>
      <c r="V17">
        <v>2022</v>
      </c>
      <c r="X17">
        <f t="shared" si="0"/>
        <v>6.2599982999999995</v>
      </c>
      <c r="Y17">
        <f t="shared" si="1"/>
        <v>-1.6999999999999998E-6</v>
      </c>
      <c r="Z17">
        <f t="shared" si="2"/>
        <v>73.899998300000007</v>
      </c>
    </row>
    <row r="18" spans="1:26" x14ac:dyDescent="0.3">
      <c r="A18" t="s">
        <v>102</v>
      </c>
      <c r="B18" t="s">
        <v>55</v>
      </c>
      <c r="C18" t="s">
        <v>68</v>
      </c>
      <c r="D18" t="s">
        <v>69</v>
      </c>
      <c r="E18">
        <v>20</v>
      </c>
      <c r="F18" s="3">
        <v>7.09</v>
      </c>
      <c r="G18" s="4">
        <v>79.8</v>
      </c>
      <c r="H18">
        <v>2</v>
      </c>
      <c r="I18">
        <v>1</v>
      </c>
      <c r="J18">
        <v>5</v>
      </c>
      <c r="K18" s="4">
        <v>53.2</v>
      </c>
      <c r="L18" s="4">
        <v>66</v>
      </c>
      <c r="M18" s="4">
        <v>76</v>
      </c>
      <c r="N18">
        <v>1</v>
      </c>
      <c r="O18" t="s">
        <v>64</v>
      </c>
      <c r="P18" t="s">
        <v>65</v>
      </c>
      <c r="S18" s="3">
        <v>0</v>
      </c>
      <c r="T18" s="5"/>
      <c r="U18">
        <v>0</v>
      </c>
      <c r="V18">
        <v>2024</v>
      </c>
      <c r="X18">
        <f t="shared" si="0"/>
        <v>7.0899982000000001</v>
      </c>
      <c r="Y18">
        <f t="shared" si="1"/>
        <v>-1.7999999999999999E-6</v>
      </c>
      <c r="Z18">
        <f t="shared" si="2"/>
        <v>65.999998199999993</v>
      </c>
    </row>
    <row r="19" spans="1:26" x14ac:dyDescent="0.3">
      <c r="A19" t="s">
        <v>103</v>
      </c>
      <c r="B19" t="s">
        <v>63</v>
      </c>
      <c r="C19" t="s">
        <v>84</v>
      </c>
      <c r="D19" t="s">
        <v>57</v>
      </c>
      <c r="E19">
        <v>22</v>
      </c>
      <c r="F19" s="3">
        <v>8.7100000000000009</v>
      </c>
      <c r="G19" s="4">
        <v>80</v>
      </c>
      <c r="H19">
        <v>1</v>
      </c>
      <c r="I19">
        <v>3</v>
      </c>
      <c r="J19">
        <v>6</v>
      </c>
      <c r="K19" s="4">
        <v>64.2</v>
      </c>
      <c r="L19" s="4">
        <v>88.1</v>
      </c>
      <c r="M19" s="4">
        <v>50.7</v>
      </c>
      <c r="N19">
        <v>0</v>
      </c>
      <c r="O19" t="s">
        <v>58</v>
      </c>
      <c r="P19" t="s">
        <v>104</v>
      </c>
      <c r="Q19" t="s">
        <v>105</v>
      </c>
      <c r="R19" t="s">
        <v>85</v>
      </c>
      <c r="S19" s="3">
        <v>15.55</v>
      </c>
      <c r="T19" s="5">
        <v>45877</v>
      </c>
      <c r="U19">
        <v>1</v>
      </c>
      <c r="V19">
        <v>2025</v>
      </c>
      <c r="X19">
        <f t="shared" si="0"/>
        <v>8.7099981</v>
      </c>
      <c r="Y19">
        <f t="shared" si="1"/>
        <v>15.5499981</v>
      </c>
      <c r="Z19">
        <f t="shared" si="2"/>
        <v>88.099998099999993</v>
      </c>
    </row>
    <row r="20" spans="1:26" x14ac:dyDescent="0.3">
      <c r="A20" t="s">
        <v>106</v>
      </c>
      <c r="B20" t="s">
        <v>107</v>
      </c>
      <c r="C20" t="s">
        <v>78</v>
      </c>
      <c r="D20" t="s">
        <v>69</v>
      </c>
      <c r="E20">
        <v>21</v>
      </c>
      <c r="F20" s="3">
        <v>7.07</v>
      </c>
      <c r="G20" s="4">
        <v>74</v>
      </c>
      <c r="H20">
        <v>1</v>
      </c>
      <c r="I20">
        <v>1</v>
      </c>
      <c r="J20">
        <v>6</v>
      </c>
      <c r="K20" s="4">
        <v>61.5</v>
      </c>
      <c r="L20" s="4">
        <v>49.9</v>
      </c>
      <c r="M20" s="4">
        <v>72.8</v>
      </c>
      <c r="N20">
        <v>1</v>
      </c>
      <c r="O20" t="s">
        <v>58</v>
      </c>
      <c r="P20" t="s">
        <v>92</v>
      </c>
      <c r="Q20" t="s">
        <v>93</v>
      </c>
      <c r="R20" t="s">
        <v>61</v>
      </c>
      <c r="S20" s="3">
        <v>7.91</v>
      </c>
      <c r="T20" s="5">
        <v>44444</v>
      </c>
      <c r="U20">
        <v>1</v>
      </c>
      <c r="V20">
        <v>2021</v>
      </c>
      <c r="X20">
        <f t="shared" si="0"/>
        <v>7.069998</v>
      </c>
      <c r="Y20">
        <f t="shared" si="1"/>
        <v>7.9099979999999999</v>
      </c>
      <c r="Z20">
        <f t="shared" si="2"/>
        <v>49.899997999999997</v>
      </c>
    </row>
    <row r="21" spans="1:26" x14ac:dyDescent="0.3">
      <c r="A21" t="s">
        <v>108</v>
      </c>
      <c r="B21" t="s">
        <v>55</v>
      </c>
      <c r="C21" t="s">
        <v>56</v>
      </c>
      <c r="D21" t="s">
        <v>57</v>
      </c>
      <c r="E21">
        <v>20</v>
      </c>
      <c r="F21" s="3">
        <v>6.56</v>
      </c>
      <c r="G21" s="4">
        <v>76.099999999999994</v>
      </c>
      <c r="H21">
        <v>1</v>
      </c>
      <c r="I21">
        <v>2</v>
      </c>
      <c r="J21">
        <v>3</v>
      </c>
      <c r="K21" s="4">
        <v>72</v>
      </c>
      <c r="L21" s="4">
        <v>84.7</v>
      </c>
      <c r="M21" s="4">
        <v>95.4</v>
      </c>
      <c r="N21">
        <v>0</v>
      </c>
      <c r="O21" t="s">
        <v>58</v>
      </c>
      <c r="P21" t="s">
        <v>90</v>
      </c>
      <c r="Q21" t="s">
        <v>60</v>
      </c>
      <c r="R21" t="s">
        <v>109</v>
      </c>
      <c r="S21" s="3">
        <v>7.43</v>
      </c>
      <c r="T21" s="5">
        <v>45611</v>
      </c>
      <c r="U21">
        <v>1</v>
      </c>
      <c r="V21">
        <v>2024</v>
      </c>
      <c r="X21">
        <f t="shared" si="0"/>
        <v>6.5599978999999999</v>
      </c>
      <c r="Y21">
        <f t="shared" si="1"/>
        <v>7.4299979</v>
      </c>
      <c r="Z21">
        <f t="shared" si="2"/>
        <v>84.6999979</v>
      </c>
    </row>
    <row r="22" spans="1:26" x14ac:dyDescent="0.3">
      <c r="A22" t="s">
        <v>110</v>
      </c>
      <c r="B22" t="s">
        <v>82</v>
      </c>
      <c r="C22" t="s">
        <v>84</v>
      </c>
      <c r="D22" t="s">
        <v>57</v>
      </c>
      <c r="E22">
        <v>20</v>
      </c>
      <c r="F22" s="3">
        <v>8.25</v>
      </c>
      <c r="G22" s="4">
        <v>76.900000000000006</v>
      </c>
      <c r="H22">
        <v>3</v>
      </c>
      <c r="I22">
        <v>3</v>
      </c>
      <c r="J22">
        <v>3</v>
      </c>
      <c r="K22" s="4">
        <v>94.6</v>
      </c>
      <c r="L22" s="4">
        <v>80.8</v>
      </c>
      <c r="M22" s="4">
        <v>81.2</v>
      </c>
      <c r="N22">
        <v>2</v>
      </c>
      <c r="O22" t="s">
        <v>58</v>
      </c>
      <c r="P22" t="s">
        <v>92</v>
      </c>
      <c r="Q22" t="s">
        <v>93</v>
      </c>
      <c r="R22" t="s">
        <v>109</v>
      </c>
      <c r="S22" s="3">
        <v>10.24</v>
      </c>
      <c r="T22" s="5">
        <v>44785</v>
      </c>
      <c r="U22">
        <v>2</v>
      </c>
      <c r="V22">
        <v>2022</v>
      </c>
      <c r="X22">
        <f t="shared" si="0"/>
        <v>8.2499977999999992</v>
      </c>
      <c r="Y22">
        <f t="shared" si="1"/>
        <v>10.239997799999999</v>
      </c>
      <c r="Z22">
        <f t="shared" si="2"/>
        <v>80.7999978</v>
      </c>
    </row>
    <row r="23" spans="1:26" x14ac:dyDescent="0.3">
      <c r="A23" t="s">
        <v>111</v>
      </c>
      <c r="B23" t="s">
        <v>63</v>
      </c>
      <c r="C23" t="s">
        <v>68</v>
      </c>
      <c r="D23" t="s">
        <v>57</v>
      </c>
      <c r="E23">
        <v>22</v>
      </c>
      <c r="F23" s="3">
        <v>9.52</v>
      </c>
      <c r="G23" s="4">
        <v>97.1</v>
      </c>
      <c r="H23">
        <v>3</v>
      </c>
      <c r="I23">
        <v>5</v>
      </c>
      <c r="J23">
        <v>3</v>
      </c>
      <c r="K23" s="4">
        <v>86.5</v>
      </c>
      <c r="L23" s="4">
        <v>73.5</v>
      </c>
      <c r="M23" s="4">
        <v>63.3</v>
      </c>
      <c r="N23">
        <v>1</v>
      </c>
      <c r="O23" t="s">
        <v>58</v>
      </c>
      <c r="P23" t="s">
        <v>112</v>
      </c>
      <c r="Q23" t="s">
        <v>93</v>
      </c>
      <c r="R23" t="s">
        <v>61</v>
      </c>
      <c r="S23" s="3">
        <v>7.88</v>
      </c>
      <c r="T23" s="5">
        <v>45897</v>
      </c>
      <c r="U23">
        <v>1</v>
      </c>
      <c r="V23">
        <v>2025</v>
      </c>
      <c r="X23">
        <f t="shared" si="0"/>
        <v>9.5199976999999993</v>
      </c>
      <c r="Y23">
        <f t="shared" si="1"/>
        <v>7.8799976999999997</v>
      </c>
      <c r="Z23">
        <f t="shared" si="2"/>
        <v>73.499997699999994</v>
      </c>
    </row>
    <row r="24" spans="1:26" x14ac:dyDescent="0.3">
      <c r="A24" t="s">
        <v>113</v>
      </c>
      <c r="B24" t="s">
        <v>55</v>
      </c>
      <c r="C24" t="s">
        <v>74</v>
      </c>
      <c r="D24" t="s">
        <v>57</v>
      </c>
      <c r="E24">
        <v>23</v>
      </c>
      <c r="F24" s="3">
        <v>6.92</v>
      </c>
      <c r="G24" s="4">
        <v>76.900000000000006</v>
      </c>
      <c r="H24">
        <v>0</v>
      </c>
      <c r="I24">
        <v>1</v>
      </c>
      <c r="J24">
        <v>3</v>
      </c>
      <c r="K24" s="4">
        <v>51.3</v>
      </c>
      <c r="L24" s="4">
        <v>47.8</v>
      </c>
      <c r="M24" s="4">
        <v>76</v>
      </c>
      <c r="N24">
        <v>0</v>
      </c>
      <c r="O24" t="s">
        <v>58</v>
      </c>
      <c r="P24" t="s">
        <v>70</v>
      </c>
      <c r="Q24" t="s">
        <v>71</v>
      </c>
      <c r="R24" t="s">
        <v>72</v>
      </c>
      <c r="S24" s="3">
        <v>4.1399999999999997</v>
      </c>
      <c r="T24" s="5">
        <v>45506</v>
      </c>
      <c r="U24">
        <v>1</v>
      </c>
      <c r="V24">
        <v>2024</v>
      </c>
      <c r="X24">
        <f t="shared" si="0"/>
        <v>6.9199976000000003</v>
      </c>
      <c r="Y24">
        <f t="shared" si="1"/>
        <v>4.1399976000000001</v>
      </c>
      <c r="Z24">
        <f t="shared" si="2"/>
        <v>47.799997599999998</v>
      </c>
    </row>
    <row r="25" spans="1:26" x14ac:dyDescent="0.3">
      <c r="A25" t="s">
        <v>114</v>
      </c>
      <c r="B25" t="s">
        <v>107</v>
      </c>
      <c r="C25" t="s">
        <v>89</v>
      </c>
      <c r="D25" t="s">
        <v>57</v>
      </c>
      <c r="E25">
        <v>22</v>
      </c>
      <c r="F25" s="3">
        <v>8.75</v>
      </c>
      <c r="G25" s="4">
        <v>76.3</v>
      </c>
      <c r="H25">
        <v>2</v>
      </c>
      <c r="I25">
        <v>0</v>
      </c>
      <c r="J25">
        <v>3</v>
      </c>
      <c r="K25" s="4">
        <v>89.5</v>
      </c>
      <c r="L25" s="4">
        <v>84.1</v>
      </c>
      <c r="M25" s="4">
        <v>71.5</v>
      </c>
      <c r="N25">
        <v>0</v>
      </c>
      <c r="O25" t="s">
        <v>58</v>
      </c>
      <c r="P25" t="s">
        <v>75</v>
      </c>
      <c r="Q25" t="s">
        <v>71</v>
      </c>
      <c r="R25" t="s">
        <v>85</v>
      </c>
      <c r="S25" s="3">
        <v>7.73</v>
      </c>
      <c r="T25" s="5">
        <v>44519</v>
      </c>
      <c r="U25">
        <v>1</v>
      </c>
      <c r="V25">
        <v>2021</v>
      </c>
      <c r="X25">
        <f t="shared" si="0"/>
        <v>8.7499974999999992</v>
      </c>
      <c r="Y25">
        <f t="shared" si="1"/>
        <v>7.7299975000000005</v>
      </c>
      <c r="Z25">
        <f t="shared" si="2"/>
        <v>84.099997500000001</v>
      </c>
    </row>
    <row r="26" spans="1:26" x14ac:dyDescent="0.3">
      <c r="A26" t="s">
        <v>115</v>
      </c>
      <c r="B26" t="s">
        <v>107</v>
      </c>
      <c r="C26" t="s">
        <v>56</v>
      </c>
      <c r="D26" t="s">
        <v>57</v>
      </c>
      <c r="E26">
        <v>22</v>
      </c>
      <c r="F26" s="3">
        <v>6.81</v>
      </c>
      <c r="G26" s="4">
        <v>95.6</v>
      </c>
      <c r="H26">
        <v>0</v>
      </c>
      <c r="I26">
        <v>1</v>
      </c>
      <c r="J26">
        <v>4</v>
      </c>
      <c r="K26" s="4">
        <v>68.7</v>
      </c>
      <c r="L26" s="4">
        <v>81.2</v>
      </c>
      <c r="M26" s="4">
        <v>93.8</v>
      </c>
      <c r="N26">
        <v>2</v>
      </c>
      <c r="O26" t="s">
        <v>58</v>
      </c>
      <c r="P26" t="s">
        <v>104</v>
      </c>
      <c r="Q26" t="s">
        <v>105</v>
      </c>
      <c r="R26" t="s">
        <v>72</v>
      </c>
      <c r="S26" s="3">
        <v>14.83</v>
      </c>
      <c r="T26" s="5">
        <v>44486</v>
      </c>
      <c r="U26">
        <v>1</v>
      </c>
      <c r="V26">
        <v>2021</v>
      </c>
      <c r="X26">
        <f t="shared" si="0"/>
        <v>6.8099973999999994</v>
      </c>
      <c r="Y26">
        <f t="shared" si="1"/>
        <v>14.8299974</v>
      </c>
      <c r="Z26">
        <f t="shared" si="2"/>
        <v>81.199997400000001</v>
      </c>
    </row>
    <row r="27" spans="1:26" x14ac:dyDescent="0.3">
      <c r="A27" t="s">
        <v>116</v>
      </c>
      <c r="B27" t="s">
        <v>67</v>
      </c>
      <c r="C27" t="s">
        <v>89</v>
      </c>
      <c r="D27" t="s">
        <v>57</v>
      </c>
      <c r="E27">
        <v>22</v>
      </c>
      <c r="F27" s="3">
        <v>7.55</v>
      </c>
      <c r="G27" s="4">
        <v>79.099999999999994</v>
      </c>
      <c r="H27">
        <v>1</v>
      </c>
      <c r="I27">
        <v>3</v>
      </c>
      <c r="J27">
        <v>5</v>
      </c>
      <c r="K27" s="4">
        <v>32.4</v>
      </c>
      <c r="L27" s="4">
        <v>74</v>
      </c>
      <c r="M27" s="4">
        <v>60.5</v>
      </c>
      <c r="N27">
        <v>0</v>
      </c>
      <c r="O27" t="s">
        <v>58</v>
      </c>
      <c r="P27" t="s">
        <v>75</v>
      </c>
      <c r="Q27" t="s">
        <v>71</v>
      </c>
      <c r="R27" t="s">
        <v>76</v>
      </c>
      <c r="S27" s="3">
        <v>5.6</v>
      </c>
      <c r="T27" s="5">
        <v>45157</v>
      </c>
      <c r="U27">
        <v>1</v>
      </c>
      <c r="V27">
        <v>2023</v>
      </c>
      <c r="X27">
        <f t="shared" si="0"/>
        <v>7.5499973000000002</v>
      </c>
      <c r="Y27">
        <f t="shared" si="1"/>
        <v>5.5999973000000001</v>
      </c>
      <c r="Z27">
        <f t="shared" si="2"/>
        <v>73.999997300000004</v>
      </c>
    </row>
    <row r="28" spans="1:26" x14ac:dyDescent="0.3">
      <c r="A28" t="s">
        <v>117</v>
      </c>
      <c r="B28" t="s">
        <v>67</v>
      </c>
      <c r="C28" t="s">
        <v>68</v>
      </c>
      <c r="D28" t="s">
        <v>57</v>
      </c>
      <c r="E28">
        <v>21</v>
      </c>
      <c r="F28" s="3">
        <v>7.59</v>
      </c>
      <c r="G28" s="4">
        <v>74</v>
      </c>
      <c r="H28">
        <v>0</v>
      </c>
      <c r="I28">
        <v>1</v>
      </c>
      <c r="J28">
        <v>6</v>
      </c>
      <c r="K28" s="4">
        <v>64.8</v>
      </c>
      <c r="L28" s="4">
        <v>69.2</v>
      </c>
      <c r="M28" s="4">
        <v>89.6</v>
      </c>
      <c r="N28">
        <v>0</v>
      </c>
      <c r="O28" t="s">
        <v>58</v>
      </c>
      <c r="P28" t="s">
        <v>70</v>
      </c>
      <c r="Q28" t="s">
        <v>71</v>
      </c>
      <c r="R28" t="s">
        <v>80</v>
      </c>
      <c r="S28" s="3">
        <v>5.01</v>
      </c>
      <c r="T28" s="5">
        <v>45223</v>
      </c>
      <c r="U28">
        <v>1</v>
      </c>
      <c r="V28">
        <v>2023</v>
      </c>
      <c r="X28">
        <f t="shared" si="0"/>
        <v>7.5899972</v>
      </c>
      <c r="Y28">
        <f t="shared" si="1"/>
        <v>5.0099971999999999</v>
      </c>
      <c r="Z28">
        <f t="shared" si="2"/>
        <v>69.199997199999999</v>
      </c>
    </row>
    <row r="29" spans="1:26" x14ac:dyDescent="0.3">
      <c r="A29" t="s">
        <v>118</v>
      </c>
      <c r="B29" t="s">
        <v>82</v>
      </c>
      <c r="C29" t="s">
        <v>74</v>
      </c>
      <c r="D29" t="s">
        <v>57</v>
      </c>
      <c r="E29">
        <v>23</v>
      </c>
      <c r="F29" s="3">
        <v>6.95</v>
      </c>
      <c r="G29" s="4">
        <v>72</v>
      </c>
      <c r="H29">
        <v>0</v>
      </c>
      <c r="I29">
        <v>2</v>
      </c>
      <c r="J29">
        <v>2</v>
      </c>
      <c r="K29" s="4">
        <v>46.2</v>
      </c>
      <c r="L29" s="4">
        <v>53.1</v>
      </c>
      <c r="M29" s="4">
        <v>59.7</v>
      </c>
      <c r="N29">
        <v>0</v>
      </c>
      <c r="O29" t="s">
        <v>64</v>
      </c>
      <c r="P29" t="s">
        <v>65</v>
      </c>
      <c r="S29" s="3">
        <v>0</v>
      </c>
      <c r="T29" s="5"/>
      <c r="U29">
        <v>0</v>
      </c>
      <c r="V29">
        <v>2022</v>
      </c>
      <c r="X29">
        <f t="shared" si="0"/>
        <v>6.9499971</v>
      </c>
      <c r="Y29">
        <f t="shared" si="1"/>
        <v>-2.8999999999999998E-6</v>
      </c>
      <c r="Z29">
        <f t="shared" si="2"/>
        <v>53.099997100000003</v>
      </c>
    </row>
    <row r="30" spans="1:26" x14ac:dyDescent="0.3">
      <c r="A30" t="s">
        <v>119</v>
      </c>
      <c r="B30" t="s">
        <v>55</v>
      </c>
      <c r="C30" t="s">
        <v>84</v>
      </c>
      <c r="D30" t="s">
        <v>69</v>
      </c>
      <c r="E30">
        <v>21</v>
      </c>
      <c r="F30" s="3">
        <v>8.44</v>
      </c>
      <c r="G30" s="4">
        <v>69.2</v>
      </c>
      <c r="H30">
        <v>0</v>
      </c>
      <c r="I30">
        <v>2</v>
      </c>
      <c r="J30">
        <v>3</v>
      </c>
      <c r="K30" s="4">
        <v>61.9</v>
      </c>
      <c r="L30" s="4">
        <v>53.2</v>
      </c>
      <c r="M30" s="4">
        <v>78</v>
      </c>
      <c r="N30">
        <v>1</v>
      </c>
      <c r="O30" t="s">
        <v>58</v>
      </c>
      <c r="P30" t="s">
        <v>87</v>
      </c>
      <c r="Q30" t="s">
        <v>71</v>
      </c>
      <c r="R30" t="s">
        <v>61</v>
      </c>
      <c r="S30" s="3">
        <v>6.54</v>
      </c>
      <c r="T30" s="5">
        <v>45553</v>
      </c>
      <c r="U30">
        <v>3</v>
      </c>
      <c r="V30">
        <v>2024</v>
      </c>
      <c r="X30">
        <f t="shared" si="0"/>
        <v>8.439997</v>
      </c>
      <c r="Y30">
        <f t="shared" si="1"/>
        <v>6.5399969999999996</v>
      </c>
      <c r="Z30">
        <f t="shared" si="2"/>
        <v>53.199997000000003</v>
      </c>
    </row>
    <row r="31" spans="1:26" x14ac:dyDescent="0.3">
      <c r="A31" t="s">
        <v>120</v>
      </c>
      <c r="B31" t="s">
        <v>55</v>
      </c>
      <c r="C31" t="s">
        <v>68</v>
      </c>
      <c r="D31" t="s">
        <v>69</v>
      </c>
      <c r="E31">
        <v>22</v>
      </c>
      <c r="F31" s="3">
        <v>6.26</v>
      </c>
      <c r="G31" s="4">
        <v>86.9</v>
      </c>
      <c r="H31">
        <v>3</v>
      </c>
      <c r="I31">
        <v>1</v>
      </c>
      <c r="J31">
        <v>3</v>
      </c>
      <c r="K31" s="4">
        <v>94.7</v>
      </c>
      <c r="L31" s="4">
        <v>58.4</v>
      </c>
      <c r="M31" s="4">
        <v>81.7</v>
      </c>
      <c r="N31">
        <v>3</v>
      </c>
      <c r="O31" t="s">
        <v>58</v>
      </c>
      <c r="P31" t="s">
        <v>90</v>
      </c>
      <c r="Q31" t="s">
        <v>60</v>
      </c>
      <c r="R31" t="s">
        <v>85</v>
      </c>
      <c r="S31" s="3">
        <v>6.36</v>
      </c>
      <c r="T31" s="5">
        <v>45616</v>
      </c>
      <c r="U31">
        <v>1</v>
      </c>
      <c r="V31">
        <v>2024</v>
      </c>
      <c r="X31">
        <f t="shared" si="0"/>
        <v>6.2599969</v>
      </c>
      <c r="Y31">
        <f t="shared" si="1"/>
        <v>6.3599969000000005</v>
      </c>
      <c r="Z31">
        <f t="shared" si="2"/>
        <v>58.399996899999998</v>
      </c>
    </row>
    <row r="32" spans="1:26" x14ac:dyDescent="0.3">
      <c r="A32" t="s">
        <v>121</v>
      </c>
      <c r="B32" t="s">
        <v>67</v>
      </c>
      <c r="C32" t="s">
        <v>56</v>
      </c>
      <c r="D32" t="s">
        <v>69</v>
      </c>
      <c r="E32">
        <v>23</v>
      </c>
      <c r="F32" s="3">
        <v>7.83</v>
      </c>
      <c r="G32" s="4">
        <v>65.8</v>
      </c>
      <c r="H32">
        <v>2</v>
      </c>
      <c r="I32">
        <v>0</v>
      </c>
      <c r="J32">
        <v>3</v>
      </c>
      <c r="K32" s="4">
        <v>49.7</v>
      </c>
      <c r="L32" s="4">
        <v>46.4</v>
      </c>
      <c r="M32" s="4">
        <v>87.8</v>
      </c>
      <c r="N32">
        <v>0</v>
      </c>
      <c r="O32" t="s">
        <v>58</v>
      </c>
      <c r="P32" t="s">
        <v>59</v>
      </c>
      <c r="Q32" t="s">
        <v>60</v>
      </c>
      <c r="R32" t="s">
        <v>85</v>
      </c>
      <c r="S32" s="3">
        <v>19.32</v>
      </c>
      <c r="T32" s="5">
        <v>45175</v>
      </c>
      <c r="U32">
        <v>2</v>
      </c>
      <c r="V32">
        <v>2023</v>
      </c>
      <c r="X32">
        <f t="shared" si="0"/>
        <v>7.8299968</v>
      </c>
      <c r="Y32">
        <f t="shared" si="1"/>
        <v>19.319996800000002</v>
      </c>
      <c r="Z32">
        <f t="shared" si="2"/>
        <v>46.399996799999997</v>
      </c>
    </row>
    <row r="33" spans="1:26" x14ac:dyDescent="0.3">
      <c r="A33" t="s">
        <v>122</v>
      </c>
      <c r="B33" t="s">
        <v>55</v>
      </c>
      <c r="C33" t="s">
        <v>68</v>
      </c>
      <c r="D33" t="s">
        <v>69</v>
      </c>
      <c r="E33">
        <v>20</v>
      </c>
      <c r="F33" s="3">
        <v>8.6199999999999992</v>
      </c>
      <c r="G33" s="4">
        <v>94.1</v>
      </c>
      <c r="H33">
        <v>0</v>
      </c>
      <c r="I33">
        <v>1</v>
      </c>
      <c r="J33">
        <v>3</v>
      </c>
      <c r="K33" s="4">
        <v>49.2</v>
      </c>
      <c r="L33" s="4">
        <v>46.9</v>
      </c>
      <c r="M33" s="4">
        <v>83.2</v>
      </c>
      <c r="N33">
        <v>0</v>
      </c>
      <c r="O33" t="s">
        <v>58</v>
      </c>
      <c r="P33" t="s">
        <v>92</v>
      </c>
      <c r="Q33" t="s">
        <v>93</v>
      </c>
      <c r="R33" t="s">
        <v>72</v>
      </c>
      <c r="S33" s="3">
        <v>7.99</v>
      </c>
      <c r="T33" s="5">
        <v>45556</v>
      </c>
      <c r="U33">
        <v>2</v>
      </c>
      <c r="V33">
        <v>2024</v>
      </c>
      <c r="X33">
        <f t="shared" si="0"/>
        <v>8.6199966999999997</v>
      </c>
      <c r="Y33">
        <f t="shared" si="1"/>
        <v>7.9899966999999998</v>
      </c>
      <c r="Z33">
        <f t="shared" si="2"/>
        <v>46.899996699999996</v>
      </c>
    </row>
    <row r="34" spans="1:26" x14ac:dyDescent="0.3">
      <c r="A34" t="s">
        <v>123</v>
      </c>
      <c r="B34" t="s">
        <v>55</v>
      </c>
      <c r="C34" t="s">
        <v>84</v>
      </c>
      <c r="D34" t="s">
        <v>69</v>
      </c>
      <c r="E34">
        <v>23</v>
      </c>
      <c r="F34" s="3">
        <v>8.36</v>
      </c>
      <c r="G34" s="4">
        <v>81.2</v>
      </c>
      <c r="H34">
        <v>1</v>
      </c>
      <c r="I34">
        <v>1</v>
      </c>
      <c r="J34">
        <v>3</v>
      </c>
      <c r="K34" s="4">
        <v>66.599999999999994</v>
      </c>
      <c r="L34" s="4">
        <v>63.3</v>
      </c>
      <c r="M34" s="4">
        <v>55.7</v>
      </c>
      <c r="N34">
        <v>1</v>
      </c>
      <c r="O34" t="s">
        <v>58</v>
      </c>
      <c r="P34" t="s">
        <v>112</v>
      </c>
      <c r="Q34" t="s">
        <v>93</v>
      </c>
      <c r="R34" t="s">
        <v>76</v>
      </c>
      <c r="S34" s="3">
        <v>7.48</v>
      </c>
      <c r="T34" s="5">
        <v>45589</v>
      </c>
      <c r="U34">
        <v>1</v>
      </c>
      <c r="V34">
        <v>2024</v>
      </c>
      <c r="X34">
        <f t="shared" si="0"/>
        <v>8.3599965999999988</v>
      </c>
      <c r="Y34">
        <f t="shared" si="1"/>
        <v>7.4799966000000007</v>
      </c>
      <c r="Z34">
        <f t="shared" si="2"/>
        <v>63.2999966</v>
      </c>
    </row>
    <row r="35" spans="1:26" x14ac:dyDescent="0.3">
      <c r="A35" t="s">
        <v>124</v>
      </c>
      <c r="B35" t="s">
        <v>107</v>
      </c>
      <c r="C35" t="s">
        <v>56</v>
      </c>
      <c r="D35" t="s">
        <v>57</v>
      </c>
      <c r="E35">
        <v>22</v>
      </c>
      <c r="F35" s="3">
        <v>8.09</v>
      </c>
      <c r="G35" s="4">
        <v>78.099999999999994</v>
      </c>
      <c r="H35">
        <v>1</v>
      </c>
      <c r="I35">
        <v>1</v>
      </c>
      <c r="J35">
        <v>6</v>
      </c>
      <c r="K35" s="4">
        <v>56.6</v>
      </c>
      <c r="L35" s="4">
        <v>50</v>
      </c>
      <c r="M35" s="4">
        <v>74</v>
      </c>
      <c r="N35">
        <v>3</v>
      </c>
      <c r="O35" t="s">
        <v>64</v>
      </c>
      <c r="P35" t="s">
        <v>65</v>
      </c>
      <c r="S35" s="3">
        <v>0</v>
      </c>
      <c r="T35" s="5"/>
      <c r="U35">
        <v>0</v>
      </c>
      <c r="V35">
        <v>2021</v>
      </c>
      <c r="X35">
        <f t="shared" si="0"/>
        <v>8.0899964999999998</v>
      </c>
      <c r="Y35">
        <f t="shared" si="1"/>
        <v>-3.4999999999999999E-6</v>
      </c>
      <c r="Z35">
        <f t="shared" si="2"/>
        <v>49.999996500000002</v>
      </c>
    </row>
    <row r="36" spans="1:26" x14ac:dyDescent="0.3">
      <c r="A36" t="s">
        <v>125</v>
      </c>
      <c r="B36" t="s">
        <v>67</v>
      </c>
      <c r="C36" t="s">
        <v>56</v>
      </c>
      <c r="D36" t="s">
        <v>69</v>
      </c>
      <c r="E36">
        <v>23</v>
      </c>
      <c r="F36" s="3">
        <v>9.08</v>
      </c>
      <c r="G36" s="4">
        <v>79.900000000000006</v>
      </c>
      <c r="H36">
        <v>1</v>
      </c>
      <c r="I36">
        <v>2</v>
      </c>
      <c r="J36">
        <v>3</v>
      </c>
      <c r="K36" s="4">
        <v>64.400000000000006</v>
      </c>
      <c r="L36" s="4">
        <v>66.5</v>
      </c>
      <c r="M36" s="4">
        <v>80.099999999999994</v>
      </c>
      <c r="N36">
        <v>0</v>
      </c>
      <c r="O36" t="s">
        <v>58</v>
      </c>
      <c r="P36" t="s">
        <v>90</v>
      </c>
      <c r="Q36" t="s">
        <v>60</v>
      </c>
      <c r="R36" t="s">
        <v>72</v>
      </c>
      <c r="S36" s="3">
        <v>8.35</v>
      </c>
      <c r="T36" s="5">
        <v>45198</v>
      </c>
      <c r="U36">
        <v>3</v>
      </c>
      <c r="V36">
        <v>2023</v>
      </c>
      <c r="X36">
        <f t="shared" si="0"/>
        <v>9.0799964000000006</v>
      </c>
      <c r="Y36">
        <f t="shared" si="1"/>
        <v>8.3499964000000002</v>
      </c>
      <c r="Z36">
        <f t="shared" si="2"/>
        <v>66.499996400000001</v>
      </c>
    </row>
    <row r="37" spans="1:26" x14ac:dyDescent="0.3">
      <c r="A37" t="s">
        <v>126</v>
      </c>
      <c r="B37" t="s">
        <v>63</v>
      </c>
      <c r="C37" t="s">
        <v>56</v>
      </c>
      <c r="D37" t="s">
        <v>69</v>
      </c>
      <c r="E37">
        <v>20</v>
      </c>
      <c r="F37" s="3">
        <v>7.45</v>
      </c>
      <c r="G37" s="4">
        <v>86.2</v>
      </c>
      <c r="H37">
        <v>2</v>
      </c>
      <c r="I37">
        <v>2</v>
      </c>
      <c r="J37">
        <v>4</v>
      </c>
      <c r="K37" s="4">
        <v>69.5</v>
      </c>
      <c r="L37" s="4">
        <v>71</v>
      </c>
      <c r="M37" s="4">
        <v>87</v>
      </c>
      <c r="N37">
        <v>0</v>
      </c>
      <c r="O37" t="s">
        <v>58</v>
      </c>
      <c r="P37" t="s">
        <v>75</v>
      </c>
      <c r="Q37" t="s">
        <v>71</v>
      </c>
      <c r="R37" t="s">
        <v>72</v>
      </c>
      <c r="S37" s="3">
        <v>6.65</v>
      </c>
      <c r="T37" s="5">
        <v>45966</v>
      </c>
      <c r="U37">
        <v>1</v>
      </c>
      <c r="V37">
        <v>2025</v>
      </c>
      <c r="X37">
        <f t="shared" si="0"/>
        <v>7.4499963000000005</v>
      </c>
      <c r="Y37">
        <f t="shared" si="1"/>
        <v>6.6499963000000006</v>
      </c>
      <c r="Z37">
        <f t="shared" si="2"/>
        <v>70.999996300000006</v>
      </c>
    </row>
    <row r="38" spans="1:26" x14ac:dyDescent="0.3">
      <c r="A38" t="s">
        <v>127</v>
      </c>
      <c r="B38" t="s">
        <v>67</v>
      </c>
      <c r="C38" t="s">
        <v>56</v>
      </c>
      <c r="D38" t="s">
        <v>57</v>
      </c>
      <c r="E38">
        <v>20</v>
      </c>
      <c r="F38" s="3">
        <v>6.28</v>
      </c>
      <c r="G38" s="4">
        <v>77.8</v>
      </c>
      <c r="H38">
        <v>0</v>
      </c>
      <c r="I38">
        <v>0</v>
      </c>
      <c r="J38">
        <v>5</v>
      </c>
      <c r="K38" s="4">
        <v>47.3</v>
      </c>
      <c r="L38" s="4">
        <v>48.3</v>
      </c>
      <c r="M38" s="4">
        <v>60.4</v>
      </c>
      <c r="N38">
        <v>0</v>
      </c>
      <c r="O38" t="s">
        <v>64</v>
      </c>
      <c r="P38" t="s">
        <v>65</v>
      </c>
      <c r="S38" s="3">
        <v>0</v>
      </c>
      <c r="T38" s="5"/>
      <c r="U38">
        <v>0</v>
      </c>
      <c r="V38">
        <v>2023</v>
      </c>
      <c r="X38">
        <f t="shared" si="0"/>
        <v>6.2799962000000003</v>
      </c>
      <c r="Y38">
        <f t="shared" si="1"/>
        <v>-3.8E-6</v>
      </c>
      <c r="Z38">
        <f t="shared" si="2"/>
        <v>48.299996199999995</v>
      </c>
    </row>
    <row r="39" spans="1:26" x14ac:dyDescent="0.3">
      <c r="A39" t="s">
        <v>128</v>
      </c>
      <c r="B39" t="s">
        <v>63</v>
      </c>
      <c r="C39" t="s">
        <v>101</v>
      </c>
      <c r="D39" t="s">
        <v>57</v>
      </c>
      <c r="E39">
        <v>23</v>
      </c>
      <c r="F39" s="3">
        <v>7.77</v>
      </c>
      <c r="G39" s="4">
        <v>80.3</v>
      </c>
      <c r="H39">
        <v>2</v>
      </c>
      <c r="I39">
        <v>2</v>
      </c>
      <c r="J39">
        <v>4</v>
      </c>
      <c r="K39" s="4">
        <v>71.2</v>
      </c>
      <c r="L39" s="4">
        <v>82.4</v>
      </c>
      <c r="M39" s="4">
        <v>62.7</v>
      </c>
      <c r="N39">
        <v>0</v>
      </c>
      <c r="O39" t="s">
        <v>64</v>
      </c>
      <c r="P39" t="s">
        <v>65</v>
      </c>
      <c r="S39" s="3">
        <v>0</v>
      </c>
      <c r="T39" s="5"/>
      <c r="U39">
        <v>0</v>
      </c>
      <c r="V39">
        <v>2025</v>
      </c>
      <c r="X39">
        <f t="shared" si="0"/>
        <v>7.7699960999999993</v>
      </c>
      <c r="Y39">
        <f t="shared" si="1"/>
        <v>-3.8999999999999999E-6</v>
      </c>
      <c r="Z39">
        <f t="shared" si="2"/>
        <v>82.39999610000001</v>
      </c>
    </row>
    <row r="40" spans="1:26" x14ac:dyDescent="0.3">
      <c r="A40" t="s">
        <v>129</v>
      </c>
      <c r="B40" t="s">
        <v>107</v>
      </c>
      <c r="C40" t="s">
        <v>78</v>
      </c>
      <c r="D40" t="s">
        <v>69</v>
      </c>
      <c r="E40">
        <v>20</v>
      </c>
      <c r="F40" s="3">
        <v>7.54</v>
      </c>
      <c r="G40" s="4">
        <v>91.5</v>
      </c>
      <c r="H40">
        <v>1</v>
      </c>
      <c r="I40">
        <v>1</v>
      </c>
      <c r="J40">
        <v>4</v>
      </c>
      <c r="K40" s="4">
        <v>57.3</v>
      </c>
      <c r="L40" s="4">
        <v>85.2</v>
      </c>
      <c r="M40" s="4">
        <v>56.4</v>
      </c>
      <c r="N40">
        <v>3</v>
      </c>
      <c r="O40" t="s">
        <v>58</v>
      </c>
      <c r="P40" t="s">
        <v>70</v>
      </c>
      <c r="Q40" t="s">
        <v>71</v>
      </c>
      <c r="R40" t="s">
        <v>130</v>
      </c>
      <c r="S40" s="3">
        <v>6.39</v>
      </c>
      <c r="T40" s="5">
        <v>44450</v>
      </c>
      <c r="U40">
        <v>1</v>
      </c>
      <c r="V40">
        <v>2021</v>
      </c>
      <c r="X40">
        <f t="shared" si="0"/>
        <v>7.5399960000000004</v>
      </c>
      <c r="Y40">
        <f t="shared" si="1"/>
        <v>6.389996</v>
      </c>
      <c r="Z40">
        <f t="shared" si="2"/>
        <v>85.199995999999999</v>
      </c>
    </row>
    <row r="41" spans="1:26" x14ac:dyDescent="0.3">
      <c r="A41" t="s">
        <v>131</v>
      </c>
      <c r="B41" t="s">
        <v>82</v>
      </c>
      <c r="C41" t="s">
        <v>74</v>
      </c>
      <c r="D41" t="s">
        <v>57</v>
      </c>
      <c r="E41">
        <v>21</v>
      </c>
      <c r="F41" s="3">
        <v>5.75</v>
      </c>
      <c r="G41" s="4">
        <v>85.1</v>
      </c>
      <c r="H41">
        <v>1</v>
      </c>
      <c r="I41">
        <v>2</v>
      </c>
      <c r="J41">
        <v>5</v>
      </c>
      <c r="K41" s="4">
        <v>83</v>
      </c>
      <c r="L41" s="4">
        <v>37.200000000000003</v>
      </c>
      <c r="M41" s="4">
        <v>74</v>
      </c>
      <c r="N41">
        <v>1</v>
      </c>
      <c r="O41" t="s">
        <v>58</v>
      </c>
      <c r="P41" t="s">
        <v>59</v>
      </c>
      <c r="Q41" t="s">
        <v>60</v>
      </c>
      <c r="R41" t="s">
        <v>72</v>
      </c>
      <c r="S41" s="3">
        <v>17.7</v>
      </c>
      <c r="T41" s="5">
        <v>44830</v>
      </c>
      <c r="U41">
        <v>2</v>
      </c>
      <c r="V41">
        <v>2022</v>
      </c>
      <c r="X41">
        <f t="shared" si="0"/>
        <v>5.7499959</v>
      </c>
      <c r="Y41">
        <f t="shared" si="1"/>
        <v>17.699995899999998</v>
      </c>
      <c r="Z41">
        <f t="shared" si="2"/>
        <v>37.199995900000005</v>
      </c>
    </row>
    <row r="42" spans="1:26" x14ac:dyDescent="0.3">
      <c r="A42" t="s">
        <v>132</v>
      </c>
      <c r="B42" t="s">
        <v>55</v>
      </c>
      <c r="C42" t="s">
        <v>78</v>
      </c>
      <c r="D42" t="s">
        <v>69</v>
      </c>
      <c r="E42">
        <v>23</v>
      </c>
      <c r="F42" s="3">
        <v>6.64</v>
      </c>
      <c r="G42" s="4">
        <v>70.8</v>
      </c>
      <c r="H42">
        <v>1</v>
      </c>
      <c r="I42">
        <v>3</v>
      </c>
      <c r="J42">
        <v>4</v>
      </c>
      <c r="K42" s="4">
        <v>55.8</v>
      </c>
      <c r="L42" s="4">
        <v>90.3</v>
      </c>
      <c r="M42" s="4">
        <v>77.2</v>
      </c>
      <c r="N42">
        <v>0</v>
      </c>
      <c r="O42" t="s">
        <v>58</v>
      </c>
      <c r="P42" t="s">
        <v>92</v>
      </c>
      <c r="Q42" t="s">
        <v>93</v>
      </c>
      <c r="R42" t="s">
        <v>130</v>
      </c>
      <c r="S42" s="3">
        <v>8.4700000000000006</v>
      </c>
      <c r="T42" s="5">
        <v>45520</v>
      </c>
      <c r="U42">
        <v>2</v>
      </c>
      <c r="V42">
        <v>2024</v>
      </c>
      <c r="X42">
        <f t="shared" si="0"/>
        <v>6.6399957999999994</v>
      </c>
      <c r="Y42">
        <f t="shared" si="1"/>
        <v>8.4699958000000013</v>
      </c>
      <c r="Z42">
        <f t="shared" si="2"/>
        <v>90.299995799999991</v>
      </c>
    </row>
    <row r="43" spans="1:26" x14ac:dyDescent="0.3">
      <c r="A43" t="s">
        <v>133</v>
      </c>
      <c r="B43" t="s">
        <v>107</v>
      </c>
      <c r="C43" t="s">
        <v>74</v>
      </c>
      <c r="D43" t="s">
        <v>57</v>
      </c>
      <c r="E43">
        <v>20</v>
      </c>
      <c r="F43" s="3">
        <v>6.52</v>
      </c>
      <c r="G43" s="4">
        <v>75.599999999999994</v>
      </c>
      <c r="H43">
        <v>3</v>
      </c>
      <c r="I43">
        <v>3</v>
      </c>
      <c r="J43">
        <v>5</v>
      </c>
      <c r="K43" s="4">
        <v>58</v>
      </c>
      <c r="L43" s="4">
        <v>78.400000000000006</v>
      </c>
      <c r="M43" s="4">
        <v>78.3</v>
      </c>
      <c r="N43">
        <v>2</v>
      </c>
      <c r="O43" t="s">
        <v>64</v>
      </c>
      <c r="P43" t="s">
        <v>65</v>
      </c>
      <c r="S43" s="3">
        <v>0</v>
      </c>
      <c r="T43" s="5"/>
      <c r="U43">
        <v>0</v>
      </c>
      <c r="V43">
        <v>2021</v>
      </c>
      <c r="X43">
        <f t="shared" si="0"/>
        <v>6.5199956999999999</v>
      </c>
      <c r="Y43">
        <f t="shared" si="1"/>
        <v>-4.2999999999999995E-6</v>
      </c>
      <c r="Z43">
        <f t="shared" si="2"/>
        <v>78.399995700000005</v>
      </c>
    </row>
    <row r="44" spans="1:26" x14ac:dyDescent="0.3">
      <c r="A44" t="s">
        <v>134</v>
      </c>
      <c r="B44" t="s">
        <v>55</v>
      </c>
      <c r="C44" t="s">
        <v>84</v>
      </c>
      <c r="D44" t="s">
        <v>57</v>
      </c>
      <c r="E44">
        <v>20</v>
      </c>
      <c r="F44" s="3">
        <v>6.92</v>
      </c>
      <c r="G44" s="4">
        <v>66</v>
      </c>
      <c r="H44">
        <v>2</v>
      </c>
      <c r="I44">
        <v>1</v>
      </c>
      <c r="J44">
        <v>3</v>
      </c>
      <c r="K44" s="4">
        <v>55</v>
      </c>
      <c r="L44" s="4">
        <v>71.400000000000006</v>
      </c>
      <c r="M44" s="4">
        <v>70.8</v>
      </c>
      <c r="N44">
        <v>2</v>
      </c>
      <c r="O44" t="s">
        <v>58</v>
      </c>
      <c r="P44" t="s">
        <v>90</v>
      </c>
      <c r="Q44" t="s">
        <v>60</v>
      </c>
      <c r="R44" t="s">
        <v>130</v>
      </c>
      <c r="S44" s="3">
        <v>8.41</v>
      </c>
      <c r="T44" s="5">
        <v>45619</v>
      </c>
      <c r="U44">
        <v>1</v>
      </c>
      <c r="V44">
        <v>2024</v>
      </c>
      <c r="X44">
        <f t="shared" si="0"/>
        <v>6.9199956</v>
      </c>
      <c r="Y44">
        <f t="shared" si="1"/>
        <v>8.4099956000000002</v>
      </c>
      <c r="Z44">
        <f t="shared" si="2"/>
        <v>71.399995600000011</v>
      </c>
    </row>
    <row r="45" spans="1:26" x14ac:dyDescent="0.3">
      <c r="A45" t="s">
        <v>135</v>
      </c>
      <c r="B45" t="s">
        <v>82</v>
      </c>
      <c r="C45" t="s">
        <v>84</v>
      </c>
      <c r="D45" t="s">
        <v>57</v>
      </c>
      <c r="E45">
        <v>23</v>
      </c>
      <c r="F45" s="3">
        <v>7.33</v>
      </c>
      <c r="G45" s="4">
        <v>87.5</v>
      </c>
      <c r="H45">
        <v>0</v>
      </c>
      <c r="I45">
        <v>2</v>
      </c>
      <c r="J45">
        <v>2</v>
      </c>
      <c r="K45" s="4">
        <v>62.2</v>
      </c>
      <c r="L45" s="4">
        <v>91.9</v>
      </c>
      <c r="M45" s="4">
        <v>72.599999999999994</v>
      </c>
      <c r="N45">
        <v>0</v>
      </c>
      <c r="O45" t="s">
        <v>58</v>
      </c>
      <c r="P45" t="s">
        <v>75</v>
      </c>
      <c r="Q45" t="s">
        <v>71</v>
      </c>
      <c r="R45" t="s">
        <v>72</v>
      </c>
      <c r="S45" s="3">
        <v>5.61</v>
      </c>
      <c r="T45" s="5">
        <v>44798</v>
      </c>
      <c r="U45">
        <v>3</v>
      </c>
      <c r="V45">
        <v>2022</v>
      </c>
      <c r="X45">
        <f t="shared" si="0"/>
        <v>7.3299954999999999</v>
      </c>
      <c r="Y45">
        <f t="shared" si="1"/>
        <v>5.6099955000000001</v>
      </c>
      <c r="Z45">
        <f t="shared" si="2"/>
        <v>91.899995500000003</v>
      </c>
    </row>
    <row r="46" spans="1:26" x14ac:dyDescent="0.3">
      <c r="A46" t="s">
        <v>136</v>
      </c>
      <c r="B46" t="s">
        <v>82</v>
      </c>
      <c r="C46" t="s">
        <v>74</v>
      </c>
      <c r="D46" t="s">
        <v>57</v>
      </c>
      <c r="E46">
        <v>21</v>
      </c>
      <c r="F46" s="3">
        <v>7.37</v>
      </c>
      <c r="G46" s="4">
        <v>88.5</v>
      </c>
      <c r="H46">
        <v>2</v>
      </c>
      <c r="I46">
        <v>3</v>
      </c>
      <c r="J46">
        <v>5</v>
      </c>
      <c r="K46" s="4">
        <v>47.8</v>
      </c>
      <c r="L46" s="4">
        <v>71.599999999999994</v>
      </c>
      <c r="M46" s="4">
        <v>72.7</v>
      </c>
      <c r="N46">
        <v>0</v>
      </c>
      <c r="O46" t="s">
        <v>58</v>
      </c>
      <c r="P46" t="s">
        <v>87</v>
      </c>
      <c r="Q46" t="s">
        <v>71</v>
      </c>
      <c r="R46" t="s">
        <v>130</v>
      </c>
      <c r="S46" s="3">
        <v>6.1</v>
      </c>
      <c r="T46" s="5">
        <v>44811</v>
      </c>
      <c r="U46">
        <v>1</v>
      </c>
      <c r="V46">
        <v>2022</v>
      </c>
      <c r="X46">
        <f t="shared" si="0"/>
        <v>7.3699954000000005</v>
      </c>
      <c r="Y46">
        <f t="shared" si="1"/>
        <v>6.0999954000000001</v>
      </c>
      <c r="Z46">
        <f t="shared" si="2"/>
        <v>71.599995399999997</v>
      </c>
    </row>
    <row r="47" spans="1:26" x14ac:dyDescent="0.3">
      <c r="A47" t="s">
        <v>137</v>
      </c>
      <c r="B47" t="s">
        <v>107</v>
      </c>
      <c r="C47" t="s">
        <v>101</v>
      </c>
      <c r="D47" t="s">
        <v>57</v>
      </c>
      <c r="E47">
        <v>23</v>
      </c>
      <c r="F47" s="3">
        <v>6.95</v>
      </c>
      <c r="G47" s="4">
        <v>73.599999999999994</v>
      </c>
      <c r="H47">
        <v>3</v>
      </c>
      <c r="I47">
        <v>0</v>
      </c>
      <c r="J47">
        <v>3</v>
      </c>
      <c r="K47" s="4">
        <v>75.3</v>
      </c>
      <c r="L47" s="4">
        <v>58.3</v>
      </c>
      <c r="M47" s="4">
        <v>71.2</v>
      </c>
      <c r="N47">
        <v>0</v>
      </c>
      <c r="O47" t="s">
        <v>58</v>
      </c>
      <c r="P47" t="s">
        <v>59</v>
      </c>
      <c r="Q47" t="s">
        <v>60</v>
      </c>
      <c r="R47" t="s">
        <v>61</v>
      </c>
      <c r="S47" s="3">
        <v>18.45</v>
      </c>
      <c r="T47" s="5">
        <v>44452</v>
      </c>
      <c r="U47">
        <v>1</v>
      </c>
      <c r="V47">
        <v>2021</v>
      </c>
      <c r="X47">
        <f t="shared" si="0"/>
        <v>6.9499953000000003</v>
      </c>
      <c r="Y47">
        <f t="shared" si="1"/>
        <v>18.449995299999998</v>
      </c>
      <c r="Z47">
        <f t="shared" si="2"/>
        <v>58.299995299999999</v>
      </c>
    </row>
    <row r="48" spans="1:26" x14ac:dyDescent="0.3">
      <c r="A48" t="s">
        <v>138</v>
      </c>
      <c r="B48" t="s">
        <v>82</v>
      </c>
      <c r="C48" t="s">
        <v>78</v>
      </c>
      <c r="D48" t="s">
        <v>69</v>
      </c>
      <c r="E48">
        <v>20</v>
      </c>
      <c r="F48" s="3">
        <v>6.52</v>
      </c>
      <c r="G48" s="4">
        <v>100</v>
      </c>
      <c r="H48">
        <v>1</v>
      </c>
      <c r="I48">
        <v>2</v>
      </c>
      <c r="J48">
        <v>4</v>
      </c>
      <c r="K48" s="4">
        <v>60.6</v>
      </c>
      <c r="L48" s="4">
        <v>47.6</v>
      </c>
      <c r="M48" s="4">
        <v>52</v>
      </c>
      <c r="N48">
        <v>0</v>
      </c>
      <c r="O48" t="s">
        <v>64</v>
      </c>
      <c r="P48" t="s">
        <v>65</v>
      </c>
      <c r="S48" s="3">
        <v>0</v>
      </c>
      <c r="T48" s="5"/>
      <c r="U48">
        <v>0</v>
      </c>
      <c r="V48">
        <v>2022</v>
      </c>
      <c r="X48">
        <f t="shared" si="0"/>
        <v>6.5199951999999994</v>
      </c>
      <c r="Y48">
        <f t="shared" si="1"/>
        <v>-4.7999999999999998E-6</v>
      </c>
      <c r="Z48">
        <f t="shared" si="2"/>
        <v>47.599995200000002</v>
      </c>
    </row>
    <row r="49" spans="1:26" x14ac:dyDescent="0.3">
      <c r="A49" t="s">
        <v>139</v>
      </c>
      <c r="B49" t="s">
        <v>63</v>
      </c>
      <c r="C49" t="s">
        <v>74</v>
      </c>
      <c r="D49" t="s">
        <v>69</v>
      </c>
      <c r="E49">
        <v>23</v>
      </c>
      <c r="F49" s="3">
        <v>7.99</v>
      </c>
      <c r="G49" s="4">
        <v>100</v>
      </c>
      <c r="H49">
        <v>1</v>
      </c>
      <c r="I49">
        <v>3</v>
      </c>
      <c r="J49">
        <v>5</v>
      </c>
      <c r="K49" s="4">
        <v>79.400000000000006</v>
      </c>
      <c r="L49" s="4">
        <v>68.2</v>
      </c>
      <c r="M49" s="4">
        <v>62.5</v>
      </c>
      <c r="N49">
        <v>0</v>
      </c>
      <c r="O49" t="s">
        <v>58</v>
      </c>
      <c r="P49" t="s">
        <v>95</v>
      </c>
      <c r="Q49" t="s">
        <v>93</v>
      </c>
      <c r="R49" t="s">
        <v>72</v>
      </c>
      <c r="S49" s="3">
        <v>6.15</v>
      </c>
      <c r="T49" s="5">
        <v>45975</v>
      </c>
      <c r="U49">
        <v>1</v>
      </c>
      <c r="V49">
        <v>2025</v>
      </c>
      <c r="X49">
        <f t="shared" si="0"/>
        <v>7.9899950999999998</v>
      </c>
      <c r="Y49">
        <f t="shared" si="1"/>
        <v>6.1499950999999999</v>
      </c>
      <c r="Z49">
        <f t="shared" si="2"/>
        <v>68.19999510000001</v>
      </c>
    </row>
    <row r="50" spans="1:26" x14ac:dyDescent="0.3">
      <c r="A50" t="s">
        <v>140</v>
      </c>
      <c r="B50" t="s">
        <v>82</v>
      </c>
      <c r="C50" t="s">
        <v>56</v>
      </c>
      <c r="D50" t="s">
        <v>69</v>
      </c>
      <c r="E50">
        <v>20</v>
      </c>
      <c r="F50" s="3">
        <v>7.75</v>
      </c>
      <c r="G50" s="4">
        <v>82.2</v>
      </c>
      <c r="H50">
        <v>0</v>
      </c>
      <c r="I50">
        <v>1</v>
      </c>
      <c r="J50">
        <v>3</v>
      </c>
      <c r="K50" s="4">
        <v>68.8</v>
      </c>
      <c r="L50" s="4">
        <v>68.2</v>
      </c>
      <c r="M50" s="4">
        <v>80.5</v>
      </c>
      <c r="N50">
        <v>0</v>
      </c>
      <c r="O50" t="s">
        <v>58</v>
      </c>
      <c r="P50" t="s">
        <v>79</v>
      </c>
      <c r="Q50" t="s">
        <v>71</v>
      </c>
      <c r="R50" t="s">
        <v>109</v>
      </c>
      <c r="S50" s="3">
        <v>4.5999999999999996</v>
      </c>
      <c r="T50" s="5">
        <v>44879</v>
      </c>
      <c r="U50">
        <v>1</v>
      </c>
      <c r="V50">
        <v>2022</v>
      </c>
      <c r="X50">
        <f t="shared" si="0"/>
        <v>7.7499950000000002</v>
      </c>
      <c r="Y50">
        <f t="shared" si="1"/>
        <v>4.5999949999999998</v>
      </c>
      <c r="Z50">
        <f t="shared" si="2"/>
        <v>68.199995000000001</v>
      </c>
    </row>
    <row r="51" spans="1:26" x14ac:dyDescent="0.3">
      <c r="A51" t="s">
        <v>141</v>
      </c>
      <c r="B51" t="s">
        <v>55</v>
      </c>
      <c r="C51" t="s">
        <v>68</v>
      </c>
      <c r="D51" t="s">
        <v>57</v>
      </c>
      <c r="E51">
        <v>22</v>
      </c>
      <c r="F51" s="3">
        <v>7.78</v>
      </c>
      <c r="G51" s="4">
        <v>74.8</v>
      </c>
      <c r="H51">
        <v>1</v>
      </c>
      <c r="I51">
        <v>2</v>
      </c>
      <c r="J51">
        <v>4</v>
      </c>
      <c r="K51" s="4">
        <v>92</v>
      </c>
      <c r="L51" s="4">
        <v>44.4</v>
      </c>
      <c r="M51" s="4">
        <v>68.7</v>
      </c>
      <c r="N51">
        <v>1</v>
      </c>
      <c r="O51" t="s">
        <v>58</v>
      </c>
      <c r="P51" t="s">
        <v>90</v>
      </c>
      <c r="Q51" t="s">
        <v>60</v>
      </c>
      <c r="R51" t="s">
        <v>109</v>
      </c>
      <c r="S51" s="3">
        <v>7.4</v>
      </c>
      <c r="T51" s="5">
        <v>45549</v>
      </c>
      <c r="U51">
        <v>1</v>
      </c>
      <c r="V51">
        <v>2024</v>
      </c>
      <c r="X51">
        <f t="shared" si="0"/>
        <v>7.7799949000000002</v>
      </c>
      <c r="Y51">
        <f t="shared" si="1"/>
        <v>7.3999949000000003</v>
      </c>
      <c r="Z51">
        <f t="shared" si="2"/>
        <v>44.399994899999996</v>
      </c>
    </row>
    <row r="52" spans="1:26" x14ac:dyDescent="0.3">
      <c r="A52" t="s">
        <v>142</v>
      </c>
      <c r="B52" t="s">
        <v>55</v>
      </c>
      <c r="C52" t="s">
        <v>101</v>
      </c>
      <c r="D52" t="s">
        <v>69</v>
      </c>
      <c r="E52">
        <v>23</v>
      </c>
      <c r="F52" s="3">
        <v>9.25</v>
      </c>
      <c r="G52" s="4">
        <v>84.5</v>
      </c>
      <c r="H52">
        <v>2</v>
      </c>
      <c r="I52">
        <v>3</v>
      </c>
      <c r="J52">
        <v>5</v>
      </c>
      <c r="K52" s="4">
        <v>64.400000000000006</v>
      </c>
      <c r="L52" s="4">
        <v>64.599999999999994</v>
      </c>
      <c r="M52" s="4">
        <v>68</v>
      </c>
      <c r="N52">
        <v>2</v>
      </c>
      <c r="O52" t="s">
        <v>58</v>
      </c>
      <c r="P52" t="s">
        <v>59</v>
      </c>
      <c r="Q52" t="s">
        <v>60</v>
      </c>
      <c r="R52" t="s">
        <v>85</v>
      </c>
      <c r="S52" s="3">
        <v>21.42</v>
      </c>
      <c r="T52" s="5">
        <v>45619</v>
      </c>
      <c r="U52">
        <v>1</v>
      </c>
      <c r="V52">
        <v>2024</v>
      </c>
      <c r="X52">
        <f t="shared" si="0"/>
        <v>9.2499947999999996</v>
      </c>
      <c r="Y52">
        <f t="shared" si="1"/>
        <v>21.419994800000001</v>
      </c>
      <c r="Z52">
        <f t="shared" si="2"/>
        <v>64.59999479999999</v>
      </c>
    </row>
    <row r="53" spans="1:26" x14ac:dyDescent="0.3">
      <c r="A53" t="s">
        <v>143</v>
      </c>
      <c r="B53" t="s">
        <v>55</v>
      </c>
      <c r="C53" t="s">
        <v>84</v>
      </c>
      <c r="D53" t="s">
        <v>57</v>
      </c>
      <c r="E53">
        <v>23</v>
      </c>
      <c r="F53" s="3">
        <v>7.8</v>
      </c>
      <c r="G53" s="4">
        <v>74.599999999999994</v>
      </c>
      <c r="H53">
        <v>1</v>
      </c>
      <c r="I53">
        <v>0</v>
      </c>
      <c r="J53">
        <v>5</v>
      </c>
      <c r="K53" s="4">
        <v>63</v>
      </c>
      <c r="L53" s="4">
        <v>93</v>
      </c>
      <c r="M53" s="4">
        <v>89.2</v>
      </c>
      <c r="N53">
        <v>0</v>
      </c>
      <c r="O53" t="s">
        <v>58</v>
      </c>
      <c r="P53" t="s">
        <v>104</v>
      </c>
      <c r="Q53" t="s">
        <v>105</v>
      </c>
      <c r="R53" t="s">
        <v>109</v>
      </c>
      <c r="S53" s="3">
        <v>17.100000000000001</v>
      </c>
      <c r="T53" s="5">
        <v>45534</v>
      </c>
      <c r="U53">
        <v>2</v>
      </c>
      <c r="V53">
        <v>2024</v>
      </c>
      <c r="X53">
        <f t="shared" si="0"/>
        <v>7.7999947000000001</v>
      </c>
      <c r="Y53">
        <f t="shared" si="1"/>
        <v>17.0999947</v>
      </c>
      <c r="Z53">
        <f t="shared" si="2"/>
        <v>92.999994700000002</v>
      </c>
    </row>
    <row r="54" spans="1:26" x14ac:dyDescent="0.3">
      <c r="A54" t="s">
        <v>144</v>
      </c>
      <c r="B54" t="s">
        <v>55</v>
      </c>
      <c r="C54" t="s">
        <v>78</v>
      </c>
      <c r="D54" t="s">
        <v>57</v>
      </c>
      <c r="E54">
        <v>20</v>
      </c>
      <c r="F54" s="3">
        <v>7.32</v>
      </c>
      <c r="G54" s="4">
        <v>90.6</v>
      </c>
      <c r="H54">
        <v>0</v>
      </c>
      <c r="I54">
        <v>1</v>
      </c>
      <c r="J54">
        <v>5</v>
      </c>
      <c r="K54" s="4">
        <v>76.2</v>
      </c>
      <c r="L54" s="4">
        <v>77.599999999999994</v>
      </c>
      <c r="M54" s="4">
        <v>86.9</v>
      </c>
      <c r="N54">
        <v>0</v>
      </c>
      <c r="O54" t="s">
        <v>58</v>
      </c>
      <c r="P54" t="s">
        <v>70</v>
      </c>
      <c r="Q54" t="s">
        <v>71</v>
      </c>
      <c r="R54" t="s">
        <v>109</v>
      </c>
      <c r="S54" s="3">
        <v>3.06</v>
      </c>
      <c r="T54" s="5">
        <v>45585</v>
      </c>
      <c r="U54">
        <v>1</v>
      </c>
      <c r="V54">
        <v>2024</v>
      </c>
      <c r="X54">
        <f t="shared" si="0"/>
        <v>7.3199946000000002</v>
      </c>
      <c r="Y54">
        <f t="shared" si="1"/>
        <v>3.0599946</v>
      </c>
      <c r="Z54">
        <f t="shared" si="2"/>
        <v>77.599994599999988</v>
      </c>
    </row>
    <row r="55" spans="1:26" x14ac:dyDescent="0.3">
      <c r="A55" t="s">
        <v>145</v>
      </c>
      <c r="B55" t="s">
        <v>63</v>
      </c>
      <c r="C55" t="s">
        <v>101</v>
      </c>
      <c r="D55" t="s">
        <v>57</v>
      </c>
      <c r="E55">
        <v>20</v>
      </c>
      <c r="F55" s="3">
        <v>7.55</v>
      </c>
      <c r="G55" s="4">
        <v>83.5</v>
      </c>
      <c r="H55">
        <v>1</v>
      </c>
      <c r="I55">
        <v>1</v>
      </c>
      <c r="J55">
        <v>5</v>
      </c>
      <c r="K55" s="4">
        <v>38.9</v>
      </c>
      <c r="L55" s="4">
        <v>49.8</v>
      </c>
      <c r="M55" s="4">
        <v>65.2</v>
      </c>
      <c r="N55">
        <v>0</v>
      </c>
      <c r="O55" t="s">
        <v>58</v>
      </c>
      <c r="P55" t="s">
        <v>87</v>
      </c>
      <c r="Q55" t="s">
        <v>71</v>
      </c>
      <c r="R55" t="s">
        <v>80</v>
      </c>
      <c r="S55" s="3">
        <v>5.58</v>
      </c>
      <c r="T55" s="5">
        <v>45885</v>
      </c>
      <c r="U55">
        <v>1</v>
      </c>
      <c r="V55">
        <v>2025</v>
      </c>
      <c r="X55">
        <f t="shared" si="0"/>
        <v>7.5499944999999995</v>
      </c>
      <c r="Y55">
        <f t="shared" si="1"/>
        <v>5.5799944999999997</v>
      </c>
      <c r="Z55">
        <f t="shared" si="2"/>
        <v>49.799994499999997</v>
      </c>
    </row>
    <row r="56" spans="1:26" x14ac:dyDescent="0.3">
      <c r="A56" t="s">
        <v>146</v>
      </c>
      <c r="B56" t="s">
        <v>67</v>
      </c>
      <c r="C56" t="s">
        <v>89</v>
      </c>
      <c r="D56" t="s">
        <v>57</v>
      </c>
      <c r="E56">
        <v>20</v>
      </c>
      <c r="F56" s="3">
        <v>7.74</v>
      </c>
      <c r="G56" s="4">
        <v>84.1</v>
      </c>
      <c r="H56">
        <v>1</v>
      </c>
      <c r="I56">
        <v>0</v>
      </c>
      <c r="J56">
        <v>5</v>
      </c>
      <c r="K56" s="4">
        <v>61.3</v>
      </c>
      <c r="L56" s="4">
        <v>74.599999999999994</v>
      </c>
      <c r="M56" s="4">
        <v>91.9</v>
      </c>
      <c r="N56">
        <v>2</v>
      </c>
      <c r="O56" t="s">
        <v>58</v>
      </c>
      <c r="P56" t="s">
        <v>59</v>
      </c>
      <c r="Q56" t="s">
        <v>60</v>
      </c>
      <c r="R56" t="s">
        <v>72</v>
      </c>
      <c r="S56" s="3">
        <v>19.899999999999999</v>
      </c>
      <c r="T56" s="5">
        <v>45142</v>
      </c>
      <c r="U56">
        <v>1</v>
      </c>
      <c r="V56">
        <v>2023</v>
      </c>
      <c r="X56">
        <f t="shared" si="0"/>
        <v>7.7399944000000005</v>
      </c>
      <c r="Y56">
        <f t="shared" si="1"/>
        <v>19.899994399999997</v>
      </c>
      <c r="Z56">
        <f t="shared" si="2"/>
        <v>74.5999944</v>
      </c>
    </row>
    <row r="57" spans="1:26" x14ac:dyDescent="0.3">
      <c r="A57" t="s">
        <v>147</v>
      </c>
      <c r="B57" t="s">
        <v>107</v>
      </c>
      <c r="C57" t="s">
        <v>101</v>
      </c>
      <c r="D57" t="s">
        <v>57</v>
      </c>
      <c r="E57">
        <v>20</v>
      </c>
      <c r="F57" s="3">
        <v>8.1999999999999993</v>
      </c>
      <c r="G57" s="4">
        <v>97.8</v>
      </c>
      <c r="H57">
        <v>1</v>
      </c>
      <c r="I57">
        <v>1</v>
      </c>
      <c r="J57">
        <v>5</v>
      </c>
      <c r="K57" s="4">
        <v>66.8</v>
      </c>
      <c r="L57" s="4">
        <v>80.5</v>
      </c>
      <c r="M57" s="4">
        <v>71.7</v>
      </c>
      <c r="N57">
        <v>1</v>
      </c>
      <c r="O57" t="s">
        <v>58</v>
      </c>
      <c r="P57" t="s">
        <v>75</v>
      </c>
      <c r="Q57" t="s">
        <v>71</v>
      </c>
      <c r="R57" t="s">
        <v>109</v>
      </c>
      <c r="S57" s="3">
        <v>6.99</v>
      </c>
      <c r="T57" s="5">
        <v>44502</v>
      </c>
      <c r="U57">
        <v>1</v>
      </c>
      <c r="V57">
        <v>2021</v>
      </c>
      <c r="X57">
        <f t="shared" si="0"/>
        <v>8.1999942999999984</v>
      </c>
      <c r="Y57">
        <f t="shared" si="1"/>
        <v>6.9899943000000002</v>
      </c>
      <c r="Z57">
        <f t="shared" si="2"/>
        <v>80.499994299999997</v>
      </c>
    </row>
    <row r="58" spans="1:26" x14ac:dyDescent="0.3">
      <c r="A58" t="s">
        <v>148</v>
      </c>
      <c r="B58" t="s">
        <v>55</v>
      </c>
      <c r="C58" t="s">
        <v>101</v>
      </c>
      <c r="D58" t="s">
        <v>57</v>
      </c>
      <c r="E58">
        <v>23</v>
      </c>
      <c r="F58" s="3">
        <v>7.61</v>
      </c>
      <c r="G58" s="4">
        <v>76.400000000000006</v>
      </c>
      <c r="H58">
        <v>2</v>
      </c>
      <c r="I58">
        <v>1</v>
      </c>
      <c r="J58">
        <v>3</v>
      </c>
      <c r="K58" s="4">
        <v>78.099999999999994</v>
      </c>
      <c r="L58" s="4">
        <v>85.5</v>
      </c>
      <c r="M58" s="4">
        <v>83.6</v>
      </c>
      <c r="N58">
        <v>0</v>
      </c>
      <c r="O58" t="s">
        <v>58</v>
      </c>
      <c r="P58" t="s">
        <v>75</v>
      </c>
      <c r="Q58" t="s">
        <v>71</v>
      </c>
      <c r="R58" t="s">
        <v>109</v>
      </c>
      <c r="S58" s="3">
        <v>6.75</v>
      </c>
      <c r="T58" s="5">
        <v>45588</v>
      </c>
      <c r="U58">
        <v>1</v>
      </c>
      <c r="V58">
        <v>2024</v>
      </c>
      <c r="X58">
        <f t="shared" si="0"/>
        <v>7.6099942</v>
      </c>
      <c r="Y58">
        <f t="shared" si="1"/>
        <v>6.7499941999999997</v>
      </c>
      <c r="Z58">
        <f t="shared" si="2"/>
        <v>85.499994200000003</v>
      </c>
    </row>
    <row r="59" spans="1:26" x14ac:dyDescent="0.3">
      <c r="A59" t="s">
        <v>149</v>
      </c>
      <c r="B59" t="s">
        <v>82</v>
      </c>
      <c r="C59" t="s">
        <v>74</v>
      </c>
      <c r="D59" t="s">
        <v>69</v>
      </c>
      <c r="E59">
        <v>20</v>
      </c>
      <c r="F59" s="3">
        <v>5.9</v>
      </c>
      <c r="G59" s="4">
        <v>76.8</v>
      </c>
      <c r="H59">
        <v>0</v>
      </c>
      <c r="I59">
        <v>1</v>
      </c>
      <c r="J59">
        <v>2</v>
      </c>
      <c r="K59" s="4">
        <v>81</v>
      </c>
      <c r="L59" s="4">
        <v>78.8</v>
      </c>
      <c r="M59" s="4">
        <v>73.599999999999994</v>
      </c>
      <c r="N59">
        <v>1</v>
      </c>
      <c r="O59" t="s">
        <v>64</v>
      </c>
      <c r="P59" t="s">
        <v>65</v>
      </c>
      <c r="S59" s="3">
        <v>0</v>
      </c>
      <c r="T59" s="5"/>
      <c r="U59">
        <v>0</v>
      </c>
      <c r="V59">
        <v>2022</v>
      </c>
      <c r="X59">
        <f t="shared" si="0"/>
        <v>5.8999941000000007</v>
      </c>
      <c r="Y59">
        <f t="shared" si="1"/>
        <v>-5.8999999999999994E-6</v>
      </c>
      <c r="Z59">
        <f t="shared" si="2"/>
        <v>78.799994099999992</v>
      </c>
    </row>
    <row r="60" spans="1:26" x14ac:dyDescent="0.3">
      <c r="A60" t="s">
        <v>150</v>
      </c>
      <c r="B60" t="s">
        <v>55</v>
      </c>
      <c r="C60" t="s">
        <v>68</v>
      </c>
      <c r="D60" t="s">
        <v>69</v>
      </c>
      <c r="E60">
        <v>23</v>
      </c>
      <c r="F60" s="3">
        <v>7.26</v>
      </c>
      <c r="G60" s="4">
        <v>89.7</v>
      </c>
      <c r="H60">
        <v>1</v>
      </c>
      <c r="I60">
        <v>2</v>
      </c>
      <c r="J60">
        <v>3</v>
      </c>
      <c r="K60" s="4">
        <v>83.7</v>
      </c>
      <c r="L60" s="4">
        <v>87.4</v>
      </c>
      <c r="M60" s="4">
        <v>66.3</v>
      </c>
      <c r="N60">
        <v>0</v>
      </c>
      <c r="O60" t="s">
        <v>58</v>
      </c>
      <c r="P60" t="s">
        <v>104</v>
      </c>
      <c r="Q60" t="s">
        <v>105</v>
      </c>
      <c r="R60" t="s">
        <v>72</v>
      </c>
      <c r="S60" s="3">
        <v>16.600000000000001</v>
      </c>
      <c r="T60" s="5">
        <v>45565</v>
      </c>
      <c r="U60">
        <v>1</v>
      </c>
      <c r="V60">
        <v>2024</v>
      </c>
      <c r="X60">
        <f t="shared" si="0"/>
        <v>7.2599939999999998</v>
      </c>
      <c r="Y60">
        <f t="shared" si="1"/>
        <v>16.599994000000002</v>
      </c>
      <c r="Z60">
        <f t="shared" si="2"/>
        <v>87.399994000000007</v>
      </c>
    </row>
    <row r="61" spans="1:26" x14ac:dyDescent="0.3">
      <c r="A61" t="s">
        <v>151</v>
      </c>
      <c r="B61" t="s">
        <v>82</v>
      </c>
      <c r="C61" t="s">
        <v>101</v>
      </c>
      <c r="D61" t="s">
        <v>57</v>
      </c>
      <c r="E61">
        <v>21</v>
      </c>
      <c r="F61" s="3">
        <v>7.65</v>
      </c>
      <c r="G61" s="4">
        <v>78.2</v>
      </c>
      <c r="H61">
        <v>1</v>
      </c>
      <c r="I61">
        <v>2</v>
      </c>
      <c r="J61">
        <v>2</v>
      </c>
      <c r="K61" s="4">
        <v>63.9</v>
      </c>
      <c r="L61" s="4">
        <v>81.3</v>
      </c>
      <c r="M61" s="4">
        <v>83.6</v>
      </c>
      <c r="N61">
        <v>0</v>
      </c>
      <c r="O61" t="s">
        <v>58</v>
      </c>
      <c r="P61" t="s">
        <v>59</v>
      </c>
      <c r="Q61" t="s">
        <v>60</v>
      </c>
      <c r="R61" t="s">
        <v>72</v>
      </c>
      <c r="S61" s="3">
        <v>19.579999999999998</v>
      </c>
      <c r="T61" s="5">
        <v>44778</v>
      </c>
      <c r="U61">
        <v>1</v>
      </c>
      <c r="V61">
        <v>2022</v>
      </c>
      <c r="X61">
        <f t="shared" si="0"/>
        <v>7.6499939000000001</v>
      </c>
      <c r="Y61">
        <f t="shared" si="1"/>
        <v>19.579993899999998</v>
      </c>
      <c r="Z61">
        <f t="shared" si="2"/>
        <v>81.299993900000004</v>
      </c>
    </row>
    <row r="62" spans="1:26" x14ac:dyDescent="0.3">
      <c r="A62" t="s">
        <v>152</v>
      </c>
      <c r="B62" t="s">
        <v>82</v>
      </c>
      <c r="C62" t="s">
        <v>56</v>
      </c>
      <c r="D62" t="s">
        <v>57</v>
      </c>
      <c r="E62">
        <v>23</v>
      </c>
      <c r="F62" s="3">
        <v>8.82</v>
      </c>
      <c r="G62" s="4">
        <v>96.4</v>
      </c>
      <c r="H62">
        <v>3</v>
      </c>
      <c r="I62">
        <v>0</v>
      </c>
      <c r="J62">
        <v>2</v>
      </c>
      <c r="K62" s="4">
        <v>57.7</v>
      </c>
      <c r="L62" s="4">
        <v>66.3</v>
      </c>
      <c r="M62" s="4">
        <v>63.2</v>
      </c>
      <c r="N62">
        <v>0</v>
      </c>
      <c r="O62" t="s">
        <v>58</v>
      </c>
      <c r="P62" t="s">
        <v>75</v>
      </c>
      <c r="Q62" t="s">
        <v>71</v>
      </c>
      <c r="R62" t="s">
        <v>109</v>
      </c>
      <c r="S62" s="3">
        <v>7.11</v>
      </c>
      <c r="T62" s="5">
        <v>44882</v>
      </c>
      <c r="U62">
        <v>1</v>
      </c>
      <c r="V62">
        <v>2022</v>
      </c>
      <c r="X62">
        <f t="shared" si="0"/>
        <v>8.8199938000000007</v>
      </c>
      <c r="Y62">
        <f t="shared" si="1"/>
        <v>7.1099938000000007</v>
      </c>
      <c r="Z62">
        <f t="shared" si="2"/>
        <v>66.299993799999996</v>
      </c>
    </row>
    <row r="63" spans="1:26" x14ac:dyDescent="0.3">
      <c r="A63" t="s">
        <v>153</v>
      </c>
      <c r="B63" t="s">
        <v>55</v>
      </c>
      <c r="C63" t="s">
        <v>101</v>
      </c>
      <c r="D63" t="s">
        <v>57</v>
      </c>
      <c r="E63">
        <v>20</v>
      </c>
      <c r="F63" s="3">
        <v>6.94</v>
      </c>
      <c r="G63" s="4">
        <v>91</v>
      </c>
      <c r="H63">
        <v>1</v>
      </c>
      <c r="I63">
        <v>1</v>
      </c>
      <c r="J63">
        <v>6</v>
      </c>
      <c r="K63" s="4">
        <v>68.8</v>
      </c>
      <c r="L63" s="4">
        <v>75</v>
      </c>
      <c r="M63" s="4">
        <v>72.099999999999994</v>
      </c>
      <c r="N63">
        <v>0</v>
      </c>
      <c r="O63" t="s">
        <v>58</v>
      </c>
      <c r="P63" t="s">
        <v>59</v>
      </c>
      <c r="Q63" t="s">
        <v>60</v>
      </c>
      <c r="R63" t="s">
        <v>61</v>
      </c>
      <c r="S63" s="3">
        <v>19.2</v>
      </c>
      <c r="T63" s="5">
        <v>45582</v>
      </c>
      <c r="U63">
        <v>1</v>
      </c>
      <c r="V63">
        <v>2024</v>
      </c>
      <c r="X63">
        <f t="shared" si="0"/>
        <v>6.9399937000000005</v>
      </c>
      <c r="Y63">
        <f t="shared" si="1"/>
        <v>19.1999937</v>
      </c>
      <c r="Z63">
        <f t="shared" si="2"/>
        <v>74.999993700000005</v>
      </c>
    </row>
    <row r="64" spans="1:26" x14ac:dyDescent="0.3">
      <c r="A64" t="s">
        <v>154</v>
      </c>
      <c r="B64" t="s">
        <v>63</v>
      </c>
      <c r="C64" t="s">
        <v>56</v>
      </c>
      <c r="D64" t="s">
        <v>57</v>
      </c>
      <c r="E64">
        <v>20</v>
      </c>
      <c r="F64" s="3">
        <v>6.18</v>
      </c>
      <c r="G64" s="4">
        <v>78.7</v>
      </c>
      <c r="H64">
        <v>0</v>
      </c>
      <c r="I64">
        <v>0</v>
      </c>
      <c r="J64">
        <v>4</v>
      </c>
      <c r="K64" s="4">
        <v>64.3</v>
      </c>
      <c r="L64" s="4">
        <v>66.599999999999994</v>
      </c>
      <c r="M64" s="4">
        <v>74</v>
      </c>
      <c r="N64">
        <v>0</v>
      </c>
      <c r="O64" t="s">
        <v>64</v>
      </c>
      <c r="P64" t="s">
        <v>65</v>
      </c>
      <c r="S64" s="3">
        <v>0</v>
      </c>
      <c r="T64" s="5"/>
      <c r="U64">
        <v>0</v>
      </c>
      <c r="V64">
        <v>2025</v>
      </c>
      <c r="X64">
        <f t="shared" si="0"/>
        <v>6.1799935999999995</v>
      </c>
      <c r="Y64">
        <f t="shared" si="1"/>
        <v>-6.3999999999999997E-6</v>
      </c>
      <c r="Z64">
        <f t="shared" si="2"/>
        <v>66.599993599999991</v>
      </c>
    </row>
    <row r="65" spans="1:26" x14ac:dyDescent="0.3">
      <c r="A65" t="s">
        <v>155</v>
      </c>
      <c r="B65" t="s">
        <v>82</v>
      </c>
      <c r="C65" t="s">
        <v>68</v>
      </c>
      <c r="D65" t="s">
        <v>69</v>
      </c>
      <c r="E65">
        <v>21</v>
      </c>
      <c r="F65" s="3">
        <v>7.71</v>
      </c>
      <c r="G65" s="4">
        <v>65.7</v>
      </c>
      <c r="H65">
        <v>0</v>
      </c>
      <c r="I65">
        <v>1</v>
      </c>
      <c r="J65">
        <v>5</v>
      </c>
      <c r="K65" s="4">
        <v>44.6</v>
      </c>
      <c r="L65" s="4">
        <v>76.099999999999994</v>
      </c>
      <c r="M65" s="4">
        <v>69.400000000000006</v>
      </c>
      <c r="N65">
        <v>0</v>
      </c>
      <c r="O65" t="s">
        <v>64</v>
      </c>
      <c r="P65" t="s">
        <v>65</v>
      </c>
      <c r="S65" s="3">
        <v>0</v>
      </c>
      <c r="T65" s="5"/>
      <c r="U65">
        <v>0</v>
      </c>
      <c r="V65">
        <v>2022</v>
      </c>
      <c r="X65">
        <f t="shared" si="0"/>
        <v>7.7099935000000004</v>
      </c>
      <c r="Y65">
        <f t="shared" si="1"/>
        <v>-6.4999999999999996E-6</v>
      </c>
      <c r="Z65">
        <f t="shared" si="2"/>
        <v>76.099993499999997</v>
      </c>
    </row>
    <row r="66" spans="1:26" x14ac:dyDescent="0.3">
      <c r="A66" t="s">
        <v>156</v>
      </c>
      <c r="B66" t="s">
        <v>82</v>
      </c>
      <c r="C66" t="s">
        <v>101</v>
      </c>
      <c r="D66" t="s">
        <v>57</v>
      </c>
      <c r="E66">
        <v>23</v>
      </c>
      <c r="F66" s="3">
        <v>8.43</v>
      </c>
      <c r="G66" s="4">
        <v>68.900000000000006</v>
      </c>
      <c r="H66">
        <v>1</v>
      </c>
      <c r="I66">
        <v>1</v>
      </c>
      <c r="J66">
        <v>4</v>
      </c>
      <c r="K66" s="4">
        <v>70.3</v>
      </c>
      <c r="L66" s="4">
        <v>81</v>
      </c>
      <c r="M66" s="4">
        <v>57.7</v>
      </c>
      <c r="N66">
        <v>0</v>
      </c>
      <c r="O66" t="s">
        <v>58</v>
      </c>
      <c r="P66" t="s">
        <v>104</v>
      </c>
      <c r="Q66" t="s">
        <v>105</v>
      </c>
      <c r="R66" t="s">
        <v>130</v>
      </c>
      <c r="S66" s="3">
        <v>16.3</v>
      </c>
      <c r="T66" s="5">
        <v>44877</v>
      </c>
      <c r="U66">
        <v>3</v>
      </c>
      <c r="V66">
        <v>2022</v>
      </c>
      <c r="X66">
        <f t="shared" ref="X66:X129" si="3">F66-ROW()*0.0000001</f>
        <v>8.429993399999999</v>
      </c>
      <c r="Y66">
        <f t="shared" ref="Y66:Y129" si="4">S66-ROW()*0.0000001</f>
        <v>16.299993400000002</v>
      </c>
      <c r="Z66">
        <f t="shared" ref="Z66:Z129" si="5">L66-ROW()*0.0000001</f>
        <v>80.999993399999994</v>
      </c>
    </row>
    <row r="67" spans="1:26" x14ac:dyDescent="0.3">
      <c r="A67" t="s">
        <v>157</v>
      </c>
      <c r="B67" t="s">
        <v>55</v>
      </c>
      <c r="C67" t="s">
        <v>74</v>
      </c>
      <c r="D67" t="s">
        <v>69</v>
      </c>
      <c r="E67">
        <v>21</v>
      </c>
      <c r="F67" s="3">
        <v>7.3</v>
      </c>
      <c r="G67" s="4">
        <v>77.7</v>
      </c>
      <c r="H67">
        <v>0</v>
      </c>
      <c r="I67">
        <v>3</v>
      </c>
      <c r="J67">
        <v>3</v>
      </c>
      <c r="K67" s="4">
        <v>55.2</v>
      </c>
      <c r="L67" s="4">
        <v>68.900000000000006</v>
      </c>
      <c r="M67" s="4">
        <v>80.099999999999994</v>
      </c>
      <c r="N67">
        <v>0</v>
      </c>
      <c r="O67" t="s">
        <v>58</v>
      </c>
      <c r="P67" t="s">
        <v>75</v>
      </c>
      <c r="Q67" t="s">
        <v>71</v>
      </c>
      <c r="R67" t="s">
        <v>80</v>
      </c>
      <c r="S67" s="3">
        <v>6.35</v>
      </c>
      <c r="T67" s="5">
        <v>45532</v>
      </c>
      <c r="U67">
        <v>1</v>
      </c>
      <c r="V67">
        <v>2024</v>
      </c>
      <c r="X67">
        <f t="shared" si="3"/>
        <v>7.2999932999999997</v>
      </c>
      <c r="Y67">
        <f t="shared" si="4"/>
        <v>6.3499932999999995</v>
      </c>
      <c r="Z67">
        <f t="shared" si="5"/>
        <v>68.899993300000006</v>
      </c>
    </row>
    <row r="68" spans="1:26" x14ac:dyDescent="0.3">
      <c r="A68" t="s">
        <v>158</v>
      </c>
      <c r="B68" t="s">
        <v>82</v>
      </c>
      <c r="C68" t="s">
        <v>56</v>
      </c>
      <c r="D68" t="s">
        <v>69</v>
      </c>
      <c r="E68">
        <v>23</v>
      </c>
      <c r="F68" s="3">
        <v>9.7899999999999991</v>
      </c>
      <c r="G68" s="4">
        <v>85.6</v>
      </c>
      <c r="H68">
        <v>2</v>
      </c>
      <c r="I68">
        <v>1</v>
      </c>
      <c r="J68">
        <v>1</v>
      </c>
      <c r="K68" s="4">
        <v>64.8</v>
      </c>
      <c r="L68" s="4">
        <v>74.599999999999994</v>
      </c>
      <c r="M68" s="4">
        <v>85</v>
      </c>
      <c r="N68">
        <v>0</v>
      </c>
      <c r="O68" t="s">
        <v>64</v>
      </c>
      <c r="P68" t="s">
        <v>65</v>
      </c>
      <c r="S68" s="3">
        <v>0</v>
      </c>
      <c r="T68" s="5"/>
      <c r="U68">
        <v>0</v>
      </c>
      <c r="V68">
        <v>2022</v>
      </c>
      <c r="X68">
        <f t="shared" si="3"/>
        <v>9.7899931999999996</v>
      </c>
      <c r="Y68">
        <f t="shared" si="4"/>
        <v>-6.7999999999999993E-6</v>
      </c>
      <c r="Z68">
        <f t="shared" si="5"/>
        <v>74.5999932</v>
      </c>
    </row>
    <row r="69" spans="1:26" x14ac:dyDescent="0.3">
      <c r="A69" t="s">
        <v>159</v>
      </c>
      <c r="B69" t="s">
        <v>82</v>
      </c>
      <c r="C69" t="s">
        <v>74</v>
      </c>
      <c r="D69" t="s">
        <v>57</v>
      </c>
      <c r="E69">
        <v>20</v>
      </c>
      <c r="F69" s="3">
        <v>9.58</v>
      </c>
      <c r="G69" s="4">
        <v>91.9</v>
      </c>
      <c r="H69">
        <v>2</v>
      </c>
      <c r="I69">
        <v>1</v>
      </c>
      <c r="J69">
        <v>6</v>
      </c>
      <c r="K69" s="4">
        <v>64</v>
      </c>
      <c r="L69" s="4">
        <v>62.8</v>
      </c>
      <c r="M69" s="4">
        <v>76</v>
      </c>
      <c r="N69">
        <v>0</v>
      </c>
      <c r="O69" t="s">
        <v>58</v>
      </c>
      <c r="P69" t="s">
        <v>92</v>
      </c>
      <c r="Q69" t="s">
        <v>93</v>
      </c>
      <c r="R69" t="s">
        <v>80</v>
      </c>
      <c r="S69" s="3">
        <v>10.93</v>
      </c>
      <c r="T69" s="5">
        <v>44891</v>
      </c>
      <c r="U69">
        <v>1</v>
      </c>
      <c r="V69">
        <v>2022</v>
      </c>
      <c r="X69">
        <f t="shared" si="3"/>
        <v>9.5799930999999994</v>
      </c>
      <c r="Y69">
        <f t="shared" si="4"/>
        <v>10.929993099999999</v>
      </c>
      <c r="Z69">
        <f t="shared" si="5"/>
        <v>62.799993099999995</v>
      </c>
    </row>
    <row r="70" spans="1:26" x14ac:dyDescent="0.3">
      <c r="A70" t="s">
        <v>160</v>
      </c>
      <c r="B70" t="s">
        <v>55</v>
      </c>
      <c r="C70" t="s">
        <v>84</v>
      </c>
      <c r="D70" t="s">
        <v>69</v>
      </c>
      <c r="E70">
        <v>23</v>
      </c>
      <c r="F70" s="3">
        <v>7.58</v>
      </c>
      <c r="G70" s="4">
        <v>80</v>
      </c>
      <c r="H70">
        <v>1</v>
      </c>
      <c r="I70">
        <v>3</v>
      </c>
      <c r="J70">
        <v>2</v>
      </c>
      <c r="K70" s="4">
        <v>98</v>
      </c>
      <c r="L70" s="4">
        <v>65.400000000000006</v>
      </c>
      <c r="M70" s="4">
        <v>64.900000000000006</v>
      </c>
      <c r="N70">
        <v>0</v>
      </c>
      <c r="O70" t="s">
        <v>58</v>
      </c>
      <c r="P70" t="s">
        <v>104</v>
      </c>
      <c r="Q70" t="s">
        <v>105</v>
      </c>
      <c r="R70" t="s">
        <v>109</v>
      </c>
      <c r="S70" s="3">
        <v>15.78</v>
      </c>
      <c r="T70" s="5">
        <v>45556</v>
      </c>
      <c r="U70">
        <v>2</v>
      </c>
      <c r="V70">
        <v>2024</v>
      </c>
      <c r="X70">
        <f t="shared" si="3"/>
        <v>7.579993</v>
      </c>
      <c r="Y70">
        <f t="shared" si="4"/>
        <v>15.779992999999999</v>
      </c>
      <c r="Z70">
        <f t="shared" si="5"/>
        <v>65.399993000000009</v>
      </c>
    </row>
    <row r="71" spans="1:26" x14ac:dyDescent="0.3">
      <c r="A71" t="s">
        <v>161</v>
      </c>
      <c r="B71" t="s">
        <v>55</v>
      </c>
      <c r="C71" t="s">
        <v>56</v>
      </c>
      <c r="D71" t="s">
        <v>57</v>
      </c>
      <c r="E71">
        <v>20</v>
      </c>
      <c r="F71" s="3">
        <v>7.82</v>
      </c>
      <c r="G71" s="4">
        <v>74</v>
      </c>
      <c r="H71">
        <v>1</v>
      </c>
      <c r="I71">
        <v>2</v>
      </c>
      <c r="J71">
        <v>4</v>
      </c>
      <c r="K71" s="4">
        <v>80.599999999999994</v>
      </c>
      <c r="L71" s="4">
        <v>69</v>
      </c>
      <c r="M71" s="4">
        <v>100</v>
      </c>
      <c r="N71">
        <v>0</v>
      </c>
      <c r="O71" t="s">
        <v>64</v>
      </c>
      <c r="P71" t="s">
        <v>65</v>
      </c>
      <c r="S71" s="3">
        <v>0</v>
      </c>
      <c r="T71" s="5"/>
      <c r="U71">
        <v>0</v>
      </c>
      <c r="V71">
        <v>2024</v>
      </c>
      <c r="X71">
        <f t="shared" si="3"/>
        <v>7.8199928999999999</v>
      </c>
      <c r="Y71">
        <f t="shared" si="4"/>
        <v>-7.0999999999999998E-6</v>
      </c>
      <c r="Z71">
        <f t="shared" si="5"/>
        <v>68.999992899999995</v>
      </c>
    </row>
    <row r="72" spans="1:26" x14ac:dyDescent="0.3">
      <c r="A72" t="s">
        <v>162</v>
      </c>
      <c r="B72" t="s">
        <v>107</v>
      </c>
      <c r="C72" t="s">
        <v>84</v>
      </c>
      <c r="D72" t="s">
        <v>57</v>
      </c>
      <c r="E72">
        <v>20</v>
      </c>
      <c r="F72" s="3">
        <v>8.8800000000000008</v>
      </c>
      <c r="G72" s="4">
        <v>80.7</v>
      </c>
      <c r="H72">
        <v>2</v>
      </c>
      <c r="I72">
        <v>2</v>
      </c>
      <c r="J72">
        <v>2</v>
      </c>
      <c r="K72" s="4">
        <v>77</v>
      </c>
      <c r="L72" s="4">
        <v>61.6</v>
      </c>
      <c r="M72" s="4">
        <v>71.2</v>
      </c>
      <c r="N72">
        <v>0</v>
      </c>
      <c r="O72" t="s">
        <v>58</v>
      </c>
      <c r="P72" t="s">
        <v>59</v>
      </c>
      <c r="Q72" t="s">
        <v>60</v>
      </c>
      <c r="R72" t="s">
        <v>109</v>
      </c>
      <c r="S72" s="3">
        <v>20.11</v>
      </c>
      <c r="T72" s="5">
        <v>44522</v>
      </c>
      <c r="U72">
        <v>1</v>
      </c>
      <c r="V72">
        <v>2021</v>
      </c>
      <c r="X72">
        <f t="shared" si="3"/>
        <v>8.8799928000000001</v>
      </c>
      <c r="Y72">
        <f t="shared" si="4"/>
        <v>20.109992800000001</v>
      </c>
      <c r="Z72">
        <f t="shared" si="5"/>
        <v>61.599992800000003</v>
      </c>
    </row>
    <row r="73" spans="1:26" x14ac:dyDescent="0.3">
      <c r="A73" t="s">
        <v>163</v>
      </c>
      <c r="B73" t="s">
        <v>63</v>
      </c>
      <c r="C73" t="s">
        <v>56</v>
      </c>
      <c r="D73" t="s">
        <v>57</v>
      </c>
      <c r="E73">
        <v>22</v>
      </c>
      <c r="F73" s="3">
        <v>7.57</v>
      </c>
      <c r="G73" s="4">
        <v>82.2</v>
      </c>
      <c r="H73">
        <v>1</v>
      </c>
      <c r="I73">
        <v>3</v>
      </c>
      <c r="J73">
        <v>3</v>
      </c>
      <c r="K73" s="4">
        <v>81.599999999999994</v>
      </c>
      <c r="L73" s="4">
        <v>89.9</v>
      </c>
      <c r="M73" s="4">
        <v>71</v>
      </c>
      <c r="N73">
        <v>0</v>
      </c>
      <c r="O73" t="s">
        <v>58</v>
      </c>
      <c r="P73" t="s">
        <v>75</v>
      </c>
      <c r="Q73" t="s">
        <v>71</v>
      </c>
      <c r="R73" t="s">
        <v>130</v>
      </c>
      <c r="S73" s="3">
        <v>6.86</v>
      </c>
      <c r="T73" s="5">
        <v>45901</v>
      </c>
      <c r="U73">
        <v>2</v>
      </c>
      <c r="V73">
        <v>2025</v>
      </c>
      <c r="X73">
        <f t="shared" si="3"/>
        <v>7.5699927000000002</v>
      </c>
      <c r="Y73">
        <f t="shared" si="4"/>
        <v>6.8599927000000003</v>
      </c>
      <c r="Z73">
        <f t="shared" si="5"/>
        <v>89.899992700000013</v>
      </c>
    </row>
    <row r="74" spans="1:26" x14ac:dyDescent="0.3">
      <c r="A74" t="s">
        <v>164</v>
      </c>
      <c r="B74" t="s">
        <v>63</v>
      </c>
      <c r="C74" t="s">
        <v>84</v>
      </c>
      <c r="D74" t="s">
        <v>57</v>
      </c>
      <c r="E74">
        <v>22</v>
      </c>
      <c r="F74" s="3">
        <v>6.93</v>
      </c>
      <c r="G74" s="4">
        <v>93.7</v>
      </c>
      <c r="H74">
        <v>0</v>
      </c>
      <c r="I74">
        <v>1</v>
      </c>
      <c r="J74">
        <v>2</v>
      </c>
      <c r="K74" s="4">
        <v>63.2</v>
      </c>
      <c r="L74" s="4">
        <v>78.900000000000006</v>
      </c>
      <c r="M74" s="4">
        <v>38.9</v>
      </c>
      <c r="N74">
        <v>1</v>
      </c>
      <c r="O74" t="s">
        <v>58</v>
      </c>
      <c r="P74" t="s">
        <v>70</v>
      </c>
      <c r="Q74" t="s">
        <v>71</v>
      </c>
      <c r="R74" t="s">
        <v>80</v>
      </c>
      <c r="S74" s="3">
        <v>5.32</v>
      </c>
      <c r="T74" s="5">
        <v>45945</v>
      </c>
      <c r="U74">
        <v>1</v>
      </c>
      <c r="V74">
        <v>2025</v>
      </c>
      <c r="X74">
        <f t="shared" si="3"/>
        <v>6.9299925999999994</v>
      </c>
      <c r="Y74">
        <f t="shared" si="4"/>
        <v>5.3199926</v>
      </c>
      <c r="Z74">
        <f t="shared" si="5"/>
        <v>78.899992600000004</v>
      </c>
    </row>
    <row r="75" spans="1:26" x14ac:dyDescent="0.3">
      <c r="A75" t="s">
        <v>165</v>
      </c>
      <c r="B75" t="s">
        <v>82</v>
      </c>
      <c r="C75" t="s">
        <v>84</v>
      </c>
      <c r="D75" t="s">
        <v>57</v>
      </c>
      <c r="E75">
        <v>23</v>
      </c>
      <c r="F75" s="3">
        <v>8.4499999999999993</v>
      </c>
      <c r="G75" s="4">
        <v>93.2</v>
      </c>
      <c r="H75">
        <v>1</v>
      </c>
      <c r="I75">
        <v>5</v>
      </c>
      <c r="J75">
        <v>4</v>
      </c>
      <c r="K75" s="4">
        <v>50.6</v>
      </c>
      <c r="L75" s="4">
        <v>81.099999999999994</v>
      </c>
      <c r="M75" s="4">
        <v>59.1</v>
      </c>
      <c r="N75">
        <v>0</v>
      </c>
      <c r="O75" t="s">
        <v>58</v>
      </c>
      <c r="P75" t="s">
        <v>59</v>
      </c>
      <c r="Q75" t="s">
        <v>60</v>
      </c>
      <c r="R75" t="s">
        <v>61</v>
      </c>
      <c r="S75" s="3">
        <v>21.19</v>
      </c>
      <c r="T75" s="5">
        <v>44818</v>
      </c>
      <c r="U75">
        <v>2</v>
      </c>
      <c r="V75">
        <v>2022</v>
      </c>
      <c r="X75">
        <f t="shared" si="3"/>
        <v>8.4499924999999987</v>
      </c>
      <c r="Y75">
        <f t="shared" si="4"/>
        <v>21.189992500000002</v>
      </c>
      <c r="Z75">
        <f t="shared" si="5"/>
        <v>81.099992499999999</v>
      </c>
    </row>
    <row r="76" spans="1:26" x14ac:dyDescent="0.3">
      <c r="A76" t="s">
        <v>166</v>
      </c>
      <c r="B76" t="s">
        <v>63</v>
      </c>
      <c r="C76" t="s">
        <v>68</v>
      </c>
      <c r="D76" t="s">
        <v>57</v>
      </c>
      <c r="E76">
        <v>20</v>
      </c>
      <c r="F76" s="3">
        <v>8.07</v>
      </c>
      <c r="G76" s="4">
        <v>73</v>
      </c>
      <c r="H76">
        <v>2</v>
      </c>
      <c r="I76">
        <v>4</v>
      </c>
      <c r="J76">
        <v>5</v>
      </c>
      <c r="K76" s="4">
        <v>37.700000000000003</v>
      </c>
      <c r="L76" s="4">
        <v>78.400000000000006</v>
      </c>
      <c r="M76" s="4">
        <v>87.9</v>
      </c>
      <c r="N76">
        <v>0</v>
      </c>
      <c r="O76" t="s">
        <v>58</v>
      </c>
      <c r="P76" t="s">
        <v>95</v>
      </c>
      <c r="Q76" t="s">
        <v>93</v>
      </c>
      <c r="R76" t="s">
        <v>76</v>
      </c>
      <c r="S76" s="3">
        <v>7.73</v>
      </c>
      <c r="T76" s="5">
        <v>45885</v>
      </c>
      <c r="U76">
        <v>2</v>
      </c>
      <c r="V76">
        <v>2025</v>
      </c>
      <c r="X76">
        <f t="shared" si="3"/>
        <v>8.0699924000000003</v>
      </c>
      <c r="Y76">
        <f t="shared" si="4"/>
        <v>7.7299924000000004</v>
      </c>
      <c r="Z76">
        <f t="shared" si="5"/>
        <v>78.399992400000002</v>
      </c>
    </row>
    <row r="77" spans="1:26" x14ac:dyDescent="0.3">
      <c r="A77" t="s">
        <v>167</v>
      </c>
      <c r="B77" t="s">
        <v>82</v>
      </c>
      <c r="C77" t="s">
        <v>68</v>
      </c>
      <c r="D77" t="s">
        <v>69</v>
      </c>
      <c r="E77">
        <v>21</v>
      </c>
      <c r="F77" s="3">
        <v>6.92</v>
      </c>
      <c r="G77" s="4">
        <v>86.1</v>
      </c>
      <c r="H77">
        <v>2</v>
      </c>
      <c r="I77">
        <v>1</v>
      </c>
      <c r="J77">
        <v>4</v>
      </c>
      <c r="K77" s="4">
        <v>75.599999999999994</v>
      </c>
      <c r="L77" s="4">
        <v>72.5</v>
      </c>
      <c r="M77" s="4">
        <v>100</v>
      </c>
      <c r="N77">
        <v>2</v>
      </c>
      <c r="O77" t="s">
        <v>64</v>
      </c>
      <c r="P77" t="s">
        <v>65</v>
      </c>
      <c r="S77" s="3">
        <v>0</v>
      </c>
      <c r="T77" s="5"/>
      <c r="U77">
        <v>0</v>
      </c>
      <c r="V77">
        <v>2022</v>
      </c>
      <c r="X77">
        <f t="shared" si="3"/>
        <v>6.9199922999999997</v>
      </c>
      <c r="Y77">
        <f t="shared" si="4"/>
        <v>-7.6999999999999991E-6</v>
      </c>
      <c r="Z77">
        <f t="shared" si="5"/>
        <v>72.499992300000002</v>
      </c>
    </row>
    <row r="78" spans="1:26" x14ac:dyDescent="0.3">
      <c r="A78" t="s">
        <v>168</v>
      </c>
      <c r="B78" t="s">
        <v>107</v>
      </c>
      <c r="C78" t="s">
        <v>68</v>
      </c>
      <c r="D78" t="s">
        <v>69</v>
      </c>
      <c r="E78">
        <v>20</v>
      </c>
      <c r="F78" s="3">
        <v>7.9</v>
      </c>
      <c r="G78" s="4">
        <v>74.3</v>
      </c>
      <c r="H78">
        <v>0</v>
      </c>
      <c r="I78">
        <v>4</v>
      </c>
      <c r="J78">
        <v>4</v>
      </c>
      <c r="K78" s="4">
        <v>75.8</v>
      </c>
      <c r="L78" s="4">
        <v>51.7</v>
      </c>
      <c r="M78" s="4">
        <v>89.4</v>
      </c>
      <c r="N78">
        <v>0</v>
      </c>
      <c r="O78" t="s">
        <v>58</v>
      </c>
      <c r="P78" t="s">
        <v>90</v>
      </c>
      <c r="Q78" t="s">
        <v>60</v>
      </c>
      <c r="R78" t="s">
        <v>61</v>
      </c>
      <c r="S78" s="3">
        <v>7.24</v>
      </c>
      <c r="T78" s="5">
        <v>44472</v>
      </c>
      <c r="U78">
        <v>1</v>
      </c>
      <c r="V78">
        <v>2021</v>
      </c>
      <c r="X78">
        <f t="shared" si="3"/>
        <v>7.8999922000000007</v>
      </c>
      <c r="Y78">
        <f t="shared" si="4"/>
        <v>7.2399922000000005</v>
      </c>
      <c r="Z78">
        <f t="shared" si="5"/>
        <v>51.699992200000004</v>
      </c>
    </row>
    <row r="79" spans="1:26" x14ac:dyDescent="0.3">
      <c r="A79" t="s">
        <v>169</v>
      </c>
      <c r="B79" t="s">
        <v>55</v>
      </c>
      <c r="C79" t="s">
        <v>89</v>
      </c>
      <c r="D79" t="s">
        <v>69</v>
      </c>
      <c r="E79">
        <v>21</v>
      </c>
      <c r="F79" s="3">
        <v>7.51</v>
      </c>
      <c r="G79" s="4">
        <v>74.599999999999994</v>
      </c>
      <c r="H79">
        <v>1</v>
      </c>
      <c r="I79">
        <v>3</v>
      </c>
      <c r="J79">
        <v>6</v>
      </c>
      <c r="K79" s="4">
        <v>57.4</v>
      </c>
      <c r="L79" s="4">
        <v>86.8</v>
      </c>
      <c r="M79" s="4">
        <v>61.5</v>
      </c>
      <c r="N79">
        <v>0</v>
      </c>
      <c r="O79" t="s">
        <v>58</v>
      </c>
      <c r="P79" t="s">
        <v>112</v>
      </c>
      <c r="Q79" t="s">
        <v>93</v>
      </c>
      <c r="R79" t="s">
        <v>61</v>
      </c>
      <c r="S79" s="3">
        <v>7.8</v>
      </c>
      <c r="T79" s="5">
        <v>45539</v>
      </c>
      <c r="U79">
        <v>1</v>
      </c>
      <c r="V79">
        <v>2024</v>
      </c>
      <c r="X79">
        <f t="shared" si="3"/>
        <v>7.5099920999999998</v>
      </c>
      <c r="Y79">
        <f t="shared" si="4"/>
        <v>7.7999920999999999</v>
      </c>
      <c r="Z79">
        <f t="shared" si="5"/>
        <v>86.799992099999997</v>
      </c>
    </row>
    <row r="80" spans="1:26" x14ac:dyDescent="0.3">
      <c r="A80" t="s">
        <v>170</v>
      </c>
      <c r="B80" t="s">
        <v>55</v>
      </c>
      <c r="C80" t="s">
        <v>56</v>
      </c>
      <c r="D80" t="s">
        <v>57</v>
      </c>
      <c r="E80">
        <v>23</v>
      </c>
      <c r="F80" s="3">
        <v>7.3</v>
      </c>
      <c r="G80" s="4">
        <v>91.3</v>
      </c>
      <c r="H80">
        <v>2</v>
      </c>
      <c r="I80">
        <v>4</v>
      </c>
      <c r="J80">
        <v>5</v>
      </c>
      <c r="K80" s="4">
        <v>59.1</v>
      </c>
      <c r="L80" s="4">
        <v>100</v>
      </c>
      <c r="M80" s="4">
        <v>79.7</v>
      </c>
      <c r="N80">
        <v>0</v>
      </c>
      <c r="O80" t="s">
        <v>58</v>
      </c>
      <c r="P80" t="s">
        <v>87</v>
      </c>
      <c r="Q80" t="s">
        <v>71</v>
      </c>
      <c r="R80" t="s">
        <v>76</v>
      </c>
      <c r="S80" s="3">
        <v>7.73</v>
      </c>
      <c r="T80" s="5">
        <v>45609</v>
      </c>
      <c r="U80">
        <v>1</v>
      </c>
      <c r="V80">
        <v>2024</v>
      </c>
      <c r="X80">
        <f t="shared" si="3"/>
        <v>7.2999919999999996</v>
      </c>
      <c r="Y80">
        <f t="shared" si="4"/>
        <v>7.7299920000000002</v>
      </c>
      <c r="Z80">
        <f t="shared" si="5"/>
        <v>99.999992000000006</v>
      </c>
    </row>
    <row r="81" spans="1:26" x14ac:dyDescent="0.3">
      <c r="A81" t="s">
        <v>171</v>
      </c>
      <c r="B81" t="s">
        <v>55</v>
      </c>
      <c r="C81" t="s">
        <v>56</v>
      </c>
      <c r="D81" t="s">
        <v>69</v>
      </c>
      <c r="E81">
        <v>23</v>
      </c>
      <c r="F81" s="3">
        <v>6.94</v>
      </c>
      <c r="G81" s="4">
        <v>80.2</v>
      </c>
      <c r="H81">
        <v>1</v>
      </c>
      <c r="I81">
        <v>3</v>
      </c>
      <c r="J81">
        <v>5</v>
      </c>
      <c r="K81" s="4">
        <v>56.8</v>
      </c>
      <c r="L81" s="4">
        <v>79.900000000000006</v>
      </c>
      <c r="M81" s="4">
        <v>69.3</v>
      </c>
      <c r="N81">
        <v>0</v>
      </c>
      <c r="O81" t="s">
        <v>64</v>
      </c>
      <c r="P81" t="s">
        <v>65</v>
      </c>
      <c r="S81" s="3">
        <v>0</v>
      </c>
      <c r="T81" s="5"/>
      <c r="U81">
        <v>0</v>
      </c>
      <c r="V81">
        <v>2024</v>
      </c>
      <c r="X81">
        <f t="shared" si="3"/>
        <v>6.9399919000000008</v>
      </c>
      <c r="Y81">
        <f t="shared" si="4"/>
        <v>-8.1000000000000004E-6</v>
      </c>
      <c r="Z81">
        <f t="shared" si="5"/>
        <v>79.899991900000003</v>
      </c>
    </row>
    <row r="82" spans="1:26" x14ac:dyDescent="0.3">
      <c r="A82" t="s">
        <v>172</v>
      </c>
      <c r="B82" t="s">
        <v>63</v>
      </c>
      <c r="C82" t="s">
        <v>56</v>
      </c>
      <c r="D82" t="s">
        <v>69</v>
      </c>
      <c r="E82">
        <v>21</v>
      </c>
      <c r="F82" s="3">
        <v>7.76</v>
      </c>
      <c r="G82" s="4">
        <v>87.8</v>
      </c>
      <c r="H82">
        <v>2</v>
      </c>
      <c r="I82">
        <v>2</v>
      </c>
      <c r="J82">
        <v>3</v>
      </c>
      <c r="K82" s="4">
        <v>56.8</v>
      </c>
      <c r="L82" s="4">
        <v>58.2</v>
      </c>
      <c r="M82" s="4">
        <v>69.7</v>
      </c>
      <c r="N82">
        <v>0</v>
      </c>
      <c r="O82" t="s">
        <v>58</v>
      </c>
      <c r="P82" t="s">
        <v>95</v>
      </c>
      <c r="Q82" t="s">
        <v>93</v>
      </c>
      <c r="R82" t="s">
        <v>130</v>
      </c>
      <c r="S82" s="3">
        <v>7.15</v>
      </c>
      <c r="T82" s="5">
        <v>45886</v>
      </c>
      <c r="U82">
        <v>2</v>
      </c>
      <c r="V82">
        <v>2025</v>
      </c>
      <c r="X82">
        <f t="shared" si="3"/>
        <v>7.7599917999999999</v>
      </c>
      <c r="Y82">
        <f t="shared" si="4"/>
        <v>7.1499918000000005</v>
      </c>
      <c r="Z82">
        <f t="shared" si="5"/>
        <v>58.199991799999999</v>
      </c>
    </row>
    <row r="83" spans="1:26" x14ac:dyDescent="0.3">
      <c r="A83" t="s">
        <v>173</v>
      </c>
      <c r="B83" t="s">
        <v>107</v>
      </c>
      <c r="C83" t="s">
        <v>68</v>
      </c>
      <c r="D83" t="s">
        <v>69</v>
      </c>
      <c r="E83">
        <v>21</v>
      </c>
      <c r="F83" s="3">
        <v>7.41</v>
      </c>
      <c r="G83" s="4">
        <v>86.8</v>
      </c>
      <c r="H83">
        <v>1</v>
      </c>
      <c r="I83">
        <v>0</v>
      </c>
      <c r="J83">
        <v>5</v>
      </c>
      <c r="K83" s="4">
        <v>60.9</v>
      </c>
      <c r="L83" s="4">
        <v>78.900000000000006</v>
      </c>
      <c r="M83" s="4">
        <v>58.4</v>
      </c>
      <c r="N83">
        <v>0</v>
      </c>
      <c r="O83" t="s">
        <v>58</v>
      </c>
      <c r="P83" t="s">
        <v>59</v>
      </c>
      <c r="Q83" t="s">
        <v>60</v>
      </c>
      <c r="R83" t="s">
        <v>130</v>
      </c>
      <c r="S83" s="3">
        <v>20.23</v>
      </c>
      <c r="T83" s="5">
        <v>44520</v>
      </c>
      <c r="U83">
        <v>1</v>
      </c>
      <c r="V83">
        <v>2021</v>
      </c>
      <c r="X83">
        <f t="shared" si="3"/>
        <v>7.4099917</v>
      </c>
      <c r="Y83">
        <f t="shared" si="4"/>
        <v>20.229991699999999</v>
      </c>
      <c r="Z83">
        <f t="shared" si="5"/>
        <v>78.899991700000001</v>
      </c>
    </row>
    <row r="84" spans="1:26" x14ac:dyDescent="0.3">
      <c r="A84" t="s">
        <v>174</v>
      </c>
      <c r="B84" t="s">
        <v>63</v>
      </c>
      <c r="C84" t="s">
        <v>74</v>
      </c>
      <c r="D84" t="s">
        <v>69</v>
      </c>
      <c r="E84">
        <v>20</v>
      </c>
      <c r="F84" s="3">
        <v>7.91</v>
      </c>
      <c r="G84" s="4">
        <v>81.3</v>
      </c>
      <c r="H84">
        <v>3</v>
      </c>
      <c r="I84">
        <v>2</v>
      </c>
      <c r="J84">
        <v>4</v>
      </c>
      <c r="K84" s="4">
        <v>72.7</v>
      </c>
      <c r="L84" s="4">
        <v>58</v>
      </c>
      <c r="M84" s="4">
        <v>80.2</v>
      </c>
      <c r="N84">
        <v>0</v>
      </c>
      <c r="O84" t="s">
        <v>58</v>
      </c>
      <c r="P84" t="s">
        <v>90</v>
      </c>
      <c r="Q84" t="s">
        <v>60</v>
      </c>
      <c r="R84" t="s">
        <v>72</v>
      </c>
      <c r="S84" s="3">
        <v>7.6</v>
      </c>
      <c r="T84" s="5">
        <v>45956</v>
      </c>
      <c r="U84">
        <v>1</v>
      </c>
      <c r="V84">
        <v>2025</v>
      </c>
      <c r="X84">
        <f t="shared" si="3"/>
        <v>7.9099916000000006</v>
      </c>
      <c r="Y84">
        <f t="shared" si="4"/>
        <v>7.5999916000000001</v>
      </c>
      <c r="Z84">
        <f t="shared" si="5"/>
        <v>57.999991600000001</v>
      </c>
    </row>
    <row r="85" spans="1:26" x14ac:dyDescent="0.3">
      <c r="A85" t="s">
        <v>175</v>
      </c>
      <c r="B85" t="s">
        <v>63</v>
      </c>
      <c r="C85" t="s">
        <v>89</v>
      </c>
      <c r="D85" t="s">
        <v>69</v>
      </c>
      <c r="E85">
        <v>23</v>
      </c>
      <c r="F85" s="3">
        <v>8.39</v>
      </c>
      <c r="G85" s="4">
        <v>85</v>
      </c>
      <c r="H85">
        <v>2</v>
      </c>
      <c r="I85">
        <v>1</v>
      </c>
      <c r="J85">
        <v>2</v>
      </c>
      <c r="K85" s="4">
        <v>82.9</v>
      </c>
      <c r="L85" s="4">
        <v>62.9</v>
      </c>
      <c r="M85" s="4">
        <v>58.8</v>
      </c>
      <c r="N85">
        <v>2</v>
      </c>
      <c r="O85" t="s">
        <v>58</v>
      </c>
      <c r="P85" t="s">
        <v>112</v>
      </c>
      <c r="Q85" t="s">
        <v>93</v>
      </c>
      <c r="R85" t="s">
        <v>76</v>
      </c>
      <c r="S85" s="3">
        <v>6.08</v>
      </c>
      <c r="T85" s="5">
        <v>45911</v>
      </c>
      <c r="U85">
        <v>1</v>
      </c>
      <c r="V85">
        <v>2025</v>
      </c>
      <c r="X85">
        <f t="shared" si="3"/>
        <v>8.3899915000000007</v>
      </c>
      <c r="Y85">
        <f t="shared" si="4"/>
        <v>6.0799915000000002</v>
      </c>
      <c r="Z85">
        <f t="shared" si="5"/>
        <v>62.899991499999999</v>
      </c>
    </row>
    <row r="86" spans="1:26" x14ac:dyDescent="0.3">
      <c r="A86" t="s">
        <v>176</v>
      </c>
      <c r="B86" t="s">
        <v>107</v>
      </c>
      <c r="C86" t="s">
        <v>84</v>
      </c>
      <c r="D86" t="s">
        <v>57</v>
      </c>
      <c r="E86">
        <v>20</v>
      </c>
      <c r="F86" s="3">
        <v>7.86</v>
      </c>
      <c r="G86" s="4">
        <v>83.8</v>
      </c>
      <c r="H86">
        <v>1</v>
      </c>
      <c r="I86">
        <v>1</v>
      </c>
      <c r="J86">
        <v>1</v>
      </c>
      <c r="K86" s="4">
        <v>67.7</v>
      </c>
      <c r="L86" s="4">
        <v>33.700000000000003</v>
      </c>
      <c r="M86" s="4">
        <v>46.4</v>
      </c>
      <c r="N86">
        <v>1</v>
      </c>
      <c r="O86" t="s">
        <v>64</v>
      </c>
      <c r="P86" t="s">
        <v>65</v>
      </c>
      <c r="S86" s="3">
        <v>0</v>
      </c>
      <c r="T86" s="5"/>
      <c r="U86">
        <v>0</v>
      </c>
      <c r="V86">
        <v>2021</v>
      </c>
      <c r="X86">
        <f t="shared" si="3"/>
        <v>7.8599914000000002</v>
      </c>
      <c r="Y86">
        <f t="shared" si="4"/>
        <v>-8.599999999999999E-6</v>
      </c>
      <c r="Z86">
        <f t="shared" si="5"/>
        <v>33.699991400000002</v>
      </c>
    </row>
    <row r="87" spans="1:26" x14ac:dyDescent="0.3">
      <c r="A87" t="s">
        <v>177</v>
      </c>
      <c r="B87" t="s">
        <v>107</v>
      </c>
      <c r="C87" t="s">
        <v>74</v>
      </c>
      <c r="D87" t="s">
        <v>69</v>
      </c>
      <c r="E87">
        <v>21</v>
      </c>
      <c r="F87" s="3">
        <v>7.87</v>
      </c>
      <c r="G87" s="4">
        <v>71.599999999999994</v>
      </c>
      <c r="H87">
        <v>1</v>
      </c>
      <c r="I87">
        <v>5</v>
      </c>
      <c r="J87">
        <v>3</v>
      </c>
      <c r="K87" s="4">
        <v>85.7</v>
      </c>
      <c r="L87" s="4">
        <v>90.5</v>
      </c>
      <c r="M87" s="4">
        <v>69.099999999999994</v>
      </c>
      <c r="N87">
        <v>0</v>
      </c>
      <c r="O87" t="s">
        <v>58</v>
      </c>
      <c r="P87" t="s">
        <v>112</v>
      </c>
      <c r="Q87" t="s">
        <v>93</v>
      </c>
      <c r="R87" t="s">
        <v>109</v>
      </c>
      <c r="S87" s="3">
        <v>7.94</v>
      </c>
      <c r="T87" s="5">
        <v>44458</v>
      </c>
      <c r="U87">
        <v>1</v>
      </c>
      <c r="V87">
        <v>2021</v>
      </c>
      <c r="X87">
        <f t="shared" si="3"/>
        <v>7.8699912999999997</v>
      </c>
      <c r="Y87">
        <f t="shared" si="4"/>
        <v>7.9399913</v>
      </c>
      <c r="Z87">
        <f t="shared" si="5"/>
        <v>90.499991300000005</v>
      </c>
    </row>
    <row r="88" spans="1:26" x14ac:dyDescent="0.3">
      <c r="A88" t="s">
        <v>178</v>
      </c>
      <c r="B88" t="s">
        <v>107</v>
      </c>
      <c r="C88" t="s">
        <v>89</v>
      </c>
      <c r="D88" t="s">
        <v>57</v>
      </c>
      <c r="E88">
        <v>22</v>
      </c>
      <c r="F88" s="3">
        <v>7.16</v>
      </c>
      <c r="G88" s="4">
        <v>86.4</v>
      </c>
      <c r="H88">
        <v>0</v>
      </c>
      <c r="I88">
        <v>0</v>
      </c>
      <c r="J88">
        <v>3</v>
      </c>
      <c r="K88" s="4">
        <v>100</v>
      </c>
      <c r="L88" s="4">
        <v>74.8</v>
      </c>
      <c r="M88" s="4">
        <v>43.3</v>
      </c>
      <c r="N88">
        <v>0</v>
      </c>
      <c r="O88" t="s">
        <v>58</v>
      </c>
      <c r="P88" t="s">
        <v>104</v>
      </c>
      <c r="Q88" t="s">
        <v>105</v>
      </c>
      <c r="R88" t="s">
        <v>72</v>
      </c>
      <c r="S88" s="3">
        <v>13.9</v>
      </c>
      <c r="T88" s="5">
        <v>44429</v>
      </c>
      <c r="U88">
        <v>2</v>
      </c>
      <c r="V88">
        <v>2021</v>
      </c>
      <c r="X88">
        <f t="shared" si="3"/>
        <v>7.1599912000000003</v>
      </c>
      <c r="Y88">
        <f t="shared" si="4"/>
        <v>13.899991200000001</v>
      </c>
      <c r="Z88">
        <f t="shared" si="5"/>
        <v>74.799991199999994</v>
      </c>
    </row>
    <row r="89" spans="1:26" x14ac:dyDescent="0.3">
      <c r="A89" t="s">
        <v>179</v>
      </c>
      <c r="B89" t="s">
        <v>107</v>
      </c>
      <c r="C89" t="s">
        <v>68</v>
      </c>
      <c r="D89" t="s">
        <v>69</v>
      </c>
      <c r="E89">
        <v>22</v>
      </c>
      <c r="F89" s="3">
        <v>8.7100000000000009</v>
      </c>
      <c r="G89" s="4">
        <v>75.599999999999994</v>
      </c>
      <c r="H89">
        <v>1</v>
      </c>
      <c r="I89">
        <v>3</v>
      </c>
      <c r="J89">
        <v>5</v>
      </c>
      <c r="K89" s="4">
        <v>73.599999999999994</v>
      </c>
      <c r="L89" s="4">
        <v>78.599999999999994</v>
      </c>
      <c r="M89" s="4">
        <v>64.3</v>
      </c>
      <c r="N89">
        <v>0</v>
      </c>
      <c r="O89" t="s">
        <v>58</v>
      </c>
      <c r="P89" t="s">
        <v>75</v>
      </c>
      <c r="Q89" t="s">
        <v>71</v>
      </c>
      <c r="R89" t="s">
        <v>61</v>
      </c>
      <c r="S89" s="3">
        <v>7.13</v>
      </c>
      <c r="T89" s="5">
        <v>44506</v>
      </c>
      <c r="U89">
        <v>1</v>
      </c>
      <c r="V89">
        <v>2021</v>
      </c>
      <c r="X89">
        <f t="shared" si="3"/>
        <v>8.7099911000000017</v>
      </c>
      <c r="Y89">
        <f t="shared" si="4"/>
        <v>7.1299910999999998</v>
      </c>
      <c r="Z89">
        <f t="shared" si="5"/>
        <v>78.599991099999997</v>
      </c>
    </row>
    <row r="90" spans="1:26" x14ac:dyDescent="0.3">
      <c r="A90" t="s">
        <v>180</v>
      </c>
      <c r="B90" t="s">
        <v>55</v>
      </c>
      <c r="C90" t="s">
        <v>101</v>
      </c>
      <c r="D90" t="s">
        <v>57</v>
      </c>
      <c r="E90">
        <v>22</v>
      </c>
      <c r="F90" s="3">
        <v>6.89</v>
      </c>
      <c r="G90" s="4">
        <v>72.400000000000006</v>
      </c>
      <c r="H90">
        <v>2</v>
      </c>
      <c r="I90">
        <v>1</v>
      </c>
      <c r="J90">
        <v>5</v>
      </c>
      <c r="K90" s="4">
        <v>67.099999999999994</v>
      </c>
      <c r="L90" s="4">
        <v>81.8</v>
      </c>
      <c r="M90" s="4">
        <v>81.2</v>
      </c>
      <c r="N90">
        <v>0</v>
      </c>
      <c r="O90" t="s">
        <v>58</v>
      </c>
      <c r="P90" t="s">
        <v>79</v>
      </c>
      <c r="Q90" t="s">
        <v>71</v>
      </c>
      <c r="R90" t="s">
        <v>85</v>
      </c>
      <c r="S90" s="3">
        <v>6.31</v>
      </c>
      <c r="T90" s="5">
        <v>45550</v>
      </c>
      <c r="U90">
        <v>1</v>
      </c>
      <c r="V90">
        <v>2024</v>
      </c>
      <c r="X90">
        <f t="shared" si="3"/>
        <v>6.8899909999999993</v>
      </c>
      <c r="Y90">
        <f t="shared" si="4"/>
        <v>6.3099909999999992</v>
      </c>
      <c r="Z90">
        <f t="shared" si="5"/>
        <v>81.799990999999991</v>
      </c>
    </row>
    <row r="91" spans="1:26" x14ac:dyDescent="0.3">
      <c r="A91" t="s">
        <v>181</v>
      </c>
      <c r="B91" t="s">
        <v>67</v>
      </c>
      <c r="C91" t="s">
        <v>84</v>
      </c>
      <c r="D91" t="s">
        <v>57</v>
      </c>
      <c r="E91">
        <v>21</v>
      </c>
      <c r="F91" s="3">
        <v>6.2</v>
      </c>
      <c r="G91" s="4">
        <v>89.7</v>
      </c>
      <c r="H91">
        <v>1</v>
      </c>
      <c r="I91">
        <v>0</v>
      </c>
      <c r="J91">
        <v>6</v>
      </c>
      <c r="K91" s="4">
        <v>35.4</v>
      </c>
      <c r="L91" s="4">
        <v>77.2</v>
      </c>
      <c r="M91" s="4">
        <v>87.6</v>
      </c>
      <c r="N91">
        <v>0</v>
      </c>
      <c r="O91" t="s">
        <v>58</v>
      </c>
      <c r="P91" t="s">
        <v>112</v>
      </c>
      <c r="Q91" t="s">
        <v>93</v>
      </c>
      <c r="R91" t="s">
        <v>80</v>
      </c>
      <c r="S91" s="3">
        <v>4.3600000000000003</v>
      </c>
      <c r="T91" s="5">
        <v>45195</v>
      </c>
      <c r="U91">
        <v>2</v>
      </c>
      <c r="V91">
        <v>2023</v>
      </c>
      <c r="X91">
        <f t="shared" si="3"/>
        <v>6.1999909000000004</v>
      </c>
      <c r="Y91">
        <f t="shared" si="4"/>
        <v>4.3599909000000006</v>
      </c>
      <c r="Z91">
        <f t="shared" si="5"/>
        <v>77.199990900000003</v>
      </c>
    </row>
    <row r="92" spans="1:26" x14ac:dyDescent="0.3">
      <c r="A92" t="s">
        <v>182</v>
      </c>
      <c r="B92" t="s">
        <v>67</v>
      </c>
      <c r="C92" t="s">
        <v>101</v>
      </c>
      <c r="D92" t="s">
        <v>57</v>
      </c>
      <c r="E92">
        <v>20</v>
      </c>
      <c r="F92" s="3">
        <v>6.69</v>
      </c>
      <c r="G92" s="4">
        <v>76.7</v>
      </c>
      <c r="H92">
        <v>2</v>
      </c>
      <c r="I92">
        <v>2</v>
      </c>
      <c r="J92">
        <v>4</v>
      </c>
      <c r="K92" s="4">
        <v>76.5</v>
      </c>
      <c r="L92" s="4">
        <v>84.7</v>
      </c>
      <c r="M92" s="4">
        <v>81.7</v>
      </c>
      <c r="N92">
        <v>1</v>
      </c>
      <c r="O92" t="s">
        <v>58</v>
      </c>
      <c r="P92" t="s">
        <v>90</v>
      </c>
      <c r="Q92" t="s">
        <v>60</v>
      </c>
      <c r="R92" t="s">
        <v>80</v>
      </c>
      <c r="S92" s="3">
        <v>8.69</v>
      </c>
      <c r="T92" s="5">
        <v>45143</v>
      </c>
      <c r="U92">
        <v>1</v>
      </c>
      <c r="V92">
        <v>2023</v>
      </c>
      <c r="X92">
        <f t="shared" si="3"/>
        <v>6.6899908000000003</v>
      </c>
      <c r="Y92">
        <f t="shared" si="4"/>
        <v>8.6899908000000003</v>
      </c>
      <c r="Z92">
        <f t="shared" si="5"/>
        <v>84.699990800000009</v>
      </c>
    </row>
    <row r="93" spans="1:26" x14ac:dyDescent="0.3">
      <c r="A93" t="s">
        <v>183</v>
      </c>
      <c r="B93" t="s">
        <v>107</v>
      </c>
      <c r="C93" t="s">
        <v>84</v>
      </c>
      <c r="D93" t="s">
        <v>69</v>
      </c>
      <c r="E93">
        <v>23</v>
      </c>
      <c r="F93" s="3">
        <v>8.58</v>
      </c>
      <c r="G93" s="4">
        <v>92</v>
      </c>
      <c r="H93">
        <v>1</v>
      </c>
      <c r="I93">
        <v>1</v>
      </c>
      <c r="J93">
        <v>5</v>
      </c>
      <c r="K93" s="4">
        <v>68.900000000000006</v>
      </c>
      <c r="L93" s="4">
        <v>90.5</v>
      </c>
      <c r="M93" s="4">
        <v>71.2</v>
      </c>
      <c r="N93">
        <v>0</v>
      </c>
      <c r="O93" t="s">
        <v>58</v>
      </c>
      <c r="P93" t="s">
        <v>70</v>
      </c>
      <c r="Q93" t="s">
        <v>71</v>
      </c>
      <c r="R93" t="s">
        <v>80</v>
      </c>
      <c r="S93" s="3">
        <v>6.35</v>
      </c>
      <c r="T93" s="5">
        <v>44510</v>
      </c>
      <c r="U93">
        <v>1</v>
      </c>
      <c r="V93">
        <v>2021</v>
      </c>
      <c r="X93">
        <f t="shared" si="3"/>
        <v>8.5799906999999997</v>
      </c>
      <c r="Y93">
        <f t="shared" si="4"/>
        <v>6.3499906999999993</v>
      </c>
      <c r="Z93">
        <f t="shared" si="5"/>
        <v>90.499990699999998</v>
      </c>
    </row>
    <row r="94" spans="1:26" x14ac:dyDescent="0.3">
      <c r="A94" t="s">
        <v>184</v>
      </c>
      <c r="B94" t="s">
        <v>67</v>
      </c>
      <c r="C94" t="s">
        <v>56</v>
      </c>
      <c r="D94" t="s">
        <v>57</v>
      </c>
      <c r="E94">
        <v>21</v>
      </c>
      <c r="F94" s="3">
        <v>8.06</v>
      </c>
      <c r="G94" s="4">
        <v>91.9</v>
      </c>
      <c r="H94">
        <v>2</v>
      </c>
      <c r="I94">
        <v>5</v>
      </c>
      <c r="J94">
        <v>3</v>
      </c>
      <c r="K94" s="4">
        <v>69.2</v>
      </c>
      <c r="L94" s="4">
        <v>69.5</v>
      </c>
      <c r="M94" s="4">
        <v>67.5</v>
      </c>
      <c r="N94">
        <v>1</v>
      </c>
      <c r="O94" t="s">
        <v>58</v>
      </c>
      <c r="P94" t="s">
        <v>79</v>
      </c>
      <c r="Q94" t="s">
        <v>71</v>
      </c>
      <c r="R94" t="s">
        <v>85</v>
      </c>
      <c r="S94" s="3">
        <v>7.23</v>
      </c>
      <c r="T94" s="5">
        <v>45190</v>
      </c>
      <c r="U94">
        <v>3</v>
      </c>
      <c r="V94">
        <v>2023</v>
      </c>
      <c r="X94">
        <f t="shared" si="3"/>
        <v>8.0599906000000008</v>
      </c>
      <c r="Y94">
        <f t="shared" si="4"/>
        <v>7.2299906000000007</v>
      </c>
      <c r="Z94">
        <f t="shared" si="5"/>
        <v>69.499990600000004</v>
      </c>
    </row>
    <row r="95" spans="1:26" x14ac:dyDescent="0.3">
      <c r="A95" t="s">
        <v>185</v>
      </c>
      <c r="B95" t="s">
        <v>67</v>
      </c>
      <c r="C95" t="s">
        <v>101</v>
      </c>
      <c r="D95" t="s">
        <v>57</v>
      </c>
      <c r="E95">
        <v>22</v>
      </c>
      <c r="F95" s="3">
        <v>8.83</v>
      </c>
      <c r="G95" s="4">
        <v>77.7</v>
      </c>
      <c r="H95">
        <v>1</v>
      </c>
      <c r="I95">
        <v>1</v>
      </c>
      <c r="J95">
        <v>4</v>
      </c>
      <c r="K95" s="4">
        <v>64.900000000000006</v>
      </c>
      <c r="L95" s="4">
        <v>45.1</v>
      </c>
      <c r="M95" s="4">
        <v>62.9</v>
      </c>
      <c r="N95">
        <v>0</v>
      </c>
      <c r="O95" t="s">
        <v>58</v>
      </c>
      <c r="P95" t="s">
        <v>92</v>
      </c>
      <c r="Q95" t="s">
        <v>93</v>
      </c>
      <c r="R95" t="s">
        <v>61</v>
      </c>
      <c r="S95" s="3">
        <v>8.31</v>
      </c>
      <c r="T95" s="5">
        <v>45169</v>
      </c>
      <c r="U95">
        <v>3</v>
      </c>
      <c r="V95">
        <v>2023</v>
      </c>
      <c r="X95">
        <f t="shared" si="3"/>
        <v>8.8299904999999992</v>
      </c>
      <c r="Y95">
        <f t="shared" si="4"/>
        <v>8.3099904999999996</v>
      </c>
      <c r="Z95">
        <f t="shared" si="5"/>
        <v>45.099990500000004</v>
      </c>
    </row>
    <row r="96" spans="1:26" x14ac:dyDescent="0.3">
      <c r="A96" t="s">
        <v>186</v>
      </c>
      <c r="B96" t="s">
        <v>107</v>
      </c>
      <c r="C96" t="s">
        <v>78</v>
      </c>
      <c r="D96" t="s">
        <v>69</v>
      </c>
      <c r="E96">
        <v>20</v>
      </c>
      <c r="F96" s="3">
        <v>6.46</v>
      </c>
      <c r="G96" s="4">
        <v>91.6</v>
      </c>
      <c r="H96">
        <v>2</v>
      </c>
      <c r="I96">
        <v>1</v>
      </c>
      <c r="J96">
        <v>4</v>
      </c>
      <c r="K96" s="4">
        <v>61.9</v>
      </c>
      <c r="L96" s="4">
        <v>57.3</v>
      </c>
      <c r="M96" s="4">
        <v>91.8</v>
      </c>
      <c r="N96">
        <v>1</v>
      </c>
      <c r="O96" t="s">
        <v>58</v>
      </c>
      <c r="P96" t="s">
        <v>75</v>
      </c>
      <c r="Q96" t="s">
        <v>71</v>
      </c>
      <c r="R96" t="s">
        <v>130</v>
      </c>
      <c r="S96" s="3">
        <v>5.31</v>
      </c>
      <c r="T96" s="5">
        <v>44441</v>
      </c>
      <c r="U96">
        <v>2</v>
      </c>
      <c r="V96">
        <v>2021</v>
      </c>
      <c r="X96">
        <f t="shared" si="3"/>
        <v>6.4599903999999997</v>
      </c>
      <c r="Y96">
        <f t="shared" si="4"/>
        <v>5.3099903999999993</v>
      </c>
      <c r="Z96">
        <f t="shared" si="5"/>
        <v>57.299990399999999</v>
      </c>
    </row>
    <row r="97" spans="1:26" x14ac:dyDescent="0.3">
      <c r="A97" t="s">
        <v>187</v>
      </c>
      <c r="B97" t="s">
        <v>67</v>
      </c>
      <c r="C97" t="s">
        <v>56</v>
      </c>
      <c r="D97" t="s">
        <v>69</v>
      </c>
      <c r="E97">
        <v>23</v>
      </c>
      <c r="F97" s="3">
        <v>9.74</v>
      </c>
      <c r="G97" s="4">
        <v>78.5</v>
      </c>
      <c r="H97">
        <v>0</v>
      </c>
      <c r="I97">
        <v>0</v>
      </c>
      <c r="J97">
        <v>5</v>
      </c>
      <c r="K97" s="4">
        <v>54</v>
      </c>
      <c r="L97" s="4">
        <v>79.3</v>
      </c>
      <c r="M97" s="4">
        <v>58.9</v>
      </c>
      <c r="N97">
        <v>0</v>
      </c>
      <c r="O97" t="s">
        <v>58</v>
      </c>
      <c r="P97" t="s">
        <v>70</v>
      </c>
      <c r="Q97" t="s">
        <v>71</v>
      </c>
      <c r="R97" t="s">
        <v>109</v>
      </c>
      <c r="S97" s="3">
        <v>8.0299999999999994</v>
      </c>
      <c r="T97" s="5">
        <v>45185</v>
      </c>
      <c r="U97">
        <v>2</v>
      </c>
      <c r="V97">
        <v>2023</v>
      </c>
      <c r="X97">
        <f t="shared" si="3"/>
        <v>9.7399903000000005</v>
      </c>
      <c r="Y97">
        <f t="shared" si="4"/>
        <v>8.0299902999999997</v>
      </c>
      <c r="Z97">
        <f t="shared" si="5"/>
        <v>79.29999029999999</v>
      </c>
    </row>
    <row r="98" spans="1:26" x14ac:dyDescent="0.3">
      <c r="A98" t="s">
        <v>188</v>
      </c>
      <c r="B98" t="s">
        <v>63</v>
      </c>
      <c r="C98" t="s">
        <v>84</v>
      </c>
      <c r="D98" t="s">
        <v>57</v>
      </c>
      <c r="E98">
        <v>23</v>
      </c>
      <c r="F98" s="3">
        <v>7.39</v>
      </c>
      <c r="G98" s="4">
        <v>81.400000000000006</v>
      </c>
      <c r="H98">
        <v>1</v>
      </c>
      <c r="I98">
        <v>1</v>
      </c>
      <c r="J98">
        <v>4</v>
      </c>
      <c r="K98" s="4">
        <v>79.3</v>
      </c>
      <c r="L98" s="4">
        <v>54.6</v>
      </c>
      <c r="M98" s="4">
        <v>75.5</v>
      </c>
      <c r="N98">
        <v>0</v>
      </c>
      <c r="O98" t="s">
        <v>58</v>
      </c>
      <c r="P98" t="s">
        <v>79</v>
      </c>
      <c r="Q98" t="s">
        <v>71</v>
      </c>
      <c r="R98" t="s">
        <v>76</v>
      </c>
      <c r="S98" s="3">
        <v>5</v>
      </c>
      <c r="T98" s="5">
        <v>45872</v>
      </c>
      <c r="U98">
        <v>1</v>
      </c>
      <c r="V98">
        <v>2025</v>
      </c>
      <c r="X98">
        <f t="shared" si="3"/>
        <v>7.3899901999999997</v>
      </c>
      <c r="Y98">
        <f t="shared" si="4"/>
        <v>4.9999902000000001</v>
      </c>
      <c r="Z98">
        <f t="shared" si="5"/>
        <v>54.599990200000001</v>
      </c>
    </row>
    <row r="99" spans="1:26" x14ac:dyDescent="0.3">
      <c r="A99" t="s">
        <v>189</v>
      </c>
      <c r="B99" t="s">
        <v>82</v>
      </c>
      <c r="C99" t="s">
        <v>56</v>
      </c>
      <c r="D99" t="s">
        <v>57</v>
      </c>
      <c r="E99">
        <v>21</v>
      </c>
      <c r="F99" s="3">
        <v>6.07</v>
      </c>
      <c r="G99" s="4">
        <v>86.4</v>
      </c>
      <c r="H99">
        <v>1</v>
      </c>
      <c r="I99">
        <v>0</v>
      </c>
      <c r="J99">
        <v>4</v>
      </c>
      <c r="K99" s="4">
        <v>30.1</v>
      </c>
      <c r="L99" s="4">
        <v>69.099999999999994</v>
      </c>
      <c r="M99" s="4">
        <v>81.099999999999994</v>
      </c>
      <c r="N99">
        <v>0</v>
      </c>
      <c r="O99" t="s">
        <v>58</v>
      </c>
      <c r="P99" t="s">
        <v>75</v>
      </c>
      <c r="Q99" t="s">
        <v>71</v>
      </c>
      <c r="R99" t="s">
        <v>80</v>
      </c>
      <c r="S99" s="3">
        <v>4.6100000000000003</v>
      </c>
      <c r="T99" s="5">
        <v>44826</v>
      </c>
      <c r="U99">
        <v>2</v>
      </c>
      <c r="V99">
        <v>2022</v>
      </c>
      <c r="X99">
        <f t="shared" si="3"/>
        <v>6.0699901000000001</v>
      </c>
      <c r="Y99">
        <f t="shared" si="4"/>
        <v>4.6099901000000001</v>
      </c>
      <c r="Z99">
        <f t="shared" si="5"/>
        <v>69.099990099999999</v>
      </c>
    </row>
    <row r="100" spans="1:26" x14ac:dyDescent="0.3">
      <c r="A100" t="s">
        <v>190</v>
      </c>
      <c r="B100" t="s">
        <v>82</v>
      </c>
      <c r="C100" t="s">
        <v>78</v>
      </c>
      <c r="D100" t="s">
        <v>69</v>
      </c>
      <c r="E100">
        <v>21</v>
      </c>
      <c r="F100" s="3">
        <v>9.6300000000000008</v>
      </c>
      <c r="G100" s="4">
        <v>100</v>
      </c>
      <c r="H100">
        <v>1</v>
      </c>
      <c r="I100">
        <v>2</v>
      </c>
      <c r="J100">
        <v>3</v>
      </c>
      <c r="K100" s="4">
        <v>74.2</v>
      </c>
      <c r="L100" s="4">
        <v>100</v>
      </c>
      <c r="M100" s="4">
        <v>50.2</v>
      </c>
      <c r="N100">
        <v>0</v>
      </c>
      <c r="O100" t="s">
        <v>58</v>
      </c>
      <c r="P100" t="s">
        <v>79</v>
      </c>
      <c r="Q100" t="s">
        <v>71</v>
      </c>
      <c r="R100" t="s">
        <v>109</v>
      </c>
      <c r="S100" s="3">
        <v>9.49</v>
      </c>
      <c r="T100" s="5">
        <v>44856</v>
      </c>
      <c r="U100">
        <v>1</v>
      </c>
      <c r="V100">
        <v>2022</v>
      </c>
      <c r="X100">
        <f t="shared" si="3"/>
        <v>9.6299900000000012</v>
      </c>
      <c r="Y100">
        <f t="shared" si="4"/>
        <v>9.4899900000000006</v>
      </c>
      <c r="Z100">
        <f t="shared" si="5"/>
        <v>99.999989999999997</v>
      </c>
    </row>
    <row r="101" spans="1:26" x14ac:dyDescent="0.3">
      <c r="A101" t="s">
        <v>191</v>
      </c>
      <c r="B101" t="s">
        <v>107</v>
      </c>
      <c r="C101" t="s">
        <v>56</v>
      </c>
      <c r="D101" t="s">
        <v>69</v>
      </c>
      <c r="E101">
        <v>23</v>
      </c>
      <c r="F101" s="3">
        <v>6.47</v>
      </c>
      <c r="G101" s="4">
        <v>90.5</v>
      </c>
      <c r="H101">
        <v>1</v>
      </c>
      <c r="I101">
        <v>2</v>
      </c>
      <c r="J101">
        <v>5</v>
      </c>
      <c r="K101" s="4">
        <v>46.8</v>
      </c>
      <c r="L101" s="4">
        <v>85.7</v>
      </c>
      <c r="M101" s="4">
        <v>45</v>
      </c>
      <c r="N101">
        <v>1</v>
      </c>
      <c r="O101" t="s">
        <v>58</v>
      </c>
      <c r="P101" t="s">
        <v>112</v>
      </c>
      <c r="Q101" t="s">
        <v>93</v>
      </c>
      <c r="R101" t="s">
        <v>85</v>
      </c>
      <c r="S101" s="3">
        <v>6.93</v>
      </c>
      <c r="T101" s="5">
        <v>44464</v>
      </c>
      <c r="U101">
        <v>2</v>
      </c>
      <c r="V101">
        <v>2021</v>
      </c>
      <c r="X101">
        <f t="shared" si="3"/>
        <v>6.4699898999999998</v>
      </c>
      <c r="Y101">
        <f t="shared" si="4"/>
        <v>6.9299898999999998</v>
      </c>
      <c r="Z101">
        <f t="shared" si="5"/>
        <v>85.699989900000006</v>
      </c>
    </row>
    <row r="102" spans="1:26" x14ac:dyDescent="0.3">
      <c r="A102" t="s">
        <v>192</v>
      </c>
      <c r="B102" t="s">
        <v>55</v>
      </c>
      <c r="C102" t="s">
        <v>68</v>
      </c>
      <c r="D102" t="s">
        <v>57</v>
      </c>
      <c r="E102">
        <v>23</v>
      </c>
      <c r="F102" s="3">
        <v>7.29</v>
      </c>
      <c r="G102" s="4">
        <v>81.5</v>
      </c>
      <c r="H102">
        <v>1</v>
      </c>
      <c r="I102">
        <v>0</v>
      </c>
      <c r="J102">
        <v>5</v>
      </c>
      <c r="K102" s="4">
        <v>85.9</v>
      </c>
      <c r="L102" s="4">
        <v>39.799999999999997</v>
      </c>
      <c r="M102" s="4">
        <v>81.099999999999994</v>
      </c>
      <c r="N102">
        <v>0</v>
      </c>
      <c r="O102" t="s">
        <v>58</v>
      </c>
      <c r="P102" t="s">
        <v>112</v>
      </c>
      <c r="Q102" t="s">
        <v>93</v>
      </c>
      <c r="R102" t="s">
        <v>109</v>
      </c>
      <c r="S102" s="3">
        <v>5.38</v>
      </c>
      <c r="T102" s="5">
        <v>45522</v>
      </c>
      <c r="U102">
        <v>1</v>
      </c>
      <c r="V102">
        <v>2024</v>
      </c>
      <c r="X102">
        <f t="shared" si="3"/>
        <v>7.2899897999999999</v>
      </c>
      <c r="Y102">
        <f t="shared" si="4"/>
        <v>5.3799897999999997</v>
      </c>
      <c r="Z102">
        <f t="shared" si="5"/>
        <v>39.799989799999999</v>
      </c>
    </row>
    <row r="103" spans="1:26" x14ac:dyDescent="0.3">
      <c r="A103" t="s">
        <v>193</v>
      </c>
      <c r="B103" t="s">
        <v>107</v>
      </c>
      <c r="C103" t="s">
        <v>78</v>
      </c>
      <c r="D103" t="s">
        <v>69</v>
      </c>
      <c r="E103">
        <v>22</v>
      </c>
      <c r="F103" s="3">
        <v>7.46</v>
      </c>
      <c r="G103" s="4">
        <v>82.9</v>
      </c>
      <c r="H103">
        <v>3</v>
      </c>
      <c r="I103">
        <v>1</v>
      </c>
      <c r="J103">
        <v>4</v>
      </c>
      <c r="K103" s="4">
        <v>63.3</v>
      </c>
      <c r="L103" s="4">
        <v>100</v>
      </c>
      <c r="M103" s="4">
        <v>56.5</v>
      </c>
      <c r="N103">
        <v>2</v>
      </c>
      <c r="O103" t="s">
        <v>58</v>
      </c>
      <c r="P103" t="s">
        <v>104</v>
      </c>
      <c r="Q103" t="s">
        <v>105</v>
      </c>
      <c r="R103" t="s">
        <v>76</v>
      </c>
      <c r="S103" s="3">
        <v>18.25</v>
      </c>
      <c r="T103" s="5">
        <v>44436</v>
      </c>
      <c r="U103">
        <v>1</v>
      </c>
      <c r="V103">
        <v>2021</v>
      </c>
      <c r="X103">
        <f t="shared" si="3"/>
        <v>7.4599897000000004</v>
      </c>
      <c r="Y103">
        <f t="shared" si="4"/>
        <v>18.2499897</v>
      </c>
      <c r="Z103">
        <f t="shared" si="5"/>
        <v>99.9999897</v>
      </c>
    </row>
    <row r="104" spans="1:26" x14ac:dyDescent="0.3">
      <c r="A104" t="s">
        <v>194</v>
      </c>
      <c r="B104" t="s">
        <v>55</v>
      </c>
      <c r="C104" t="s">
        <v>89</v>
      </c>
      <c r="D104" t="s">
        <v>57</v>
      </c>
      <c r="E104">
        <v>23</v>
      </c>
      <c r="F104" s="3">
        <v>8.0500000000000007</v>
      </c>
      <c r="G104" s="4">
        <v>67.8</v>
      </c>
      <c r="H104">
        <v>1</v>
      </c>
      <c r="I104">
        <v>3</v>
      </c>
      <c r="J104">
        <v>2</v>
      </c>
      <c r="K104" s="4">
        <v>75.8</v>
      </c>
      <c r="L104" s="4">
        <v>90.5</v>
      </c>
      <c r="M104" s="4">
        <v>77.7</v>
      </c>
      <c r="N104">
        <v>1</v>
      </c>
      <c r="O104" t="s">
        <v>58</v>
      </c>
      <c r="P104" t="s">
        <v>79</v>
      </c>
      <c r="Q104" t="s">
        <v>71</v>
      </c>
      <c r="R104" t="s">
        <v>61</v>
      </c>
      <c r="S104" s="3">
        <v>6.88</v>
      </c>
      <c r="T104" s="5">
        <v>45519</v>
      </c>
      <c r="U104">
        <v>1</v>
      </c>
      <c r="V104">
        <v>2024</v>
      </c>
      <c r="X104">
        <f t="shared" si="3"/>
        <v>8.0499896</v>
      </c>
      <c r="Y104">
        <f t="shared" si="4"/>
        <v>6.8799896</v>
      </c>
      <c r="Z104">
        <f t="shared" si="5"/>
        <v>90.499989600000006</v>
      </c>
    </row>
    <row r="105" spans="1:26" x14ac:dyDescent="0.3">
      <c r="A105" t="s">
        <v>195</v>
      </c>
      <c r="B105" t="s">
        <v>82</v>
      </c>
      <c r="C105" t="s">
        <v>68</v>
      </c>
      <c r="D105" t="s">
        <v>69</v>
      </c>
      <c r="E105">
        <v>21</v>
      </c>
      <c r="F105" s="3">
        <v>6.94</v>
      </c>
      <c r="G105" s="4">
        <v>91</v>
      </c>
      <c r="H105">
        <v>2</v>
      </c>
      <c r="I105">
        <v>2</v>
      </c>
      <c r="J105">
        <v>3</v>
      </c>
      <c r="K105" s="4">
        <v>70.7</v>
      </c>
      <c r="L105" s="4">
        <v>79.900000000000006</v>
      </c>
      <c r="M105" s="4">
        <v>63.5</v>
      </c>
      <c r="N105">
        <v>0</v>
      </c>
      <c r="O105" t="s">
        <v>58</v>
      </c>
      <c r="P105" t="s">
        <v>70</v>
      </c>
      <c r="Q105" t="s">
        <v>71</v>
      </c>
      <c r="R105" t="s">
        <v>85</v>
      </c>
      <c r="S105" s="3">
        <v>5.87</v>
      </c>
      <c r="T105" s="5">
        <v>44823</v>
      </c>
      <c r="U105">
        <v>1</v>
      </c>
      <c r="V105">
        <v>2022</v>
      </c>
      <c r="X105">
        <f t="shared" si="3"/>
        <v>6.9399895000000003</v>
      </c>
      <c r="Y105">
        <f t="shared" si="4"/>
        <v>5.8699895</v>
      </c>
      <c r="Z105">
        <f t="shared" si="5"/>
        <v>79.899989500000004</v>
      </c>
    </row>
    <row r="106" spans="1:26" x14ac:dyDescent="0.3">
      <c r="A106" t="s">
        <v>196</v>
      </c>
      <c r="B106" t="s">
        <v>107</v>
      </c>
      <c r="C106" t="s">
        <v>74</v>
      </c>
      <c r="D106" t="s">
        <v>69</v>
      </c>
      <c r="E106">
        <v>20</v>
      </c>
      <c r="F106" s="3">
        <v>8.59</v>
      </c>
      <c r="G106" s="4">
        <v>90.1</v>
      </c>
      <c r="H106">
        <v>1</v>
      </c>
      <c r="I106">
        <v>2</v>
      </c>
      <c r="J106">
        <v>3</v>
      </c>
      <c r="K106" s="4">
        <v>84.7</v>
      </c>
      <c r="L106" s="4">
        <v>72</v>
      </c>
      <c r="M106" s="4">
        <v>77.2</v>
      </c>
      <c r="N106">
        <v>3</v>
      </c>
      <c r="O106" t="s">
        <v>64</v>
      </c>
      <c r="P106" t="s">
        <v>65</v>
      </c>
      <c r="S106" s="3">
        <v>0</v>
      </c>
      <c r="T106" s="5"/>
      <c r="U106">
        <v>0</v>
      </c>
      <c r="V106">
        <v>2021</v>
      </c>
      <c r="X106">
        <f t="shared" si="3"/>
        <v>8.5899894000000003</v>
      </c>
      <c r="Y106">
        <f t="shared" si="4"/>
        <v>-1.06E-5</v>
      </c>
      <c r="Z106">
        <f t="shared" si="5"/>
        <v>71.999989400000004</v>
      </c>
    </row>
    <row r="107" spans="1:26" x14ac:dyDescent="0.3">
      <c r="A107" t="s">
        <v>197</v>
      </c>
      <c r="B107" t="s">
        <v>63</v>
      </c>
      <c r="C107" t="s">
        <v>101</v>
      </c>
      <c r="D107" t="s">
        <v>57</v>
      </c>
      <c r="E107">
        <v>22</v>
      </c>
      <c r="F107" s="3">
        <v>8.33</v>
      </c>
      <c r="G107" s="4">
        <v>84.6</v>
      </c>
      <c r="H107">
        <v>1</v>
      </c>
      <c r="I107">
        <v>3</v>
      </c>
      <c r="J107">
        <v>4</v>
      </c>
      <c r="K107" s="4">
        <v>93.8</v>
      </c>
      <c r="L107" s="4">
        <v>49.3</v>
      </c>
      <c r="M107" s="4">
        <v>78.8</v>
      </c>
      <c r="N107">
        <v>0</v>
      </c>
      <c r="O107" t="s">
        <v>64</v>
      </c>
      <c r="P107" t="s">
        <v>65</v>
      </c>
      <c r="S107" s="3">
        <v>0</v>
      </c>
      <c r="T107" s="5"/>
      <c r="U107">
        <v>0</v>
      </c>
      <c r="V107">
        <v>2025</v>
      </c>
      <c r="X107">
        <f t="shared" si="3"/>
        <v>8.3299892999999994</v>
      </c>
      <c r="Y107">
        <f t="shared" si="4"/>
        <v>-1.0699999999999999E-5</v>
      </c>
      <c r="Z107">
        <f t="shared" si="5"/>
        <v>49.2999893</v>
      </c>
    </row>
    <row r="108" spans="1:26" x14ac:dyDescent="0.3">
      <c r="A108" t="s">
        <v>198</v>
      </c>
      <c r="B108" t="s">
        <v>67</v>
      </c>
      <c r="C108" t="s">
        <v>56</v>
      </c>
      <c r="D108" t="s">
        <v>57</v>
      </c>
      <c r="E108">
        <v>22</v>
      </c>
      <c r="F108" s="3">
        <v>7.67</v>
      </c>
      <c r="G108" s="4">
        <v>88.5</v>
      </c>
      <c r="H108">
        <v>2</v>
      </c>
      <c r="I108">
        <v>3</v>
      </c>
      <c r="J108">
        <v>3</v>
      </c>
      <c r="K108" s="4">
        <v>84.2</v>
      </c>
      <c r="L108" s="4">
        <v>64.400000000000006</v>
      </c>
      <c r="M108" s="4">
        <v>86.1</v>
      </c>
      <c r="N108">
        <v>0</v>
      </c>
      <c r="O108" t="s">
        <v>58</v>
      </c>
      <c r="P108" t="s">
        <v>75</v>
      </c>
      <c r="Q108" t="s">
        <v>71</v>
      </c>
      <c r="R108" t="s">
        <v>109</v>
      </c>
      <c r="S108" s="3">
        <v>5.29</v>
      </c>
      <c r="T108" s="5">
        <v>45184</v>
      </c>
      <c r="U108">
        <v>1</v>
      </c>
      <c r="V108">
        <v>2023</v>
      </c>
      <c r="X108">
        <f t="shared" si="3"/>
        <v>7.6699891999999998</v>
      </c>
      <c r="Y108">
        <f t="shared" si="4"/>
        <v>5.2899891999999999</v>
      </c>
      <c r="Z108">
        <f t="shared" si="5"/>
        <v>64.399989200000007</v>
      </c>
    </row>
    <row r="109" spans="1:26" x14ac:dyDescent="0.3">
      <c r="A109" t="s">
        <v>199</v>
      </c>
      <c r="B109" t="s">
        <v>55</v>
      </c>
      <c r="C109" t="s">
        <v>68</v>
      </c>
      <c r="D109" t="s">
        <v>69</v>
      </c>
      <c r="E109">
        <v>23</v>
      </c>
      <c r="F109" s="3">
        <v>8.84</v>
      </c>
      <c r="G109" s="4">
        <v>63.8</v>
      </c>
      <c r="H109">
        <v>2</v>
      </c>
      <c r="I109">
        <v>3</v>
      </c>
      <c r="J109">
        <v>5</v>
      </c>
      <c r="K109" s="4">
        <v>76.7</v>
      </c>
      <c r="L109" s="4">
        <v>40.299999999999997</v>
      </c>
      <c r="M109" s="4">
        <v>79.3</v>
      </c>
      <c r="N109">
        <v>1</v>
      </c>
      <c r="O109" t="s">
        <v>58</v>
      </c>
      <c r="P109" t="s">
        <v>112</v>
      </c>
      <c r="Q109" t="s">
        <v>93</v>
      </c>
      <c r="R109" t="s">
        <v>85</v>
      </c>
      <c r="S109" s="3">
        <v>8.07</v>
      </c>
      <c r="T109" s="5">
        <v>45617</v>
      </c>
      <c r="U109">
        <v>1</v>
      </c>
      <c r="V109">
        <v>2024</v>
      </c>
      <c r="X109">
        <f t="shared" si="3"/>
        <v>8.8399891000000004</v>
      </c>
      <c r="Y109">
        <f t="shared" si="4"/>
        <v>8.0699891000000008</v>
      </c>
      <c r="Z109">
        <f t="shared" si="5"/>
        <v>40.299989099999998</v>
      </c>
    </row>
    <row r="110" spans="1:26" x14ac:dyDescent="0.3">
      <c r="A110" t="s">
        <v>200</v>
      </c>
      <c r="B110" t="s">
        <v>67</v>
      </c>
      <c r="C110" t="s">
        <v>84</v>
      </c>
      <c r="D110" t="s">
        <v>69</v>
      </c>
      <c r="E110">
        <v>20</v>
      </c>
      <c r="F110" s="3">
        <v>7.59</v>
      </c>
      <c r="G110" s="4">
        <v>72.3</v>
      </c>
      <c r="H110">
        <v>1</v>
      </c>
      <c r="I110">
        <v>3</v>
      </c>
      <c r="J110">
        <v>3</v>
      </c>
      <c r="K110" s="4">
        <v>64</v>
      </c>
      <c r="L110" s="4">
        <v>84.3</v>
      </c>
      <c r="M110" s="4">
        <v>76.7</v>
      </c>
      <c r="N110">
        <v>3</v>
      </c>
      <c r="O110" t="s">
        <v>58</v>
      </c>
      <c r="P110" t="s">
        <v>90</v>
      </c>
      <c r="Q110" t="s">
        <v>60</v>
      </c>
      <c r="R110" t="s">
        <v>76</v>
      </c>
      <c r="S110" s="3">
        <v>8.26</v>
      </c>
      <c r="T110" s="5">
        <v>45254</v>
      </c>
      <c r="U110">
        <v>1</v>
      </c>
      <c r="V110">
        <v>2023</v>
      </c>
      <c r="X110">
        <f t="shared" si="3"/>
        <v>7.5899890000000001</v>
      </c>
      <c r="Y110">
        <f t="shared" si="4"/>
        <v>8.2599889999999991</v>
      </c>
      <c r="Z110">
        <f t="shared" si="5"/>
        <v>84.299988999999997</v>
      </c>
    </row>
    <row r="111" spans="1:26" x14ac:dyDescent="0.3">
      <c r="A111" t="s">
        <v>201</v>
      </c>
      <c r="B111" t="s">
        <v>67</v>
      </c>
      <c r="C111" t="s">
        <v>101</v>
      </c>
      <c r="D111" t="s">
        <v>57</v>
      </c>
      <c r="E111">
        <v>22</v>
      </c>
      <c r="F111" s="3">
        <v>7.4</v>
      </c>
      <c r="G111" s="4">
        <v>98.2</v>
      </c>
      <c r="H111">
        <v>2</v>
      </c>
      <c r="I111">
        <v>1</v>
      </c>
      <c r="J111">
        <v>1</v>
      </c>
      <c r="K111" s="4">
        <v>74.8</v>
      </c>
      <c r="L111" s="4">
        <v>72.8</v>
      </c>
      <c r="M111" s="4">
        <v>94.9</v>
      </c>
      <c r="N111">
        <v>0</v>
      </c>
      <c r="O111" t="s">
        <v>58</v>
      </c>
      <c r="P111" t="s">
        <v>87</v>
      </c>
      <c r="Q111" t="s">
        <v>71</v>
      </c>
      <c r="R111" t="s">
        <v>76</v>
      </c>
      <c r="S111" s="3">
        <v>6.99</v>
      </c>
      <c r="T111" s="5">
        <v>45210</v>
      </c>
      <c r="U111">
        <v>2</v>
      </c>
      <c r="V111">
        <v>2023</v>
      </c>
      <c r="X111">
        <f t="shared" si="3"/>
        <v>7.3999889000000003</v>
      </c>
      <c r="Y111">
        <f t="shared" si="4"/>
        <v>6.9899889000000002</v>
      </c>
      <c r="Z111">
        <f t="shared" si="5"/>
        <v>72.799988900000002</v>
      </c>
    </row>
    <row r="112" spans="1:26" x14ac:dyDescent="0.3">
      <c r="A112" t="s">
        <v>202</v>
      </c>
      <c r="B112" t="s">
        <v>107</v>
      </c>
      <c r="C112" t="s">
        <v>74</v>
      </c>
      <c r="D112" t="s">
        <v>69</v>
      </c>
      <c r="E112">
        <v>21</v>
      </c>
      <c r="F112" s="3">
        <v>9.4499999999999993</v>
      </c>
      <c r="G112" s="4">
        <v>79.7</v>
      </c>
      <c r="H112">
        <v>0</v>
      </c>
      <c r="I112">
        <v>0</v>
      </c>
      <c r="J112">
        <v>5</v>
      </c>
      <c r="K112" s="4">
        <v>82.4</v>
      </c>
      <c r="L112" s="4">
        <v>58.8</v>
      </c>
      <c r="M112" s="4">
        <v>62.3</v>
      </c>
      <c r="N112">
        <v>1</v>
      </c>
      <c r="O112" t="s">
        <v>58</v>
      </c>
      <c r="P112" t="s">
        <v>79</v>
      </c>
      <c r="Q112" t="s">
        <v>71</v>
      </c>
      <c r="R112" t="s">
        <v>80</v>
      </c>
      <c r="S112" s="3">
        <v>6.51</v>
      </c>
      <c r="T112" s="5">
        <v>44528</v>
      </c>
      <c r="U112">
        <v>1</v>
      </c>
      <c r="V112">
        <v>2021</v>
      </c>
      <c r="X112">
        <f t="shared" si="3"/>
        <v>9.4499887999999999</v>
      </c>
      <c r="Y112">
        <f t="shared" si="4"/>
        <v>6.5099887999999995</v>
      </c>
      <c r="Z112">
        <f t="shared" si="5"/>
        <v>58.799988799999994</v>
      </c>
    </row>
    <row r="113" spans="1:26" x14ac:dyDescent="0.3">
      <c r="A113" t="s">
        <v>203</v>
      </c>
      <c r="B113" t="s">
        <v>67</v>
      </c>
      <c r="C113" t="s">
        <v>78</v>
      </c>
      <c r="D113" t="s">
        <v>69</v>
      </c>
      <c r="E113">
        <v>23</v>
      </c>
      <c r="F113" s="3">
        <v>7.92</v>
      </c>
      <c r="G113" s="4">
        <v>88.8</v>
      </c>
      <c r="H113">
        <v>2</v>
      </c>
      <c r="I113">
        <v>1</v>
      </c>
      <c r="J113">
        <v>4</v>
      </c>
      <c r="K113" s="4">
        <v>62.6</v>
      </c>
      <c r="L113" s="4">
        <v>85.2</v>
      </c>
      <c r="M113" s="4">
        <v>74.599999999999994</v>
      </c>
      <c r="N113">
        <v>0</v>
      </c>
      <c r="O113" t="s">
        <v>58</v>
      </c>
      <c r="P113" t="s">
        <v>112</v>
      </c>
      <c r="Q113" t="s">
        <v>93</v>
      </c>
      <c r="R113" t="s">
        <v>61</v>
      </c>
      <c r="S113" s="3">
        <v>8.34</v>
      </c>
      <c r="T113" s="5">
        <v>45242</v>
      </c>
      <c r="U113">
        <v>1</v>
      </c>
      <c r="V113">
        <v>2023</v>
      </c>
      <c r="X113">
        <f t="shared" si="3"/>
        <v>7.9199887000000002</v>
      </c>
      <c r="Y113">
        <f t="shared" si="4"/>
        <v>8.3399886999999993</v>
      </c>
      <c r="Z113">
        <f t="shared" si="5"/>
        <v>85.199988700000006</v>
      </c>
    </row>
    <row r="114" spans="1:26" x14ac:dyDescent="0.3">
      <c r="A114" t="s">
        <v>204</v>
      </c>
      <c r="B114" t="s">
        <v>63</v>
      </c>
      <c r="C114" t="s">
        <v>101</v>
      </c>
      <c r="D114" t="s">
        <v>57</v>
      </c>
      <c r="E114">
        <v>21</v>
      </c>
      <c r="F114" s="3">
        <v>6.76</v>
      </c>
      <c r="G114" s="4">
        <v>75.3</v>
      </c>
      <c r="H114">
        <v>1</v>
      </c>
      <c r="I114">
        <v>3</v>
      </c>
      <c r="J114">
        <v>5</v>
      </c>
      <c r="K114" s="4">
        <v>69</v>
      </c>
      <c r="L114" s="4">
        <v>75</v>
      </c>
      <c r="M114" s="4">
        <v>84.9</v>
      </c>
      <c r="N114">
        <v>1</v>
      </c>
      <c r="O114" t="s">
        <v>58</v>
      </c>
      <c r="P114" t="s">
        <v>90</v>
      </c>
      <c r="Q114" t="s">
        <v>60</v>
      </c>
      <c r="R114" t="s">
        <v>76</v>
      </c>
      <c r="S114" s="3">
        <v>8.1300000000000008</v>
      </c>
      <c r="T114" s="5">
        <v>45982</v>
      </c>
      <c r="U114">
        <v>1</v>
      </c>
      <c r="V114">
        <v>2025</v>
      </c>
      <c r="X114">
        <f t="shared" si="3"/>
        <v>6.7599885999999998</v>
      </c>
      <c r="Y114">
        <f t="shared" si="4"/>
        <v>8.1299886000000008</v>
      </c>
      <c r="Z114">
        <f t="shared" si="5"/>
        <v>74.999988599999995</v>
      </c>
    </row>
    <row r="115" spans="1:26" x14ac:dyDescent="0.3">
      <c r="A115" t="s">
        <v>205</v>
      </c>
      <c r="B115" t="s">
        <v>67</v>
      </c>
      <c r="C115" t="s">
        <v>84</v>
      </c>
      <c r="D115" t="s">
        <v>69</v>
      </c>
      <c r="E115">
        <v>23</v>
      </c>
      <c r="F115" s="3">
        <v>6.88</v>
      </c>
      <c r="G115" s="4">
        <v>78</v>
      </c>
      <c r="H115">
        <v>1</v>
      </c>
      <c r="I115">
        <v>0</v>
      </c>
      <c r="J115">
        <v>3</v>
      </c>
      <c r="K115" s="4">
        <v>57.3</v>
      </c>
      <c r="L115" s="4">
        <v>94.6</v>
      </c>
      <c r="M115" s="4">
        <v>42.1</v>
      </c>
      <c r="N115">
        <v>0</v>
      </c>
      <c r="O115" t="s">
        <v>64</v>
      </c>
      <c r="P115" t="s">
        <v>65</v>
      </c>
      <c r="S115" s="3">
        <v>0</v>
      </c>
      <c r="T115" s="5"/>
      <c r="U115">
        <v>0</v>
      </c>
      <c r="V115">
        <v>2023</v>
      </c>
      <c r="X115">
        <f t="shared" si="3"/>
        <v>6.8799884999999996</v>
      </c>
      <c r="Y115">
        <f t="shared" si="4"/>
        <v>-1.15E-5</v>
      </c>
      <c r="Z115">
        <f t="shared" si="5"/>
        <v>94.599988499999995</v>
      </c>
    </row>
    <row r="116" spans="1:26" x14ac:dyDescent="0.3">
      <c r="A116" t="s">
        <v>206</v>
      </c>
      <c r="B116" t="s">
        <v>107</v>
      </c>
      <c r="C116" t="s">
        <v>68</v>
      </c>
      <c r="D116" t="s">
        <v>69</v>
      </c>
      <c r="E116">
        <v>22</v>
      </c>
      <c r="F116" s="3">
        <v>7.67</v>
      </c>
      <c r="G116" s="4">
        <v>98.7</v>
      </c>
      <c r="H116">
        <v>1</v>
      </c>
      <c r="I116">
        <v>2</v>
      </c>
      <c r="J116">
        <v>1</v>
      </c>
      <c r="K116" s="4">
        <v>80.099999999999994</v>
      </c>
      <c r="L116" s="4">
        <v>63.3</v>
      </c>
      <c r="M116" s="4">
        <v>92.3</v>
      </c>
      <c r="N116">
        <v>0</v>
      </c>
      <c r="O116" t="s">
        <v>58</v>
      </c>
      <c r="P116" t="s">
        <v>112</v>
      </c>
      <c r="Q116" t="s">
        <v>93</v>
      </c>
      <c r="R116" t="s">
        <v>80</v>
      </c>
      <c r="S116" s="3">
        <v>6.24</v>
      </c>
      <c r="T116" s="5">
        <v>44409</v>
      </c>
      <c r="U116">
        <v>1</v>
      </c>
      <c r="V116">
        <v>2021</v>
      </c>
      <c r="X116">
        <f t="shared" si="3"/>
        <v>7.6699884000000003</v>
      </c>
      <c r="Y116">
        <f t="shared" si="4"/>
        <v>6.2399884000000005</v>
      </c>
      <c r="Z116">
        <f t="shared" si="5"/>
        <v>63.299988399999997</v>
      </c>
    </row>
    <row r="117" spans="1:26" x14ac:dyDescent="0.3">
      <c r="A117" t="s">
        <v>207</v>
      </c>
      <c r="B117" t="s">
        <v>63</v>
      </c>
      <c r="C117" t="s">
        <v>56</v>
      </c>
      <c r="D117" t="s">
        <v>69</v>
      </c>
      <c r="E117">
        <v>23</v>
      </c>
      <c r="F117" s="3">
        <v>5.49</v>
      </c>
      <c r="G117" s="4">
        <v>80.599999999999994</v>
      </c>
      <c r="H117">
        <v>1</v>
      </c>
      <c r="I117">
        <v>3</v>
      </c>
      <c r="J117">
        <v>2</v>
      </c>
      <c r="K117" s="4">
        <v>75</v>
      </c>
      <c r="L117" s="4">
        <v>90.9</v>
      </c>
      <c r="M117" s="4">
        <v>72</v>
      </c>
      <c r="N117">
        <v>0</v>
      </c>
      <c r="O117" t="s">
        <v>58</v>
      </c>
      <c r="P117" t="s">
        <v>95</v>
      </c>
      <c r="Q117" t="s">
        <v>93</v>
      </c>
      <c r="R117" t="s">
        <v>109</v>
      </c>
      <c r="S117" s="3">
        <v>5.88</v>
      </c>
      <c r="T117" s="5">
        <v>45940</v>
      </c>
      <c r="U117">
        <v>1</v>
      </c>
      <c r="V117">
        <v>2025</v>
      </c>
      <c r="X117">
        <f t="shared" si="3"/>
        <v>5.4899883000000003</v>
      </c>
      <c r="Y117">
        <f t="shared" si="4"/>
        <v>5.8799882999999999</v>
      </c>
      <c r="Z117">
        <f t="shared" si="5"/>
        <v>90.899988300000004</v>
      </c>
    </row>
    <row r="118" spans="1:26" x14ac:dyDescent="0.3">
      <c r="A118" t="s">
        <v>208</v>
      </c>
      <c r="B118" t="s">
        <v>82</v>
      </c>
      <c r="C118" t="s">
        <v>74</v>
      </c>
      <c r="D118" t="s">
        <v>57</v>
      </c>
      <c r="E118">
        <v>20</v>
      </c>
      <c r="F118" s="3">
        <v>7.08</v>
      </c>
      <c r="G118" s="4">
        <v>86.7</v>
      </c>
      <c r="H118">
        <v>1</v>
      </c>
      <c r="I118">
        <v>2</v>
      </c>
      <c r="J118">
        <v>2</v>
      </c>
      <c r="K118" s="4">
        <v>50.2</v>
      </c>
      <c r="L118" s="4">
        <v>73.400000000000006</v>
      </c>
      <c r="M118" s="4">
        <v>79.099999999999994</v>
      </c>
      <c r="N118">
        <v>0</v>
      </c>
      <c r="O118" t="s">
        <v>58</v>
      </c>
      <c r="P118" t="s">
        <v>90</v>
      </c>
      <c r="Q118" t="s">
        <v>60</v>
      </c>
      <c r="R118" t="s">
        <v>80</v>
      </c>
      <c r="S118" s="3">
        <v>8.9700000000000006</v>
      </c>
      <c r="T118" s="5">
        <v>44828</v>
      </c>
      <c r="U118">
        <v>1</v>
      </c>
      <c r="V118">
        <v>2022</v>
      </c>
      <c r="X118">
        <f t="shared" si="3"/>
        <v>7.0799881999999998</v>
      </c>
      <c r="Y118">
        <f t="shared" si="4"/>
        <v>8.9699882000000013</v>
      </c>
      <c r="Z118">
        <f t="shared" si="5"/>
        <v>73.39998820000001</v>
      </c>
    </row>
    <row r="119" spans="1:26" x14ac:dyDescent="0.3">
      <c r="A119" t="s">
        <v>209</v>
      </c>
      <c r="B119" t="s">
        <v>67</v>
      </c>
      <c r="C119" t="s">
        <v>74</v>
      </c>
      <c r="D119" t="s">
        <v>57</v>
      </c>
      <c r="E119">
        <v>21</v>
      </c>
      <c r="F119" s="3">
        <v>7.56</v>
      </c>
      <c r="G119" s="4">
        <v>83.2</v>
      </c>
      <c r="H119">
        <v>1</v>
      </c>
      <c r="I119">
        <v>1</v>
      </c>
      <c r="J119">
        <v>5</v>
      </c>
      <c r="K119" s="4">
        <v>72.7</v>
      </c>
      <c r="L119" s="4">
        <v>58.4</v>
      </c>
      <c r="M119" s="4">
        <v>68.099999999999994</v>
      </c>
      <c r="N119">
        <v>0</v>
      </c>
      <c r="O119" t="s">
        <v>58</v>
      </c>
      <c r="P119" t="s">
        <v>90</v>
      </c>
      <c r="Q119" t="s">
        <v>60</v>
      </c>
      <c r="R119" t="s">
        <v>76</v>
      </c>
      <c r="S119" s="3">
        <v>7.54</v>
      </c>
      <c r="T119" s="5">
        <v>45196</v>
      </c>
      <c r="U119">
        <v>1</v>
      </c>
      <c r="V119">
        <v>2023</v>
      </c>
      <c r="X119">
        <f t="shared" si="3"/>
        <v>7.5599881</v>
      </c>
      <c r="Y119">
        <f t="shared" si="4"/>
        <v>7.5399881000000004</v>
      </c>
      <c r="Z119">
        <f t="shared" si="5"/>
        <v>58.399988100000002</v>
      </c>
    </row>
    <row r="120" spans="1:26" x14ac:dyDescent="0.3">
      <c r="A120" t="s">
        <v>210</v>
      </c>
      <c r="B120" t="s">
        <v>107</v>
      </c>
      <c r="C120" t="s">
        <v>89</v>
      </c>
      <c r="D120" t="s">
        <v>57</v>
      </c>
      <c r="E120">
        <v>20</v>
      </c>
      <c r="F120" s="3">
        <v>7.5</v>
      </c>
      <c r="G120" s="4">
        <v>84.2</v>
      </c>
      <c r="H120">
        <v>2</v>
      </c>
      <c r="I120">
        <v>1</v>
      </c>
      <c r="J120">
        <v>3</v>
      </c>
      <c r="K120" s="4">
        <v>65.3</v>
      </c>
      <c r="L120" s="4">
        <v>78.900000000000006</v>
      </c>
      <c r="M120" s="4">
        <v>79.3</v>
      </c>
      <c r="N120">
        <v>0</v>
      </c>
      <c r="O120" t="s">
        <v>58</v>
      </c>
      <c r="P120" t="s">
        <v>104</v>
      </c>
      <c r="Q120" t="s">
        <v>105</v>
      </c>
      <c r="R120" t="s">
        <v>85</v>
      </c>
      <c r="S120" s="3">
        <v>15.02</v>
      </c>
      <c r="T120" s="5">
        <v>44486</v>
      </c>
      <c r="U120">
        <v>1</v>
      </c>
      <c r="V120">
        <v>2021</v>
      </c>
      <c r="X120">
        <f t="shared" si="3"/>
        <v>7.4999880000000001</v>
      </c>
      <c r="Y120">
        <f t="shared" si="4"/>
        <v>15.019988</v>
      </c>
      <c r="Z120">
        <f t="shared" si="5"/>
        <v>78.899988000000008</v>
      </c>
    </row>
    <row r="121" spans="1:26" x14ac:dyDescent="0.3">
      <c r="A121" t="s">
        <v>211</v>
      </c>
      <c r="B121" t="s">
        <v>82</v>
      </c>
      <c r="C121" t="s">
        <v>56</v>
      </c>
      <c r="D121" t="s">
        <v>69</v>
      </c>
      <c r="E121">
        <v>21</v>
      </c>
      <c r="F121" s="3">
        <v>6.52</v>
      </c>
      <c r="G121" s="4">
        <v>83.9</v>
      </c>
      <c r="H121">
        <v>1</v>
      </c>
      <c r="I121">
        <v>0</v>
      </c>
      <c r="J121">
        <v>6</v>
      </c>
      <c r="K121" s="4">
        <v>69.8</v>
      </c>
      <c r="L121" s="4">
        <v>71.099999999999994</v>
      </c>
      <c r="M121" s="4">
        <v>77.2</v>
      </c>
      <c r="N121">
        <v>0</v>
      </c>
      <c r="O121" t="s">
        <v>58</v>
      </c>
      <c r="P121" t="s">
        <v>79</v>
      </c>
      <c r="Q121" t="s">
        <v>71</v>
      </c>
      <c r="R121" t="s">
        <v>109</v>
      </c>
      <c r="S121" s="3">
        <v>5.82</v>
      </c>
      <c r="T121" s="5">
        <v>44794</v>
      </c>
      <c r="U121">
        <v>1</v>
      </c>
      <c r="V121">
        <v>2022</v>
      </c>
      <c r="X121">
        <f t="shared" si="3"/>
        <v>6.5199878999999994</v>
      </c>
      <c r="Y121">
        <f t="shared" si="4"/>
        <v>5.8199879000000001</v>
      </c>
      <c r="Z121">
        <f t="shared" si="5"/>
        <v>71.099987899999988</v>
      </c>
    </row>
    <row r="122" spans="1:26" x14ac:dyDescent="0.3">
      <c r="A122" t="s">
        <v>212</v>
      </c>
      <c r="B122" t="s">
        <v>82</v>
      </c>
      <c r="C122" t="s">
        <v>89</v>
      </c>
      <c r="D122" t="s">
        <v>69</v>
      </c>
      <c r="E122">
        <v>21</v>
      </c>
      <c r="F122" s="3">
        <v>7.25</v>
      </c>
      <c r="G122" s="4">
        <v>64.2</v>
      </c>
      <c r="H122">
        <v>1</v>
      </c>
      <c r="I122">
        <v>1</v>
      </c>
      <c r="J122">
        <v>5</v>
      </c>
      <c r="K122" s="4">
        <v>58.2</v>
      </c>
      <c r="L122" s="4">
        <v>76.8</v>
      </c>
      <c r="M122" s="4">
        <v>60.5</v>
      </c>
      <c r="N122">
        <v>0</v>
      </c>
      <c r="O122" t="s">
        <v>58</v>
      </c>
      <c r="P122" t="s">
        <v>95</v>
      </c>
      <c r="Q122" t="s">
        <v>93</v>
      </c>
      <c r="R122" t="s">
        <v>85</v>
      </c>
      <c r="S122" s="3">
        <v>6.62</v>
      </c>
      <c r="T122" s="5">
        <v>44829</v>
      </c>
      <c r="U122">
        <v>1</v>
      </c>
      <c r="V122">
        <v>2022</v>
      </c>
      <c r="X122">
        <f t="shared" si="3"/>
        <v>7.2499878000000004</v>
      </c>
      <c r="Y122">
        <f t="shared" si="4"/>
        <v>6.6199878000000005</v>
      </c>
      <c r="Z122">
        <f t="shared" si="5"/>
        <v>76.799987799999997</v>
      </c>
    </row>
    <row r="123" spans="1:26" x14ac:dyDescent="0.3">
      <c r="A123" t="s">
        <v>213</v>
      </c>
      <c r="B123" t="s">
        <v>55</v>
      </c>
      <c r="C123" t="s">
        <v>74</v>
      </c>
      <c r="D123" t="s">
        <v>69</v>
      </c>
      <c r="E123">
        <v>23</v>
      </c>
      <c r="F123" s="3">
        <v>8.7100000000000009</v>
      </c>
      <c r="G123" s="4">
        <v>86.3</v>
      </c>
      <c r="H123">
        <v>1</v>
      </c>
      <c r="I123">
        <v>0</v>
      </c>
      <c r="J123">
        <v>4</v>
      </c>
      <c r="K123" s="4">
        <v>86.4</v>
      </c>
      <c r="L123" s="4">
        <v>55.2</v>
      </c>
      <c r="M123" s="4">
        <v>68.7</v>
      </c>
      <c r="N123">
        <v>0</v>
      </c>
      <c r="O123" t="s">
        <v>58</v>
      </c>
      <c r="P123" t="s">
        <v>59</v>
      </c>
      <c r="Q123" t="s">
        <v>60</v>
      </c>
      <c r="R123" t="s">
        <v>85</v>
      </c>
      <c r="S123" s="3">
        <v>20.56</v>
      </c>
      <c r="T123" s="5">
        <v>45574</v>
      </c>
      <c r="U123">
        <v>3</v>
      </c>
      <c r="V123">
        <v>2024</v>
      </c>
      <c r="X123">
        <f t="shared" si="3"/>
        <v>8.709987700000001</v>
      </c>
      <c r="Y123">
        <f t="shared" si="4"/>
        <v>20.559987699999997</v>
      </c>
      <c r="Z123">
        <f t="shared" si="5"/>
        <v>55.199987700000001</v>
      </c>
    </row>
    <row r="124" spans="1:26" x14ac:dyDescent="0.3">
      <c r="A124" t="s">
        <v>214</v>
      </c>
      <c r="B124" t="s">
        <v>63</v>
      </c>
      <c r="C124" t="s">
        <v>74</v>
      </c>
      <c r="D124" t="s">
        <v>69</v>
      </c>
      <c r="E124">
        <v>22</v>
      </c>
      <c r="F124" s="3">
        <v>8.5299999999999994</v>
      </c>
      <c r="G124" s="4">
        <v>77.2</v>
      </c>
      <c r="H124">
        <v>2</v>
      </c>
      <c r="I124">
        <v>3</v>
      </c>
      <c r="J124">
        <v>6</v>
      </c>
      <c r="K124" s="4">
        <v>58.8</v>
      </c>
      <c r="L124" s="4">
        <v>35.299999999999997</v>
      </c>
      <c r="M124" s="4">
        <v>80</v>
      </c>
      <c r="N124">
        <v>0</v>
      </c>
      <c r="O124" t="s">
        <v>58</v>
      </c>
      <c r="P124" t="s">
        <v>90</v>
      </c>
      <c r="Q124" t="s">
        <v>60</v>
      </c>
      <c r="R124" t="s">
        <v>80</v>
      </c>
      <c r="S124" s="3">
        <v>8.5399999999999991</v>
      </c>
      <c r="T124" s="5">
        <v>45886</v>
      </c>
      <c r="U124">
        <v>2</v>
      </c>
      <c r="V124">
        <v>2025</v>
      </c>
      <c r="X124">
        <f t="shared" si="3"/>
        <v>8.5299876000000001</v>
      </c>
      <c r="Y124">
        <f t="shared" si="4"/>
        <v>8.5399875999999999</v>
      </c>
      <c r="Z124">
        <f t="shared" si="5"/>
        <v>35.299987599999994</v>
      </c>
    </row>
    <row r="125" spans="1:26" x14ac:dyDescent="0.3">
      <c r="A125" t="s">
        <v>215</v>
      </c>
      <c r="B125" t="s">
        <v>67</v>
      </c>
      <c r="C125" t="s">
        <v>101</v>
      </c>
      <c r="D125" t="s">
        <v>57</v>
      </c>
      <c r="E125">
        <v>22</v>
      </c>
      <c r="F125" s="3">
        <v>7.74</v>
      </c>
      <c r="G125" s="4">
        <v>98</v>
      </c>
      <c r="H125">
        <v>2</v>
      </c>
      <c r="I125">
        <v>4</v>
      </c>
      <c r="J125">
        <v>3</v>
      </c>
      <c r="K125" s="4">
        <v>97.8</v>
      </c>
      <c r="L125" s="4">
        <v>62.6</v>
      </c>
      <c r="M125" s="4">
        <v>91.6</v>
      </c>
      <c r="N125">
        <v>0</v>
      </c>
      <c r="O125" t="s">
        <v>58</v>
      </c>
      <c r="P125" t="s">
        <v>92</v>
      </c>
      <c r="Q125" t="s">
        <v>93</v>
      </c>
      <c r="R125" t="s">
        <v>85</v>
      </c>
      <c r="S125" s="3">
        <v>10.01</v>
      </c>
      <c r="T125" s="5">
        <v>45216</v>
      </c>
      <c r="U125">
        <v>1</v>
      </c>
      <c r="V125">
        <v>2023</v>
      </c>
      <c r="X125">
        <f t="shared" si="3"/>
        <v>7.7399874999999998</v>
      </c>
      <c r="Y125">
        <f t="shared" si="4"/>
        <v>10.009987499999999</v>
      </c>
      <c r="Z125">
        <f t="shared" si="5"/>
        <v>62.599987500000005</v>
      </c>
    </row>
    <row r="126" spans="1:26" x14ac:dyDescent="0.3">
      <c r="A126" t="s">
        <v>216</v>
      </c>
      <c r="B126" t="s">
        <v>107</v>
      </c>
      <c r="C126" t="s">
        <v>68</v>
      </c>
      <c r="D126" t="s">
        <v>69</v>
      </c>
      <c r="E126">
        <v>20</v>
      </c>
      <c r="F126" s="3">
        <v>7.59</v>
      </c>
      <c r="G126" s="4">
        <v>75</v>
      </c>
      <c r="H126">
        <v>1</v>
      </c>
      <c r="I126">
        <v>2</v>
      </c>
      <c r="J126">
        <v>2</v>
      </c>
      <c r="K126" s="4">
        <v>70.099999999999994</v>
      </c>
      <c r="L126" s="4">
        <v>78.599999999999994</v>
      </c>
      <c r="M126" s="4">
        <v>69.5</v>
      </c>
      <c r="N126">
        <v>0</v>
      </c>
      <c r="O126" t="s">
        <v>58</v>
      </c>
      <c r="P126" t="s">
        <v>90</v>
      </c>
      <c r="Q126" t="s">
        <v>60</v>
      </c>
      <c r="R126" t="s">
        <v>61</v>
      </c>
      <c r="S126" s="3">
        <v>9.9</v>
      </c>
      <c r="T126" s="5">
        <v>44415</v>
      </c>
      <c r="U126">
        <v>1</v>
      </c>
      <c r="V126">
        <v>2021</v>
      </c>
      <c r="X126">
        <f t="shared" si="3"/>
        <v>7.5899874000000001</v>
      </c>
      <c r="Y126">
        <f t="shared" si="4"/>
        <v>9.8999874000000005</v>
      </c>
      <c r="Z126">
        <f t="shared" si="5"/>
        <v>78.599987399999989</v>
      </c>
    </row>
    <row r="127" spans="1:26" x14ac:dyDescent="0.3">
      <c r="A127" t="s">
        <v>217</v>
      </c>
      <c r="B127" t="s">
        <v>55</v>
      </c>
      <c r="C127" t="s">
        <v>56</v>
      </c>
      <c r="D127" t="s">
        <v>57</v>
      </c>
      <c r="E127">
        <v>23</v>
      </c>
      <c r="F127" s="3">
        <v>7.5</v>
      </c>
      <c r="G127" s="4">
        <v>77.8</v>
      </c>
      <c r="H127">
        <v>1</v>
      </c>
      <c r="I127">
        <v>2</v>
      </c>
      <c r="J127">
        <v>5</v>
      </c>
      <c r="K127" s="4">
        <v>63.9</v>
      </c>
      <c r="L127" s="4">
        <v>78.099999999999994</v>
      </c>
      <c r="M127" s="4">
        <v>58.5</v>
      </c>
      <c r="N127">
        <v>0</v>
      </c>
      <c r="O127" t="s">
        <v>58</v>
      </c>
      <c r="P127" t="s">
        <v>90</v>
      </c>
      <c r="Q127" t="s">
        <v>60</v>
      </c>
      <c r="R127" t="s">
        <v>85</v>
      </c>
      <c r="S127" s="3">
        <v>8.2100000000000009</v>
      </c>
      <c r="T127" s="5">
        <v>45583</v>
      </c>
      <c r="U127">
        <v>2</v>
      </c>
      <c r="V127">
        <v>2024</v>
      </c>
      <c r="X127">
        <f t="shared" si="3"/>
        <v>7.4999872999999999</v>
      </c>
      <c r="Y127">
        <f t="shared" si="4"/>
        <v>8.2099873000000017</v>
      </c>
      <c r="Z127">
        <f t="shared" si="5"/>
        <v>78.099987299999995</v>
      </c>
    </row>
    <row r="128" spans="1:26" x14ac:dyDescent="0.3">
      <c r="A128" t="s">
        <v>218</v>
      </c>
      <c r="B128" t="s">
        <v>63</v>
      </c>
      <c r="C128" t="s">
        <v>101</v>
      </c>
      <c r="D128" t="s">
        <v>69</v>
      </c>
      <c r="E128">
        <v>22</v>
      </c>
      <c r="F128" s="3">
        <v>7.86</v>
      </c>
      <c r="G128" s="4">
        <v>100</v>
      </c>
      <c r="H128">
        <v>1</v>
      </c>
      <c r="I128">
        <v>2</v>
      </c>
      <c r="J128">
        <v>3</v>
      </c>
      <c r="K128" s="4">
        <v>74.3</v>
      </c>
      <c r="L128" s="4">
        <v>63.2</v>
      </c>
      <c r="M128" s="4">
        <v>78.2</v>
      </c>
      <c r="N128">
        <v>0</v>
      </c>
      <c r="O128" t="s">
        <v>58</v>
      </c>
      <c r="P128" t="s">
        <v>112</v>
      </c>
      <c r="Q128" t="s">
        <v>93</v>
      </c>
      <c r="R128" t="s">
        <v>72</v>
      </c>
      <c r="S128" s="3">
        <v>6.58</v>
      </c>
      <c r="T128" s="5">
        <v>45941</v>
      </c>
      <c r="U128">
        <v>1</v>
      </c>
      <c r="V128">
        <v>2025</v>
      </c>
      <c r="X128">
        <f t="shared" si="3"/>
        <v>7.8599872</v>
      </c>
      <c r="Y128">
        <f t="shared" si="4"/>
        <v>6.5799871999999997</v>
      </c>
      <c r="Z128">
        <f t="shared" si="5"/>
        <v>63.199987200000002</v>
      </c>
    </row>
    <row r="129" spans="1:26" x14ac:dyDescent="0.3">
      <c r="A129" t="s">
        <v>219</v>
      </c>
      <c r="B129" t="s">
        <v>55</v>
      </c>
      <c r="C129" t="s">
        <v>56</v>
      </c>
      <c r="D129" t="s">
        <v>57</v>
      </c>
      <c r="E129">
        <v>21</v>
      </c>
      <c r="F129" s="3">
        <v>7.74</v>
      </c>
      <c r="G129" s="4">
        <v>88.5</v>
      </c>
      <c r="H129">
        <v>2</v>
      </c>
      <c r="I129">
        <v>1</v>
      </c>
      <c r="J129">
        <v>6</v>
      </c>
      <c r="K129" s="4">
        <v>72.3</v>
      </c>
      <c r="L129" s="4">
        <v>73.5</v>
      </c>
      <c r="M129" s="4">
        <v>70.400000000000006</v>
      </c>
      <c r="N129">
        <v>0</v>
      </c>
      <c r="O129" t="s">
        <v>58</v>
      </c>
      <c r="P129" t="s">
        <v>90</v>
      </c>
      <c r="Q129" t="s">
        <v>60</v>
      </c>
      <c r="R129" t="s">
        <v>109</v>
      </c>
      <c r="S129" s="3">
        <v>9.7799999999999994</v>
      </c>
      <c r="T129" s="5">
        <v>45564</v>
      </c>
      <c r="U129">
        <v>2</v>
      </c>
      <c r="V129">
        <v>2024</v>
      </c>
      <c r="X129">
        <f t="shared" si="3"/>
        <v>7.7399871000000005</v>
      </c>
      <c r="Y129">
        <f t="shared" si="4"/>
        <v>9.7799870999999996</v>
      </c>
      <c r="Z129">
        <f t="shared" si="5"/>
        <v>73.499987099999998</v>
      </c>
    </row>
    <row r="130" spans="1:26" x14ac:dyDescent="0.3">
      <c r="A130" t="s">
        <v>220</v>
      </c>
      <c r="B130" t="s">
        <v>63</v>
      </c>
      <c r="C130" t="s">
        <v>78</v>
      </c>
      <c r="D130" t="s">
        <v>69</v>
      </c>
      <c r="E130">
        <v>21</v>
      </c>
      <c r="F130" s="3">
        <v>7.94</v>
      </c>
      <c r="G130" s="4">
        <v>73.099999999999994</v>
      </c>
      <c r="H130">
        <v>2</v>
      </c>
      <c r="I130">
        <v>0</v>
      </c>
      <c r="J130">
        <v>6</v>
      </c>
      <c r="K130" s="4">
        <v>95.7</v>
      </c>
      <c r="L130" s="4">
        <v>64.099999999999994</v>
      </c>
      <c r="M130" s="4">
        <v>83.6</v>
      </c>
      <c r="N130">
        <v>1</v>
      </c>
      <c r="O130" t="s">
        <v>58</v>
      </c>
      <c r="P130" t="s">
        <v>104</v>
      </c>
      <c r="Q130" t="s">
        <v>105</v>
      </c>
      <c r="R130" t="s">
        <v>109</v>
      </c>
      <c r="S130" s="3">
        <v>15.77</v>
      </c>
      <c r="T130" s="5">
        <v>45989</v>
      </c>
      <c r="U130">
        <v>2</v>
      </c>
      <c r="V130">
        <v>2025</v>
      </c>
      <c r="X130">
        <f t="shared" ref="X130:X193" si="6">F130-ROW()*0.0000001</f>
        <v>7.9399870000000004</v>
      </c>
      <c r="Y130">
        <f t="shared" ref="Y130:Y193" si="7">S130-ROW()*0.0000001</f>
        <v>15.769987</v>
      </c>
      <c r="Z130">
        <f t="shared" ref="Z130:Z193" si="8">L130-ROW()*0.0000001</f>
        <v>64.099986999999999</v>
      </c>
    </row>
    <row r="131" spans="1:26" x14ac:dyDescent="0.3">
      <c r="A131" t="s">
        <v>221</v>
      </c>
      <c r="B131" t="s">
        <v>63</v>
      </c>
      <c r="C131" t="s">
        <v>78</v>
      </c>
      <c r="D131" t="s">
        <v>69</v>
      </c>
      <c r="E131">
        <v>23</v>
      </c>
      <c r="F131" s="3">
        <v>8.1</v>
      </c>
      <c r="G131" s="4">
        <v>83.6</v>
      </c>
      <c r="H131">
        <v>0</v>
      </c>
      <c r="I131">
        <v>1</v>
      </c>
      <c r="J131">
        <v>6</v>
      </c>
      <c r="K131" s="4">
        <v>74.5</v>
      </c>
      <c r="L131" s="4">
        <v>68</v>
      </c>
      <c r="M131" s="4">
        <v>65.099999999999994</v>
      </c>
      <c r="N131">
        <v>0</v>
      </c>
      <c r="O131" t="s">
        <v>58</v>
      </c>
      <c r="P131" t="s">
        <v>112</v>
      </c>
      <c r="Q131" t="s">
        <v>93</v>
      </c>
      <c r="R131" t="s">
        <v>85</v>
      </c>
      <c r="S131" s="3">
        <v>6.23</v>
      </c>
      <c r="T131" s="5">
        <v>45917</v>
      </c>
      <c r="U131">
        <v>1</v>
      </c>
      <c r="V131">
        <v>2025</v>
      </c>
      <c r="X131">
        <f t="shared" si="6"/>
        <v>8.0999868999999993</v>
      </c>
      <c r="Y131">
        <f t="shared" si="7"/>
        <v>6.2299869000000001</v>
      </c>
      <c r="Z131">
        <f t="shared" si="8"/>
        <v>67.999986899999996</v>
      </c>
    </row>
    <row r="132" spans="1:26" x14ac:dyDescent="0.3">
      <c r="A132" t="s">
        <v>222</v>
      </c>
      <c r="B132" t="s">
        <v>67</v>
      </c>
      <c r="C132" t="s">
        <v>74</v>
      </c>
      <c r="D132" t="s">
        <v>69</v>
      </c>
      <c r="E132">
        <v>20</v>
      </c>
      <c r="F132" s="3">
        <v>6.56</v>
      </c>
      <c r="G132" s="4">
        <v>71</v>
      </c>
      <c r="H132">
        <v>2</v>
      </c>
      <c r="I132">
        <v>3</v>
      </c>
      <c r="J132">
        <v>6</v>
      </c>
      <c r="K132" s="4">
        <v>42</v>
      </c>
      <c r="L132" s="4">
        <v>88.9</v>
      </c>
      <c r="M132" s="4">
        <v>57.7</v>
      </c>
      <c r="N132">
        <v>0</v>
      </c>
      <c r="O132" t="s">
        <v>58</v>
      </c>
      <c r="P132" t="s">
        <v>104</v>
      </c>
      <c r="Q132" t="s">
        <v>105</v>
      </c>
      <c r="R132" t="s">
        <v>80</v>
      </c>
      <c r="S132" s="3">
        <v>15.39</v>
      </c>
      <c r="T132" s="5">
        <v>45148</v>
      </c>
      <c r="U132">
        <v>2</v>
      </c>
      <c r="V132">
        <v>2023</v>
      </c>
      <c r="X132">
        <f t="shared" si="6"/>
        <v>6.5599867999999999</v>
      </c>
      <c r="Y132">
        <f t="shared" si="7"/>
        <v>15.389986800000001</v>
      </c>
      <c r="Z132">
        <f t="shared" si="8"/>
        <v>88.899986800000008</v>
      </c>
    </row>
    <row r="133" spans="1:26" x14ac:dyDescent="0.3">
      <c r="A133" t="s">
        <v>223</v>
      </c>
      <c r="B133" t="s">
        <v>63</v>
      </c>
      <c r="C133" t="s">
        <v>101</v>
      </c>
      <c r="D133" t="s">
        <v>57</v>
      </c>
      <c r="E133">
        <v>23</v>
      </c>
      <c r="F133" s="3">
        <v>7.37</v>
      </c>
      <c r="G133" s="4">
        <v>84.3</v>
      </c>
      <c r="H133">
        <v>0</v>
      </c>
      <c r="I133">
        <v>5</v>
      </c>
      <c r="J133">
        <v>4</v>
      </c>
      <c r="K133" s="4">
        <v>59.1</v>
      </c>
      <c r="L133" s="4">
        <v>50</v>
      </c>
      <c r="M133" s="4">
        <v>92.8</v>
      </c>
      <c r="N133">
        <v>0</v>
      </c>
      <c r="O133" t="s">
        <v>58</v>
      </c>
      <c r="P133" t="s">
        <v>90</v>
      </c>
      <c r="Q133" t="s">
        <v>60</v>
      </c>
      <c r="R133" t="s">
        <v>109</v>
      </c>
      <c r="S133" s="3">
        <v>6.41</v>
      </c>
      <c r="T133" s="5">
        <v>45962</v>
      </c>
      <c r="U133">
        <v>1</v>
      </c>
      <c r="V133">
        <v>2025</v>
      </c>
      <c r="X133">
        <f t="shared" si="6"/>
        <v>7.3699867000000001</v>
      </c>
      <c r="Y133">
        <f t="shared" si="7"/>
        <v>6.4099867000000001</v>
      </c>
      <c r="Z133">
        <f t="shared" si="8"/>
        <v>49.999986700000001</v>
      </c>
    </row>
    <row r="134" spans="1:26" x14ac:dyDescent="0.3">
      <c r="A134" t="s">
        <v>224</v>
      </c>
      <c r="B134" t="s">
        <v>55</v>
      </c>
      <c r="C134" t="s">
        <v>68</v>
      </c>
      <c r="D134" t="s">
        <v>57</v>
      </c>
      <c r="E134">
        <v>20</v>
      </c>
      <c r="F134" s="3">
        <v>7.83</v>
      </c>
      <c r="G134" s="4">
        <v>74.8</v>
      </c>
      <c r="H134">
        <v>1</v>
      </c>
      <c r="I134">
        <v>2</v>
      </c>
      <c r="J134">
        <v>4</v>
      </c>
      <c r="K134" s="4">
        <v>79.3</v>
      </c>
      <c r="L134" s="4">
        <v>98.3</v>
      </c>
      <c r="M134" s="4">
        <v>68.3</v>
      </c>
      <c r="N134">
        <v>1</v>
      </c>
      <c r="O134" t="s">
        <v>58</v>
      </c>
      <c r="P134" t="s">
        <v>70</v>
      </c>
      <c r="Q134" t="s">
        <v>71</v>
      </c>
      <c r="R134" t="s">
        <v>72</v>
      </c>
      <c r="S134" s="3">
        <v>5.26</v>
      </c>
      <c r="T134" s="5">
        <v>45545</v>
      </c>
      <c r="U134">
        <v>3</v>
      </c>
      <c r="V134">
        <v>2024</v>
      </c>
      <c r="X134">
        <f t="shared" si="6"/>
        <v>7.8299865999999998</v>
      </c>
      <c r="Y134">
        <f t="shared" si="7"/>
        <v>5.2599865999999995</v>
      </c>
      <c r="Z134">
        <f t="shared" si="8"/>
        <v>98.299986599999997</v>
      </c>
    </row>
    <row r="135" spans="1:26" x14ac:dyDescent="0.3">
      <c r="A135" t="s">
        <v>225</v>
      </c>
      <c r="B135" t="s">
        <v>63</v>
      </c>
      <c r="C135" t="s">
        <v>68</v>
      </c>
      <c r="D135" t="s">
        <v>57</v>
      </c>
      <c r="E135">
        <v>23</v>
      </c>
      <c r="F135" s="3">
        <v>6.78</v>
      </c>
      <c r="G135" s="4">
        <v>98.8</v>
      </c>
      <c r="H135">
        <v>3</v>
      </c>
      <c r="I135">
        <v>1</v>
      </c>
      <c r="J135">
        <v>2</v>
      </c>
      <c r="K135" s="4">
        <v>65.599999999999994</v>
      </c>
      <c r="L135" s="4">
        <v>72.599999999999994</v>
      </c>
      <c r="M135" s="4">
        <v>63.1</v>
      </c>
      <c r="N135">
        <v>0</v>
      </c>
      <c r="O135" t="s">
        <v>58</v>
      </c>
      <c r="P135" t="s">
        <v>95</v>
      </c>
      <c r="Q135" t="s">
        <v>93</v>
      </c>
      <c r="R135" t="s">
        <v>72</v>
      </c>
      <c r="S135" s="3">
        <v>7.36</v>
      </c>
      <c r="T135" s="5">
        <v>45888</v>
      </c>
      <c r="U135">
        <v>2</v>
      </c>
      <c r="V135">
        <v>2025</v>
      </c>
      <c r="X135">
        <f t="shared" si="6"/>
        <v>6.7799865000000006</v>
      </c>
      <c r="Y135">
        <f t="shared" si="7"/>
        <v>7.3599865000000007</v>
      </c>
      <c r="Z135">
        <f t="shared" si="8"/>
        <v>72.5999865</v>
      </c>
    </row>
    <row r="136" spans="1:26" x14ac:dyDescent="0.3">
      <c r="A136" t="s">
        <v>226</v>
      </c>
      <c r="B136" t="s">
        <v>67</v>
      </c>
      <c r="C136" t="s">
        <v>56</v>
      </c>
      <c r="D136" t="s">
        <v>69</v>
      </c>
      <c r="E136">
        <v>21</v>
      </c>
      <c r="F136" s="3">
        <v>7.04</v>
      </c>
      <c r="G136" s="4">
        <v>85.8</v>
      </c>
      <c r="H136">
        <v>2</v>
      </c>
      <c r="I136">
        <v>2</v>
      </c>
      <c r="J136">
        <v>5</v>
      </c>
      <c r="K136" s="4">
        <v>61</v>
      </c>
      <c r="L136" s="4">
        <v>100</v>
      </c>
      <c r="M136" s="4">
        <v>65.8</v>
      </c>
      <c r="N136">
        <v>0</v>
      </c>
      <c r="O136" t="s">
        <v>58</v>
      </c>
      <c r="P136" t="s">
        <v>79</v>
      </c>
      <c r="Q136" t="s">
        <v>71</v>
      </c>
      <c r="R136" t="s">
        <v>130</v>
      </c>
      <c r="S136" s="3">
        <v>6.55</v>
      </c>
      <c r="T136" s="5">
        <v>45200</v>
      </c>
      <c r="U136">
        <v>2</v>
      </c>
      <c r="V136">
        <v>2023</v>
      </c>
      <c r="X136">
        <f t="shared" si="6"/>
        <v>7.0399864000000001</v>
      </c>
      <c r="Y136">
        <f t="shared" si="7"/>
        <v>6.5499863999999999</v>
      </c>
      <c r="Z136">
        <f t="shared" si="8"/>
        <v>99.999986399999997</v>
      </c>
    </row>
    <row r="137" spans="1:26" x14ac:dyDescent="0.3">
      <c r="A137" t="s">
        <v>227</v>
      </c>
      <c r="B137" t="s">
        <v>67</v>
      </c>
      <c r="C137" t="s">
        <v>74</v>
      </c>
      <c r="D137" t="s">
        <v>57</v>
      </c>
      <c r="E137">
        <v>23</v>
      </c>
      <c r="F137" s="3">
        <v>7.45</v>
      </c>
      <c r="G137" s="4">
        <v>86.7</v>
      </c>
      <c r="H137">
        <v>2</v>
      </c>
      <c r="I137">
        <v>2</v>
      </c>
      <c r="J137">
        <v>3</v>
      </c>
      <c r="K137" s="4">
        <v>58.6</v>
      </c>
      <c r="L137" s="4">
        <v>97.9</v>
      </c>
      <c r="M137" s="4">
        <v>90.9</v>
      </c>
      <c r="N137">
        <v>1</v>
      </c>
      <c r="O137" t="s">
        <v>58</v>
      </c>
      <c r="P137" t="s">
        <v>90</v>
      </c>
      <c r="Q137" t="s">
        <v>60</v>
      </c>
      <c r="R137" t="s">
        <v>61</v>
      </c>
      <c r="S137" s="3">
        <v>8.3800000000000008</v>
      </c>
      <c r="T137" s="5">
        <v>45204</v>
      </c>
      <c r="U137">
        <v>1</v>
      </c>
      <c r="V137">
        <v>2023</v>
      </c>
      <c r="X137">
        <f t="shared" si="6"/>
        <v>7.4499863</v>
      </c>
      <c r="Y137">
        <f t="shared" si="7"/>
        <v>8.3799863000000006</v>
      </c>
      <c r="Z137">
        <f t="shared" si="8"/>
        <v>97.899986300000009</v>
      </c>
    </row>
    <row r="138" spans="1:26" x14ac:dyDescent="0.3">
      <c r="A138" t="s">
        <v>228</v>
      </c>
      <c r="B138" t="s">
        <v>55</v>
      </c>
      <c r="C138" t="s">
        <v>84</v>
      </c>
      <c r="D138" t="s">
        <v>69</v>
      </c>
      <c r="E138">
        <v>22</v>
      </c>
      <c r="F138" s="3">
        <v>7.5</v>
      </c>
      <c r="G138" s="4">
        <v>90.5</v>
      </c>
      <c r="H138">
        <v>1</v>
      </c>
      <c r="I138">
        <v>2</v>
      </c>
      <c r="J138">
        <v>5</v>
      </c>
      <c r="K138" s="4">
        <v>55.1</v>
      </c>
      <c r="L138" s="4">
        <v>35.9</v>
      </c>
      <c r="M138" s="4">
        <v>100</v>
      </c>
      <c r="N138">
        <v>0</v>
      </c>
      <c r="O138" t="s">
        <v>64</v>
      </c>
      <c r="P138" t="s">
        <v>65</v>
      </c>
      <c r="S138" s="3">
        <v>0</v>
      </c>
      <c r="T138" s="5"/>
      <c r="U138">
        <v>0</v>
      </c>
      <c r="V138">
        <v>2024</v>
      </c>
      <c r="X138">
        <f t="shared" si="6"/>
        <v>7.4999862000000004</v>
      </c>
      <c r="Y138">
        <f t="shared" si="7"/>
        <v>-1.38E-5</v>
      </c>
      <c r="Z138">
        <f t="shared" si="8"/>
        <v>35.899986200000001</v>
      </c>
    </row>
    <row r="139" spans="1:26" x14ac:dyDescent="0.3">
      <c r="A139" t="s">
        <v>229</v>
      </c>
      <c r="B139" t="s">
        <v>82</v>
      </c>
      <c r="C139" t="s">
        <v>74</v>
      </c>
      <c r="D139" t="s">
        <v>57</v>
      </c>
      <c r="E139">
        <v>22</v>
      </c>
      <c r="F139" s="3">
        <v>7.84</v>
      </c>
      <c r="G139" s="4">
        <v>91.6</v>
      </c>
      <c r="H139">
        <v>1</v>
      </c>
      <c r="I139">
        <v>3</v>
      </c>
      <c r="J139">
        <v>6</v>
      </c>
      <c r="K139" s="4">
        <v>71.599999999999994</v>
      </c>
      <c r="L139" s="4">
        <v>72.8</v>
      </c>
      <c r="M139" s="4">
        <v>64.5</v>
      </c>
      <c r="N139">
        <v>0</v>
      </c>
      <c r="O139" t="s">
        <v>58</v>
      </c>
      <c r="P139" t="s">
        <v>59</v>
      </c>
      <c r="Q139" t="s">
        <v>60</v>
      </c>
      <c r="R139" t="s">
        <v>80</v>
      </c>
      <c r="S139" s="3">
        <v>18.34</v>
      </c>
      <c r="T139" s="5">
        <v>44803</v>
      </c>
      <c r="U139">
        <v>1</v>
      </c>
      <c r="V139">
        <v>2022</v>
      </c>
      <c r="X139">
        <f t="shared" si="6"/>
        <v>7.8399861</v>
      </c>
      <c r="Y139">
        <f t="shared" si="7"/>
        <v>18.339986100000001</v>
      </c>
      <c r="Z139">
        <f t="shared" si="8"/>
        <v>72.799986099999998</v>
      </c>
    </row>
    <row r="140" spans="1:26" x14ac:dyDescent="0.3">
      <c r="A140" t="s">
        <v>230</v>
      </c>
      <c r="B140" t="s">
        <v>82</v>
      </c>
      <c r="C140" t="s">
        <v>68</v>
      </c>
      <c r="D140" t="s">
        <v>57</v>
      </c>
      <c r="E140">
        <v>23</v>
      </c>
      <c r="F140" s="3">
        <v>6.89</v>
      </c>
      <c r="G140" s="4">
        <v>75.8</v>
      </c>
      <c r="H140">
        <v>2</v>
      </c>
      <c r="I140">
        <v>3</v>
      </c>
      <c r="J140">
        <v>3</v>
      </c>
      <c r="K140" s="4">
        <v>58.7</v>
      </c>
      <c r="L140" s="4">
        <v>55.3</v>
      </c>
      <c r="M140" s="4">
        <v>71.7</v>
      </c>
      <c r="N140">
        <v>0</v>
      </c>
      <c r="O140" t="s">
        <v>64</v>
      </c>
      <c r="P140" t="s">
        <v>65</v>
      </c>
      <c r="S140" s="3">
        <v>0</v>
      </c>
      <c r="T140" s="5"/>
      <c r="U140">
        <v>0</v>
      </c>
      <c r="V140">
        <v>2022</v>
      </c>
      <c r="X140">
        <f t="shared" si="6"/>
        <v>6.8899859999999995</v>
      </c>
      <c r="Y140">
        <f t="shared" si="7"/>
        <v>-1.4E-5</v>
      </c>
      <c r="Z140">
        <f t="shared" si="8"/>
        <v>55.299985999999997</v>
      </c>
    </row>
    <row r="141" spans="1:26" x14ac:dyDescent="0.3">
      <c r="A141" t="s">
        <v>231</v>
      </c>
      <c r="B141" t="s">
        <v>63</v>
      </c>
      <c r="C141" t="s">
        <v>68</v>
      </c>
      <c r="D141" t="s">
        <v>69</v>
      </c>
      <c r="E141">
        <v>20</v>
      </c>
      <c r="F141" s="3">
        <v>8.52</v>
      </c>
      <c r="G141" s="4">
        <v>82.9</v>
      </c>
      <c r="H141">
        <v>2</v>
      </c>
      <c r="I141">
        <v>2</v>
      </c>
      <c r="J141">
        <v>2</v>
      </c>
      <c r="K141" s="4">
        <v>86.8</v>
      </c>
      <c r="L141" s="4">
        <v>68</v>
      </c>
      <c r="M141" s="4">
        <v>77.900000000000006</v>
      </c>
      <c r="N141">
        <v>1</v>
      </c>
      <c r="O141" t="s">
        <v>58</v>
      </c>
      <c r="P141" t="s">
        <v>104</v>
      </c>
      <c r="Q141" t="s">
        <v>105</v>
      </c>
      <c r="R141" t="s">
        <v>61</v>
      </c>
      <c r="S141" s="3">
        <v>16.78</v>
      </c>
      <c r="T141" s="5">
        <v>45905</v>
      </c>
      <c r="U141">
        <v>1</v>
      </c>
      <c r="V141">
        <v>2025</v>
      </c>
      <c r="X141">
        <f t="shared" si="6"/>
        <v>8.5199859</v>
      </c>
      <c r="Y141">
        <f t="shared" si="7"/>
        <v>16.7799859</v>
      </c>
      <c r="Z141">
        <f t="shared" si="8"/>
        <v>67.999985899999999</v>
      </c>
    </row>
    <row r="142" spans="1:26" x14ac:dyDescent="0.3">
      <c r="A142" t="s">
        <v>232</v>
      </c>
      <c r="B142" t="s">
        <v>107</v>
      </c>
      <c r="C142" t="s">
        <v>89</v>
      </c>
      <c r="D142" t="s">
        <v>69</v>
      </c>
      <c r="E142">
        <v>20</v>
      </c>
      <c r="F142" s="3">
        <v>7.49</v>
      </c>
      <c r="G142" s="4">
        <v>78</v>
      </c>
      <c r="H142">
        <v>1</v>
      </c>
      <c r="I142">
        <v>2</v>
      </c>
      <c r="J142">
        <v>4</v>
      </c>
      <c r="K142" s="4">
        <v>56.4</v>
      </c>
      <c r="L142" s="4">
        <v>76.900000000000006</v>
      </c>
      <c r="M142" s="4">
        <v>51.6</v>
      </c>
      <c r="N142">
        <v>0</v>
      </c>
      <c r="O142" t="s">
        <v>64</v>
      </c>
      <c r="P142" t="s">
        <v>65</v>
      </c>
      <c r="S142" s="3">
        <v>0</v>
      </c>
      <c r="T142" s="5"/>
      <c r="U142">
        <v>0</v>
      </c>
      <c r="V142">
        <v>2021</v>
      </c>
      <c r="X142">
        <f t="shared" si="6"/>
        <v>7.4899858000000004</v>
      </c>
      <c r="Y142">
        <f t="shared" si="7"/>
        <v>-1.42E-5</v>
      </c>
      <c r="Z142">
        <f t="shared" si="8"/>
        <v>76.89998580000001</v>
      </c>
    </row>
    <row r="143" spans="1:26" x14ac:dyDescent="0.3">
      <c r="A143" t="s">
        <v>233</v>
      </c>
      <c r="B143" t="s">
        <v>63</v>
      </c>
      <c r="C143" t="s">
        <v>56</v>
      </c>
      <c r="D143" t="s">
        <v>69</v>
      </c>
      <c r="E143">
        <v>21</v>
      </c>
      <c r="F143" s="3">
        <v>7.78</v>
      </c>
      <c r="G143" s="4">
        <v>100</v>
      </c>
      <c r="H143">
        <v>1</v>
      </c>
      <c r="I143">
        <v>4</v>
      </c>
      <c r="J143">
        <v>5</v>
      </c>
      <c r="K143" s="4">
        <v>49.8</v>
      </c>
      <c r="L143" s="4">
        <v>91.9</v>
      </c>
      <c r="M143" s="4">
        <v>67.900000000000006</v>
      </c>
      <c r="N143">
        <v>0</v>
      </c>
      <c r="O143" t="s">
        <v>58</v>
      </c>
      <c r="P143" t="s">
        <v>75</v>
      </c>
      <c r="Q143" t="s">
        <v>71</v>
      </c>
      <c r="R143" t="s">
        <v>61</v>
      </c>
      <c r="S143" s="3">
        <v>5.77</v>
      </c>
      <c r="T143" s="5">
        <v>45951</v>
      </c>
      <c r="U143">
        <v>1</v>
      </c>
      <c r="V143">
        <v>2025</v>
      </c>
      <c r="X143">
        <f t="shared" si="6"/>
        <v>7.7799857000000001</v>
      </c>
      <c r="Y143">
        <f t="shared" si="7"/>
        <v>5.7699856999999994</v>
      </c>
      <c r="Z143">
        <f t="shared" si="8"/>
        <v>91.899985700000002</v>
      </c>
    </row>
    <row r="144" spans="1:26" x14ac:dyDescent="0.3">
      <c r="A144" t="s">
        <v>234</v>
      </c>
      <c r="B144" t="s">
        <v>55</v>
      </c>
      <c r="C144" t="s">
        <v>74</v>
      </c>
      <c r="D144" t="s">
        <v>69</v>
      </c>
      <c r="E144">
        <v>21</v>
      </c>
      <c r="F144" s="3">
        <v>7.32</v>
      </c>
      <c r="G144" s="4">
        <v>61.4</v>
      </c>
      <c r="H144">
        <v>2</v>
      </c>
      <c r="I144">
        <v>3</v>
      </c>
      <c r="J144">
        <v>5</v>
      </c>
      <c r="K144" s="4">
        <v>67.7</v>
      </c>
      <c r="L144" s="4">
        <v>53.7</v>
      </c>
      <c r="M144" s="4">
        <v>96.7</v>
      </c>
      <c r="N144">
        <v>0</v>
      </c>
      <c r="O144" t="s">
        <v>58</v>
      </c>
      <c r="P144" t="s">
        <v>112</v>
      </c>
      <c r="Q144" t="s">
        <v>93</v>
      </c>
      <c r="R144" t="s">
        <v>85</v>
      </c>
      <c r="S144" s="3">
        <v>4.9400000000000004</v>
      </c>
      <c r="T144" s="5">
        <v>45506</v>
      </c>
      <c r="U144">
        <v>2</v>
      </c>
      <c r="V144">
        <v>2024</v>
      </c>
      <c r="X144">
        <f t="shared" si="6"/>
        <v>7.3199855999999999</v>
      </c>
      <c r="Y144">
        <f t="shared" si="7"/>
        <v>4.9399856</v>
      </c>
      <c r="Z144">
        <f t="shared" si="8"/>
        <v>53.699985600000005</v>
      </c>
    </row>
    <row r="145" spans="1:26" x14ac:dyDescent="0.3">
      <c r="A145" t="s">
        <v>235</v>
      </c>
      <c r="B145" t="s">
        <v>55</v>
      </c>
      <c r="C145" t="s">
        <v>78</v>
      </c>
      <c r="D145" t="s">
        <v>57</v>
      </c>
      <c r="E145">
        <v>20</v>
      </c>
      <c r="F145" s="3">
        <v>7.86</v>
      </c>
      <c r="G145" s="4">
        <v>76.8</v>
      </c>
      <c r="H145">
        <v>3</v>
      </c>
      <c r="I145">
        <v>2</v>
      </c>
      <c r="J145">
        <v>4</v>
      </c>
      <c r="K145" s="4">
        <v>39.5</v>
      </c>
      <c r="L145" s="4">
        <v>100</v>
      </c>
      <c r="M145" s="4">
        <v>70.099999999999994</v>
      </c>
      <c r="N145">
        <v>0</v>
      </c>
      <c r="O145" t="s">
        <v>58</v>
      </c>
      <c r="P145" t="s">
        <v>87</v>
      </c>
      <c r="Q145" t="s">
        <v>71</v>
      </c>
      <c r="R145" t="s">
        <v>61</v>
      </c>
      <c r="S145" s="3">
        <v>7.77</v>
      </c>
      <c r="T145" s="5">
        <v>45509</v>
      </c>
      <c r="U145">
        <v>1</v>
      </c>
      <c r="V145">
        <v>2024</v>
      </c>
      <c r="X145">
        <f t="shared" si="6"/>
        <v>7.8599855000000005</v>
      </c>
      <c r="Y145">
        <f t="shared" si="7"/>
        <v>7.7699854999999998</v>
      </c>
      <c r="Z145">
        <f t="shared" si="8"/>
        <v>99.999985499999994</v>
      </c>
    </row>
    <row r="146" spans="1:26" x14ac:dyDescent="0.3">
      <c r="A146" t="s">
        <v>236</v>
      </c>
      <c r="B146" t="s">
        <v>55</v>
      </c>
      <c r="C146" t="s">
        <v>56</v>
      </c>
      <c r="D146" t="s">
        <v>57</v>
      </c>
      <c r="E146">
        <v>23</v>
      </c>
      <c r="F146" s="3">
        <v>9.15</v>
      </c>
      <c r="G146" s="4">
        <v>81.3</v>
      </c>
      <c r="H146">
        <v>2</v>
      </c>
      <c r="I146">
        <v>2</v>
      </c>
      <c r="J146">
        <v>5</v>
      </c>
      <c r="K146" s="4">
        <v>34.299999999999997</v>
      </c>
      <c r="L146" s="4">
        <v>61.3</v>
      </c>
      <c r="M146" s="4">
        <v>89.2</v>
      </c>
      <c r="N146">
        <v>1</v>
      </c>
      <c r="O146" t="s">
        <v>58</v>
      </c>
      <c r="P146" t="s">
        <v>92</v>
      </c>
      <c r="Q146" t="s">
        <v>93</v>
      </c>
      <c r="R146" t="s">
        <v>72</v>
      </c>
      <c r="S146" s="3">
        <v>7.92</v>
      </c>
      <c r="T146" s="5">
        <v>45550</v>
      </c>
      <c r="U146">
        <v>1</v>
      </c>
      <c r="V146">
        <v>2024</v>
      </c>
      <c r="X146">
        <f t="shared" si="6"/>
        <v>9.1499854000000003</v>
      </c>
      <c r="Y146">
        <f t="shared" si="7"/>
        <v>7.9199853999999998</v>
      </c>
      <c r="Z146">
        <f t="shared" si="8"/>
        <v>61.299985399999997</v>
      </c>
    </row>
    <row r="147" spans="1:26" x14ac:dyDescent="0.3">
      <c r="A147" t="s">
        <v>237</v>
      </c>
      <c r="B147" t="s">
        <v>55</v>
      </c>
      <c r="C147" t="s">
        <v>56</v>
      </c>
      <c r="D147" t="s">
        <v>57</v>
      </c>
      <c r="E147">
        <v>21</v>
      </c>
      <c r="F147" s="3">
        <v>7.31</v>
      </c>
      <c r="G147" s="4">
        <v>83.2</v>
      </c>
      <c r="H147">
        <v>2</v>
      </c>
      <c r="I147">
        <v>3</v>
      </c>
      <c r="J147">
        <v>2</v>
      </c>
      <c r="K147" s="4">
        <v>76.7</v>
      </c>
      <c r="L147" s="4">
        <v>49.9</v>
      </c>
      <c r="M147" s="4">
        <v>73.2</v>
      </c>
      <c r="N147">
        <v>2</v>
      </c>
      <c r="O147" t="s">
        <v>58</v>
      </c>
      <c r="P147" t="s">
        <v>104</v>
      </c>
      <c r="Q147" t="s">
        <v>105</v>
      </c>
      <c r="R147" t="s">
        <v>85</v>
      </c>
      <c r="S147" s="3">
        <v>12.89</v>
      </c>
      <c r="T147" s="5">
        <v>45581</v>
      </c>
      <c r="U147">
        <v>1</v>
      </c>
      <c r="V147">
        <v>2024</v>
      </c>
      <c r="X147">
        <f t="shared" si="6"/>
        <v>7.3099852999999992</v>
      </c>
      <c r="Y147">
        <f t="shared" si="7"/>
        <v>12.889985300000001</v>
      </c>
      <c r="Z147">
        <f t="shared" si="8"/>
        <v>49.899985299999997</v>
      </c>
    </row>
    <row r="148" spans="1:26" x14ac:dyDescent="0.3">
      <c r="A148" t="s">
        <v>238</v>
      </c>
      <c r="B148" t="s">
        <v>55</v>
      </c>
      <c r="C148" t="s">
        <v>56</v>
      </c>
      <c r="D148" t="s">
        <v>57</v>
      </c>
      <c r="E148">
        <v>20</v>
      </c>
      <c r="F148" s="3">
        <v>7.16</v>
      </c>
      <c r="G148" s="4">
        <v>83</v>
      </c>
      <c r="H148">
        <v>0</v>
      </c>
      <c r="I148">
        <v>2</v>
      </c>
      <c r="J148">
        <v>4</v>
      </c>
      <c r="K148" s="4">
        <v>68.8</v>
      </c>
      <c r="L148" s="4">
        <v>86.4</v>
      </c>
      <c r="M148" s="4">
        <v>48.5</v>
      </c>
      <c r="N148">
        <v>0</v>
      </c>
      <c r="O148" t="s">
        <v>64</v>
      </c>
      <c r="P148" t="s">
        <v>65</v>
      </c>
      <c r="S148" s="3">
        <v>0</v>
      </c>
      <c r="T148" s="5"/>
      <c r="U148">
        <v>0</v>
      </c>
      <c r="V148">
        <v>2024</v>
      </c>
      <c r="X148">
        <f t="shared" si="6"/>
        <v>7.1599852000000004</v>
      </c>
      <c r="Y148">
        <f t="shared" si="7"/>
        <v>-1.4799999999999999E-5</v>
      </c>
      <c r="Z148">
        <f t="shared" si="8"/>
        <v>86.399985200000003</v>
      </c>
    </row>
    <row r="149" spans="1:26" x14ac:dyDescent="0.3">
      <c r="A149" t="s">
        <v>239</v>
      </c>
      <c r="B149" t="s">
        <v>67</v>
      </c>
      <c r="C149" t="s">
        <v>68</v>
      </c>
      <c r="D149" t="s">
        <v>69</v>
      </c>
      <c r="E149">
        <v>20</v>
      </c>
      <c r="F149" s="3">
        <v>6.9</v>
      </c>
      <c r="G149" s="4">
        <v>81.599999999999994</v>
      </c>
      <c r="H149">
        <v>2</v>
      </c>
      <c r="I149">
        <v>2</v>
      </c>
      <c r="J149">
        <v>4</v>
      </c>
      <c r="K149" s="4">
        <v>38.799999999999997</v>
      </c>
      <c r="L149" s="4">
        <v>71.900000000000006</v>
      </c>
      <c r="M149" s="4">
        <v>85.9</v>
      </c>
      <c r="N149">
        <v>0</v>
      </c>
      <c r="O149" t="s">
        <v>64</v>
      </c>
      <c r="P149" t="s">
        <v>65</v>
      </c>
      <c r="S149" s="3">
        <v>0</v>
      </c>
      <c r="T149" s="5"/>
      <c r="U149">
        <v>0</v>
      </c>
      <c r="V149">
        <v>2023</v>
      </c>
      <c r="X149">
        <f t="shared" si="6"/>
        <v>6.8999851000000003</v>
      </c>
      <c r="Y149">
        <f t="shared" si="7"/>
        <v>-1.49E-5</v>
      </c>
      <c r="Z149">
        <f t="shared" si="8"/>
        <v>71.899985100000009</v>
      </c>
    </row>
    <row r="150" spans="1:26" x14ac:dyDescent="0.3">
      <c r="A150" t="s">
        <v>240</v>
      </c>
      <c r="B150" t="s">
        <v>82</v>
      </c>
      <c r="C150" t="s">
        <v>84</v>
      </c>
      <c r="D150" t="s">
        <v>57</v>
      </c>
      <c r="E150">
        <v>23</v>
      </c>
      <c r="F150" s="3">
        <v>7.6</v>
      </c>
      <c r="G150" s="4">
        <v>80.5</v>
      </c>
      <c r="H150">
        <v>2</v>
      </c>
      <c r="I150">
        <v>1</v>
      </c>
      <c r="J150">
        <v>2</v>
      </c>
      <c r="K150" s="4">
        <v>69.3</v>
      </c>
      <c r="L150" s="4">
        <v>100</v>
      </c>
      <c r="M150" s="4">
        <v>69.8</v>
      </c>
      <c r="N150">
        <v>1</v>
      </c>
      <c r="O150" t="s">
        <v>64</v>
      </c>
      <c r="P150" t="s">
        <v>65</v>
      </c>
      <c r="S150" s="3">
        <v>0</v>
      </c>
      <c r="T150" s="5"/>
      <c r="U150">
        <v>0</v>
      </c>
      <c r="V150">
        <v>2022</v>
      </c>
      <c r="X150">
        <f t="shared" si="6"/>
        <v>7.5999849999999993</v>
      </c>
      <c r="Y150">
        <f t="shared" si="7"/>
        <v>-1.4999999999999999E-5</v>
      </c>
      <c r="Z150">
        <f t="shared" si="8"/>
        <v>99.999984999999995</v>
      </c>
    </row>
    <row r="151" spans="1:26" x14ac:dyDescent="0.3">
      <c r="A151" t="s">
        <v>241</v>
      </c>
      <c r="B151" t="s">
        <v>55</v>
      </c>
      <c r="C151" t="s">
        <v>56</v>
      </c>
      <c r="D151" t="s">
        <v>57</v>
      </c>
      <c r="E151">
        <v>22</v>
      </c>
      <c r="F151" s="3">
        <v>7.59</v>
      </c>
      <c r="G151" s="4">
        <v>84.2</v>
      </c>
      <c r="H151">
        <v>0</v>
      </c>
      <c r="I151">
        <v>3</v>
      </c>
      <c r="J151">
        <v>3</v>
      </c>
      <c r="K151" s="4">
        <v>63.9</v>
      </c>
      <c r="L151" s="4">
        <v>55.2</v>
      </c>
      <c r="M151" s="4">
        <v>91.2</v>
      </c>
      <c r="N151">
        <v>0</v>
      </c>
      <c r="O151" t="s">
        <v>64</v>
      </c>
      <c r="P151" t="s">
        <v>65</v>
      </c>
      <c r="S151" s="3">
        <v>0</v>
      </c>
      <c r="T151" s="5"/>
      <c r="U151">
        <v>0</v>
      </c>
      <c r="V151">
        <v>2024</v>
      </c>
      <c r="X151">
        <f t="shared" si="6"/>
        <v>7.5899849000000001</v>
      </c>
      <c r="Y151">
        <f t="shared" si="7"/>
        <v>-1.5099999999999999E-5</v>
      </c>
      <c r="Z151">
        <f t="shared" si="8"/>
        <v>55.199984900000004</v>
      </c>
    </row>
    <row r="152" spans="1:26" x14ac:dyDescent="0.3">
      <c r="A152" t="s">
        <v>242</v>
      </c>
      <c r="B152" t="s">
        <v>107</v>
      </c>
      <c r="C152" t="s">
        <v>56</v>
      </c>
      <c r="D152" t="s">
        <v>57</v>
      </c>
      <c r="E152">
        <v>20</v>
      </c>
      <c r="F152" s="3">
        <v>7.7</v>
      </c>
      <c r="G152" s="4">
        <v>86.2</v>
      </c>
      <c r="H152">
        <v>2</v>
      </c>
      <c r="I152">
        <v>2</v>
      </c>
      <c r="J152">
        <v>5</v>
      </c>
      <c r="K152" s="4">
        <v>46.7</v>
      </c>
      <c r="L152" s="4">
        <v>72.8</v>
      </c>
      <c r="M152" s="4">
        <v>76.400000000000006</v>
      </c>
      <c r="N152">
        <v>0</v>
      </c>
      <c r="O152" t="s">
        <v>58</v>
      </c>
      <c r="P152" t="s">
        <v>90</v>
      </c>
      <c r="Q152" t="s">
        <v>60</v>
      </c>
      <c r="R152" t="s">
        <v>61</v>
      </c>
      <c r="S152" s="3">
        <v>8.36</v>
      </c>
      <c r="T152" s="5">
        <v>44480</v>
      </c>
      <c r="U152">
        <v>1</v>
      </c>
      <c r="V152">
        <v>2021</v>
      </c>
      <c r="X152">
        <f t="shared" si="6"/>
        <v>7.6999848000000002</v>
      </c>
      <c r="Y152">
        <f t="shared" si="7"/>
        <v>8.3599847999999994</v>
      </c>
      <c r="Z152">
        <f t="shared" si="8"/>
        <v>72.79998479999999</v>
      </c>
    </row>
    <row r="153" spans="1:26" x14ac:dyDescent="0.3">
      <c r="A153" t="s">
        <v>243</v>
      </c>
      <c r="B153" t="s">
        <v>107</v>
      </c>
      <c r="C153" t="s">
        <v>74</v>
      </c>
      <c r="D153" t="s">
        <v>57</v>
      </c>
      <c r="E153">
        <v>21</v>
      </c>
      <c r="F153" s="3">
        <v>8.07</v>
      </c>
      <c r="G153" s="4">
        <v>98.1</v>
      </c>
      <c r="H153">
        <v>3</v>
      </c>
      <c r="I153">
        <v>2</v>
      </c>
      <c r="J153">
        <v>6</v>
      </c>
      <c r="K153" s="4">
        <v>78.2</v>
      </c>
      <c r="L153" s="4">
        <v>89.1</v>
      </c>
      <c r="M153" s="4">
        <v>74.099999999999994</v>
      </c>
      <c r="N153">
        <v>0</v>
      </c>
      <c r="O153" t="s">
        <v>58</v>
      </c>
      <c r="P153" t="s">
        <v>92</v>
      </c>
      <c r="Q153" t="s">
        <v>93</v>
      </c>
      <c r="R153" t="s">
        <v>109</v>
      </c>
      <c r="S153" s="3">
        <v>11.33</v>
      </c>
      <c r="T153" s="5">
        <v>44519</v>
      </c>
      <c r="U153">
        <v>1</v>
      </c>
      <c r="V153">
        <v>2021</v>
      </c>
      <c r="X153">
        <f t="shared" si="6"/>
        <v>8.0699847000000009</v>
      </c>
      <c r="Y153">
        <f t="shared" si="7"/>
        <v>11.329984700000001</v>
      </c>
      <c r="Z153">
        <f t="shared" si="8"/>
        <v>89.099984699999993</v>
      </c>
    </row>
    <row r="154" spans="1:26" x14ac:dyDescent="0.3">
      <c r="A154" t="s">
        <v>244</v>
      </c>
      <c r="B154" t="s">
        <v>107</v>
      </c>
      <c r="C154" t="s">
        <v>78</v>
      </c>
      <c r="D154" t="s">
        <v>57</v>
      </c>
      <c r="E154">
        <v>23</v>
      </c>
      <c r="F154" s="3">
        <v>7.96</v>
      </c>
      <c r="G154" s="4">
        <v>98</v>
      </c>
      <c r="H154">
        <v>1</v>
      </c>
      <c r="I154">
        <v>4</v>
      </c>
      <c r="J154">
        <v>4</v>
      </c>
      <c r="K154" s="4">
        <v>89.3</v>
      </c>
      <c r="L154" s="4">
        <v>57.3</v>
      </c>
      <c r="M154" s="4">
        <v>79.7</v>
      </c>
      <c r="N154">
        <v>0</v>
      </c>
      <c r="O154" t="s">
        <v>64</v>
      </c>
      <c r="P154" t="s">
        <v>65</v>
      </c>
      <c r="S154" s="3">
        <v>0</v>
      </c>
      <c r="T154" s="5"/>
      <c r="U154">
        <v>0</v>
      </c>
      <c r="V154">
        <v>2021</v>
      </c>
      <c r="X154">
        <f t="shared" si="6"/>
        <v>7.9599846000000003</v>
      </c>
      <c r="Y154">
        <f t="shared" si="7"/>
        <v>-1.5399999999999998E-5</v>
      </c>
      <c r="Z154">
        <f t="shared" si="8"/>
        <v>57.299984599999995</v>
      </c>
    </row>
    <row r="155" spans="1:26" x14ac:dyDescent="0.3">
      <c r="A155" t="s">
        <v>245</v>
      </c>
      <c r="B155" t="s">
        <v>107</v>
      </c>
      <c r="C155" t="s">
        <v>89</v>
      </c>
      <c r="D155" t="s">
        <v>69</v>
      </c>
      <c r="E155">
        <v>23</v>
      </c>
      <c r="F155" s="3">
        <v>7.63</v>
      </c>
      <c r="G155" s="4">
        <v>84.7</v>
      </c>
      <c r="H155">
        <v>2</v>
      </c>
      <c r="I155">
        <v>4</v>
      </c>
      <c r="J155">
        <v>6</v>
      </c>
      <c r="K155" s="4">
        <v>94.9</v>
      </c>
      <c r="L155" s="4">
        <v>89.2</v>
      </c>
      <c r="M155" s="4">
        <v>78.599999999999994</v>
      </c>
      <c r="N155">
        <v>0</v>
      </c>
      <c r="O155" t="s">
        <v>58</v>
      </c>
      <c r="P155" t="s">
        <v>75</v>
      </c>
      <c r="Q155" t="s">
        <v>71</v>
      </c>
      <c r="R155" t="s">
        <v>72</v>
      </c>
      <c r="S155" s="3">
        <v>7.12</v>
      </c>
      <c r="T155" s="5">
        <v>44425</v>
      </c>
      <c r="U155">
        <v>1</v>
      </c>
      <c r="V155">
        <v>2021</v>
      </c>
      <c r="X155">
        <f t="shared" si="6"/>
        <v>7.6299844999999999</v>
      </c>
      <c r="Y155">
        <f t="shared" si="7"/>
        <v>7.1199845000000002</v>
      </c>
      <c r="Z155">
        <f t="shared" si="8"/>
        <v>89.199984499999999</v>
      </c>
    </row>
    <row r="156" spans="1:26" x14ac:dyDescent="0.3">
      <c r="A156" t="s">
        <v>246</v>
      </c>
      <c r="B156" t="s">
        <v>67</v>
      </c>
      <c r="C156" t="s">
        <v>68</v>
      </c>
      <c r="D156" t="s">
        <v>69</v>
      </c>
      <c r="E156">
        <v>23</v>
      </c>
      <c r="F156" s="3">
        <v>9.41</v>
      </c>
      <c r="G156" s="4">
        <v>77.5</v>
      </c>
      <c r="H156">
        <v>2</v>
      </c>
      <c r="I156">
        <v>3</v>
      </c>
      <c r="J156">
        <v>2</v>
      </c>
      <c r="K156" s="4">
        <v>72.599999999999994</v>
      </c>
      <c r="L156" s="4">
        <v>76</v>
      </c>
      <c r="M156" s="4">
        <v>53.2</v>
      </c>
      <c r="N156">
        <v>0</v>
      </c>
      <c r="O156" t="s">
        <v>58</v>
      </c>
      <c r="P156" t="s">
        <v>75</v>
      </c>
      <c r="Q156" t="s">
        <v>71</v>
      </c>
      <c r="R156" t="s">
        <v>130</v>
      </c>
      <c r="S156" s="3">
        <v>9.2200000000000006</v>
      </c>
      <c r="T156" s="5">
        <v>45213</v>
      </c>
      <c r="U156">
        <v>2</v>
      </c>
      <c r="V156">
        <v>2023</v>
      </c>
      <c r="X156">
        <f t="shared" si="6"/>
        <v>9.4099844000000008</v>
      </c>
      <c r="Y156">
        <f t="shared" si="7"/>
        <v>9.2199844000000013</v>
      </c>
      <c r="Z156">
        <f t="shared" si="8"/>
        <v>75.999984400000002</v>
      </c>
    </row>
    <row r="157" spans="1:26" x14ac:dyDescent="0.3">
      <c r="A157" t="s">
        <v>247</v>
      </c>
      <c r="B157" t="s">
        <v>107</v>
      </c>
      <c r="C157" t="s">
        <v>78</v>
      </c>
      <c r="D157" t="s">
        <v>69</v>
      </c>
      <c r="E157">
        <v>22</v>
      </c>
      <c r="F157" s="3">
        <v>8.27</v>
      </c>
      <c r="G157" s="4">
        <v>78.2</v>
      </c>
      <c r="H157">
        <v>1</v>
      </c>
      <c r="I157">
        <v>0</v>
      </c>
      <c r="J157">
        <v>6</v>
      </c>
      <c r="K157" s="4">
        <v>68.3</v>
      </c>
      <c r="L157" s="4">
        <v>54.9</v>
      </c>
      <c r="M157" s="4">
        <v>86.7</v>
      </c>
      <c r="N157">
        <v>0</v>
      </c>
      <c r="O157" t="s">
        <v>58</v>
      </c>
      <c r="P157" t="s">
        <v>59</v>
      </c>
      <c r="Q157" t="s">
        <v>60</v>
      </c>
      <c r="R157" t="s">
        <v>61</v>
      </c>
      <c r="S157" s="3">
        <v>19.29</v>
      </c>
      <c r="T157" s="5">
        <v>44434</v>
      </c>
      <c r="U157">
        <v>2</v>
      </c>
      <c r="V157">
        <v>2021</v>
      </c>
      <c r="X157">
        <f t="shared" si="6"/>
        <v>8.2699842999999991</v>
      </c>
      <c r="Y157">
        <f t="shared" si="7"/>
        <v>19.2899843</v>
      </c>
      <c r="Z157">
        <f t="shared" si="8"/>
        <v>54.8999843</v>
      </c>
    </row>
    <row r="158" spans="1:26" x14ac:dyDescent="0.3">
      <c r="A158" t="s">
        <v>248</v>
      </c>
      <c r="B158" t="s">
        <v>55</v>
      </c>
      <c r="C158" t="s">
        <v>89</v>
      </c>
      <c r="D158" t="s">
        <v>69</v>
      </c>
      <c r="E158">
        <v>22</v>
      </c>
      <c r="F158" s="3">
        <v>6.67</v>
      </c>
      <c r="G158" s="4">
        <v>70.2</v>
      </c>
      <c r="H158">
        <v>2</v>
      </c>
      <c r="I158">
        <v>2</v>
      </c>
      <c r="J158">
        <v>1</v>
      </c>
      <c r="K158" s="4">
        <v>92.8</v>
      </c>
      <c r="L158" s="4">
        <v>88.9</v>
      </c>
      <c r="M158" s="4">
        <v>73.599999999999994</v>
      </c>
      <c r="N158">
        <v>0</v>
      </c>
      <c r="O158" t="s">
        <v>64</v>
      </c>
      <c r="P158" t="s">
        <v>65</v>
      </c>
      <c r="S158" s="3">
        <v>0</v>
      </c>
      <c r="T158" s="5"/>
      <c r="U158">
        <v>0</v>
      </c>
      <c r="V158">
        <v>2024</v>
      </c>
      <c r="X158">
        <f t="shared" si="6"/>
        <v>6.6699842</v>
      </c>
      <c r="Y158">
        <f t="shared" si="7"/>
        <v>-1.5799999999999998E-5</v>
      </c>
      <c r="Z158">
        <f t="shared" si="8"/>
        <v>88.899984200000006</v>
      </c>
    </row>
    <row r="159" spans="1:26" x14ac:dyDescent="0.3">
      <c r="A159" t="s">
        <v>249</v>
      </c>
      <c r="B159" t="s">
        <v>63</v>
      </c>
      <c r="C159" t="s">
        <v>84</v>
      </c>
      <c r="D159" t="s">
        <v>57</v>
      </c>
      <c r="E159">
        <v>21</v>
      </c>
      <c r="F159" s="3">
        <v>6.26</v>
      </c>
      <c r="G159" s="4">
        <v>90.6</v>
      </c>
      <c r="H159">
        <v>1</v>
      </c>
      <c r="I159">
        <v>1</v>
      </c>
      <c r="J159">
        <v>4</v>
      </c>
      <c r="K159" s="4">
        <v>71.5</v>
      </c>
      <c r="L159" s="4">
        <v>67.099999999999994</v>
      </c>
      <c r="M159" s="4">
        <v>74.3</v>
      </c>
      <c r="N159">
        <v>0</v>
      </c>
      <c r="O159" t="s">
        <v>58</v>
      </c>
      <c r="P159" t="s">
        <v>90</v>
      </c>
      <c r="Q159" t="s">
        <v>60</v>
      </c>
      <c r="R159" t="s">
        <v>76</v>
      </c>
      <c r="S159" s="3">
        <v>8.41</v>
      </c>
      <c r="T159" s="5">
        <v>45967</v>
      </c>
      <c r="U159">
        <v>1</v>
      </c>
      <c r="V159">
        <v>2025</v>
      </c>
      <c r="X159">
        <f t="shared" si="6"/>
        <v>6.2599840999999996</v>
      </c>
      <c r="Y159">
        <f t="shared" si="7"/>
        <v>8.4099841000000009</v>
      </c>
      <c r="Z159">
        <f t="shared" si="8"/>
        <v>67.0999841</v>
      </c>
    </row>
    <row r="160" spans="1:26" x14ac:dyDescent="0.3">
      <c r="A160" t="s">
        <v>250</v>
      </c>
      <c r="B160" t="s">
        <v>107</v>
      </c>
      <c r="C160" t="s">
        <v>101</v>
      </c>
      <c r="D160" t="s">
        <v>69</v>
      </c>
      <c r="E160">
        <v>21</v>
      </c>
      <c r="F160" s="3">
        <v>7.02</v>
      </c>
      <c r="G160" s="4">
        <v>81.599999999999994</v>
      </c>
      <c r="H160">
        <v>2</v>
      </c>
      <c r="I160">
        <v>1</v>
      </c>
      <c r="J160">
        <v>3</v>
      </c>
      <c r="K160" s="4">
        <v>63.2</v>
      </c>
      <c r="L160" s="4">
        <v>87.8</v>
      </c>
      <c r="M160" s="4">
        <v>79</v>
      </c>
      <c r="N160">
        <v>1</v>
      </c>
      <c r="O160" t="s">
        <v>58</v>
      </c>
      <c r="P160" t="s">
        <v>92</v>
      </c>
      <c r="Q160" t="s">
        <v>93</v>
      </c>
      <c r="R160" t="s">
        <v>85</v>
      </c>
      <c r="S160" s="3">
        <v>10.91</v>
      </c>
      <c r="T160" s="5">
        <v>44475</v>
      </c>
      <c r="U160">
        <v>1</v>
      </c>
      <c r="V160">
        <v>2021</v>
      </c>
      <c r="X160">
        <f t="shared" si="6"/>
        <v>7.019984</v>
      </c>
      <c r="Y160">
        <f t="shared" si="7"/>
        <v>10.909984</v>
      </c>
      <c r="Z160">
        <f t="shared" si="8"/>
        <v>87.799983999999995</v>
      </c>
    </row>
    <row r="161" spans="1:26" x14ac:dyDescent="0.3">
      <c r="A161" t="s">
        <v>251</v>
      </c>
      <c r="B161" t="s">
        <v>67</v>
      </c>
      <c r="C161" t="s">
        <v>74</v>
      </c>
      <c r="D161" t="s">
        <v>57</v>
      </c>
      <c r="E161">
        <v>23</v>
      </c>
      <c r="F161" s="3">
        <v>7.79</v>
      </c>
      <c r="G161" s="4">
        <v>85.9</v>
      </c>
      <c r="H161">
        <v>1</v>
      </c>
      <c r="I161">
        <v>4</v>
      </c>
      <c r="J161">
        <v>5</v>
      </c>
      <c r="K161" s="4">
        <v>58.8</v>
      </c>
      <c r="L161" s="4">
        <v>59.5</v>
      </c>
      <c r="M161" s="4">
        <v>84.8</v>
      </c>
      <c r="N161">
        <v>1</v>
      </c>
      <c r="O161" t="s">
        <v>64</v>
      </c>
      <c r="P161" t="s">
        <v>65</v>
      </c>
      <c r="S161" s="3">
        <v>0</v>
      </c>
      <c r="T161" s="5"/>
      <c r="U161">
        <v>0</v>
      </c>
      <c r="V161">
        <v>2023</v>
      </c>
      <c r="X161">
        <f t="shared" si="6"/>
        <v>7.7899839000000002</v>
      </c>
      <c r="Y161">
        <f t="shared" si="7"/>
        <v>-1.6099999999999998E-5</v>
      </c>
      <c r="Z161">
        <f t="shared" si="8"/>
        <v>59.499983899999997</v>
      </c>
    </row>
    <row r="162" spans="1:26" x14ac:dyDescent="0.3">
      <c r="A162" t="s">
        <v>252</v>
      </c>
      <c r="B162" t="s">
        <v>67</v>
      </c>
      <c r="C162" t="s">
        <v>74</v>
      </c>
      <c r="D162" t="s">
        <v>57</v>
      </c>
      <c r="E162">
        <v>21</v>
      </c>
      <c r="F162" s="3">
        <v>6.95</v>
      </c>
      <c r="G162" s="4">
        <v>85</v>
      </c>
      <c r="H162">
        <v>2</v>
      </c>
      <c r="I162">
        <v>4</v>
      </c>
      <c r="J162">
        <v>3</v>
      </c>
      <c r="K162" s="4">
        <v>75.8</v>
      </c>
      <c r="L162" s="4">
        <v>48.2</v>
      </c>
      <c r="M162" s="4">
        <v>86.7</v>
      </c>
      <c r="N162">
        <v>0</v>
      </c>
      <c r="O162" t="s">
        <v>58</v>
      </c>
      <c r="P162" t="s">
        <v>112</v>
      </c>
      <c r="Q162" t="s">
        <v>93</v>
      </c>
      <c r="R162" t="s">
        <v>130</v>
      </c>
      <c r="S162" s="3">
        <v>5.88</v>
      </c>
      <c r="T162" s="5">
        <v>45163</v>
      </c>
      <c r="U162">
        <v>1</v>
      </c>
      <c r="V162">
        <v>2023</v>
      </c>
      <c r="X162">
        <f t="shared" si="6"/>
        <v>6.9499838</v>
      </c>
      <c r="Y162">
        <f t="shared" si="7"/>
        <v>5.8799837999999998</v>
      </c>
      <c r="Z162">
        <f t="shared" si="8"/>
        <v>48.199983800000005</v>
      </c>
    </row>
    <row r="163" spans="1:26" x14ac:dyDescent="0.3">
      <c r="A163" t="s">
        <v>253</v>
      </c>
      <c r="B163" t="s">
        <v>107</v>
      </c>
      <c r="C163" t="s">
        <v>56</v>
      </c>
      <c r="D163" t="s">
        <v>69</v>
      </c>
      <c r="E163">
        <v>20</v>
      </c>
      <c r="F163" s="3">
        <v>7.09</v>
      </c>
      <c r="G163" s="4">
        <v>75.7</v>
      </c>
      <c r="H163">
        <v>1</v>
      </c>
      <c r="I163">
        <v>2</v>
      </c>
      <c r="J163">
        <v>1</v>
      </c>
      <c r="K163" s="4">
        <v>45.1</v>
      </c>
      <c r="L163" s="4">
        <v>63.4</v>
      </c>
      <c r="M163" s="4">
        <v>82</v>
      </c>
      <c r="N163">
        <v>0</v>
      </c>
      <c r="O163" t="s">
        <v>58</v>
      </c>
      <c r="P163" t="s">
        <v>87</v>
      </c>
      <c r="Q163" t="s">
        <v>71</v>
      </c>
      <c r="R163" t="s">
        <v>85</v>
      </c>
      <c r="S163" s="3">
        <v>6.31</v>
      </c>
      <c r="T163" s="5">
        <v>44496</v>
      </c>
      <c r="U163">
        <v>3</v>
      </c>
      <c r="V163">
        <v>2021</v>
      </c>
      <c r="X163">
        <f t="shared" si="6"/>
        <v>7.0899836999999994</v>
      </c>
      <c r="Y163">
        <f t="shared" si="7"/>
        <v>6.3099836999999992</v>
      </c>
      <c r="Z163">
        <f t="shared" si="8"/>
        <v>63.3999837</v>
      </c>
    </row>
    <row r="164" spans="1:26" x14ac:dyDescent="0.3">
      <c r="A164" t="s">
        <v>254</v>
      </c>
      <c r="B164" t="s">
        <v>63</v>
      </c>
      <c r="C164" t="s">
        <v>74</v>
      </c>
      <c r="D164" t="s">
        <v>57</v>
      </c>
      <c r="E164">
        <v>22</v>
      </c>
      <c r="F164" s="3">
        <v>7.67</v>
      </c>
      <c r="G164" s="4">
        <v>74.599999999999994</v>
      </c>
      <c r="H164">
        <v>0</v>
      </c>
      <c r="I164">
        <v>0</v>
      </c>
      <c r="J164">
        <v>3</v>
      </c>
      <c r="K164" s="4">
        <v>84.2</v>
      </c>
      <c r="L164" s="4">
        <v>68.2</v>
      </c>
      <c r="M164" s="4">
        <v>53</v>
      </c>
      <c r="N164">
        <v>1</v>
      </c>
      <c r="O164" t="s">
        <v>58</v>
      </c>
      <c r="P164" t="s">
        <v>59</v>
      </c>
      <c r="Q164" t="s">
        <v>60</v>
      </c>
      <c r="R164" t="s">
        <v>130</v>
      </c>
      <c r="S164" s="3">
        <v>19.97</v>
      </c>
      <c r="T164" s="5">
        <v>45986</v>
      </c>
      <c r="U164">
        <v>1</v>
      </c>
      <c r="V164">
        <v>2025</v>
      </c>
      <c r="X164">
        <f t="shared" si="6"/>
        <v>7.6699836000000001</v>
      </c>
      <c r="Y164">
        <f t="shared" si="7"/>
        <v>19.969983599999999</v>
      </c>
      <c r="Z164">
        <f t="shared" si="8"/>
        <v>68.199983599999996</v>
      </c>
    </row>
    <row r="165" spans="1:26" x14ac:dyDescent="0.3">
      <c r="A165" t="s">
        <v>255</v>
      </c>
      <c r="B165" t="s">
        <v>107</v>
      </c>
      <c r="C165" t="s">
        <v>84</v>
      </c>
      <c r="D165" t="s">
        <v>69</v>
      </c>
      <c r="E165">
        <v>23</v>
      </c>
      <c r="F165" s="3">
        <v>7.34</v>
      </c>
      <c r="G165" s="4">
        <v>77.900000000000006</v>
      </c>
      <c r="H165">
        <v>1</v>
      </c>
      <c r="I165">
        <v>0</v>
      </c>
      <c r="J165">
        <v>2</v>
      </c>
      <c r="K165" s="4">
        <v>48.5</v>
      </c>
      <c r="L165" s="4">
        <v>72.900000000000006</v>
      </c>
      <c r="M165" s="4">
        <v>73.099999999999994</v>
      </c>
      <c r="N165">
        <v>1</v>
      </c>
      <c r="O165" t="s">
        <v>58</v>
      </c>
      <c r="P165" t="s">
        <v>95</v>
      </c>
      <c r="Q165" t="s">
        <v>93</v>
      </c>
      <c r="R165" t="s">
        <v>85</v>
      </c>
      <c r="S165" s="3">
        <v>5.94</v>
      </c>
      <c r="T165" s="5">
        <v>44524</v>
      </c>
      <c r="U165">
        <v>1</v>
      </c>
      <c r="V165">
        <v>2021</v>
      </c>
      <c r="X165">
        <f t="shared" si="6"/>
        <v>7.3399834999999998</v>
      </c>
      <c r="Y165">
        <f t="shared" si="7"/>
        <v>5.9399835000000003</v>
      </c>
      <c r="Z165">
        <f t="shared" si="8"/>
        <v>72.899983500000005</v>
      </c>
    </row>
    <row r="166" spans="1:26" x14ac:dyDescent="0.3">
      <c r="A166" t="s">
        <v>256</v>
      </c>
      <c r="B166" t="s">
        <v>67</v>
      </c>
      <c r="C166" t="s">
        <v>74</v>
      </c>
      <c r="D166" t="s">
        <v>57</v>
      </c>
      <c r="E166">
        <v>23</v>
      </c>
      <c r="F166" s="3">
        <v>5.81</v>
      </c>
      <c r="G166" s="4">
        <v>86.4</v>
      </c>
      <c r="H166">
        <v>1</v>
      </c>
      <c r="I166">
        <v>2</v>
      </c>
      <c r="J166">
        <v>3</v>
      </c>
      <c r="K166" s="4">
        <v>56.1</v>
      </c>
      <c r="L166" s="4">
        <v>78</v>
      </c>
      <c r="M166" s="4">
        <v>62.8</v>
      </c>
      <c r="N166">
        <v>0</v>
      </c>
      <c r="O166" t="s">
        <v>58</v>
      </c>
      <c r="P166" t="s">
        <v>87</v>
      </c>
      <c r="Q166" t="s">
        <v>71</v>
      </c>
      <c r="R166" t="s">
        <v>72</v>
      </c>
      <c r="S166" s="3">
        <v>4.54</v>
      </c>
      <c r="T166" s="5">
        <v>45225</v>
      </c>
      <c r="U166">
        <v>1</v>
      </c>
      <c r="V166">
        <v>2023</v>
      </c>
      <c r="X166">
        <f t="shared" si="6"/>
        <v>5.8099833999999992</v>
      </c>
      <c r="Y166">
        <f t="shared" si="7"/>
        <v>4.5399833999999997</v>
      </c>
      <c r="Z166">
        <f t="shared" si="8"/>
        <v>77.999983400000005</v>
      </c>
    </row>
    <row r="167" spans="1:26" x14ac:dyDescent="0.3">
      <c r="A167" t="s">
        <v>257</v>
      </c>
      <c r="B167" t="s">
        <v>82</v>
      </c>
      <c r="C167" t="s">
        <v>56</v>
      </c>
      <c r="D167" t="s">
        <v>69</v>
      </c>
      <c r="E167">
        <v>20</v>
      </c>
      <c r="F167" s="3">
        <v>8.6199999999999992</v>
      </c>
      <c r="G167" s="4">
        <v>81.3</v>
      </c>
      <c r="H167">
        <v>0</v>
      </c>
      <c r="I167">
        <v>0</v>
      </c>
      <c r="J167">
        <v>4</v>
      </c>
      <c r="K167" s="4">
        <v>72.3</v>
      </c>
      <c r="L167" s="4">
        <v>99.4</v>
      </c>
      <c r="M167" s="4">
        <v>76.2</v>
      </c>
      <c r="N167">
        <v>0</v>
      </c>
      <c r="O167" t="s">
        <v>64</v>
      </c>
      <c r="P167" t="s">
        <v>65</v>
      </c>
      <c r="S167" s="3">
        <v>0</v>
      </c>
      <c r="T167" s="5"/>
      <c r="U167">
        <v>0</v>
      </c>
      <c r="V167">
        <v>2022</v>
      </c>
      <c r="X167">
        <f t="shared" si="6"/>
        <v>8.6199832999999995</v>
      </c>
      <c r="Y167">
        <f t="shared" si="7"/>
        <v>-1.6699999999999999E-5</v>
      </c>
      <c r="Z167">
        <f t="shared" si="8"/>
        <v>99.399983300000002</v>
      </c>
    </row>
    <row r="168" spans="1:26" x14ac:dyDescent="0.3">
      <c r="A168" t="s">
        <v>258</v>
      </c>
      <c r="B168" t="s">
        <v>55</v>
      </c>
      <c r="C168" t="s">
        <v>78</v>
      </c>
      <c r="D168" t="s">
        <v>57</v>
      </c>
      <c r="E168">
        <v>20</v>
      </c>
      <c r="F168" s="3">
        <v>8.41</v>
      </c>
      <c r="G168" s="4">
        <v>66.099999999999994</v>
      </c>
      <c r="H168">
        <v>0</v>
      </c>
      <c r="I168">
        <v>2</v>
      </c>
      <c r="J168">
        <v>3</v>
      </c>
      <c r="K168" s="4">
        <v>92.4</v>
      </c>
      <c r="L168" s="4">
        <v>68.400000000000006</v>
      </c>
      <c r="M168" s="4">
        <v>71.599999999999994</v>
      </c>
      <c r="N168">
        <v>0</v>
      </c>
      <c r="O168" t="s">
        <v>58</v>
      </c>
      <c r="P168" t="s">
        <v>95</v>
      </c>
      <c r="Q168" t="s">
        <v>93</v>
      </c>
      <c r="R168" t="s">
        <v>76</v>
      </c>
      <c r="S168" s="3">
        <v>5.67</v>
      </c>
      <c r="T168" s="5">
        <v>45550</v>
      </c>
      <c r="U168">
        <v>2</v>
      </c>
      <c r="V168">
        <v>2024</v>
      </c>
      <c r="X168">
        <f t="shared" si="6"/>
        <v>8.409983200000001</v>
      </c>
      <c r="Y168">
        <f t="shared" si="7"/>
        <v>5.6699831999999999</v>
      </c>
      <c r="Z168">
        <f t="shared" si="8"/>
        <v>68.399983200000008</v>
      </c>
    </row>
    <row r="169" spans="1:26" x14ac:dyDescent="0.3">
      <c r="A169" t="s">
        <v>259</v>
      </c>
      <c r="B169" t="s">
        <v>67</v>
      </c>
      <c r="C169" t="s">
        <v>68</v>
      </c>
      <c r="D169" t="s">
        <v>57</v>
      </c>
      <c r="E169">
        <v>20</v>
      </c>
      <c r="F169" s="3">
        <v>6.49</v>
      </c>
      <c r="G169" s="4">
        <v>72.8</v>
      </c>
      <c r="H169">
        <v>2</v>
      </c>
      <c r="I169">
        <v>2</v>
      </c>
      <c r="J169">
        <v>3</v>
      </c>
      <c r="K169" s="4">
        <v>64.2</v>
      </c>
      <c r="L169" s="4">
        <v>96.7</v>
      </c>
      <c r="M169" s="4">
        <v>98.4</v>
      </c>
      <c r="N169">
        <v>0</v>
      </c>
      <c r="O169" t="s">
        <v>58</v>
      </c>
      <c r="P169" t="s">
        <v>59</v>
      </c>
      <c r="Q169" t="s">
        <v>60</v>
      </c>
      <c r="R169" t="s">
        <v>109</v>
      </c>
      <c r="S169" s="3">
        <v>18.87</v>
      </c>
      <c r="T169" s="5">
        <v>45179</v>
      </c>
      <c r="U169">
        <v>3</v>
      </c>
      <c r="V169">
        <v>2023</v>
      </c>
      <c r="X169">
        <f t="shared" si="6"/>
        <v>6.4899830999999999</v>
      </c>
      <c r="Y169">
        <f t="shared" si="7"/>
        <v>18.869983100000002</v>
      </c>
      <c r="Z169">
        <f t="shared" si="8"/>
        <v>96.699983099999997</v>
      </c>
    </row>
    <row r="170" spans="1:26" x14ac:dyDescent="0.3">
      <c r="A170" t="s">
        <v>260</v>
      </c>
      <c r="B170" t="s">
        <v>107</v>
      </c>
      <c r="C170" t="s">
        <v>56</v>
      </c>
      <c r="D170" t="s">
        <v>69</v>
      </c>
      <c r="E170">
        <v>20</v>
      </c>
      <c r="F170" s="3">
        <v>7.7</v>
      </c>
      <c r="G170" s="4">
        <v>79.599999999999994</v>
      </c>
      <c r="H170">
        <v>2</v>
      </c>
      <c r="I170">
        <v>4</v>
      </c>
      <c r="J170">
        <v>2</v>
      </c>
      <c r="K170" s="4">
        <v>53.3</v>
      </c>
      <c r="L170" s="4">
        <v>85.4</v>
      </c>
      <c r="M170" s="4">
        <v>57.6</v>
      </c>
      <c r="N170">
        <v>0</v>
      </c>
      <c r="O170" t="s">
        <v>58</v>
      </c>
      <c r="P170" t="s">
        <v>75</v>
      </c>
      <c r="Q170" t="s">
        <v>71</v>
      </c>
      <c r="R170" t="s">
        <v>76</v>
      </c>
      <c r="S170" s="3">
        <v>6.43</v>
      </c>
      <c r="T170" s="5">
        <v>44512</v>
      </c>
      <c r="U170">
        <v>1</v>
      </c>
      <c r="V170">
        <v>2021</v>
      </c>
      <c r="X170">
        <f t="shared" si="6"/>
        <v>7.6999830000000005</v>
      </c>
      <c r="Y170">
        <f t="shared" si="7"/>
        <v>6.429983</v>
      </c>
      <c r="Z170">
        <f t="shared" si="8"/>
        <v>85.399983000000006</v>
      </c>
    </row>
    <row r="171" spans="1:26" x14ac:dyDescent="0.3">
      <c r="A171" t="s">
        <v>261</v>
      </c>
      <c r="B171" t="s">
        <v>55</v>
      </c>
      <c r="C171" t="s">
        <v>74</v>
      </c>
      <c r="D171" t="s">
        <v>57</v>
      </c>
      <c r="E171">
        <v>23</v>
      </c>
      <c r="F171" s="3">
        <v>6.65</v>
      </c>
      <c r="G171" s="4">
        <v>81.7</v>
      </c>
      <c r="H171">
        <v>3</v>
      </c>
      <c r="I171">
        <v>1</v>
      </c>
      <c r="J171">
        <v>2</v>
      </c>
      <c r="K171" s="4">
        <v>82.9</v>
      </c>
      <c r="L171" s="4">
        <v>68.8</v>
      </c>
      <c r="M171" s="4">
        <v>74.099999999999994</v>
      </c>
      <c r="N171">
        <v>0</v>
      </c>
      <c r="O171" t="s">
        <v>58</v>
      </c>
      <c r="P171" t="s">
        <v>75</v>
      </c>
      <c r="Q171" t="s">
        <v>71</v>
      </c>
      <c r="R171" t="s">
        <v>72</v>
      </c>
      <c r="S171" s="3">
        <v>5.34</v>
      </c>
      <c r="T171" s="5">
        <v>45624</v>
      </c>
      <c r="U171">
        <v>3</v>
      </c>
      <c r="V171">
        <v>2024</v>
      </c>
      <c r="X171">
        <f t="shared" si="6"/>
        <v>6.6499829000000004</v>
      </c>
      <c r="Y171">
        <f t="shared" si="7"/>
        <v>5.3399828999999999</v>
      </c>
      <c r="Z171">
        <f t="shared" si="8"/>
        <v>68.799982900000003</v>
      </c>
    </row>
    <row r="172" spans="1:26" x14ac:dyDescent="0.3">
      <c r="A172" t="s">
        <v>262</v>
      </c>
      <c r="B172" t="s">
        <v>107</v>
      </c>
      <c r="C172" t="s">
        <v>68</v>
      </c>
      <c r="D172" t="s">
        <v>57</v>
      </c>
      <c r="E172">
        <v>22</v>
      </c>
      <c r="F172" s="3">
        <v>7.1</v>
      </c>
      <c r="G172" s="4">
        <v>86.6</v>
      </c>
      <c r="H172">
        <v>2</v>
      </c>
      <c r="I172">
        <v>1</v>
      </c>
      <c r="J172">
        <v>4</v>
      </c>
      <c r="K172" s="4">
        <v>61.8</v>
      </c>
      <c r="L172" s="4">
        <v>74.599999999999994</v>
      </c>
      <c r="M172" s="4">
        <v>75.400000000000006</v>
      </c>
      <c r="N172">
        <v>0</v>
      </c>
      <c r="O172" t="s">
        <v>58</v>
      </c>
      <c r="P172" t="s">
        <v>112</v>
      </c>
      <c r="Q172" t="s">
        <v>93</v>
      </c>
      <c r="R172" t="s">
        <v>130</v>
      </c>
      <c r="S172" s="3">
        <v>6.2</v>
      </c>
      <c r="T172" s="5">
        <v>44499</v>
      </c>
      <c r="U172">
        <v>1</v>
      </c>
      <c r="V172">
        <v>2021</v>
      </c>
      <c r="X172">
        <f t="shared" si="6"/>
        <v>7.0999827999999994</v>
      </c>
      <c r="Y172">
        <f t="shared" si="7"/>
        <v>6.1999827999999999</v>
      </c>
      <c r="Z172">
        <f t="shared" si="8"/>
        <v>74.599982799999992</v>
      </c>
    </row>
    <row r="173" spans="1:26" x14ac:dyDescent="0.3">
      <c r="A173" t="s">
        <v>263</v>
      </c>
      <c r="B173" t="s">
        <v>107</v>
      </c>
      <c r="C173" t="s">
        <v>78</v>
      </c>
      <c r="D173" t="s">
        <v>57</v>
      </c>
      <c r="E173">
        <v>22</v>
      </c>
      <c r="F173" s="3">
        <v>8.09</v>
      </c>
      <c r="G173" s="4">
        <v>82.4</v>
      </c>
      <c r="H173">
        <v>2</v>
      </c>
      <c r="I173">
        <v>3</v>
      </c>
      <c r="J173">
        <v>4</v>
      </c>
      <c r="K173" s="4">
        <v>44.5</v>
      </c>
      <c r="L173" s="4">
        <v>75.900000000000006</v>
      </c>
      <c r="M173" s="4">
        <v>68.400000000000006</v>
      </c>
      <c r="N173">
        <v>0</v>
      </c>
      <c r="O173" t="s">
        <v>58</v>
      </c>
      <c r="P173" t="s">
        <v>104</v>
      </c>
      <c r="Q173" t="s">
        <v>105</v>
      </c>
      <c r="R173" t="s">
        <v>80</v>
      </c>
      <c r="S173" s="3">
        <v>16.34</v>
      </c>
      <c r="T173" s="5">
        <v>44458</v>
      </c>
      <c r="U173">
        <v>2</v>
      </c>
      <c r="V173">
        <v>2021</v>
      </c>
      <c r="X173">
        <f t="shared" si="6"/>
        <v>8.0899827000000002</v>
      </c>
      <c r="Y173">
        <f t="shared" si="7"/>
        <v>16.3399827</v>
      </c>
      <c r="Z173">
        <f t="shared" si="8"/>
        <v>75.89998270000001</v>
      </c>
    </row>
    <row r="174" spans="1:26" x14ac:dyDescent="0.3">
      <c r="A174" t="s">
        <v>264</v>
      </c>
      <c r="B174" t="s">
        <v>82</v>
      </c>
      <c r="C174" t="s">
        <v>56</v>
      </c>
      <c r="D174" t="s">
        <v>69</v>
      </c>
      <c r="E174">
        <v>20</v>
      </c>
      <c r="F174" s="3">
        <v>8.3800000000000008</v>
      </c>
      <c r="G174" s="4">
        <v>78.7</v>
      </c>
      <c r="H174">
        <v>0</v>
      </c>
      <c r="I174">
        <v>2</v>
      </c>
      <c r="J174">
        <v>3</v>
      </c>
      <c r="K174" s="4">
        <v>76.5</v>
      </c>
      <c r="L174" s="4">
        <v>85.4</v>
      </c>
      <c r="M174" s="4">
        <v>73.7</v>
      </c>
      <c r="N174">
        <v>0</v>
      </c>
      <c r="O174" t="s">
        <v>58</v>
      </c>
      <c r="P174" t="s">
        <v>95</v>
      </c>
      <c r="Q174" t="s">
        <v>93</v>
      </c>
      <c r="R174" t="s">
        <v>85</v>
      </c>
      <c r="S174" s="3">
        <v>7.28</v>
      </c>
      <c r="T174" s="5">
        <v>44881</v>
      </c>
      <c r="U174">
        <v>2</v>
      </c>
      <c r="V174">
        <v>2022</v>
      </c>
      <c r="X174">
        <f t="shared" si="6"/>
        <v>8.3799825999999999</v>
      </c>
      <c r="Y174">
        <f t="shared" si="7"/>
        <v>7.2799826000000003</v>
      </c>
      <c r="Z174">
        <f t="shared" si="8"/>
        <v>85.399982600000001</v>
      </c>
    </row>
    <row r="175" spans="1:26" x14ac:dyDescent="0.3">
      <c r="A175" t="s">
        <v>265</v>
      </c>
      <c r="B175" t="s">
        <v>55</v>
      </c>
      <c r="C175" t="s">
        <v>74</v>
      </c>
      <c r="D175" t="s">
        <v>69</v>
      </c>
      <c r="E175">
        <v>21</v>
      </c>
      <c r="F175" s="3">
        <v>8.36</v>
      </c>
      <c r="G175" s="4">
        <v>78.400000000000006</v>
      </c>
      <c r="H175">
        <v>2</v>
      </c>
      <c r="I175">
        <v>0</v>
      </c>
      <c r="J175">
        <v>2</v>
      </c>
      <c r="K175" s="4">
        <v>64.900000000000006</v>
      </c>
      <c r="L175" s="4">
        <v>87.7</v>
      </c>
      <c r="M175" s="4">
        <v>99.7</v>
      </c>
      <c r="N175">
        <v>2</v>
      </c>
      <c r="O175" t="s">
        <v>58</v>
      </c>
      <c r="P175" t="s">
        <v>87</v>
      </c>
      <c r="Q175" t="s">
        <v>71</v>
      </c>
      <c r="R175" t="s">
        <v>80</v>
      </c>
      <c r="S175" s="3">
        <v>6.72</v>
      </c>
      <c r="T175" s="5">
        <v>45548</v>
      </c>
      <c r="U175">
        <v>1</v>
      </c>
      <c r="V175">
        <v>2024</v>
      </c>
      <c r="X175">
        <f t="shared" si="6"/>
        <v>8.3599824999999992</v>
      </c>
      <c r="Y175">
        <f t="shared" si="7"/>
        <v>6.7199824999999995</v>
      </c>
      <c r="Z175">
        <f t="shared" si="8"/>
        <v>87.699982500000004</v>
      </c>
    </row>
    <row r="176" spans="1:26" x14ac:dyDescent="0.3">
      <c r="A176" t="s">
        <v>266</v>
      </c>
      <c r="B176" t="s">
        <v>55</v>
      </c>
      <c r="C176" t="s">
        <v>68</v>
      </c>
      <c r="D176" t="s">
        <v>57</v>
      </c>
      <c r="E176">
        <v>23</v>
      </c>
      <c r="F176" s="3">
        <v>7.87</v>
      </c>
      <c r="G176" s="4">
        <v>83.8</v>
      </c>
      <c r="H176">
        <v>2</v>
      </c>
      <c r="I176">
        <v>0</v>
      </c>
      <c r="J176">
        <v>4</v>
      </c>
      <c r="K176" s="4">
        <v>64.599999999999994</v>
      </c>
      <c r="L176" s="4">
        <v>49</v>
      </c>
      <c r="M176" s="4">
        <v>78.3</v>
      </c>
      <c r="N176">
        <v>0</v>
      </c>
      <c r="O176" t="s">
        <v>64</v>
      </c>
      <c r="P176" t="s">
        <v>65</v>
      </c>
      <c r="S176" s="3">
        <v>0</v>
      </c>
      <c r="T176" s="5"/>
      <c r="U176">
        <v>0</v>
      </c>
      <c r="V176">
        <v>2024</v>
      </c>
      <c r="X176">
        <f t="shared" si="6"/>
        <v>7.8699824000000005</v>
      </c>
      <c r="Y176">
        <f t="shared" si="7"/>
        <v>-1.7600000000000001E-5</v>
      </c>
      <c r="Z176">
        <f t="shared" si="8"/>
        <v>48.9999824</v>
      </c>
    </row>
    <row r="177" spans="1:26" x14ac:dyDescent="0.3">
      <c r="A177" t="s">
        <v>267</v>
      </c>
      <c r="B177" t="s">
        <v>82</v>
      </c>
      <c r="C177" t="s">
        <v>74</v>
      </c>
      <c r="D177" t="s">
        <v>69</v>
      </c>
      <c r="E177">
        <v>22</v>
      </c>
      <c r="F177" s="3">
        <v>8.8000000000000007</v>
      </c>
      <c r="G177" s="4">
        <v>85.8</v>
      </c>
      <c r="H177">
        <v>0</v>
      </c>
      <c r="I177">
        <v>3</v>
      </c>
      <c r="J177">
        <v>4</v>
      </c>
      <c r="K177" s="4">
        <v>78.3</v>
      </c>
      <c r="L177" s="4">
        <v>84.7</v>
      </c>
      <c r="M177" s="4">
        <v>92.1</v>
      </c>
      <c r="N177">
        <v>0</v>
      </c>
      <c r="O177" t="s">
        <v>58</v>
      </c>
      <c r="P177" t="s">
        <v>87</v>
      </c>
      <c r="Q177" t="s">
        <v>71</v>
      </c>
      <c r="R177" t="s">
        <v>61</v>
      </c>
      <c r="S177" s="3">
        <v>7.27</v>
      </c>
      <c r="T177" s="5">
        <v>44846</v>
      </c>
      <c r="U177">
        <v>3</v>
      </c>
      <c r="V177">
        <v>2022</v>
      </c>
      <c r="X177">
        <f t="shared" si="6"/>
        <v>8.7999822999999999</v>
      </c>
      <c r="Y177">
        <f t="shared" si="7"/>
        <v>7.2699822999999997</v>
      </c>
      <c r="Z177">
        <f t="shared" si="8"/>
        <v>84.699982300000002</v>
      </c>
    </row>
    <row r="178" spans="1:26" x14ac:dyDescent="0.3">
      <c r="A178" t="s">
        <v>268</v>
      </c>
      <c r="B178" t="s">
        <v>67</v>
      </c>
      <c r="C178" t="s">
        <v>89</v>
      </c>
      <c r="D178" t="s">
        <v>69</v>
      </c>
      <c r="E178">
        <v>20</v>
      </c>
      <c r="F178" s="3">
        <v>7.1</v>
      </c>
      <c r="G178" s="4">
        <v>79</v>
      </c>
      <c r="H178">
        <v>2</v>
      </c>
      <c r="I178">
        <v>3</v>
      </c>
      <c r="J178">
        <v>3</v>
      </c>
      <c r="K178" s="4">
        <v>79.599999999999994</v>
      </c>
      <c r="L178" s="4">
        <v>76.099999999999994</v>
      </c>
      <c r="M178" s="4">
        <v>68.400000000000006</v>
      </c>
      <c r="N178">
        <v>1</v>
      </c>
      <c r="O178" t="s">
        <v>58</v>
      </c>
      <c r="P178" t="s">
        <v>112</v>
      </c>
      <c r="Q178" t="s">
        <v>93</v>
      </c>
      <c r="R178" t="s">
        <v>76</v>
      </c>
      <c r="S178" s="3">
        <v>6.22</v>
      </c>
      <c r="T178" s="5">
        <v>45140</v>
      </c>
      <c r="U178">
        <v>1</v>
      </c>
      <c r="V178">
        <v>2023</v>
      </c>
      <c r="X178">
        <f t="shared" si="6"/>
        <v>7.0999821999999995</v>
      </c>
      <c r="Y178">
        <f t="shared" si="7"/>
        <v>6.2199821999999996</v>
      </c>
      <c r="Z178">
        <f t="shared" si="8"/>
        <v>76.099982199999999</v>
      </c>
    </row>
    <row r="179" spans="1:26" x14ac:dyDescent="0.3">
      <c r="A179" t="s">
        <v>269</v>
      </c>
      <c r="B179" t="s">
        <v>107</v>
      </c>
      <c r="C179" t="s">
        <v>68</v>
      </c>
      <c r="D179" t="s">
        <v>69</v>
      </c>
      <c r="E179">
        <v>21</v>
      </c>
      <c r="F179" s="3">
        <v>7.3</v>
      </c>
      <c r="G179" s="4">
        <v>72.3</v>
      </c>
      <c r="H179">
        <v>1</v>
      </c>
      <c r="I179">
        <v>4</v>
      </c>
      <c r="J179">
        <v>3</v>
      </c>
      <c r="K179" s="4">
        <v>57.5</v>
      </c>
      <c r="L179" s="4">
        <v>75.900000000000006</v>
      </c>
      <c r="M179" s="4">
        <v>83.3</v>
      </c>
      <c r="N179">
        <v>0</v>
      </c>
      <c r="O179" t="s">
        <v>58</v>
      </c>
      <c r="P179" t="s">
        <v>92</v>
      </c>
      <c r="Q179" t="s">
        <v>93</v>
      </c>
      <c r="R179" t="s">
        <v>72</v>
      </c>
      <c r="S179" s="3">
        <v>8.74</v>
      </c>
      <c r="T179" s="5">
        <v>44528</v>
      </c>
      <c r="U179">
        <v>2</v>
      </c>
      <c r="V179">
        <v>2021</v>
      </c>
      <c r="X179">
        <f t="shared" si="6"/>
        <v>7.2999821000000003</v>
      </c>
      <c r="Y179">
        <f t="shared" si="7"/>
        <v>8.7399821000000006</v>
      </c>
      <c r="Z179">
        <f t="shared" si="8"/>
        <v>75.899982100000003</v>
      </c>
    </row>
    <row r="180" spans="1:26" x14ac:dyDescent="0.3">
      <c r="A180" t="s">
        <v>270</v>
      </c>
      <c r="B180" t="s">
        <v>63</v>
      </c>
      <c r="C180" t="s">
        <v>74</v>
      </c>
      <c r="D180" t="s">
        <v>69</v>
      </c>
      <c r="E180">
        <v>21</v>
      </c>
      <c r="F180" s="3">
        <v>5.31</v>
      </c>
      <c r="G180" s="4">
        <v>81.099999999999994</v>
      </c>
      <c r="H180">
        <v>3</v>
      </c>
      <c r="I180">
        <v>0</v>
      </c>
      <c r="J180">
        <v>2</v>
      </c>
      <c r="K180" s="4">
        <v>69.7</v>
      </c>
      <c r="L180" s="4">
        <v>68</v>
      </c>
      <c r="M180" s="4">
        <v>64.3</v>
      </c>
      <c r="N180">
        <v>0</v>
      </c>
      <c r="O180" t="s">
        <v>58</v>
      </c>
      <c r="P180" t="s">
        <v>75</v>
      </c>
      <c r="Q180" t="s">
        <v>71</v>
      </c>
      <c r="R180" t="s">
        <v>85</v>
      </c>
      <c r="S180" s="3">
        <v>5.26</v>
      </c>
      <c r="T180" s="5">
        <v>45890</v>
      </c>
      <c r="U180">
        <v>2</v>
      </c>
      <c r="V180">
        <v>2025</v>
      </c>
      <c r="X180">
        <f t="shared" si="6"/>
        <v>5.3099819999999998</v>
      </c>
      <c r="Y180">
        <f t="shared" si="7"/>
        <v>5.2599819999999999</v>
      </c>
      <c r="Z180">
        <f t="shared" si="8"/>
        <v>67.999982000000003</v>
      </c>
    </row>
    <row r="181" spans="1:26" x14ac:dyDescent="0.3">
      <c r="A181" t="s">
        <v>271</v>
      </c>
      <c r="B181" t="s">
        <v>107</v>
      </c>
      <c r="C181" t="s">
        <v>84</v>
      </c>
      <c r="D181" t="s">
        <v>57</v>
      </c>
      <c r="E181">
        <v>20</v>
      </c>
      <c r="F181" s="3">
        <v>7.57</v>
      </c>
      <c r="G181" s="4">
        <v>76.2</v>
      </c>
      <c r="H181">
        <v>2</v>
      </c>
      <c r="I181">
        <v>3</v>
      </c>
      <c r="J181">
        <v>2</v>
      </c>
      <c r="K181" s="4">
        <v>46.2</v>
      </c>
      <c r="L181" s="4">
        <v>80.599999999999994</v>
      </c>
      <c r="M181" s="4">
        <v>63.5</v>
      </c>
      <c r="N181">
        <v>0</v>
      </c>
      <c r="O181" t="s">
        <v>58</v>
      </c>
      <c r="P181" t="s">
        <v>79</v>
      </c>
      <c r="Q181" t="s">
        <v>71</v>
      </c>
      <c r="R181" t="s">
        <v>76</v>
      </c>
      <c r="S181" s="3">
        <v>7.11</v>
      </c>
      <c r="T181" s="5">
        <v>44483</v>
      </c>
      <c r="U181">
        <v>1</v>
      </c>
      <c r="V181">
        <v>2021</v>
      </c>
      <c r="X181">
        <f t="shared" si="6"/>
        <v>7.5699819000000002</v>
      </c>
      <c r="Y181">
        <f t="shared" si="7"/>
        <v>7.1099819000000002</v>
      </c>
      <c r="Z181">
        <f t="shared" si="8"/>
        <v>80.599981899999989</v>
      </c>
    </row>
    <row r="182" spans="1:26" x14ac:dyDescent="0.3">
      <c r="A182" t="s">
        <v>272</v>
      </c>
      <c r="B182" t="s">
        <v>107</v>
      </c>
      <c r="C182" t="s">
        <v>89</v>
      </c>
      <c r="D182" t="s">
        <v>69</v>
      </c>
      <c r="E182">
        <v>23</v>
      </c>
      <c r="F182" s="3">
        <v>8.17</v>
      </c>
      <c r="G182" s="4">
        <v>84.6</v>
      </c>
      <c r="H182">
        <v>3</v>
      </c>
      <c r="I182">
        <v>2</v>
      </c>
      <c r="J182">
        <v>3</v>
      </c>
      <c r="K182" s="4">
        <v>64.400000000000006</v>
      </c>
      <c r="L182" s="4">
        <v>83.3</v>
      </c>
      <c r="M182" s="4">
        <v>52.6</v>
      </c>
      <c r="N182">
        <v>0</v>
      </c>
      <c r="O182" t="s">
        <v>58</v>
      </c>
      <c r="P182" t="s">
        <v>112</v>
      </c>
      <c r="Q182" t="s">
        <v>93</v>
      </c>
      <c r="R182" t="s">
        <v>61</v>
      </c>
      <c r="S182" s="3">
        <v>9.1999999999999993</v>
      </c>
      <c r="T182" s="5">
        <v>44526</v>
      </c>
      <c r="U182">
        <v>1</v>
      </c>
      <c r="V182">
        <v>2021</v>
      </c>
      <c r="X182">
        <f t="shared" si="6"/>
        <v>8.1699818000000004</v>
      </c>
      <c r="Y182">
        <f t="shared" si="7"/>
        <v>9.1999817999999998</v>
      </c>
      <c r="Z182">
        <f t="shared" si="8"/>
        <v>83.299981799999998</v>
      </c>
    </row>
    <row r="183" spans="1:26" x14ac:dyDescent="0.3">
      <c r="A183" t="s">
        <v>273</v>
      </c>
      <c r="B183" t="s">
        <v>67</v>
      </c>
      <c r="C183" t="s">
        <v>56</v>
      </c>
      <c r="D183" t="s">
        <v>57</v>
      </c>
      <c r="E183">
        <v>22</v>
      </c>
      <c r="F183" s="3">
        <v>7.91</v>
      </c>
      <c r="G183" s="4">
        <v>95.3</v>
      </c>
      <c r="H183">
        <v>0</v>
      </c>
      <c r="I183">
        <v>1</v>
      </c>
      <c r="J183">
        <v>1</v>
      </c>
      <c r="K183" s="4">
        <v>55.7</v>
      </c>
      <c r="L183" s="4">
        <v>71.7</v>
      </c>
      <c r="M183" s="4">
        <v>61.2</v>
      </c>
      <c r="N183">
        <v>0</v>
      </c>
      <c r="O183" t="s">
        <v>58</v>
      </c>
      <c r="P183" t="s">
        <v>92</v>
      </c>
      <c r="Q183" t="s">
        <v>93</v>
      </c>
      <c r="R183" t="s">
        <v>109</v>
      </c>
      <c r="S183" s="3">
        <v>9.1999999999999993</v>
      </c>
      <c r="T183" s="5">
        <v>45212</v>
      </c>
      <c r="U183">
        <v>2</v>
      </c>
      <c r="V183">
        <v>2023</v>
      </c>
      <c r="X183">
        <f t="shared" si="6"/>
        <v>7.9099817000000003</v>
      </c>
      <c r="Y183">
        <f t="shared" si="7"/>
        <v>9.1999816999999986</v>
      </c>
      <c r="Z183">
        <f t="shared" si="8"/>
        <v>71.699981700000009</v>
      </c>
    </row>
    <row r="184" spans="1:26" x14ac:dyDescent="0.3">
      <c r="A184" t="s">
        <v>274</v>
      </c>
      <c r="B184" t="s">
        <v>107</v>
      </c>
      <c r="C184" t="s">
        <v>89</v>
      </c>
      <c r="D184" t="s">
        <v>57</v>
      </c>
      <c r="E184">
        <v>21</v>
      </c>
      <c r="F184" s="3">
        <v>7.09</v>
      </c>
      <c r="G184" s="4">
        <v>69.8</v>
      </c>
      <c r="H184">
        <v>0</v>
      </c>
      <c r="I184">
        <v>5</v>
      </c>
      <c r="J184">
        <v>3</v>
      </c>
      <c r="K184" s="4">
        <v>65.099999999999994</v>
      </c>
      <c r="L184" s="4">
        <v>85.3</v>
      </c>
      <c r="M184" s="4">
        <v>74.7</v>
      </c>
      <c r="N184">
        <v>0</v>
      </c>
      <c r="O184" t="s">
        <v>58</v>
      </c>
      <c r="P184" t="s">
        <v>112</v>
      </c>
      <c r="Q184" t="s">
        <v>93</v>
      </c>
      <c r="R184" t="s">
        <v>130</v>
      </c>
      <c r="S184" s="3">
        <v>6.48</v>
      </c>
      <c r="T184" s="5">
        <v>44433</v>
      </c>
      <c r="U184">
        <v>1</v>
      </c>
      <c r="V184">
        <v>2021</v>
      </c>
      <c r="X184">
        <f t="shared" si="6"/>
        <v>7.0899815999999998</v>
      </c>
      <c r="Y184">
        <f t="shared" si="7"/>
        <v>6.4799816000000003</v>
      </c>
      <c r="Z184">
        <f t="shared" si="8"/>
        <v>85.299981599999995</v>
      </c>
    </row>
    <row r="185" spans="1:26" x14ac:dyDescent="0.3">
      <c r="A185" t="s">
        <v>275</v>
      </c>
      <c r="B185" t="s">
        <v>82</v>
      </c>
      <c r="C185" t="s">
        <v>101</v>
      </c>
      <c r="D185" t="s">
        <v>69</v>
      </c>
      <c r="E185">
        <v>22</v>
      </c>
      <c r="F185" s="3">
        <v>8.41</v>
      </c>
      <c r="G185" s="4">
        <v>92.4</v>
      </c>
      <c r="H185">
        <v>3</v>
      </c>
      <c r="I185">
        <v>2</v>
      </c>
      <c r="J185">
        <v>4</v>
      </c>
      <c r="K185" s="4">
        <v>62.3</v>
      </c>
      <c r="L185" s="4">
        <v>60.5</v>
      </c>
      <c r="M185" s="4">
        <v>92.6</v>
      </c>
      <c r="N185">
        <v>0</v>
      </c>
      <c r="O185" t="s">
        <v>58</v>
      </c>
      <c r="P185" t="s">
        <v>92</v>
      </c>
      <c r="Q185" t="s">
        <v>93</v>
      </c>
      <c r="R185" t="s">
        <v>85</v>
      </c>
      <c r="S185" s="3">
        <v>9.14</v>
      </c>
      <c r="T185" s="5">
        <v>44877</v>
      </c>
      <c r="U185">
        <v>1</v>
      </c>
      <c r="V185">
        <v>2022</v>
      </c>
      <c r="X185">
        <f t="shared" si="6"/>
        <v>8.4099815000000007</v>
      </c>
      <c r="Y185">
        <f t="shared" si="7"/>
        <v>9.1399815000000011</v>
      </c>
      <c r="Z185">
        <f t="shared" si="8"/>
        <v>60.499981499999997</v>
      </c>
    </row>
    <row r="186" spans="1:26" x14ac:dyDescent="0.3">
      <c r="A186" t="s">
        <v>276</v>
      </c>
      <c r="B186" t="s">
        <v>82</v>
      </c>
      <c r="C186" t="s">
        <v>78</v>
      </c>
      <c r="D186" t="s">
        <v>69</v>
      </c>
      <c r="E186">
        <v>22</v>
      </c>
      <c r="F186" s="3">
        <v>7.58</v>
      </c>
      <c r="G186" s="4">
        <v>86.2</v>
      </c>
      <c r="H186">
        <v>0</v>
      </c>
      <c r="I186">
        <v>4</v>
      </c>
      <c r="J186">
        <v>6</v>
      </c>
      <c r="K186" s="4">
        <v>65.5</v>
      </c>
      <c r="L186" s="4">
        <v>70.2</v>
      </c>
      <c r="M186" s="4">
        <v>72.599999999999994</v>
      </c>
      <c r="N186">
        <v>1</v>
      </c>
      <c r="O186" t="s">
        <v>58</v>
      </c>
      <c r="P186" t="s">
        <v>87</v>
      </c>
      <c r="Q186" t="s">
        <v>71</v>
      </c>
      <c r="R186" t="s">
        <v>72</v>
      </c>
      <c r="S186" s="3">
        <v>5.38</v>
      </c>
      <c r="T186" s="5">
        <v>44842</v>
      </c>
      <c r="U186">
        <v>2</v>
      </c>
      <c r="V186">
        <v>2022</v>
      </c>
      <c r="X186">
        <f t="shared" si="6"/>
        <v>7.5799814000000003</v>
      </c>
      <c r="Y186">
        <f t="shared" si="7"/>
        <v>5.3799814000000001</v>
      </c>
      <c r="Z186">
        <f t="shared" si="8"/>
        <v>70.199981399999999</v>
      </c>
    </row>
    <row r="187" spans="1:26" x14ac:dyDescent="0.3">
      <c r="A187" t="s">
        <v>277</v>
      </c>
      <c r="B187" t="s">
        <v>55</v>
      </c>
      <c r="C187" t="s">
        <v>56</v>
      </c>
      <c r="D187" t="s">
        <v>57</v>
      </c>
      <c r="E187">
        <v>21</v>
      </c>
      <c r="F187" s="3">
        <v>8.34</v>
      </c>
      <c r="G187" s="4">
        <v>91.9</v>
      </c>
      <c r="H187">
        <v>1</v>
      </c>
      <c r="I187">
        <v>3</v>
      </c>
      <c r="J187">
        <v>4</v>
      </c>
      <c r="K187" s="4">
        <v>44.6</v>
      </c>
      <c r="L187" s="4">
        <v>75.400000000000006</v>
      </c>
      <c r="M187" s="4">
        <v>76.8</v>
      </c>
      <c r="N187">
        <v>2</v>
      </c>
      <c r="O187" t="s">
        <v>64</v>
      </c>
      <c r="P187" t="s">
        <v>65</v>
      </c>
      <c r="S187" s="3">
        <v>0</v>
      </c>
      <c r="T187" s="5"/>
      <c r="U187">
        <v>0</v>
      </c>
      <c r="V187">
        <v>2024</v>
      </c>
      <c r="X187">
        <f t="shared" si="6"/>
        <v>8.3399812999999998</v>
      </c>
      <c r="Y187">
        <f t="shared" si="7"/>
        <v>-1.8700000000000001E-5</v>
      </c>
      <c r="Z187">
        <f t="shared" si="8"/>
        <v>75.399981300000007</v>
      </c>
    </row>
    <row r="188" spans="1:26" x14ac:dyDescent="0.3">
      <c r="A188" t="s">
        <v>278</v>
      </c>
      <c r="B188" t="s">
        <v>63</v>
      </c>
      <c r="C188" t="s">
        <v>84</v>
      </c>
      <c r="D188" t="s">
        <v>57</v>
      </c>
      <c r="E188">
        <v>20</v>
      </c>
      <c r="F188" s="3">
        <v>8.09</v>
      </c>
      <c r="G188" s="4">
        <v>78.099999999999994</v>
      </c>
      <c r="H188">
        <v>2</v>
      </c>
      <c r="I188">
        <v>1</v>
      </c>
      <c r="J188">
        <v>4</v>
      </c>
      <c r="K188" s="4">
        <v>49.5</v>
      </c>
      <c r="L188" s="4">
        <v>65.400000000000006</v>
      </c>
      <c r="M188" s="4">
        <v>87.7</v>
      </c>
      <c r="N188">
        <v>0</v>
      </c>
      <c r="O188" t="s">
        <v>64</v>
      </c>
      <c r="P188" t="s">
        <v>65</v>
      </c>
      <c r="S188" s="3">
        <v>0</v>
      </c>
      <c r="T188" s="5"/>
      <c r="U188">
        <v>0</v>
      </c>
      <c r="V188">
        <v>2025</v>
      </c>
      <c r="X188">
        <f t="shared" si="6"/>
        <v>8.0899812000000004</v>
      </c>
      <c r="Y188">
        <f t="shared" si="7"/>
        <v>-1.88E-5</v>
      </c>
      <c r="Z188">
        <f t="shared" si="8"/>
        <v>65.399981199999999</v>
      </c>
    </row>
    <row r="189" spans="1:26" x14ac:dyDescent="0.3">
      <c r="A189" t="s">
        <v>279</v>
      </c>
      <c r="B189" t="s">
        <v>107</v>
      </c>
      <c r="C189" t="s">
        <v>68</v>
      </c>
      <c r="D189" t="s">
        <v>69</v>
      </c>
      <c r="E189">
        <v>21</v>
      </c>
      <c r="F189" s="3">
        <v>8.93</v>
      </c>
      <c r="G189" s="4">
        <v>69</v>
      </c>
      <c r="H189">
        <v>2</v>
      </c>
      <c r="I189">
        <v>2</v>
      </c>
      <c r="J189">
        <v>3</v>
      </c>
      <c r="K189" s="4">
        <v>65</v>
      </c>
      <c r="L189" s="4">
        <v>65</v>
      </c>
      <c r="M189" s="4">
        <v>70.099999999999994</v>
      </c>
      <c r="N189">
        <v>0</v>
      </c>
      <c r="O189" t="s">
        <v>64</v>
      </c>
      <c r="P189" t="s">
        <v>65</v>
      </c>
      <c r="S189" s="3">
        <v>0</v>
      </c>
      <c r="T189" s="5"/>
      <c r="U189">
        <v>0</v>
      </c>
      <c r="V189">
        <v>2021</v>
      </c>
      <c r="X189">
        <f t="shared" si="6"/>
        <v>8.9299810999999991</v>
      </c>
      <c r="Y189">
        <f t="shared" si="7"/>
        <v>-1.8899999999999999E-5</v>
      </c>
      <c r="Z189">
        <f t="shared" si="8"/>
        <v>64.999981099999999</v>
      </c>
    </row>
    <row r="190" spans="1:26" x14ac:dyDescent="0.3">
      <c r="A190" t="s">
        <v>280</v>
      </c>
      <c r="B190" t="s">
        <v>107</v>
      </c>
      <c r="C190" t="s">
        <v>56</v>
      </c>
      <c r="D190" t="s">
        <v>57</v>
      </c>
      <c r="E190">
        <v>21</v>
      </c>
      <c r="F190" s="3">
        <v>7.96</v>
      </c>
      <c r="G190" s="4">
        <v>83.6</v>
      </c>
      <c r="H190">
        <v>1</v>
      </c>
      <c r="I190">
        <v>2</v>
      </c>
      <c r="J190">
        <v>2</v>
      </c>
      <c r="K190" s="4">
        <v>88.9</v>
      </c>
      <c r="L190" s="4">
        <v>56.1</v>
      </c>
      <c r="M190" s="4">
        <v>62.3</v>
      </c>
      <c r="N190">
        <v>0</v>
      </c>
      <c r="O190" t="s">
        <v>58</v>
      </c>
      <c r="P190" t="s">
        <v>59</v>
      </c>
      <c r="Q190" t="s">
        <v>60</v>
      </c>
      <c r="R190" t="s">
        <v>85</v>
      </c>
      <c r="S190" s="3">
        <v>19.07</v>
      </c>
      <c r="T190" s="5">
        <v>44419</v>
      </c>
      <c r="U190">
        <v>1</v>
      </c>
      <c r="V190">
        <v>2021</v>
      </c>
      <c r="X190">
        <f t="shared" si="6"/>
        <v>7.959981</v>
      </c>
      <c r="Y190">
        <f t="shared" si="7"/>
        <v>19.069980999999999</v>
      </c>
      <c r="Z190">
        <f t="shared" si="8"/>
        <v>56.099981</v>
      </c>
    </row>
    <row r="191" spans="1:26" x14ac:dyDescent="0.3">
      <c r="A191" t="s">
        <v>281</v>
      </c>
      <c r="B191" t="s">
        <v>67</v>
      </c>
      <c r="C191" t="s">
        <v>56</v>
      </c>
      <c r="D191" t="s">
        <v>57</v>
      </c>
      <c r="E191">
        <v>23</v>
      </c>
      <c r="F191" s="3">
        <v>8.1999999999999993</v>
      </c>
      <c r="G191" s="4">
        <v>94.6</v>
      </c>
      <c r="H191">
        <v>0</v>
      </c>
      <c r="I191">
        <v>3</v>
      </c>
      <c r="J191">
        <v>3</v>
      </c>
      <c r="K191" s="4">
        <v>78.2</v>
      </c>
      <c r="L191" s="4">
        <v>76.5</v>
      </c>
      <c r="M191" s="4">
        <v>63.7</v>
      </c>
      <c r="N191">
        <v>0</v>
      </c>
      <c r="O191" t="s">
        <v>58</v>
      </c>
      <c r="P191" t="s">
        <v>79</v>
      </c>
      <c r="Q191" t="s">
        <v>71</v>
      </c>
      <c r="R191" t="s">
        <v>85</v>
      </c>
      <c r="S191" s="3">
        <v>6.1</v>
      </c>
      <c r="T191" s="5">
        <v>45182</v>
      </c>
      <c r="U191">
        <v>1</v>
      </c>
      <c r="V191">
        <v>2023</v>
      </c>
      <c r="X191">
        <f t="shared" si="6"/>
        <v>8.1999808999999999</v>
      </c>
      <c r="Y191">
        <f t="shared" si="7"/>
        <v>6.0999808999999994</v>
      </c>
      <c r="Z191">
        <f t="shared" si="8"/>
        <v>76.499980899999997</v>
      </c>
    </row>
    <row r="192" spans="1:26" x14ac:dyDescent="0.3">
      <c r="A192" t="s">
        <v>282</v>
      </c>
      <c r="B192" t="s">
        <v>82</v>
      </c>
      <c r="C192" t="s">
        <v>56</v>
      </c>
      <c r="D192" t="s">
        <v>57</v>
      </c>
      <c r="E192">
        <v>22</v>
      </c>
      <c r="F192" s="3">
        <v>7.58</v>
      </c>
      <c r="G192" s="4">
        <v>72.5</v>
      </c>
      <c r="H192">
        <v>1</v>
      </c>
      <c r="I192">
        <v>2</v>
      </c>
      <c r="J192">
        <v>4</v>
      </c>
      <c r="K192" s="4">
        <v>74.099999999999994</v>
      </c>
      <c r="L192" s="4">
        <v>99.2</v>
      </c>
      <c r="M192" s="4">
        <v>87.5</v>
      </c>
      <c r="N192">
        <v>1</v>
      </c>
      <c r="O192" t="s">
        <v>58</v>
      </c>
      <c r="P192" t="s">
        <v>92</v>
      </c>
      <c r="Q192" t="s">
        <v>93</v>
      </c>
      <c r="R192" t="s">
        <v>130</v>
      </c>
      <c r="S192" s="3">
        <v>9.9499999999999993</v>
      </c>
      <c r="T192" s="5">
        <v>44778</v>
      </c>
      <c r="U192">
        <v>1</v>
      </c>
      <c r="V192">
        <v>2022</v>
      </c>
      <c r="X192">
        <f t="shared" si="6"/>
        <v>7.5799808000000004</v>
      </c>
      <c r="Y192">
        <f t="shared" si="7"/>
        <v>9.9499807999999987</v>
      </c>
      <c r="Z192">
        <f t="shared" si="8"/>
        <v>99.199980800000006</v>
      </c>
    </row>
    <row r="193" spans="1:26" x14ac:dyDescent="0.3">
      <c r="A193" t="s">
        <v>283</v>
      </c>
      <c r="B193" t="s">
        <v>63</v>
      </c>
      <c r="C193" t="s">
        <v>101</v>
      </c>
      <c r="D193" t="s">
        <v>57</v>
      </c>
      <c r="E193">
        <v>20</v>
      </c>
      <c r="F193" s="3">
        <v>7.2</v>
      </c>
      <c r="G193" s="4">
        <v>73.8</v>
      </c>
      <c r="H193">
        <v>1</v>
      </c>
      <c r="I193">
        <v>3</v>
      </c>
      <c r="J193">
        <v>4</v>
      </c>
      <c r="K193" s="4">
        <v>59.7</v>
      </c>
      <c r="L193" s="4">
        <v>79</v>
      </c>
      <c r="M193" s="4">
        <v>75.7</v>
      </c>
      <c r="N193">
        <v>1</v>
      </c>
      <c r="O193" t="s">
        <v>64</v>
      </c>
      <c r="P193" t="s">
        <v>65</v>
      </c>
      <c r="S193" s="3">
        <v>0</v>
      </c>
      <c r="T193" s="5"/>
      <c r="U193">
        <v>0</v>
      </c>
      <c r="V193">
        <v>2025</v>
      </c>
      <c r="X193">
        <f t="shared" si="6"/>
        <v>7.1999807000000002</v>
      </c>
      <c r="Y193">
        <f t="shared" si="7"/>
        <v>-1.9299999999999998E-5</v>
      </c>
      <c r="Z193">
        <f t="shared" si="8"/>
        <v>78.999980699999995</v>
      </c>
    </row>
    <row r="194" spans="1:26" x14ac:dyDescent="0.3">
      <c r="A194" t="s">
        <v>284</v>
      </c>
      <c r="B194" t="s">
        <v>55</v>
      </c>
      <c r="C194" t="s">
        <v>56</v>
      </c>
      <c r="D194" t="s">
        <v>69</v>
      </c>
      <c r="E194">
        <v>22</v>
      </c>
      <c r="F194" s="3">
        <v>8.09</v>
      </c>
      <c r="G194" s="4">
        <v>87.3</v>
      </c>
      <c r="H194">
        <v>1</v>
      </c>
      <c r="I194">
        <v>0</v>
      </c>
      <c r="J194">
        <v>5</v>
      </c>
      <c r="K194" s="4">
        <v>54.8</v>
      </c>
      <c r="L194" s="4">
        <v>67.5</v>
      </c>
      <c r="M194" s="4">
        <v>75.7</v>
      </c>
      <c r="N194">
        <v>0</v>
      </c>
      <c r="O194" t="s">
        <v>58</v>
      </c>
      <c r="P194" t="s">
        <v>95</v>
      </c>
      <c r="Q194" t="s">
        <v>93</v>
      </c>
      <c r="R194" t="s">
        <v>76</v>
      </c>
      <c r="S194" s="3">
        <v>7.41</v>
      </c>
      <c r="T194" s="5">
        <v>45601</v>
      </c>
      <c r="U194">
        <v>2</v>
      </c>
      <c r="V194">
        <v>2024</v>
      </c>
      <c r="X194">
        <f t="shared" ref="X194:X257" si="9">F194-ROW()*0.0000001</f>
        <v>8.0899806000000005</v>
      </c>
      <c r="Y194">
        <f t="shared" ref="Y194:Y257" si="10">S194-ROW()*0.0000001</f>
        <v>7.4099805999999999</v>
      </c>
      <c r="Z194">
        <f t="shared" ref="Z194:Z257" si="11">L194-ROW()*0.0000001</f>
        <v>67.499980600000001</v>
      </c>
    </row>
    <row r="195" spans="1:26" x14ac:dyDescent="0.3">
      <c r="A195" t="s">
        <v>285</v>
      </c>
      <c r="B195" t="s">
        <v>82</v>
      </c>
      <c r="C195" t="s">
        <v>56</v>
      </c>
      <c r="D195" t="s">
        <v>57</v>
      </c>
      <c r="E195">
        <v>21</v>
      </c>
      <c r="F195" s="3">
        <v>9</v>
      </c>
      <c r="G195" s="4">
        <v>77.400000000000006</v>
      </c>
      <c r="H195">
        <v>2</v>
      </c>
      <c r="I195">
        <v>3</v>
      </c>
      <c r="J195">
        <v>3</v>
      </c>
      <c r="K195" s="4">
        <v>76.7</v>
      </c>
      <c r="L195" s="4">
        <v>89.7</v>
      </c>
      <c r="M195" s="4">
        <v>63.3</v>
      </c>
      <c r="N195">
        <v>0</v>
      </c>
      <c r="O195" t="s">
        <v>58</v>
      </c>
      <c r="P195" t="s">
        <v>79</v>
      </c>
      <c r="Q195" t="s">
        <v>71</v>
      </c>
      <c r="R195" t="s">
        <v>130</v>
      </c>
      <c r="S195" s="3">
        <v>8.1199999999999992</v>
      </c>
      <c r="T195" s="5">
        <v>44789</v>
      </c>
      <c r="U195">
        <v>1</v>
      </c>
      <c r="V195">
        <v>2022</v>
      </c>
      <c r="X195">
        <f t="shared" si="9"/>
        <v>8.9999804999999995</v>
      </c>
      <c r="Y195">
        <f t="shared" si="10"/>
        <v>8.1199804999999987</v>
      </c>
      <c r="Z195">
        <f t="shared" si="11"/>
        <v>89.699980500000009</v>
      </c>
    </row>
    <row r="196" spans="1:26" x14ac:dyDescent="0.3">
      <c r="A196" t="s">
        <v>286</v>
      </c>
      <c r="B196" t="s">
        <v>55</v>
      </c>
      <c r="C196" t="s">
        <v>101</v>
      </c>
      <c r="D196" t="s">
        <v>69</v>
      </c>
      <c r="E196">
        <v>20</v>
      </c>
      <c r="F196" s="3">
        <v>7.1</v>
      </c>
      <c r="G196" s="4">
        <v>97</v>
      </c>
      <c r="H196">
        <v>2</v>
      </c>
      <c r="I196">
        <v>1</v>
      </c>
      <c r="J196">
        <v>3</v>
      </c>
      <c r="K196" s="4">
        <v>51.7</v>
      </c>
      <c r="L196" s="4">
        <v>69.5</v>
      </c>
      <c r="M196" s="4">
        <v>90.1</v>
      </c>
      <c r="N196">
        <v>0</v>
      </c>
      <c r="O196" t="s">
        <v>58</v>
      </c>
      <c r="P196" t="s">
        <v>87</v>
      </c>
      <c r="Q196" t="s">
        <v>71</v>
      </c>
      <c r="R196" t="s">
        <v>109</v>
      </c>
      <c r="S196" s="3">
        <v>6.09</v>
      </c>
      <c r="T196" s="5">
        <v>45624</v>
      </c>
      <c r="U196">
        <v>3</v>
      </c>
      <c r="V196">
        <v>2024</v>
      </c>
      <c r="X196">
        <f t="shared" si="9"/>
        <v>7.0999803999999997</v>
      </c>
      <c r="Y196">
        <f t="shared" si="10"/>
        <v>6.0899804</v>
      </c>
      <c r="Z196">
        <f t="shared" si="11"/>
        <v>69.499980399999998</v>
      </c>
    </row>
    <row r="197" spans="1:26" x14ac:dyDescent="0.3">
      <c r="A197" t="s">
        <v>287</v>
      </c>
      <c r="B197" t="s">
        <v>67</v>
      </c>
      <c r="C197" t="s">
        <v>74</v>
      </c>
      <c r="D197" t="s">
        <v>57</v>
      </c>
      <c r="E197">
        <v>20</v>
      </c>
      <c r="F197" s="3">
        <v>7.43</v>
      </c>
      <c r="G197" s="4">
        <v>87.9</v>
      </c>
      <c r="H197">
        <v>2</v>
      </c>
      <c r="I197">
        <v>1</v>
      </c>
      <c r="J197">
        <v>4</v>
      </c>
      <c r="K197" s="4">
        <v>90.8</v>
      </c>
      <c r="L197" s="4">
        <v>81.3</v>
      </c>
      <c r="M197" s="4">
        <v>96.2</v>
      </c>
      <c r="N197">
        <v>1</v>
      </c>
      <c r="O197" t="s">
        <v>58</v>
      </c>
      <c r="P197" t="s">
        <v>90</v>
      </c>
      <c r="Q197" t="s">
        <v>60</v>
      </c>
      <c r="R197" t="s">
        <v>76</v>
      </c>
      <c r="S197" s="3">
        <v>9.26</v>
      </c>
      <c r="T197" s="5">
        <v>45184</v>
      </c>
      <c r="U197">
        <v>2</v>
      </c>
      <c r="V197">
        <v>2023</v>
      </c>
      <c r="X197">
        <f t="shared" si="9"/>
        <v>7.4299802999999995</v>
      </c>
      <c r="Y197">
        <f t="shared" si="10"/>
        <v>9.2599803000000005</v>
      </c>
      <c r="Z197">
        <f t="shared" si="11"/>
        <v>81.299980300000001</v>
      </c>
    </row>
    <row r="198" spans="1:26" x14ac:dyDescent="0.3">
      <c r="A198" t="s">
        <v>288</v>
      </c>
      <c r="B198" t="s">
        <v>67</v>
      </c>
      <c r="C198" t="s">
        <v>56</v>
      </c>
      <c r="D198" t="s">
        <v>69</v>
      </c>
      <c r="E198">
        <v>20</v>
      </c>
      <c r="F198" s="3">
        <v>7.67</v>
      </c>
      <c r="G198" s="4">
        <v>75.5</v>
      </c>
      <c r="H198">
        <v>0</v>
      </c>
      <c r="I198">
        <v>3</v>
      </c>
      <c r="J198">
        <v>4</v>
      </c>
      <c r="K198" s="4">
        <v>67.400000000000006</v>
      </c>
      <c r="L198" s="4">
        <v>78.400000000000006</v>
      </c>
      <c r="M198" s="4">
        <v>76.099999999999994</v>
      </c>
      <c r="N198">
        <v>0</v>
      </c>
      <c r="O198" t="s">
        <v>58</v>
      </c>
      <c r="P198" t="s">
        <v>59</v>
      </c>
      <c r="Q198" t="s">
        <v>60</v>
      </c>
      <c r="R198" t="s">
        <v>109</v>
      </c>
      <c r="S198" s="3">
        <v>19.37</v>
      </c>
      <c r="T198" s="5">
        <v>45162</v>
      </c>
      <c r="U198">
        <v>1</v>
      </c>
      <c r="V198">
        <v>2023</v>
      </c>
      <c r="X198">
        <f t="shared" si="9"/>
        <v>7.6699802000000004</v>
      </c>
      <c r="Y198">
        <f t="shared" si="10"/>
        <v>19.369980200000001</v>
      </c>
      <c r="Z198">
        <f t="shared" si="11"/>
        <v>78.399980200000002</v>
      </c>
    </row>
    <row r="199" spans="1:26" x14ac:dyDescent="0.3">
      <c r="A199" t="s">
        <v>289</v>
      </c>
      <c r="B199" t="s">
        <v>107</v>
      </c>
      <c r="C199" t="s">
        <v>56</v>
      </c>
      <c r="D199" t="s">
        <v>69</v>
      </c>
      <c r="E199">
        <v>20</v>
      </c>
      <c r="F199" s="3">
        <v>8.27</v>
      </c>
      <c r="G199" s="4">
        <v>76.900000000000006</v>
      </c>
      <c r="H199">
        <v>2</v>
      </c>
      <c r="I199">
        <v>0</v>
      </c>
      <c r="J199">
        <v>3</v>
      </c>
      <c r="K199" s="4">
        <v>96.2</v>
      </c>
      <c r="L199" s="4">
        <v>47.6</v>
      </c>
      <c r="M199" s="4">
        <v>85</v>
      </c>
      <c r="N199">
        <v>0</v>
      </c>
      <c r="O199" t="s">
        <v>58</v>
      </c>
      <c r="P199" t="s">
        <v>92</v>
      </c>
      <c r="Q199" t="s">
        <v>93</v>
      </c>
      <c r="R199" t="s">
        <v>85</v>
      </c>
      <c r="S199" s="3">
        <v>8.8800000000000008</v>
      </c>
      <c r="T199" s="5">
        <v>44422</v>
      </c>
      <c r="U199">
        <v>1</v>
      </c>
      <c r="V199">
        <v>2021</v>
      </c>
      <c r="X199">
        <f t="shared" si="9"/>
        <v>8.2699800999999997</v>
      </c>
      <c r="Y199">
        <f t="shared" si="10"/>
        <v>8.8799801000000009</v>
      </c>
      <c r="Z199">
        <f t="shared" si="11"/>
        <v>47.599980100000003</v>
      </c>
    </row>
    <row r="200" spans="1:26" x14ac:dyDescent="0.3">
      <c r="A200" t="s">
        <v>290</v>
      </c>
      <c r="B200" t="s">
        <v>63</v>
      </c>
      <c r="C200" t="s">
        <v>56</v>
      </c>
      <c r="D200" t="s">
        <v>69</v>
      </c>
      <c r="E200">
        <v>23</v>
      </c>
      <c r="F200" s="3">
        <v>7.96</v>
      </c>
      <c r="G200" s="4">
        <v>77.3</v>
      </c>
      <c r="H200">
        <v>3</v>
      </c>
      <c r="I200">
        <v>1</v>
      </c>
      <c r="J200">
        <v>4</v>
      </c>
      <c r="K200" s="4">
        <v>91.8</v>
      </c>
      <c r="L200" s="4">
        <v>71.5</v>
      </c>
      <c r="M200" s="4">
        <v>66.3</v>
      </c>
      <c r="N200">
        <v>2</v>
      </c>
      <c r="O200" t="s">
        <v>58</v>
      </c>
      <c r="P200" t="s">
        <v>95</v>
      </c>
      <c r="Q200" t="s">
        <v>93</v>
      </c>
      <c r="R200" t="s">
        <v>130</v>
      </c>
      <c r="S200" s="3">
        <v>7.19</v>
      </c>
      <c r="T200" s="5">
        <v>45893</v>
      </c>
      <c r="U200">
        <v>1</v>
      </c>
      <c r="V200">
        <v>2025</v>
      </c>
      <c r="X200">
        <f t="shared" si="9"/>
        <v>7.9599799999999998</v>
      </c>
      <c r="Y200">
        <f t="shared" si="10"/>
        <v>7.1899800000000003</v>
      </c>
      <c r="Z200">
        <f t="shared" si="11"/>
        <v>71.499979999999994</v>
      </c>
    </row>
    <row r="201" spans="1:26" x14ac:dyDescent="0.3">
      <c r="A201" t="s">
        <v>291</v>
      </c>
      <c r="B201" t="s">
        <v>55</v>
      </c>
      <c r="C201" t="s">
        <v>56</v>
      </c>
      <c r="D201" t="s">
        <v>69</v>
      </c>
      <c r="E201">
        <v>20</v>
      </c>
      <c r="F201" s="3">
        <v>8.4700000000000006</v>
      </c>
      <c r="G201" s="4">
        <v>81.599999999999994</v>
      </c>
      <c r="H201">
        <v>2</v>
      </c>
      <c r="I201">
        <v>1</v>
      </c>
      <c r="J201">
        <v>3</v>
      </c>
      <c r="K201" s="4">
        <v>73.900000000000006</v>
      </c>
      <c r="L201" s="4">
        <v>100</v>
      </c>
      <c r="M201" s="4">
        <v>89.3</v>
      </c>
      <c r="N201">
        <v>2</v>
      </c>
      <c r="O201" t="s">
        <v>58</v>
      </c>
      <c r="P201" t="s">
        <v>70</v>
      </c>
      <c r="Q201" t="s">
        <v>71</v>
      </c>
      <c r="R201" t="s">
        <v>109</v>
      </c>
      <c r="S201" s="3">
        <v>7.66</v>
      </c>
      <c r="T201" s="5">
        <v>45613</v>
      </c>
      <c r="U201">
        <v>1</v>
      </c>
      <c r="V201">
        <v>2024</v>
      </c>
      <c r="X201">
        <f t="shared" si="9"/>
        <v>8.4699799000000002</v>
      </c>
      <c r="Y201">
        <f t="shared" si="10"/>
        <v>7.6599798999999997</v>
      </c>
      <c r="Z201">
        <f t="shared" si="11"/>
        <v>99.9999799</v>
      </c>
    </row>
    <row r="202" spans="1:26" x14ac:dyDescent="0.3">
      <c r="A202" t="s">
        <v>292</v>
      </c>
      <c r="B202" t="s">
        <v>82</v>
      </c>
      <c r="C202" t="s">
        <v>78</v>
      </c>
      <c r="D202" t="s">
        <v>69</v>
      </c>
      <c r="E202">
        <v>21</v>
      </c>
      <c r="F202" s="3">
        <v>9.43</v>
      </c>
      <c r="G202" s="4">
        <v>84.7</v>
      </c>
      <c r="H202">
        <v>0</v>
      </c>
      <c r="I202">
        <v>2</v>
      </c>
      <c r="J202">
        <v>4</v>
      </c>
      <c r="K202" s="4">
        <v>73.3</v>
      </c>
      <c r="L202" s="4">
        <v>61.9</v>
      </c>
      <c r="M202" s="4">
        <v>80.900000000000006</v>
      </c>
      <c r="N202">
        <v>0</v>
      </c>
      <c r="O202" t="s">
        <v>58</v>
      </c>
      <c r="P202" t="s">
        <v>104</v>
      </c>
      <c r="Q202" t="s">
        <v>105</v>
      </c>
      <c r="R202" t="s">
        <v>72</v>
      </c>
      <c r="S202" s="3">
        <v>15.79</v>
      </c>
      <c r="T202" s="5">
        <v>44849</v>
      </c>
      <c r="U202">
        <v>1</v>
      </c>
      <c r="V202">
        <v>2022</v>
      </c>
      <c r="X202">
        <f t="shared" si="9"/>
        <v>9.4299797999999999</v>
      </c>
      <c r="Y202">
        <f t="shared" si="10"/>
        <v>15.789979799999999</v>
      </c>
      <c r="Z202">
        <f t="shared" si="11"/>
        <v>61.899979799999997</v>
      </c>
    </row>
    <row r="203" spans="1:26" x14ac:dyDescent="0.3">
      <c r="A203" t="s">
        <v>293</v>
      </c>
      <c r="B203" t="s">
        <v>67</v>
      </c>
      <c r="C203" t="s">
        <v>56</v>
      </c>
      <c r="D203" t="s">
        <v>57</v>
      </c>
      <c r="E203">
        <v>23</v>
      </c>
      <c r="F203" s="3">
        <v>7.07</v>
      </c>
      <c r="G203" s="4">
        <v>84.1</v>
      </c>
      <c r="H203">
        <v>3</v>
      </c>
      <c r="I203">
        <v>1</v>
      </c>
      <c r="J203">
        <v>3</v>
      </c>
      <c r="K203" s="4">
        <v>59</v>
      </c>
      <c r="L203" s="4">
        <v>93.9</v>
      </c>
      <c r="M203" s="4">
        <v>59.2</v>
      </c>
      <c r="N203">
        <v>0</v>
      </c>
      <c r="O203" t="s">
        <v>58</v>
      </c>
      <c r="P203" t="s">
        <v>75</v>
      </c>
      <c r="Q203" t="s">
        <v>71</v>
      </c>
      <c r="R203" t="s">
        <v>72</v>
      </c>
      <c r="S203" s="3">
        <v>8.64</v>
      </c>
      <c r="T203" s="5">
        <v>45161</v>
      </c>
      <c r="U203">
        <v>2</v>
      </c>
      <c r="V203">
        <v>2023</v>
      </c>
      <c r="X203">
        <f t="shared" si="9"/>
        <v>7.0699797000000002</v>
      </c>
      <c r="Y203">
        <f t="shared" si="10"/>
        <v>8.6399797000000014</v>
      </c>
      <c r="Z203">
        <f t="shared" si="11"/>
        <v>93.899979700000003</v>
      </c>
    </row>
    <row r="204" spans="1:26" x14ac:dyDescent="0.3">
      <c r="A204" t="s">
        <v>294</v>
      </c>
      <c r="B204" t="s">
        <v>107</v>
      </c>
      <c r="C204" t="s">
        <v>56</v>
      </c>
      <c r="D204" t="s">
        <v>69</v>
      </c>
      <c r="E204">
        <v>21</v>
      </c>
      <c r="F204" s="3">
        <v>8.1999999999999993</v>
      </c>
      <c r="G204" s="4">
        <v>71.900000000000006</v>
      </c>
      <c r="H204">
        <v>1</v>
      </c>
      <c r="I204">
        <v>3</v>
      </c>
      <c r="J204">
        <v>4</v>
      </c>
      <c r="K204" s="4">
        <v>86.5</v>
      </c>
      <c r="L204" s="4">
        <v>85.2</v>
      </c>
      <c r="M204" s="4">
        <v>79.400000000000006</v>
      </c>
      <c r="N204">
        <v>0</v>
      </c>
      <c r="O204" t="s">
        <v>58</v>
      </c>
      <c r="P204" t="s">
        <v>70</v>
      </c>
      <c r="Q204" t="s">
        <v>71</v>
      </c>
      <c r="R204" t="s">
        <v>72</v>
      </c>
      <c r="S204" s="3">
        <v>6.76</v>
      </c>
      <c r="T204" s="5">
        <v>44447</v>
      </c>
      <c r="U204">
        <v>2</v>
      </c>
      <c r="V204">
        <v>2021</v>
      </c>
      <c r="X204">
        <f t="shared" si="9"/>
        <v>8.1999795999999989</v>
      </c>
      <c r="Y204">
        <f t="shared" si="10"/>
        <v>6.7599795999999994</v>
      </c>
      <c r="Z204">
        <f t="shared" si="11"/>
        <v>85.199979600000006</v>
      </c>
    </row>
    <row r="205" spans="1:26" x14ac:dyDescent="0.3">
      <c r="A205" t="s">
        <v>295</v>
      </c>
      <c r="B205" t="s">
        <v>107</v>
      </c>
      <c r="C205" t="s">
        <v>78</v>
      </c>
      <c r="D205" t="s">
        <v>69</v>
      </c>
      <c r="E205">
        <v>21</v>
      </c>
      <c r="F205" s="3">
        <v>7.94</v>
      </c>
      <c r="G205" s="4">
        <v>90.1</v>
      </c>
      <c r="H205">
        <v>2</v>
      </c>
      <c r="I205">
        <v>3</v>
      </c>
      <c r="J205">
        <v>5</v>
      </c>
      <c r="K205" s="4">
        <v>62.7</v>
      </c>
      <c r="L205" s="4">
        <v>63.3</v>
      </c>
      <c r="M205" s="4">
        <v>79.400000000000006</v>
      </c>
      <c r="N205">
        <v>0</v>
      </c>
      <c r="O205" t="s">
        <v>58</v>
      </c>
      <c r="P205" t="s">
        <v>104</v>
      </c>
      <c r="Q205" t="s">
        <v>105</v>
      </c>
      <c r="R205" t="s">
        <v>61</v>
      </c>
      <c r="S205" s="3">
        <v>16.21</v>
      </c>
      <c r="T205" s="5">
        <v>44414</v>
      </c>
      <c r="U205">
        <v>3</v>
      </c>
      <c r="V205">
        <v>2021</v>
      </c>
      <c r="X205">
        <f t="shared" si="9"/>
        <v>7.9399795000000006</v>
      </c>
      <c r="Y205">
        <f t="shared" si="10"/>
        <v>16.209979499999999</v>
      </c>
      <c r="Z205">
        <f t="shared" si="11"/>
        <v>63.299979499999999</v>
      </c>
    </row>
    <row r="206" spans="1:26" x14ac:dyDescent="0.3">
      <c r="A206" t="s">
        <v>296</v>
      </c>
      <c r="B206" t="s">
        <v>55</v>
      </c>
      <c r="C206" t="s">
        <v>78</v>
      </c>
      <c r="D206" t="s">
        <v>57</v>
      </c>
      <c r="E206">
        <v>22</v>
      </c>
      <c r="F206" s="3">
        <v>7.67</v>
      </c>
      <c r="G206" s="4">
        <v>79.400000000000006</v>
      </c>
      <c r="H206">
        <v>0</v>
      </c>
      <c r="I206">
        <v>1</v>
      </c>
      <c r="J206">
        <v>6</v>
      </c>
      <c r="K206" s="4">
        <v>44.4</v>
      </c>
      <c r="L206" s="4">
        <v>71.599999999999994</v>
      </c>
      <c r="M206" s="4">
        <v>76.2</v>
      </c>
      <c r="N206">
        <v>0</v>
      </c>
      <c r="O206" t="s">
        <v>58</v>
      </c>
      <c r="P206" t="s">
        <v>90</v>
      </c>
      <c r="Q206" t="s">
        <v>60</v>
      </c>
      <c r="R206" t="s">
        <v>130</v>
      </c>
      <c r="S206" s="3">
        <v>8.57</v>
      </c>
      <c r="T206" s="5">
        <v>45623</v>
      </c>
      <c r="U206">
        <v>2</v>
      </c>
      <c r="V206">
        <v>2024</v>
      </c>
      <c r="X206">
        <f t="shared" si="9"/>
        <v>7.6699793999999999</v>
      </c>
      <c r="Y206">
        <f t="shared" si="10"/>
        <v>8.5699794000000011</v>
      </c>
      <c r="Z206">
        <f t="shared" si="11"/>
        <v>71.599979399999995</v>
      </c>
    </row>
    <row r="207" spans="1:26" x14ac:dyDescent="0.3">
      <c r="A207" t="s">
        <v>297</v>
      </c>
      <c r="B207" t="s">
        <v>67</v>
      </c>
      <c r="C207" t="s">
        <v>68</v>
      </c>
      <c r="D207" t="s">
        <v>57</v>
      </c>
      <c r="E207">
        <v>20</v>
      </c>
      <c r="F207" s="3">
        <v>8.1999999999999993</v>
      </c>
      <c r="G207" s="4">
        <v>73.7</v>
      </c>
      <c r="H207">
        <v>2</v>
      </c>
      <c r="I207">
        <v>2</v>
      </c>
      <c r="J207">
        <v>6</v>
      </c>
      <c r="K207" s="4">
        <v>84.2</v>
      </c>
      <c r="L207" s="4">
        <v>55.6</v>
      </c>
      <c r="M207" s="4">
        <v>80.099999999999994</v>
      </c>
      <c r="N207">
        <v>0</v>
      </c>
      <c r="O207" t="s">
        <v>58</v>
      </c>
      <c r="P207" t="s">
        <v>75</v>
      </c>
      <c r="Q207" t="s">
        <v>71</v>
      </c>
      <c r="R207" t="s">
        <v>76</v>
      </c>
      <c r="S207" s="3">
        <v>6.21</v>
      </c>
      <c r="T207" s="5">
        <v>45243</v>
      </c>
      <c r="U207">
        <v>1</v>
      </c>
      <c r="V207">
        <v>2023</v>
      </c>
      <c r="X207">
        <f t="shared" si="9"/>
        <v>8.199979299999999</v>
      </c>
      <c r="Y207">
        <f t="shared" si="10"/>
        <v>6.2099792999999996</v>
      </c>
      <c r="Z207">
        <f t="shared" si="11"/>
        <v>55.599979300000001</v>
      </c>
    </row>
    <row r="208" spans="1:26" x14ac:dyDescent="0.3">
      <c r="A208" t="s">
        <v>298</v>
      </c>
      <c r="B208" t="s">
        <v>63</v>
      </c>
      <c r="C208" t="s">
        <v>68</v>
      </c>
      <c r="D208" t="s">
        <v>69</v>
      </c>
      <c r="E208">
        <v>20</v>
      </c>
      <c r="F208" s="3">
        <v>7.41</v>
      </c>
      <c r="G208" s="4">
        <v>77.8</v>
      </c>
      <c r="H208">
        <v>3</v>
      </c>
      <c r="I208">
        <v>1</v>
      </c>
      <c r="J208">
        <v>4</v>
      </c>
      <c r="K208" s="4">
        <v>75.599999999999994</v>
      </c>
      <c r="L208" s="4">
        <v>84.3</v>
      </c>
      <c r="M208" s="4">
        <v>73.400000000000006</v>
      </c>
      <c r="N208">
        <v>0</v>
      </c>
      <c r="O208" t="s">
        <v>58</v>
      </c>
      <c r="P208" t="s">
        <v>79</v>
      </c>
      <c r="Q208" t="s">
        <v>71</v>
      </c>
      <c r="R208" t="s">
        <v>85</v>
      </c>
      <c r="S208" s="3">
        <v>8.3800000000000008</v>
      </c>
      <c r="T208" s="5">
        <v>45890</v>
      </c>
      <c r="U208">
        <v>1</v>
      </c>
      <c r="V208">
        <v>2025</v>
      </c>
      <c r="X208">
        <f t="shared" si="9"/>
        <v>7.4099792000000004</v>
      </c>
      <c r="Y208">
        <f t="shared" si="10"/>
        <v>8.3799792000000011</v>
      </c>
      <c r="Z208">
        <f t="shared" si="11"/>
        <v>84.299979199999996</v>
      </c>
    </row>
    <row r="209" spans="1:26" x14ac:dyDescent="0.3">
      <c r="A209" t="s">
        <v>299</v>
      </c>
      <c r="B209" t="s">
        <v>67</v>
      </c>
      <c r="C209" t="s">
        <v>74</v>
      </c>
      <c r="D209" t="s">
        <v>69</v>
      </c>
      <c r="E209">
        <v>21</v>
      </c>
      <c r="F209" s="3">
        <v>7.94</v>
      </c>
      <c r="G209" s="4">
        <v>91.1</v>
      </c>
      <c r="H209">
        <v>1</v>
      </c>
      <c r="I209">
        <v>2</v>
      </c>
      <c r="J209">
        <v>4</v>
      </c>
      <c r="K209" s="4">
        <v>60.8</v>
      </c>
      <c r="L209" s="4">
        <v>55.8</v>
      </c>
      <c r="M209" s="4">
        <v>71.8</v>
      </c>
      <c r="N209">
        <v>0</v>
      </c>
      <c r="O209" t="s">
        <v>58</v>
      </c>
      <c r="P209" t="s">
        <v>104</v>
      </c>
      <c r="Q209" t="s">
        <v>105</v>
      </c>
      <c r="R209" t="s">
        <v>76</v>
      </c>
      <c r="S209" s="3">
        <v>13.62</v>
      </c>
      <c r="T209" s="5">
        <v>45250</v>
      </c>
      <c r="U209">
        <v>1</v>
      </c>
      <c r="V209">
        <v>2023</v>
      </c>
      <c r="X209">
        <f t="shared" si="9"/>
        <v>7.9399791000000004</v>
      </c>
      <c r="Y209">
        <f t="shared" si="10"/>
        <v>13.619979099999998</v>
      </c>
      <c r="Z209">
        <f t="shared" si="11"/>
        <v>55.799979099999995</v>
      </c>
    </row>
    <row r="210" spans="1:26" x14ac:dyDescent="0.3">
      <c r="A210" t="s">
        <v>300</v>
      </c>
      <c r="B210" t="s">
        <v>55</v>
      </c>
      <c r="C210" t="s">
        <v>68</v>
      </c>
      <c r="D210" t="s">
        <v>57</v>
      </c>
      <c r="E210">
        <v>20</v>
      </c>
      <c r="F210" s="3">
        <v>6.48</v>
      </c>
      <c r="G210" s="4">
        <v>83.7</v>
      </c>
      <c r="H210">
        <v>1</v>
      </c>
      <c r="I210">
        <v>1</v>
      </c>
      <c r="J210">
        <v>3</v>
      </c>
      <c r="K210" s="4">
        <v>71.7</v>
      </c>
      <c r="L210" s="4">
        <v>77.5</v>
      </c>
      <c r="M210" s="4">
        <v>77</v>
      </c>
      <c r="N210">
        <v>1</v>
      </c>
      <c r="O210" t="s">
        <v>64</v>
      </c>
      <c r="P210" t="s">
        <v>65</v>
      </c>
      <c r="S210" s="3">
        <v>0</v>
      </c>
      <c r="T210" s="5"/>
      <c r="U210">
        <v>0</v>
      </c>
      <c r="V210">
        <v>2024</v>
      </c>
      <c r="X210">
        <f t="shared" si="9"/>
        <v>6.4799790000000002</v>
      </c>
      <c r="Y210">
        <f t="shared" si="10"/>
        <v>-2.0999999999999999E-5</v>
      </c>
      <c r="Z210">
        <f t="shared" si="11"/>
        <v>77.499978999999996</v>
      </c>
    </row>
    <row r="211" spans="1:26" x14ac:dyDescent="0.3">
      <c r="A211" t="s">
        <v>301</v>
      </c>
      <c r="B211" t="s">
        <v>55</v>
      </c>
      <c r="C211" t="s">
        <v>68</v>
      </c>
      <c r="D211" t="s">
        <v>57</v>
      </c>
      <c r="E211">
        <v>23</v>
      </c>
      <c r="F211" s="3">
        <v>7.17</v>
      </c>
      <c r="G211" s="4">
        <v>84.5</v>
      </c>
      <c r="H211">
        <v>0</v>
      </c>
      <c r="I211">
        <v>0</v>
      </c>
      <c r="J211">
        <v>1</v>
      </c>
      <c r="K211" s="4">
        <v>68.5</v>
      </c>
      <c r="L211" s="4">
        <v>98.9</v>
      </c>
      <c r="M211" s="4">
        <v>69.8</v>
      </c>
      <c r="N211">
        <v>0</v>
      </c>
      <c r="O211" t="s">
        <v>58</v>
      </c>
      <c r="P211" t="s">
        <v>79</v>
      </c>
      <c r="Q211" t="s">
        <v>71</v>
      </c>
      <c r="R211" t="s">
        <v>80</v>
      </c>
      <c r="S211" s="3">
        <v>7.17</v>
      </c>
      <c r="T211" s="5">
        <v>45550</v>
      </c>
      <c r="U211">
        <v>3</v>
      </c>
      <c r="V211">
        <v>2024</v>
      </c>
      <c r="X211">
        <f t="shared" si="9"/>
        <v>7.1699789000000003</v>
      </c>
      <c r="Y211">
        <f t="shared" si="10"/>
        <v>7.1699789000000003</v>
      </c>
      <c r="Z211">
        <f t="shared" si="11"/>
        <v>98.899978900000008</v>
      </c>
    </row>
    <row r="212" spans="1:26" x14ac:dyDescent="0.3">
      <c r="A212" t="s">
        <v>302</v>
      </c>
      <c r="B212" t="s">
        <v>67</v>
      </c>
      <c r="C212" t="s">
        <v>74</v>
      </c>
      <c r="D212" t="s">
        <v>69</v>
      </c>
      <c r="E212">
        <v>22</v>
      </c>
      <c r="F212" s="3">
        <v>8.59</v>
      </c>
      <c r="G212" s="4">
        <v>71.5</v>
      </c>
      <c r="H212">
        <v>1</v>
      </c>
      <c r="I212">
        <v>0</v>
      </c>
      <c r="J212">
        <v>2</v>
      </c>
      <c r="K212" s="4">
        <v>88.7</v>
      </c>
      <c r="L212" s="4">
        <v>61.8</v>
      </c>
      <c r="M212" s="4">
        <v>66.2</v>
      </c>
      <c r="N212">
        <v>0</v>
      </c>
      <c r="O212" t="s">
        <v>58</v>
      </c>
      <c r="P212" t="s">
        <v>92</v>
      </c>
      <c r="Q212" t="s">
        <v>93</v>
      </c>
      <c r="R212" t="s">
        <v>85</v>
      </c>
      <c r="S212" s="3">
        <v>9.5399999999999991</v>
      </c>
      <c r="T212" s="5">
        <v>45243</v>
      </c>
      <c r="U212">
        <v>1</v>
      </c>
      <c r="V212">
        <v>2023</v>
      </c>
      <c r="X212">
        <f t="shared" si="9"/>
        <v>8.589978799999999</v>
      </c>
      <c r="Y212">
        <f t="shared" si="10"/>
        <v>9.5399787999999983</v>
      </c>
      <c r="Z212">
        <f t="shared" si="11"/>
        <v>61.799978799999998</v>
      </c>
    </row>
    <row r="213" spans="1:26" x14ac:dyDescent="0.3">
      <c r="A213" t="s">
        <v>303</v>
      </c>
      <c r="B213" t="s">
        <v>55</v>
      </c>
      <c r="C213" t="s">
        <v>84</v>
      </c>
      <c r="D213" t="s">
        <v>57</v>
      </c>
      <c r="E213">
        <v>20</v>
      </c>
      <c r="F213" s="3">
        <v>8.56</v>
      </c>
      <c r="G213" s="4">
        <v>83.2</v>
      </c>
      <c r="H213">
        <v>1</v>
      </c>
      <c r="I213">
        <v>1</v>
      </c>
      <c r="J213">
        <v>2</v>
      </c>
      <c r="K213" s="4">
        <v>53.9</v>
      </c>
      <c r="L213" s="4">
        <v>76.7</v>
      </c>
      <c r="M213" s="4">
        <v>87.3</v>
      </c>
      <c r="N213">
        <v>1</v>
      </c>
      <c r="O213" t="s">
        <v>58</v>
      </c>
      <c r="P213" t="s">
        <v>70</v>
      </c>
      <c r="Q213" t="s">
        <v>71</v>
      </c>
      <c r="R213" t="s">
        <v>61</v>
      </c>
      <c r="S213" s="3">
        <v>5.2</v>
      </c>
      <c r="T213" s="5">
        <v>45604</v>
      </c>
      <c r="U213">
        <v>2</v>
      </c>
      <c r="V213">
        <v>2024</v>
      </c>
      <c r="X213">
        <f t="shared" si="9"/>
        <v>8.5599787000000003</v>
      </c>
      <c r="Y213">
        <f t="shared" si="10"/>
        <v>5.1999787</v>
      </c>
      <c r="Z213">
        <f t="shared" si="11"/>
        <v>76.699978700000003</v>
      </c>
    </row>
    <row r="214" spans="1:26" x14ac:dyDescent="0.3">
      <c r="A214" t="s">
        <v>304</v>
      </c>
      <c r="B214" t="s">
        <v>67</v>
      </c>
      <c r="C214" t="s">
        <v>56</v>
      </c>
      <c r="D214" t="s">
        <v>69</v>
      </c>
      <c r="E214">
        <v>20</v>
      </c>
      <c r="F214" s="3">
        <v>7.88</v>
      </c>
      <c r="G214" s="4">
        <v>91</v>
      </c>
      <c r="H214">
        <v>2</v>
      </c>
      <c r="I214">
        <v>3</v>
      </c>
      <c r="J214">
        <v>4</v>
      </c>
      <c r="K214" s="4">
        <v>88.9</v>
      </c>
      <c r="L214" s="4">
        <v>49.1</v>
      </c>
      <c r="M214" s="4">
        <v>67.099999999999994</v>
      </c>
      <c r="N214">
        <v>3</v>
      </c>
      <c r="O214" t="s">
        <v>64</v>
      </c>
      <c r="P214" t="s">
        <v>65</v>
      </c>
      <c r="S214" s="3">
        <v>0</v>
      </c>
      <c r="T214" s="5"/>
      <c r="U214">
        <v>0</v>
      </c>
      <c r="V214">
        <v>2023</v>
      </c>
      <c r="X214">
        <f t="shared" si="9"/>
        <v>7.8799786000000003</v>
      </c>
      <c r="Y214">
        <f t="shared" si="10"/>
        <v>-2.1399999999999998E-5</v>
      </c>
      <c r="Z214">
        <f t="shared" si="11"/>
        <v>49.0999786</v>
      </c>
    </row>
    <row r="215" spans="1:26" x14ac:dyDescent="0.3">
      <c r="A215" t="s">
        <v>305</v>
      </c>
      <c r="B215" t="s">
        <v>82</v>
      </c>
      <c r="C215" t="s">
        <v>101</v>
      </c>
      <c r="D215" t="s">
        <v>69</v>
      </c>
      <c r="E215">
        <v>23</v>
      </c>
      <c r="F215" s="3">
        <v>7.24</v>
      </c>
      <c r="G215" s="4">
        <v>65.8</v>
      </c>
      <c r="H215">
        <v>0</v>
      </c>
      <c r="I215">
        <v>0</v>
      </c>
      <c r="J215">
        <v>3</v>
      </c>
      <c r="K215" s="4">
        <v>86.6</v>
      </c>
      <c r="L215" s="4">
        <v>72.099999999999994</v>
      </c>
      <c r="M215" s="4">
        <v>72.099999999999994</v>
      </c>
      <c r="N215">
        <v>0</v>
      </c>
      <c r="O215" t="s">
        <v>58</v>
      </c>
      <c r="P215" t="s">
        <v>59</v>
      </c>
      <c r="Q215" t="s">
        <v>60</v>
      </c>
      <c r="R215" t="s">
        <v>61</v>
      </c>
      <c r="S215" s="3">
        <v>18.559999999999999</v>
      </c>
      <c r="T215" s="5">
        <v>44877</v>
      </c>
      <c r="U215">
        <v>1</v>
      </c>
      <c r="V215">
        <v>2022</v>
      </c>
      <c r="X215">
        <f t="shared" si="9"/>
        <v>7.2399785000000003</v>
      </c>
      <c r="Y215">
        <f t="shared" si="10"/>
        <v>18.5599785</v>
      </c>
      <c r="Z215">
        <f t="shared" si="11"/>
        <v>72.099978499999992</v>
      </c>
    </row>
    <row r="216" spans="1:26" x14ac:dyDescent="0.3">
      <c r="A216" t="s">
        <v>306</v>
      </c>
      <c r="B216" t="s">
        <v>67</v>
      </c>
      <c r="C216" t="s">
        <v>56</v>
      </c>
      <c r="D216" t="s">
        <v>69</v>
      </c>
      <c r="E216">
        <v>22</v>
      </c>
      <c r="F216" s="3">
        <v>8.39</v>
      </c>
      <c r="G216" s="4">
        <v>78.5</v>
      </c>
      <c r="H216">
        <v>0</v>
      </c>
      <c r="I216">
        <v>1</v>
      </c>
      <c r="J216">
        <v>2</v>
      </c>
      <c r="K216" s="4">
        <v>59</v>
      </c>
      <c r="L216" s="4">
        <v>56.3</v>
      </c>
      <c r="M216" s="4">
        <v>68.2</v>
      </c>
      <c r="N216">
        <v>0</v>
      </c>
      <c r="O216" t="s">
        <v>64</v>
      </c>
      <c r="P216" t="s">
        <v>65</v>
      </c>
      <c r="S216" s="3">
        <v>0</v>
      </c>
      <c r="T216" s="5"/>
      <c r="U216">
        <v>0</v>
      </c>
      <c r="V216">
        <v>2023</v>
      </c>
      <c r="X216">
        <f t="shared" si="9"/>
        <v>8.3899784000000004</v>
      </c>
      <c r="Y216">
        <f t="shared" si="10"/>
        <v>-2.16E-5</v>
      </c>
      <c r="Z216">
        <f t="shared" si="11"/>
        <v>56.299978400000001</v>
      </c>
    </row>
    <row r="217" spans="1:26" x14ac:dyDescent="0.3">
      <c r="A217" t="s">
        <v>307</v>
      </c>
      <c r="B217" t="s">
        <v>67</v>
      </c>
      <c r="C217" t="s">
        <v>101</v>
      </c>
      <c r="D217" t="s">
        <v>57</v>
      </c>
      <c r="E217">
        <v>23</v>
      </c>
      <c r="F217" s="3">
        <v>8.76</v>
      </c>
      <c r="G217" s="4">
        <v>87.6</v>
      </c>
      <c r="H217">
        <v>1</v>
      </c>
      <c r="I217">
        <v>1</v>
      </c>
      <c r="J217">
        <v>4</v>
      </c>
      <c r="K217" s="4">
        <v>73.900000000000006</v>
      </c>
      <c r="L217" s="4">
        <v>75.2</v>
      </c>
      <c r="M217" s="4">
        <v>63.6</v>
      </c>
      <c r="N217">
        <v>0</v>
      </c>
      <c r="O217" t="s">
        <v>58</v>
      </c>
      <c r="P217" t="s">
        <v>95</v>
      </c>
      <c r="Q217" t="s">
        <v>93</v>
      </c>
      <c r="R217" t="s">
        <v>80</v>
      </c>
      <c r="S217" s="3">
        <v>7.16</v>
      </c>
      <c r="T217" s="5">
        <v>45197</v>
      </c>
      <c r="U217">
        <v>1</v>
      </c>
      <c r="V217">
        <v>2023</v>
      </c>
      <c r="X217">
        <f t="shared" si="9"/>
        <v>8.7599783000000002</v>
      </c>
      <c r="Y217">
        <f t="shared" si="10"/>
        <v>7.1599783000000006</v>
      </c>
      <c r="Z217">
        <f t="shared" si="11"/>
        <v>75.199978299999998</v>
      </c>
    </row>
    <row r="218" spans="1:26" x14ac:dyDescent="0.3">
      <c r="A218" t="s">
        <v>308</v>
      </c>
      <c r="B218" t="s">
        <v>55</v>
      </c>
      <c r="C218" t="s">
        <v>89</v>
      </c>
      <c r="D218" t="s">
        <v>69</v>
      </c>
      <c r="E218">
        <v>21</v>
      </c>
      <c r="F218" s="3">
        <v>7.28</v>
      </c>
      <c r="G218" s="4">
        <v>83.4</v>
      </c>
      <c r="H218">
        <v>1</v>
      </c>
      <c r="I218">
        <v>4</v>
      </c>
      <c r="J218">
        <v>4</v>
      </c>
      <c r="K218" s="4">
        <v>75.7</v>
      </c>
      <c r="L218" s="4">
        <v>63.5</v>
      </c>
      <c r="M218" s="4">
        <v>92.5</v>
      </c>
      <c r="N218">
        <v>0</v>
      </c>
      <c r="O218" t="s">
        <v>58</v>
      </c>
      <c r="P218" t="s">
        <v>70</v>
      </c>
      <c r="Q218" t="s">
        <v>71</v>
      </c>
      <c r="R218" t="s">
        <v>76</v>
      </c>
      <c r="S218" s="3">
        <v>5.94</v>
      </c>
      <c r="T218" s="5">
        <v>45573</v>
      </c>
      <c r="U218">
        <v>2</v>
      </c>
      <c r="V218">
        <v>2024</v>
      </c>
      <c r="X218">
        <f t="shared" si="9"/>
        <v>7.2799782000000004</v>
      </c>
      <c r="Y218">
        <f t="shared" si="10"/>
        <v>5.9399782000000005</v>
      </c>
      <c r="Z218">
        <f t="shared" si="11"/>
        <v>63.499978200000001</v>
      </c>
    </row>
    <row r="219" spans="1:26" x14ac:dyDescent="0.3">
      <c r="A219" t="s">
        <v>309</v>
      </c>
      <c r="B219" t="s">
        <v>55</v>
      </c>
      <c r="C219" t="s">
        <v>101</v>
      </c>
      <c r="D219" t="s">
        <v>69</v>
      </c>
      <c r="E219">
        <v>21</v>
      </c>
      <c r="F219" s="3">
        <v>6.34</v>
      </c>
      <c r="G219" s="4">
        <v>72.8</v>
      </c>
      <c r="H219">
        <v>2</v>
      </c>
      <c r="I219">
        <v>3</v>
      </c>
      <c r="J219">
        <v>4</v>
      </c>
      <c r="K219" s="4">
        <v>100</v>
      </c>
      <c r="L219" s="4">
        <v>56.6</v>
      </c>
      <c r="M219" s="4">
        <v>56.7</v>
      </c>
      <c r="N219">
        <v>1</v>
      </c>
      <c r="O219" t="s">
        <v>58</v>
      </c>
      <c r="P219" t="s">
        <v>87</v>
      </c>
      <c r="Q219" t="s">
        <v>71</v>
      </c>
      <c r="R219" t="s">
        <v>72</v>
      </c>
      <c r="S219" s="3">
        <v>5.21</v>
      </c>
      <c r="T219" s="5">
        <v>45616</v>
      </c>
      <c r="U219">
        <v>2</v>
      </c>
      <c r="V219">
        <v>2024</v>
      </c>
      <c r="X219">
        <f t="shared" si="9"/>
        <v>6.3399780999999997</v>
      </c>
      <c r="Y219">
        <f t="shared" si="10"/>
        <v>5.2099780999999998</v>
      </c>
      <c r="Z219">
        <f t="shared" si="11"/>
        <v>56.599978100000001</v>
      </c>
    </row>
    <row r="220" spans="1:26" x14ac:dyDescent="0.3">
      <c r="A220" t="s">
        <v>310</v>
      </c>
      <c r="B220" t="s">
        <v>107</v>
      </c>
      <c r="C220" t="s">
        <v>56</v>
      </c>
      <c r="D220" t="s">
        <v>69</v>
      </c>
      <c r="E220">
        <v>20</v>
      </c>
      <c r="F220" s="3">
        <v>8.0500000000000007</v>
      </c>
      <c r="G220" s="4">
        <v>85.6</v>
      </c>
      <c r="H220">
        <v>2</v>
      </c>
      <c r="I220">
        <v>1</v>
      </c>
      <c r="J220">
        <v>4</v>
      </c>
      <c r="K220" s="4">
        <v>57.1</v>
      </c>
      <c r="L220" s="4">
        <v>69.400000000000006</v>
      </c>
      <c r="M220" s="4">
        <v>78.8</v>
      </c>
      <c r="N220">
        <v>0</v>
      </c>
      <c r="O220" t="s">
        <v>58</v>
      </c>
      <c r="P220" t="s">
        <v>87</v>
      </c>
      <c r="Q220" t="s">
        <v>71</v>
      </c>
      <c r="R220" t="s">
        <v>61</v>
      </c>
      <c r="S220" s="3">
        <v>7.99</v>
      </c>
      <c r="T220" s="5">
        <v>44450</v>
      </c>
      <c r="U220">
        <v>2</v>
      </c>
      <c r="V220">
        <v>2021</v>
      </c>
      <c r="X220">
        <f t="shared" si="9"/>
        <v>8.0499780000000012</v>
      </c>
      <c r="Y220">
        <f t="shared" si="10"/>
        <v>7.9899779999999998</v>
      </c>
      <c r="Z220">
        <f t="shared" si="11"/>
        <v>69.399978000000004</v>
      </c>
    </row>
    <row r="221" spans="1:26" x14ac:dyDescent="0.3">
      <c r="A221" t="s">
        <v>311</v>
      </c>
      <c r="B221" t="s">
        <v>107</v>
      </c>
      <c r="C221" t="s">
        <v>68</v>
      </c>
      <c r="D221" t="s">
        <v>57</v>
      </c>
      <c r="E221">
        <v>22</v>
      </c>
      <c r="F221" s="3">
        <v>8.4700000000000006</v>
      </c>
      <c r="G221" s="4">
        <v>71.5</v>
      </c>
      <c r="H221">
        <v>2</v>
      </c>
      <c r="I221">
        <v>1</v>
      </c>
      <c r="J221">
        <v>2</v>
      </c>
      <c r="K221" s="4">
        <v>41</v>
      </c>
      <c r="L221" s="4">
        <v>31.7</v>
      </c>
      <c r="M221" s="4">
        <v>72.400000000000006</v>
      </c>
      <c r="N221">
        <v>0</v>
      </c>
      <c r="O221" t="s">
        <v>58</v>
      </c>
      <c r="P221" t="s">
        <v>79</v>
      </c>
      <c r="Q221" t="s">
        <v>71</v>
      </c>
      <c r="R221" t="s">
        <v>76</v>
      </c>
      <c r="S221" s="3">
        <v>5.86</v>
      </c>
      <c r="T221" s="5">
        <v>44503</v>
      </c>
      <c r="U221">
        <v>2</v>
      </c>
      <c r="V221">
        <v>2021</v>
      </c>
      <c r="X221">
        <f t="shared" si="9"/>
        <v>8.4699778999999999</v>
      </c>
      <c r="Y221">
        <f t="shared" si="10"/>
        <v>5.8599779000000005</v>
      </c>
      <c r="Z221">
        <f t="shared" si="11"/>
        <v>31.6999779</v>
      </c>
    </row>
    <row r="222" spans="1:26" x14ac:dyDescent="0.3">
      <c r="A222" t="s">
        <v>312</v>
      </c>
      <c r="B222" t="s">
        <v>82</v>
      </c>
      <c r="C222" t="s">
        <v>68</v>
      </c>
      <c r="D222" t="s">
        <v>57</v>
      </c>
      <c r="E222">
        <v>21</v>
      </c>
      <c r="F222" s="3">
        <v>8.18</v>
      </c>
      <c r="G222" s="4">
        <v>74.2</v>
      </c>
      <c r="H222">
        <v>1</v>
      </c>
      <c r="I222">
        <v>3</v>
      </c>
      <c r="J222">
        <v>2</v>
      </c>
      <c r="K222" s="4">
        <v>39.9</v>
      </c>
      <c r="L222" s="4">
        <v>55.7</v>
      </c>
      <c r="M222" s="4">
        <v>79.7</v>
      </c>
      <c r="N222">
        <v>1</v>
      </c>
      <c r="O222" t="s">
        <v>58</v>
      </c>
      <c r="P222" t="s">
        <v>70</v>
      </c>
      <c r="Q222" t="s">
        <v>71</v>
      </c>
      <c r="R222" t="s">
        <v>85</v>
      </c>
      <c r="S222" s="3">
        <v>5.15</v>
      </c>
      <c r="T222" s="5">
        <v>44832</v>
      </c>
      <c r="U222">
        <v>1</v>
      </c>
      <c r="V222">
        <v>2022</v>
      </c>
      <c r="X222">
        <f t="shared" si="9"/>
        <v>8.1799777999999996</v>
      </c>
      <c r="Y222">
        <f t="shared" si="10"/>
        <v>5.1499778000000003</v>
      </c>
      <c r="Z222">
        <f t="shared" si="11"/>
        <v>55.699977800000006</v>
      </c>
    </row>
    <row r="223" spans="1:26" x14ac:dyDescent="0.3">
      <c r="A223" t="s">
        <v>313</v>
      </c>
      <c r="B223" t="s">
        <v>107</v>
      </c>
      <c r="C223" t="s">
        <v>78</v>
      </c>
      <c r="D223" t="s">
        <v>69</v>
      </c>
      <c r="E223">
        <v>23</v>
      </c>
      <c r="F223" s="3">
        <v>9.06</v>
      </c>
      <c r="G223" s="4">
        <v>75.099999999999994</v>
      </c>
      <c r="H223">
        <v>1</v>
      </c>
      <c r="I223">
        <v>1</v>
      </c>
      <c r="J223">
        <v>5</v>
      </c>
      <c r="K223" s="4">
        <v>71</v>
      </c>
      <c r="L223" s="4">
        <v>100</v>
      </c>
      <c r="M223" s="4">
        <v>72</v>
      </c>
      <c r="N223">
        <v>3</v>
      </c>
      <c r="O223" t="s">
        <v>58</v>
      </c>
      <c r="P223" t="s">
        <v>95</v>
      </c>
      <c r="Q223" t="s">
        <v>93</v>
      </c>
      <c r="R223" t="s">
        <v>130</v>
      </c>
      <c r="S223" s="3">
        <v>10.039999999999999</v>
      </c>
      <c r="T223" s="5">
        <v>44443</v>
      </c>
      <c r="U223">
        <v>1</v>
      </c>
      <c r="V223">
        <v>2021</v>
      </c>
      <c r="X223">
        <f t="shared" si="9"/>
        <v>9.059977700000001</v>
      </c>
      <c r="Y223">
        <f t="shared" si="10"/>
        <v>10.0399777</v>
      </c>
      <c r="Z223">
        <f t="shared" si="11"/>
        <v>99.999977700000002</v>
      </c>
    </row>
    <row r="224" spans="1:26" x14ac:dyDescent="0.3">
      <c r="A224" t="s">
        <v>314</v>
      </c>
      <c r="B224" t="s">
        <v>67</v>
      </c>
      <c r="C224" t="s">
        <v>68</v>
      </c>
      <c r="D224" t="s">
        <v>57</v>
      </c>
      <c r="E224">
        <v>21</v>
      </c>
      <c r="F224" s="3">
        <v>9.06</v>
      </c>
      <c r="G224" s="4">
        <v>95.9</v>
      </c>
      <c r="H224">
        <v>1</v>
      </c>
      <c r="I224">
        <v>5</v>
      </c>
      <c r="J224">
        <v>3</v>
      </c>
      <c r="K224" s="4">
        <v>82.3</v>
      </c>
      <c r="L224" s="4">
        <v>68.099999999999994</v>
      </c>
      <c r="M224" s="4">
        <v>79.900000000000006</v>
      </c>
      <c r="N224">
        <v>0</v>
      </c>
      <c r="O224" t="s">
        <v>58</v>
      </c>
      <c r="P224" t="s">
        <v>59</v>
      </c>
      <c r="Q224" t="s">
        <v>60</v>
      </c>
      <c r="R224" t="s">
        <v>72</v>
      </c>
      <c r="S224" s="3">
        <v>19.54</v>
      </c>
      <c r="T224" s="5">
        <v>45179</v>
      </c>
      <c r="U224">
        <v>2</v>
      </c>
      <c r="V224">
        <v>2023</v>
      </c>
      <c r="X224">
        <f t="shared" si="9"/>
        <v>9.0599775999999999</v>
      </c>
      <c r="Y224">
        <f t="shared" si="10"/>
        <v>19.5399776</v>
      </c>
      <c r="Z224">
        <f t="shared" si="11"/>
        <v>68.099977599999988</v>
      </c>
    </row>
    <row r="225" spans="1:26" x14ac:dyDescent="0.3">
      <c r="A225" t="s">
        <v>315</v>
      </c>
      <c r="B225" t="s">
        <v>55</v>
      </c>
      <c r="C225" t="s">
        <v>68</v>
      </c>
      <c r="D225" t="s">
        <v>57</v>
      </c>
      <c r="E225">
        <v>21</v>
      </c>
      <c r="F225" s="3">
        <v>7.38</v>
      </c>
      <c r="G225" s="4">
        <v>67</v>
      </c>
      <c r="H225">
        <v>0</v>
      </c>
      <c r="I225">
        <v>1</v>
      </c>
      <c r="J225">
        <v>4</v>
      </c>
      <c r="K225" s="4">
        <v>55.5</v>
      </c>
      <c r="L225" s="4">
        <v>64.400000000000006</v>
      </c>
      <c r="M225" s="4">
        <v>77.400000000000006</v>
      </c>
      <c r="N225">
        <v>0</v>
      </c>
      <c r="O225" t="s">
        <v>58</v>
      </c>
      <c r="P225" t="s">
        <v>92</v>
      </c>
      <c r="Q225" t="s">
        <v>93</v>
      </c>
      <c r="R225" t="s">
        <v>85</v>
      </c>
      <c r="S225" s="3">
        <v>7.65</v>
      </c>
      <c r="T225" s="5">
        <v>45571</v>
      </c>
      <c r="U225">
        <v>1</v>
      </c>
      <c r="V225">
        <v>2024</v>
      </c>
      <c r="X225">
        <f t="shared" si="9"/>
        <v>7.3799774999999999</v>
      </c>
      <c r="Y225">
        <f t="shared" si="10"/>
        <v>7.6499775000000003</v>
      </c>
      <c r="Z225">
        <f t="shared" si="11"/>
        <v>64.399977500000006</v>
      </c>
    </row>
    <row r="226" spans="1:26" x14ac:dyDescent="0.3">
      <c r="A226" t="s">
        <v>316</v>
      </c>
      <c r="B226" t="s">
        <v>107</v>
      </c>
      <c r="C226" t="s">
        <v>68</v>
      </c>
      <c r="D226" t="s">
        <v>57</v>
      </c>
      <c r="E226">
        <v>23</v>
      </c>
      <c r="F226" s="3">
        <v>7.83</v>
      </c>
      <c r="G226" s="4">
        <v>67.599999999999994</v>
      </c>
      <c r="H226">
        <v>1</v>
      </c>
      <c r="I226">
        <v>0</v>
      </c>
      <c r="J226">
        <v>4</v>
      </c>
      <c r="K226" s="4">
        <v>65.3</v>
      </c>
      <c r="L226" s="4">
        <v>77.099999999999994</v>
      </c>
      <c r="M226" s="4">
        <v>81.099999999999994</v>
      </c>
      <c r="N226">
        <v>0</v>
      </c>
      <c r="O226" t="s">
        <v>58</v>
      </c>
      <c r="P226" t="s">
        <v>95</v>
      </c>
      <c r="Q226" t="s">
        <v>93</v>
      </c>
      <c r="R226" t="s">
        <v>76</v>
      </c>
      <c r="S226" s="3">
        <v>7.09</v>
      </c>
      <c r="T226" s="5">
        <v>44491</v>
      </c>
      <c r="U226">
        <v>1</v>
      </c>
      <c r="V226">
        <v>2021</v>
      </c>
      <c r="X226">
        <f t="shared" si="9"/>
        <v>7.8299773999999998</v>
      </c>
      <c r="Y226">
        <f t="shared" si="10"/>
        <v>7.0899773999999995</v>
      </c>
      <c r="Z226">
        <f t="shared" si="11"/>
        <v>77.0999774</v>
      </c>
    </row>
    <row r="227" spans="1:26" x14ac:dyDescent="0.3">
      <c r="A227" t="s">
        <v>317</v>
      </c>
      <c r="B227" t="s">
        <v>107</v>
      </c>
      <c r="C227" t="s">
        <v>74</v>
      </c>
      <c r="D227" t="s">
        <v>69</v>
      </c>
      <c r="E227">
        <v>20</v>
      </c>
      <c r="F227" s="3">
        <v>7.2</v>
      </c>
      <c r="G227" s="4">
        <v>84.5</v>
      </c>
      <c r="H227">
        <v>2</v>
      </c>
      <c r="I227">
        <v>3</v>
      </c>
      <c r="J227">
        <v>6</v>
      </c>
      <c r="K227" s="4">
        <v>61.8</v>
      </c>
      <c r="L227" s="4">
        <v>87.4</v>
      </c>
      <c r="M227" s="4">
        <v>94.9</v>
      </c>
      <c r="N227">
        <v>0</v>
      </c>
      <c r="O227" t="s">
        <v>58</v>
      </c>
      <c r="P227" t="s">
        <v>112</v>
      </c>
      <c r="Q227" t="s">
        <v>93</v>
      </c>
      <c r="R227" t="s">
        <v>109</v>
      </c>
      <c r="S227" s="3">
        <v>6.31</v>
      </c>
      <c r="T227" s="5">
        <v>44491</v>
      </c>
      <c r="U227">
        <v>2</v>
      </c>
      <c r="V227">
        <v>2021</v>
      </c>
      <c r="X227">
        <f t="shared" si="9"/>
        <v>7.1999773000000005</v>
      </c>
      <c r="Y227">
        <f t="shared" si="10"/>
        <v>6.3099772999999999</v>
      </c>
      <c r="Z227">
        <f t="shared" si="11"/>
        <v>87.399977300000003</v>
      </c>
    </row>
    <row r="228" spans="1:26" x14ac:dyDescent="0.3">
      <c r="A228" t="s">
        <v>318</v>
      </c>
      <c r="B228" t="s">
        <v>82</v>
      </c>
      <c r="C228" t="s">
        <v>68</v>
      </c>
      <c r="D228" t="s">
        <v>57</v>
      </c>
      <c r="E228">
        <v>22</v>
      </c>
      <c r="F228" s="3">
        <v>6.73</v>
      </c>
      <c r="G228" s="4">
        <v>82.9</v>
      </c>
      <c r="H228">
        <v>0</v>
      </c>
      <c r="I228">
        <v>2</v>
      </c>
      <c r="J228">
        <v>4</v>
      </c>
      <c r="K228" s="4">
        <v>52</v>
      </c>
      <c r="L228" s="4">
        <v>96.3</v>
      </c>
      <c r="M228" s="4">
        <v>51.6</v>
      </c>
      <c r="N228">
        <v>1</v>
      </c>
      <c r="O228" t="s">
        <v>58</v>
      </c>
      <c r="P228" t="s">
        <v>104</v>
      </c>
      <c r="Q228" t="s">
        <v>105</v>
      </c>
      <c r="R228" t="s">
        <v>80</v>
      </c>
      <c r="S228" s="3">
        <v>15.24</v>
      </c>
      <c r="T228" s="5">
        <v>44838</v>
      </c>
      <c r="U228">
        <v>1</v>
      </c>
      <c r="V228">
        <v>2022</v>
      </c>
      <c r="X228">
        <f t="shared" si="9"/>
        <v>6.7299772000000004</v>
      </c>
      <c r="Y228">
        <f t="shared" si="10"/>
        <v>15.2399772</v>
      </c>
      <c r="Z228">
        <f t="shared" si="11"/>
        <v>96.299977200000001</v>
      </c>
    </row>
    <row r="229" spans="1:26" x14ac:dyDescent="0.3">
      <c r="A229" t="s">
        <v>319</v>
      </c>
      <c r="B229" t="s">
        <v>82</v>
      </c>
      <c r="C229" t="s">
        <v>56</v>
      </c>
      <c r="D229" t="s">
        <v>57</v>
      </c>
      <c r="E229">
        <v>20</v>
      </c>
      <c r="F229" s="3">
        <v>6.78</v>
      </c>
      <c r="G229" s="4">
        <v>77.8</v>
      </c>
      <c r="H229">
        <v>0</v>
      </c>
      <c r="I229">
        <v>5</v>
      </c>
      <c r="J229">
        <v>4</v>
      </c>
      <c r="K229" s="4">
        <v>76.400000000000006</v>
      </c>
      <c r="L229" s="4">
        <v>70.8</v>
      </c>
      <c r="M229" s="4">
        <v>75</v>
      </c>
      <c r="N229">
        <v>0</v>
      </c>
      <c r="O229" t="s">
        <v>58</v>
      </c>
      <c r="P229" t="s">
        <v>95</v>
      </c>
      <c r="Q229" t="s">
        <v>93</v>
      </c>
      <c r="R229" t="s">
        <v>109</v>
      </c>
      <c r="S229" s="3">
        <v>4.95</v>
      </c>
      <c r="T229" s="5">
        <v>44859</v>
      </c>
      <c r="U229">
        <v>2</v>
      </c>
      <c r="V229">
        <v>2022</v>
      </c>
      <c r="X229">
        <f t="shared" si="9"/>
        <v>6.7799771</v>
      </c>
      <c r="Y229">
        <f t="shared" si="10"/>
        <v>4.9499770999999999</v>
      </c>
      <c r="Z229">
        <f t="shared" si="11"/>
        <v>70.799977099999992</v>
      </c>
    </row>
    <row r="230" spans="1:26" x14ac:dyDescent="0.3">
      <c r="A230" t="s">
        <v>320</v>
      </c>
      <c r="B230" t="s">
        <v>67</v>
      </c>
      <c r="C230" t="s">
        <v>84</v>
      </c>
      <c r="D230" t="s">
        <v>57</v>
      </c>
      <c r="E230">
        <v>23</v>
      </c>
      <c r="F230" s="3">
        <v>8.3000000000000007</v>
      </c>
      <c r="G230" s="4">
        <v>82.1</v>
      </c>
      <c r="H230">
        <v>2</v>
      </c>
      <c r="I230">
        <v>3</v>
      </c>
      <c r="J230">
        <v>3</v>
      </c>
      <c r="K230" s="4">
        <v>43.5</v>
      </c>
      <c r="L230" s="4">
        <v>68.7</v>
      </c>
      <c r="M230" s="4">
        <v>62.1</v>
      </c>
      <c r="N230">
        <v>0</v>
      </c>
      <c r="O230" t="s">
        <v>58</v>
      </c>
      <c r="P230" t="s">
        <v>92</v>
      </c>
      <c r="Q230" t="s">
        <v>93</v>
      </c>
      <c r="R230" t="s">
        <v>85</v>
      </c>
      <c r="S230" s="3">
        <v>11.43</v>
      </c>
      <c r="T230" s="5">
        <v>45157</v>
      </c>
      <c r="U230">
        <v>1</v>
      </c>
      <c r="V230">
        <v>2023</v>
      </c>
      <c r="X230">
        <f t="shared" si="9"/>
        <v>8.2999770000000002</v>
      </c>
      <c r="Y230">
        <f t="shared" si="10"/>
        <v>11.429976999999999</v>
      </c>
      <c r="Z230">
        <f t="shared" si="11"/>
        <v>68.699977000000004</v>
      </c>
    </row>
    <row r="231" spans="1:26" x14ac:dyDescent="0.3">
      <c r="A231" t="s">
        <v>321</v>
      </c>
      <c r="B231" t="s">
        <v>55</v>
      </c>
      <c r="C231" t="s">
        <v>78</v>
      </c>
      <c r="D231" t="s">
        <v>69</v>
      </c>
      <c r="E231">
        <v>21</v>
      </c>
      <c r="F231" s="3">
        <v>7.92</v>
      </c>
      <c r="G231" s="4">
        <v>72.400000000000006</v>
      </c>
      <c r="H231">
        <v>2</v>
      </c>
      <c r="I231">
        <v>2</v>
      </c>
      <c r="J231">
        <v>6</v>
      </c>
      <c r="K231" s="4">
        <v>76.900000000000006</v>
      </c>
      <c r="L231" s="4">
        <v>77.5</v>
      </c>
      <c r="M231" s="4">
        <v>65.3</v>
      </c>
      <c r="N231">
        <v>0</v>
      </c>
      <c r="O231" t="s">
        <v>58</v>
      </c>
      <c r="P231" t="s">
        <v>59</v>
      </c>
      <c r="Q231" t="s">
        <v>60</v>
      </c>
      <c r="R231" t="s">
        <v>72</v>
      </c>
      <c r="S231" s="3">
        <v>19.96</v>
      </c>
      <c r="T231" s="5">
        <v>45594</v>
      </c>
      <c r="U231">
        <v>1</v>
      </c>
      <c r="V231">
        <v>2024</v>
      </c>
      <c r="X231">
        <f t="shared" si="9"/>
        <v>7.9199769</v>
      </c>
      <c r="Y231">
        <f t="shared" si="10"/>
        <v>19.959976900000001</v>
      </c>
      <c r="Z231">
        <f t="shared" si="11"/>
        <v>77.499976899999993</v>
      </c>
    </row>
    <row r="232" spans="1:26" x14ac:dyDescent="0.3">
      <c r="A232" t="s">
        <v>322</v>
      </c>
      <c r="B232" t="s">
        <v>82</v>
      </c>
      <c r="C232" t="s">
        <v>84</v>
      </c>
      <c r="D232" t="s">
        <v>57</v>
      </c>
      <c r="E232">
        <v>22</v>
      </c>
      <c r="F232" s="3">
        <v>8.4499999999999993</v>
      </c>
      <c r="G232" s="4">
        <v>82.8</v>
      </c>
      <c r="H232">
        <v>1</v>
      </c>
      <c r="I232">
        <v>2</v>
      </c>
      <c r="J232">
        <v>4</v>
      </c>
      <c r="K232" s="4">
        <v>62</v>
      </c>
      <c r="L232" s="4">
        <v>72.599999999999994</v>
      </c>
      <c r="M232" s="4">
        <v>62.6</v>
      </c>
      <c r="N232">
        <v>1</v>
      </c>
      <c r="O232" t="s">
        <v>58</v>
      </c>
      <c r="P232" t="s">
        <v>59</v>
      </c>
      <c r="Q232" t="s">
        <v>60</v>
      </c>
      <c r="R232" t="s">
        <v>61</v>
      </c>
      <c r="S232" s="3">
        <v>19.100000000000001</v>
      </c>
      <c r="T232" s="5">
        <v>44852</v>
      </c>
      <c r="U232">
        <v>2</v>
      </c>
      <c r="V232">
        <v>2022</v>
      </c>
      <c r="X232">
        <f t="shared" si="9"/>
        <v>8.4499768</v>
      </c>
      <c r="Y232">
        <f t="shared" si="10"/>
        <v>19.0999768</v>
      </c>
      <c r="Z232">
        <f t="shared" si="11"/>
        <v>72.599976799999993</v>
      </c>
    </row>
    <row r="233" spans="1:26" x14ac:dyDescent="0.3">
      <c r="A233" t="s">
        <v>323</v>
      </c>
      <c r="B233" t="s">
        <v>107</v>
      </c>
      <c r="C233" t="s">
        <v>56</v>
      </c>
      <c r="D233" t="s">
        <v>57</v>
      </c>
      <c r="E233">
        <v>20</v>
      </c>
      <c r="F233" s="3">
        <v>9.93</v>
      </c>
      <c r="G233" s="4">
        <v>83.9</v>
      </c>
      <c r="H233">
        <v>2</v>
      </c>
      <c r="I233">
        <v>3</v>
      </c>
      <c r="J233">
        <v>1</v>
      </c>
      <c r="K233" s="4">
        <v>81.8</v>
      </c>
      <c r="L233" s="4">
        <v>69.3</v>
      </c>
      <c r="M233" s="4">
        <v>70.5</v>
      </c>
      <c r="N233">
        <v>2</v>
      </c>
      <c r="O233" t="s">
        <v>58</v>
      </c>
      <c r="P233" t="s">
        <v>87</v>
      </c>
      <c r="Q233" t="s">
        <v>71</v>
      </c>
      <c r="R233" t="s">
        <v>72</v>
      </c>
      <c r="S233" s="3">
        <v>8.5500000000000007</v>
      </c>
      <c r="T233" s="5">
        <v>44427</v>
      </c>
      <c r="U233">
        <v>2</v>
      </c>
      <c r="V233">
        <v>2021</v>
      </c>
      <c r="X233">
        <f t="shared" si="9"/>
        <v>9.9299766999999992</v>
      </c>
      <c r="Y233">
        <f t="shared" si="10"/>
        <v>8.5499767000000002</v>
      </c>
      <c r="Z233">
        <f t="shared" si="11"/>
        <v>69.299976700000002</v>
      </c>
    </row>
    <row r="234" spans="1:26" x14ac:dyDescent="0.3">
      <c r="A234" t="s">
        <v>324</v>
      </c>
      <c r="B234" t="s">
        <v>55</v>
      </c>
      <c r="C234" t="s">
        <v>101</v>
      </c>
      <c r="D234" t="s">
        <v>57</v>
      </c>
      <c r="E234">
        <v>23</v>
      </c>
      <c r="F234" s="3">
        <v>8.1</v>
      </c>
      <c r="G234" s="4">
        <v>92.9</v>
      </c>
      <c r="H234">
        <v>3</v>
      </c>
      <c r="I234">
        <v>2</v>
      </c>
      <c r="J234">
        <v>4</v>
      </c>
      <c r="K234" s="4">
        <v>70.400000000000006</v>
      </c>
      <c r="L234" s="4">
        <v>80.8</v>
      </c>
      <c r="M234" s="4">
        <v>87.5</v>
      </c>
      <c r="N234">
        <v>0</v>
      </c>
      <c r="O234" t="s">
        <v>58</v>
      </c>
      <c r="P234" t="s">
        <v>87</v>
      </c>
      <c r="Q234" t="s">
        <v>71</v>
      </c>
      <c r="R234" t="s">
        <v>85</v>
      </c>
      <c r="S234" s="3">
        <v>7.93</v>
      </c>
      <c r="T234" s="5">
        <v>45529</v>
      </c>
      <c r="U234">
        <v>2</v>
      </c>
      <c r="V234">
        <v>2024</v>
      </c>
      <c r="X234">
        <f t="shared" si="9"/>
        <v>8.0999765999999997</v>
      </c>
      <c r="Y234">
        <f t="shared" si="10"/>
        <v>7.9299765999999998</v>
      </c>
      <c r="Z234">
        <f t="shared" si="11"/>
        <v>80.799976599999994</v>
      </c>
    </row>
    <row r="235" spans="1:26" x14ac:dyDescent="0.3">
      <c r="A235" t="s">
        <v>325</v>
      </c>
      <c r="B235" t="s">
        <v>55</v>
      </c>
      <c r="C235" t="s">
        <v>101</v>
      </c>
      <c r="D235" t="s">
        <v>69</v>
      </c>
      <c r="E235">
        <v>21</v>
      </c>
      <c r="F235" s="3">
        <v>6.94</v>
      </c>
      <c r="G235" s="4">
        <v>99.2</v>
      </c>
      <c r="H235">
        <v>1</v>
      </c>
      <c r="I235">
        <v>1</v>
      </c>
      <c r="J235">
        <v>3</v>
      </c>
      <c r="K235" s="4">
        <v>46.3</v>
      </c>
      <c r="L235" s="4">
        <v>80.599999999999994</v>
      </c>
      <c r="M235" s="4">
        <v>69.5</v>
      </c>
      <c r="N235">
        <v>0</v>
      </c>
      <c r="O235" t="s">
        <v>58</v>
      </c>
      <c r="P235" t="s">
        <v>90</v>
      </c>
      <c r="Q235" t="s">
        <v>60</v>
      </c>
      <c r="R235" t="s">
        <v>85</v>
      </c>
      <c r="S235" s="3">
        <v>8.7799999999999994</v>
      </c>
      <c r="T235" s="5">
        <v>45543</v>
      </c>
      <c r="U235">
        <v>1</v>
      </c>
      <c r="V235">
        <v>2024</v>
      </c>
      <c r="X235">
        <f t="shared" si="9"/>
        <v>6.9399765000000002</v>
      </c>
      <c r="Y235">
        <f t="shared" si="10"/>
        <v>8.7799765000000001</v>
      </c>
      <c r="Z235">
        <f t="shared" si="11"/>
        <v>80.599976499999997</v>
      </c>
    </row>
    <row r="236" spans="1:26" x14ac:dyDescent="0.3">
      <c r="A236" t="s">
        <v>326</v>
      </c>
      <c r="B236" t="s">
        <v>107</v>
      </c>
      <c r="C236" t="s">
        <v>78</v>
      </c>
      <c r="D236" t="s">
        <v>57</v>
      </c>
      <c r="E236">
        <v>21</v>
      </c>
      <c r="F236" s="3">
        <v>8.58</v>
      </c>
      <c r="G236" s="4">
        <v>79.599999999999994</v>
      </c>
      <c r="H236">
        <v>1</v>
      </c>
      <c r="I236">
        <v>1</v>
      </c>
      <c r="J236">
        <v>1</v>
      </c>
      <c r="K236" s="4">
        <v>72.400000000000006</v>
      </c>
      <c r="L236" s="4">
        <v>72.7</v>
      </c>
      <c r="M236" s="4">
        <v>78.2</v>
      </c>
      <c r="N236">
        <v>0</v>
      </c>
      <c r="O236" t="s">
        <v>58</v>
      </c>
      <c r="P236" t="s">
        <v>92</v>
      </c>
      <c r="Q236" t="s">
        <v>93</v>
      </c>
      <c r="R236" t="s">
        <v>85</v>
      </c>
      <c r="S236" s="3">
        <v>8.81</v>
      </c>
      <c r="T236" s="5">
        <v>44503</v>
      </c>
      <c r="U236">
        <v>1</v>
      </c>
      <c r="V236">
        <v>2021</v>
      </c>
      <c r="X236">
        <f t="shared" si="9"/>
        <v>8.5799763999999996</v>
      </c>
      <c r="Y236">
        <f t="shared" si="10"/>
        <v>8.8099764</v>
      </c>
      <c r="Z236">
        <f t="shared" si="11"/>
        <v>72.699976399999997</v>
      </c>
    </row>
    <row r="237" spans="1:26" x14ac:dyDescent="0.3">
      <c r="A237" t="s">
        <v>327</v>
      </c>
      <c r="B237" t="s">
        <v>82</v>
      </c>
      <c r="C237" t="s">
        <v>89</v>
      </c>
      <c r="D237" t="s">
        <v>57</v>
      </c>
      <c r="E237">
        <v>20</v>
      </c>
      <c r="F237" s="3">
        <v>6.92</v>
      </c>
      <c r="G237" s="4">
        <v>70.5</v>
      </c>
      <c r="H237">
        <v>1</v>
      </c>
      <c r="I237">
        <v>1</v>
      </c>
      <c r="J237">
        <v>3</v>
      </c>
      <c r="K237" s="4">
        <v>62.6</v>
      </c>
      <c r="L237" s="4">
        <v>100</v>
      </c>
      <c r="M237" s="4">
        <v>84.8</v>
      </c>
      <c r="N237">
        <v>0</v>
      </c>
      <c r="O237" t="s">
        <v>58</v>
      </c>
      <c r="P237" t="s">
        <v>75</v>
      </c>
      <c r="Q237" t="s">
        <v>71</v>
      </c>
      <c r="R237" t="s">
        <v>80</v>
      </c>
      <c r="S237" s="3">
        <v>7.62</v>
      </c>
      <c r="T237" s="5">
        <v>44867</v>
      </c>
      <c r="U237">
        <v>1</v>
      </c>
      <c r="V237">
        <v>2022</v>
      </c>
      <c r="X237">
        <f t="shared" si="9"/>
        <v>6.9199763000000001</v>
      </c>
      <c r="Y237">
        <f t="shared" si="10"/>
        <v>7.6199763000000003</v>
      </c>
      <c r="Z237">
        <f t="shared" si="11"/>
        <v>99.9999763</v>
      </c>
    </row>
    <row r="238" spans="1:26" x14ac:dyDescent="0.3">
      <c r="A238" t="s">
        <v>328</v>
      </c>
      <c r="B238" t="s">
        <v>107</v>
      </c>
      <c r="C238" t="s">
        <v>74</v>
      </c>
      <c r="D238" t="s">
        <v>57</v>
      </c>
      <c r="E238">
        <v>23</v>
      </c>
      <c r="F238" s="3">
        <v>9.2200000000000006</v>
      </c>
      <c r="G238" s="4">
        <v>85.5</v>
      </c>
      <c r="H238">
        <v>2</v>
      </c>
      <c r="I238">
        <v>3</v>
      </c>
      <c r="J238">
        <v>5</v>
      </c>
      <c r="K238" s="4">
        <v>83.3</v>
      </c>
      <c r="L238" s="4">
        <v>100</v>
      </c>
      <c r="M238" s="4">
        <v>63.8</v>
      </c>
      <c r="N238">
        <v>0</v>
      </c>
      <c r="O238" t="s">
        <v>58</v>
      </c>
      <c r="P238" t="s">
        <v>75</v>
      </c>
      <c r="Q238" t="s">
        <v>71</v>
      </c>
      <c r="R238" t="s">
        <v>72</v>
      </c>
      <c r="S238" s="3">
        <v>8.75</v>
      </c>
      <c r="T238" s="5">
        <v>44528</v>
      </c>
      <c r="U238">
        <v>1</v>
      </c>
      <c r="V238">
        <v>2021</v>
      </c>
      <c r="X238">
        <f t="shared" si="9"/>
        <v>9.2199762000000014</v>
      </c>
      <c r="Y238">
        <f t="shared" si="10"/>
        <v>8.7499762000000008</v>
      </c>
      <c r="Z238">
        <f t="shared" si="11"/>
        <v>99.999976200000006</v>
      </c>
    </row>
    <row r="239" spans="1:26" x14ac:dyDescent="0.3">
      <c r="A239" t="s">
        <v>329</v>
      </c>
      <c r="B239" t="s">
        <v>55</v>
      </c>
      <c r="C239" t="s">
        <v>101</v>
      </c>
      <c r="D239" t="s">
        <v>69</v>
      </c>
      <c r="E239">
        <v>21</v>
      </c>
      <c r="F239" s="3">
        <v>5.88</v>
      </c>
      <c r="G239" s="4">
        <v>80.8</v>
      </c>
      <c r="H239">
        <v>1</v>
      </c>
      <c r="I239">
        <v>1</v>
      </c>
      <c r="J239">
        <v>4</v>
      </c>
      <c r="K239" s="4">
        <v>78.2</v>
      </c>
      <c r="L239" s="4">
        <v>80.099999999999994</v>
      </c>
      <c r="M239" s="4">
        <v>64.400000000000006</v>
      </c>
      <c r="N239">
        <v>0</v>
      </c>
      <c r="O239" t="s">
        <v>64</v>
      </c>
      <c r="P239" t="s">
        <v>65</v>
      </c>
      <c r="S239" s="3">
        <v>0</v>
      </c>
      <c r="T239" s="5"/>
      <c r="U239">
        <v>0</v>
      </c>
      <c r="V239">
        <v>2024</v>
      </c>
      <c r="X239">
        <f t="shared" si="9"/>
        <v>5.8799760999999995</v>
      </c>
      <c r="Y239">
        <f t="shared" si="10"/>
        <v>-2.3899999999999998E-5</v>
      </c>
      <c r="Z239">
        <f t="shared" si="11"/>
        <v>80.099976099999992</v>
      </c>
    </row>
    <row r="240" spans="1:26" x14ac:dyDescent="0.3">
      <c r="A240" t="s">
        <v>330</v>
      </c>
      <c r="B240" t="s">
        <v>63</v>
      </c>
      <c r="C240" t="s">
        <v>68</v>
      </c>
      <c r="D240" t="s">
        <v>69</v>
      </c>
      <c r="E240">
        <v>21</v>
      </c>
      <c r="F240" s="3">
        <v>7.16</v>
      </c>
      <c r="G240" s="4">
        <v>80.400000000000006</v>
      </c>
      <c r="H240">
        <v>3</v>
      </c>
      <c r="I240">
        <v>1</v>
      </c>
      <c r="J240">
        <v>4</v>
      </c>
      <c r="K240" s="4">
        <v>84</v>
      </c>
      <c r="L240" s="4">
        <v>89.1</v>
      </c>
      <c r="M240" s="4">
        <v>74</v>
      </c>
      <c r="N240">
        <v>0</v>
      </c>
      <c r="O240" t="s">
        <v>58</v>
      </c>
      <c r="P240" t="s">
        <v>87</v>
      </c>
      <c r="Q240" t="s">
        <v>71</v>
      </c>
      <c r="R240" t="s">
        <v>76</v>
      </c>
      <c r="S240" s="3">
        <v>7.57</v>
      </c>
      <c r="T240" s="5">
        <v>45989</v>
      </c>
      <c r="U240">
        <v>1</v>
      </c>
      <c r="V240">
        <v>2025</v>
      </c>
      <c r="X240">
        <f t="shared" si="9"/>
        <v>7.1599760000000003</v>
      </c>
      <c r="Y240">
        <f t="shared" si="10"/>
        <v>7.5699760000000005</v>
      </c>
      <c r="Z240">
        <f t="shared" si="11"/>
        <v>89.099975999999998</v>
      </c>
    </row>
    <row r="241" spans="1:26" x14ac:dyDescent="0.3">
      <c r="A241" t="s">
        <v>331</v>
      </c>
      <c r="B241" t="s">
        <v>63</v>
      </c>
      <c r="C241" t="s">
        <v>56</v>
      </c>
      <c r="D241" t="s">
        <v>69</v>
      </c>
      <c r="E241">
        <v>22</v>
      </c>
      <c r="F241" s="3">
        <v>8.2100000000000009</v>
      </c>
      <c r="G241" s="4">
        <v>67.5</v>
      </c>
      <c r="H241">
        <v>2</v>
      </c>
      <c r="I241">
        <v>3</v>
      </c>
      <c r="J241">
        <v>4</v>
      </c>
      <c r="K241" s="4">
        <v>63.2</v>
      </c>
      <c r="L241" s="4">
        <v>61.6</v>
      </c>
      <c r="M241" s="4">
        <v>52.4</v>
      </c>
      <c r="N241">
        <v>0</v>
      </c>
      <c r="O241" t="s">
        <v>58</v>
      </c>
      <c r="P241" t="s">
        <v>70</v>
      </c>
      <c r="Q241" t="s">
        <v>71</v>
      </c>
      <c r="R241" t="s">
        <v>80</v>
      </c>
      <c r="S241" s="3">
        <v>6.81</v>
      </c>
      <c r="T241" s="5">
        <v>45949</v>
      </c>
      <c r="U241">
        <v>1</v>
      </c>
      <c r="V241">
        <v>2025</v>
      </c>
      <c r="X241">
        <f t="shared" si="9"/>
        <v>8.2099759000000017</v>
      </c>
      <c r="Y241">
        <f t="shared" si="10"/>
        <v>6.8099758999999995</v>
      </c>
      <c r="Z241">
        <f t="shared" si="11"/>
        <v>61.599975900000004</v>
      </c>
    </row>
    <row r="242" spans="1:26" x14ac:dyDescent="0.3">
      <c r="A242" t="s">
        <v>332</v>
      </c>
      <c r="B242" t="s">
        <v>67</v>
      </c>
      <c r="C242" t="s">
        <v>74</v>
      </c>
      <c r="D242" t="s">
        <v>69</v>
      </c>
      <c r="E242">
        <v>21</v>
      </c>
      <c r="F242" s="3">
        <v>8.7100000000000009</v>
      </c>
      <c r="G242" s="4">
        <v>82.9</v>
      </c>
      <c r="H242">
        <v>1</v>
      </c>
      <c r="I242">
        <v>0</v>
      </c>
      <c r="J242">
        <v>4</v>
      </c>
      <c r="K242" s="4">
        <v>55.2</v>
      </c>
      <c r="L242" s="4">
        <v>72.2</v>
      </c>
      <c r="M242" s="4">
        <v>98.1</v>
      </c>
      <c r="N242">
        <v>0</v>
      </c>
      <c r="O242" t="s">
        <v>58</v>
      </c>
      <c r="P242" t="s">
        <v>87</v>
      </c>
      <c r="Q242" t="s">
        <v>71</v>
      </c>
      <c r="R242" t="s">
        <v>61</v>
      </c>
      <c r="S242" s="3">
        <v>7.47</v>
      </c>
      <c r="T242" s="5">
        <v>45178</v>
      </c>
      <c r="U242">
        <v>1</v>
      </c>
      <c r="V242">
        <v>2023</v>
      </c>
      <c r="X242">
        <f t="shared" si="9"/>
        <v>8.7099758000000005</v>
      </c>
      <c r="Y242">
        <f t="shared" si="10"/>
        <v>7.4699757999999994</v>
      </c>
      <c r="Z242">
        <f t="shared" si="11"/>
        <v>72.199975800000004</v>
      </c>
    </row>
    <row r="243" spans="1:26" x14ac:dyDescent="0.3">
      <c r="A243" t="s">
        <v>333</v>
      </c>
      <c r="B243" t="s">
        <v>107</v>
      </c>
      <c r="C243" t="s">
        <v>84</v>
      </c>
      <c r="D243" t="s">
        <v>57</v>
      </c>
      <c r="E243">
        <v>20</v>
      </c>
      <c r="F243" s="3">
        <v>7.04</v>
      </c>
      <c r="G243" s="4">
        <v>85.8</v>
      </c>
      <c r="H243">
        <v>0</v>
      </c>
      <c r="I243">
        <v>2</v>
      </c>
      <c r="J243">
        <v>3</v>
      </c>
      <c r="K243" s="4">
        <v>67.8</v>
      </c>
      <c r="L243" s="4">
        <v>82.7</v>
      </c>
      <c r="M243" s="4">
        <v>74.099999999999994</v>
      </c>
      <c r="N243">
        <v>0</v>
      </c>
      <c r="O243" t="s">
        <v>58</v>
      </c>
      <c r="P243" t="s">
        <v>59</v>
      </c>
      <c r="Q243" t="s">
        <v>60</v>
      </c>
      <c r="R243" t="s">
        <v>72</v>
      </c>
      <c r="S243" s="3">
        <v>17.850000000000001</v>
      </c>
      <c r="T243" s="5">
        <v>44420</v>
      </c>
      <c r="U243">
        <v>1</v>
      </c>
      <c r="V243">
        <v>2021</v>
      </c>
      <c r="X243">
        <f t="shared" si="9"/>
        <v>7.0399757000000003</v>
      </c>
      <c r="Y243">
        <f t="shared" si="10"/>
        <v>17.849975700000002</v>
      </c>
      <c r="Z243">
        <f t="shared" si="11"/>
        <v>82.699975699999996</v>
      </c>
    </row>
    <row r="244" spans="1:26" x14ac:dyDescent="0.3">
      <c r="A244" t="s">
        <v>334</v>
      </c>
      <c r="B244" t="s">
        <v>107</v>
      </c>
      <c r="C244" t="s">
        <v>101</v>
      </c>
      <c r="D244" t="s">
        <v>69</v>
      </c>
      <c r="E244">
        <v>23</v>
      </c>
      <c r="F244" s="3">
        <v>6.88</v>
      </c>
      <c r="G244" s="4">
        <v>90.9</v>
      </c>
      <c r="H244">
        <v>1</v>
      </c>
      <c r="I244">
        <v>4</v>
      </c>
      <c r="J244">
        <v>3</v>
      </c>
      <c r="K244" s="4">
        <v>78.3</v>
      </c>
      <c r="L244" s="4">
        <v>92.7</v>
      </c>
      <c r="M244" s="4">
        <v>80.7</v>
      </c>
      <c r="N244">
        <v>2</v>
      </c>
      <c r="O244" t="s">
        <v>58</v>
      </c>
      <c r="P244" t="s">
        <v>87</v>
      </c>
      <c r="Q244" t="s">
        <v>71</v>
      </c>
      <c r="R244" t="s">
        <v>76</v>
      </c>
      <c r="S244" s="3">
        <v>4.96</v>
      </c>
      <c r="T244" s="5">
        <v>44500</v>
      </c>
      <c r="U244">
        <v>1</v>
      </c>
      <c r="V244">
        <v>2021</v>
      </c>
      <c r="X244">
        <f t="shared" si="9"/>
        <v>6.8799755999999999</v>
      </c>
      <c r="Y244">
        <f t="shared" si="10"/>
        <v>4.9599755999999999</v>
      </c>
      <c r="Z244">
        <f t="shared" si="11"/>
        <v>92.699975600000002</v>
      </c>
    </row>
    <row r="245" spans="1:26" x14ac:dyDescent="0.3">
      <c r="A245" t="s">
        <v>335</v>
      </c>
      <c r="B245" t="s">
        <v>67</v>
      </c>
      <c r="C245" t="s">
        <v>84</v>
      </c>
      <c r="D245" t="s">
        <v>57</v>
      </c>
      <c r="E245">
        <v>23</v>
      </c>
      <c r="F245" s="3">
        <v>7.78</v>
      </c>
      <c r="G245" s="4">
        <v>77.5</v>
      </c>
      <c r="H245">
        <v>1</v>
      </c>
      <c r="I245">
        <v>2</v>
      </c>
      <c r="J245">
        <v>1</v>
      </c>
      <c r="K245" s="4">
        <v>54.6</v>
      </c>
      <c r="L245" s="4">
        <v>56.2</v>
      </c>
      <c r="M245" s="4">
        <v>71.7</v>
      </c>
      <c r="N245">
        <v>0</v>
      </c>
      <c r="O245" t="s">
        <v>58</v>
      </c>
      <c r="P245" t="s">
        <v>95</v>
      </c>
      <c r="Q245" t="s">
        <v>93</v>
      </c>
      <c r="R245" t="s">
        <v>61</v>
      </c>
      <c r="S245" s="3">
        <v>4.97</v>
      </c>
      <c r="T245" s="5">
        <v>45168</v>
      </c>
      <c r="U245">
        <v>1</v>
      </c>
      <c r="V245">
        <v>2023</v>
      </c>
      <c r="X245">
        <f t="shared" si="9"/>
        <v>7.7799754999999999</v>
      </c>
      <c r="Y245">
        <f t="shared" si="10"/>
        <v>4.9699754999999994</v>
      </c>
      <c r="Z245">
        <f t="shared" si="11"/>
        <v>56.199975500000001</v>
      </c>
    </row>
    <row r="246" spans="1:26" x14ac:dyDescent="0.3">
      <c r="A246" t="s">
        <v>336</v>
      </c>
      <c r="B246" t="s">
        <v>67</v>
      </c>
      <c r="C246" t="s">
        <v>89</v>
      </c>
      <c r="D246" t="s">
        <v>57</v>
      </c>
      <c r="E246">
        <v>22</v>
      </c>
      <c r="F246" s="3">
        <v>9.3699999999999992</v>
      </c>
      <c r="G246" s="4">
        <v>74.599999999999994</v>
      </c>
      <c r="H246">
        <v>3</v>
      </c>
      <c r="I246">
        <v>1</v>
      </c>
      <c r="J246">
        <v>2</v>
      </c>
      <c r="K246" s="4">
        <v>72.3</v>
      </c>
      <c r="L246" s="4">
        <v>61.9</v>
      </c>
      <c r="M246" s="4">
        <v>81.599999999999994</v>
      </c>
      <c r="N246">
        <v>0</v>
      </c>
      <c r="O246" t="s">
        <v>58</v>
      </c>
      <c r="P246" t="s">
        <v>104</v>
      </c>
      <c r="Q246" t="s">
        <v>105</v>
      </c>
      <c r="R246" t="s">
        <v>72</v>
      </c>
      <c r="S246" s="3">
        <v>17.25</v>
      </c>
      <c r="T246" s="5">
        <v>45258</v>
      </c>
      <c r="U246">
        <v>2</v>
      </c>
      <c r="V246">
        <v>2023</v>
      </c>
      <c r="X246">
        <f t="shared" si="9"/>
        <v>9.3699753999999995</v>
      </c>
      <c r="Y246">
        <f t="shared" si="10"/>
        <v>17.2499754</v>
      </c>
      <c r="Z246">
        <f t="shared" si="11"/>
        <v>61.899975399999995</v>
      </c>
    </row>
    <row r="247" spans="1:26" x14ac:dyDescent="0.3">
      <c r="A247" t="s">
        <v>337</v>
      </c>
      <c r="B247" t="s">
        <v>67</v>
      </c>
      <c r="C247" t="s">
        <v>56</v>
      </c>
      <c r="D247" t="s">
        <v>57</v>
      </c>
      <c r="E247">
        <v>23</v>
      </c>
      <c r="F247" s="3">
        <v>6.27</v>
      </c>
      <c r="G247" s="4">
        <v>77.400000000000006</v>
      </c>
      <c r="H247">
        <v>1</v>
      </c>
      <c r="I247">
        <v>2</v>
      </c>
      <c r="J247">
        <v>6</v>
      </c>
      <c r="K247" s="4">
        <v>73.3</v>
      </c>
      <c r="L247" s="4">
        <v>73</v>
      </c>
      <c r="M247" s="4">
        <v>71.900000000000006</v>
      </c>
      <c r="N247">
        <v>1</v>
      </c>
      <c r="O247" t="s">
        <v>58</v>
      </c>
      <c r="P247" t="s">
        <v>59</v>
      </c>
      <c r="Q247" t="s">
        <v>60</v>
      </c>
      <c r="R247" t="s">
        <v>76</v>
      </c>
      <c r="S247" s="3">
        <v>18.7</v>
      </c>
      <c r="T247" s="5">
        <v>45208</v>
      </c>
      <c r="U247">
        <v>1</v>
      </c>
      <c r="V247">
        <v>2023</v>
      </c>
      <c r="X247">
        <f t="shared" si="9"/>
        <v>6.2699752999999996</v>
      </c>
      <c r="Y247">
        <f t="shared" si="10"/>
        <v>18.699975299999998</v>
      </c>
      <c r="Z247">
        <f t="shared" si="11"/>
        <v>72.999975300000003</v>
      </c>
    </row>
    <row r="248" spans="1:26" x14ac:dyDescent="0.3">
      <c r="A248" t="s">
        <v>338</v>
      </c>
      <c r="B248" t="s">
        <v>55</v>
      </c>
      <c r="C248" t="s">
        <v>56</v>
      </c>
      <c r="D248" t="s">
        <v>57</v>
      </c>
      <c r="E248">
        <v>20</v>
      </c>
      <c r="F248" s="3">
        <v>7.37</v>
      </c>
      <c r="G248" s="4">
        <v>90.4</v>
      </c>
      <c r="H248">
        <v>1</v>
      </c>
      <c r="I248">
        <v>3</v>
      </c>
      <c r="J248">
        <v>5</v>
      </c>
      <c r="K248" s="4">
        <v>87.3</v>
      </c>
      <c r="L248" s="4">
        <v>94.7</v>
      </c>
      <c r="M248" s="4">
        <v>80.7</v>
      </c>
      <c r="N248">
        <v>0</v>
      </c>
      <c r="O248" t="s">
        <v>64</v>
      </c>
      <c r="P248" t="s">
        <v>65</v>
      </c>
      <c r="S248" s="3">
        <v>0</v>
      </c>
      <c r="T248" s="5"/>
      <c r="U248">
        <v>0</v>
      </c>
      <c r="V248">
        <v>2024</v>
      </c>
      <c r="X248">
        <f t="shared" si="9"/>
        <v>7.3699751999999998</v>
      </c>
      <c r="Y248">
        <f t="shared" si="10"/>
        <v>-2.48E-5</v>
      </c>
      <c r="Z248">
        <f t="shared" si="11"/>
        <v>94.699975199999997</v>
      </c>
    </row>
    <row r="249" spans="1:26" x14ac:dyDescent="0.3">
      <c r="A249" t="s">
        <v>339</v>
      </c>
      <c r="B249" t="s">
        <v>107</v>
      </c>
      <c r="C249" t="s">
        <v>56</v>
      </c>
      <c r="D249" t="s">
        <v>69</v>
      </c>
      <c r="E249">
        <v>21</v>
      </c>
      <c r="F249" s="3">
        <v>7.88</v>
      </c>
      <c r="G249" s="4">
        <v>94.5</v>
      </c>
      <c r="H249">
        <v>1</v>
      </c>
      <c r="I249">
        <v>2</v>
      </c>
      <c r="J249">
        <v>3</v>
      </c>
      <c r="K249" s="4">
        <v>53.4</v>
      </c>
      <c r="L249" s="4">
        <v>72.900000000000006</v>
      </c>
      <c r="M249" s="4">
        <v>89.6</v>
      </c>
      <c r="N249">
        <v>0</v>
      </c>
      <c r="O249" t="s">
        <v>58</v>
      </c>
      <c r="P249" t="s">
        <v>92</v>
      </c>
      <c r="Q249" t="s">
        <v>93</v>
      </c>
      <c r="R249" t="s">
        <v>76</v>
      </c>
      <c r="S249" s="3">
        <v>9.24</v>
      </c>
      <c r="T249" s="5">
        <v>44422</v>
      </c>
      <c r="U249">
        <v>3</v>
      </c>
      <c r="V249">
        <v>2021</v>
      </c>
      <c r="X249">
        <f t="shared" si="9"/>
        <v>7.8799751000000002</v>
      </c>
      <c r="Y249">
        <f t="shared" si="10"/>
        <v>9.2399751000000006</v>
      </c>
      <c r="Z249">
        <f t="shared" si="11"/>
        <v>72.899975100000006</v>
      </c>
    </row>
    <row r="250" spans="1:26" x14ac:dyDescent="0.3">
      <c r="A250" t="s">
        <v>340</v>
      </c>
      <c r="B250" t="s">
        <v>55</v>
      </c>
      <c r="C250" t="s">
        <v>56</v>
      </c>
      <c r="D250" t="s">
        <v>57</v>
      </c>
      <c r="E250">
        <v>22</v>
      </c>
      <c r="F250" s="3">
        <v>6.93</v>
      </c>
      <c r="G250" s="4">
        <v>92.1</v>
      </c>
      <c r="H250">
        <v>0</v>
      </c>
      <c r="I250">
        <v>0</v>
      </c>
      <c r="J250">
        <v>3</v>
      </c>
      <c r="K250" s="4">
        <v>74.900000000000006</v>
      </c>
      <c r="L250" s="4">
        <v>89.1</v>
      </c>
      <c r="M250" s="4">
        <v>47.6</v>
      </c>
      <c r="N250">
        <v>0</v>
      </c>
      <c r="O250" t="s">
        <v>58</v>
      </c>
      <c r="P250" t="s">
        <v>87</v>
      </c>
      <c r="Q250" t="s">
        <v>71</v>
      </c>
      <c r="R250" t="s">
        <v>109</v>
      </c>
      <c r="S250" s="3">
        <v>5.38</v>
      </c>
      <c r="T250" s="5">
        <v>45509</v>
      </c>
      <c r="U250">
        <v>3</v>
      </c>
      <c r="V250">
        <v>2024</v>
      </c>
      <c r="X250">
        <f t="shared" si="9"/>
        <v>6.9299749999999998</v>
      </c>
      <c r="Y250">
        <f t="shared" si="10"/>
        <v>5.379975</v>
      </c>
      <c r="Z250">
        <f t="shared" si="11"/>
        <v>89.099975000000001</v>
      </c>
    </row>
    <row r="251" spans="1:26" x14ac:dyDescent="0.3">
      <c r="A251" t="s">
        <v>341</v>
      </c>
      <c r="B251" t="s">
        <v>67</v>
      </c>
      <c r="C251" t="s">
        <v>74</v>
      </c>
      <c r="D251" t="s">
        <v>69</v>
      </c>
      <c r="E251">
        <v>23</v>
      </c>
      <c r="F251" s="3">
        <v>6.93</v>
      </c>
      <c r="G251" s="4">
        <v>87.8</v>
      </c>
      <c r="H251">
        <v>1</v>
      </c>
      <c r="I251">
        <v>0</v>
      </c>
      <c r="J251">
        <v>6</v>
      </c>
      <c r="K251" s="4">
        <v>61.1</v>
      </c>
      <c r="L251" s="4">
        <v>69.400000000000006</v>
      </c>
      <c r="M251" s="4">
        <v>82</v>
      </c>
      <c r="N251">
        <v>0</v>
      </c>
      <c r="O251" t="s">
        <v>58</v>
      </c>
      <c r="P251" t="s">
        <v>79</v>
      </c>
      <c r="Q251" t="s">
        <v>71</v>
      </c>
      <c r="R251" t="s">
        <v>85</v>
      </c>
      <c r="S251" s="3">
        <v>4.5599999999999996</v>
      </c>
      <c r="T251" s="5">
        <v>45174</v>
      </c>
      <c r="U251">
        <v>1</v>
      </c>
      <c r="V251">
        <v>2023</v>
      </c>
      <c r="X251">
        <f t="shared" si="9"/>
        <v>6.9299748999999995</v>
      </c>
      <c r="Y251">
        <f t="shared" si="10"/>
        <v>4.5599748999999994</v>
      </c>
      <c r="Z251">
        <f t="shared" si="11"/>
        <v>69.399974900000004</v>
      </c>
    </row>
    <row r="252" spans="1:26" x14ac:dyDescent="0.3">
      <c r="A252" t="s">
        <v>342</v>
      </c>
      <c r="B252" t="s">
        <v>107</v>
      </c>
      <c r="C252" t="s">
        <v>56</v>
      </c>
      <c r="D252" t="s">
        <v>57</v>
      </c>
      <c r="E252">
        <v>22</v>
      </c>
      <c r="F252" s="3">
        <v>7.44</v>
      </c>
      <c r="G252" s="4">
        <v>81.7</v>
      </c>
      <c r="H252">
        <v>0</v>
      </c>
      <c r="I252">
        <v>3</v>
      </c>
      <c r="J252">
        <v>3</v>
      </c>
      <c r="K252" s="4">
        <v>57.4</v>
      </c>
      <c r="L252" s="4">
        <v>82.7</v>
      </c>
      <c r="M252" s="4">
        <v>67.599999999999994</v>
      </c>
      <c r="N252">
        <v>0</v>
      </c>
      <c r="O252" t="s">
        <v>58</v>
      </c>
      <c r="P252" t="s">
        <v>87</v>
      </c>
      <c r="Q252" t="s">
        <v>71</v>
      </c>
      <c r="R252" t="s">
        <v>85</v>
      </c>
      <c r="S252" s="3">
        <v>5.6</v>
      </c>
      <c r="T252" s="5">
        <v>44467</v>
      </c>
      <c r="U252">
        <v>1</v>
      </c>
      <c r="V252">
        <v>2021</v>
      </c>
      <c r="X252">
        <f t="shared" si="9"/>
        <v>7.4399748000000008</v>
      </c>
      <c r="Y252">
        <f t="shared" si="10"/>
        <v>5.5999748</v>
      </c>
      <c r="Z252">
        <f t="shared" si="11"/>
        <v>82.699974800000007</v>
      </c>
    </row>
    <row r="253" spans="1:26" x14ac:dyDescent="0.3">
      <c r="A253" t="s">
        <v>343</v>
      </c>
      <c r="B253" t="s">
        <v>55</v>
      </c>
      <c r="C253" t="s">
        <v>68</v>
      </c>
      <c r="D253" t="s">
        <v>57</v>
      </c>
      <c r="E253">
        <v>22</v>
      </c>
      <c r="F253" s="3">
        <v>7.91</v>
      </c>
      <c r="G253" s="4">
        <v>83.1</v>
      </c>
      <c r="H253">
        <v>2</v>
      </c>
      <c r="I253">
        <v>1</v>
      </c>
      <c r="J253">
        <v>4</v>
      </c>
      <c r="K253" s="4">
        <v>95.2</v>
      </c>
      <c r="L253" s="4">
        <v>55.4</v>
      </c>
      <c r="M253" s="4">
        <v>60.7</v>
      </c>
      <c r="N253">
        <v>0</v>
      </c>
      <c r="O253" t="s">
        <v>58</v>
      </c>
      <c r="P253" t="s">
        <v>104</v>
      </c>
      <c r="Q253" t="s">
        <v>105</v>
      </c>
      <c r="R253" t="s">
        <v>80</v>
      </c>
      <c r="S253" s="3">
        <v>15.42</v>
      </c>
      <c r="T253" s="5">
        <v>45561</v>
      </c>
      <c r="U253">
        <v>2</v>
      </c>
      <c r="V253">
        <v>2024</v>
      </c>
      <c r="X253">
        <f t="shared" si="9"/>
        <v>7.9099747000000002</v>
      </c>
      <c r="Y253">
        <f t="shared" si="10"/>
        <v>15.419974699999999</v>
      </c>
      <c r="Z253">
        <f t="shared" si="11"/>
        <v>55.399974700000001</v>
      </c>
    </row>
    <row r="254" spans="1:26" x14ac:dyDescent="0.3">
      <c r="A254" t="s">
        <v>344</v>
      </c>
      <c r="B254" t="s">
        <v>55</v>
      </c>
      <c r="C254" t="s">
        <v>84</v>
      </c>
      <c r="D254" t="s">
        <v>69</v>
      </c>
      <c r="E254">
        <v>23</v>
      </c>
      <c r="F254" s="3">
        <v>7.47</v>
      </c>
      <c r="G254" s="4">
        <v>84.4</v>
      </c>
      <c r="H254">
        <v>1</v>
      </c>
      <c r="I254">
        <v>3</v>
      </c>
      <c r="J254">
        <v>1</v>
      </c>
      <c r="K254" s="4">
        <v>74.2</v>
      </c>
      <c r="L254" s="4">
        <v>60.5</v>
      </c>
      <c r="M254" s="4">
        <v>56.7</v>
      </c>
      <c r="N254">
        <v>3</v>
      </c>
      <c r="O254" t="s">
        <v>58</v>
      </c>
      <c r="P254" t="s">
        <v>92</v>
      </c>
      <c r="Q254" t="s">
        <v>93</v>
      </c>
      <c r="R254" t="s">
        <v>76</v>
      </c>
      <c r="S254" s="3">
        <v>8.2200000000000006</v>
      </c>
      <c r="T254" s="5">
        <v>45591</v>
      </c>
      <c r="U254">
        <v>1</v>
      </c>
      <c r="V254">
        <v>2024</v>
      </c>
      <c r="X254">
        <f t="shared" si="9"/>
        <v>7.4699745999999996</v>
      </c>
      <c r="Y254">
        <f t="shared" si="10"/>
        <v>8.2199746000000005</v>
      </c>
      <c r="Z254">
        <f t="shared" si="11"/>
        <v>60.499974600000002</v>
      </c>
    </row>
    <row r="255" spans="1:26" x14ac:dyDescent="0.3">
      <c r="A255" t="s">
        <v>345</v>
      </c>
      <c r="B255" t="s">
        <v>67</v>
      </c>
      <c r="C255" t="s">
        <v>68</v>
      </c>
      <c r="D255" t="s">
        <v>69</v>
      </c>
      <c r="E255">
        <v>22</v>
      </c>
      <c r="F255" s="3">
        <v>8.9700000000000006</v>
      </c>
      <c r="G255" s="4">
        <v>79.7</v>
      </c>
      <c r="H255">
        <v>1</v>
      </c>
      <c r="I255">
        <v>2</v>
      </c>
      <c r="J255">
        <v>4</v>
      </c>
      <c r="K255" s="4">
        <v>89.5</v>
      </c>
      <c r="L255" s="4">
        <v>68</v>
      </c>
      <c r="M255" s="4">
        <v>75.2</v>
      </c>
      <c r="N255">
        <v>0</v>
      </c>
      <c r="O255" t="s">
        <v>58</v>
      </c>
      <c r="P255" t="s">
        <v>70</v>
      </c>
      <c r="Q255" t="s">
        <v>71</v>
      </c>
      <c r="R255" t="s">
        <v>61</v>
      </c>
      <c r="S255" s="3">
        <v>4.82</v>
      </c>
      <c r="T255" s="5">
        <v>45198</v>
      </c>
      <c r="U255">
        <v>2</v>
      </c>
      <c r="V255">
        <v>2023</v>
      </c>
      <c r="X255">
        <f t="shared" si="9"/>
        <v>8.9699745000000011</v>
      </c>
      <c r="Y255">
        <f t="shared" si="10"/>
        <v>4.8199745000000007</v>
      </c>
      <c r="Z255">
        <f t="shared" si="11"/>
        <v>67.999974499999993</v>
      </c>
    </row>
    <row r="256" spans="1:26" x14ac:dyDescent="0.3">
      <c r="A256" t="s">
        <v>346</v>
      </c>
      <c r="B256" t="s">
        <v>107</v>
      </c>
      <c r="C256" t="s">
        <v>101</v>
      </c>
      <c r="D256" t="s">
        <v>69</v>
      </c>
      <c r="E256">
        <v>23</v>
      </c>
      <c r="F256" s="3">
        <v>8.18</v>
      </c>
      <c r="G256" s="4">
        <v>90</v>
      </c>
      <c r="H256">
        <v>2</v>
      </c>
      <c r="I256">
        <v>2</v>
      </c>
      <c r="J256">
        <v>6</v>
      </c>
      <c r="K256" s="4">
        <v>57.5</v>
      </c>
      <c r="L256" s="4">
        <v>53.8</v>
      </c>
      <c r="M256" s="4">
        <v>77.400000000000006</v>
      </c>
      <c r="N256">
        <v>0</v>
      </c>
      <c r="O256" t="s">
        <v>58</v>
      </c>
      <c r="P256" t="s">
        <v>104</v>
      </c>
      <c r="Q256" t="s">
        <v>105</v>
      </c>
      <c r="R256" t="s">
        <v>85</v>
      </c>
      <c r="S256" s="3">
        <v>16.670000000000002</v>
      </c>
      <c r="T256" s="5">
        <v>44504</v>
      </c>
      <c r="U256">
        <v>2</v>
      </c>
      <c r="V256">
        <v>2021</v>
      </c>
      <c r="X256">
        <f t="shared" si="9"/>
        <v>8.179974399999999</v>
      </c>
      <c r="Y256">
        <f t="shared" si="10"/>
        <v>16.669974400000001</v>
      </c>
      <c r="Z256">
        <f t="shared" si="11"/>
        <v>53.799974399999996</v>
      </c>
    </row>
    <row r="257" spans="1:26" x14ac:dyDescent="0.3">
      <c r="A257" t="s">
        <v>347</v>
      </c>
      <c r="B257" t="s">
        <v>67</v>
      </c>
      <c r="C257" t="s">
        <v>89</v>
      </c>
      <c r="D257" t="s">
        <v>57</v>
      </c>
      <c r="E257">
        <v>20</v>
      </c>
      <c r="F257" s="3">
        <v>7.99</v>
      </c>
      <c r="G257" s="4">
        <v>67.099999999999994</v>
      </c>
      <c r="H257">
        <v>0</v>
      </c>
      <c r="I257">
        <v>4</v>
      </c>
      <c r="J257">
        <v>5</v>
      </c>
      <c r="K257" s="4">
        <v>91.5</v>
      </c>
      <c r="L257" s="4">
        <v>52.9</v>
      </c>
      <c r="M257" s="4">
        <v>66.5</v>
      </c>
      <c r="N257">
        <v>0</v>
      </c>
      <c r="O257" t="s">
        <v>64</v>
      </c>
      <c r="P257" t="s">
        <v>65</v>
      </c>
      <c r="S257" s="3">
        <v>0</v>
      </c>
      <c r="T257" s="5"/>
      <c r="U257">
        <v>0</v>
      </c>
      <c r="V257">
        <v>2023</v>
      </c>
      <c r="X257">
        <f t="shared" si="9"/>
        <v>7.9899743000000001</v>
      </c>
      <c r="Y257">
        <f t="shared" si="10"/>
        <v>-2.5699999999999998E-5</v>
      </c>
      <c r="Z257">
        <f t="shared" si="11"/>
        <v>52.899974299999997</v>
      </c>
    </row>
    <row r="258" spans="1:26" x14ac:dyDescent="0.3">
      <c r="A258" t="s">
        <v>348</v>
      </c>
      <c r="B258" t="s">
        <v>107</v>
      </c>
      <c r="C258" t="s">
        <v>56</v>
      </c>
      <c r="D258" t="s">
        <v>57</v>
      </c>
      <c r="E258">
        <v>23</v>
      </c>
      <c r="F258" s="3">
        <v>8.57</v>
      </c>
      <c r="G258" s="4">
        <v>68.8</v>
      </c>
      <c r="H258">
        <v>1</v>
      </c>
      <c r="I258">
        <v>0</v>
      </c>
      <c r="J258">
        <v>4</v>
      </c>
      <c r="K258" s="4">
        <v>62.3</v>
      </c>
      <c r="L258" s="4">
        <v>65</v>
      </c>
      <c r="M258" s="4">
        <v>58.9</v>
      </c>
      <c r="N258">
        <v>0</v>
      </c>
      <c r="O258" t="s">
        <v>58</v>
      </c>
      <c r="P258" t="s">
        <v>112</v>
      </c>
      <c r="Q258" t="s">
        <v>93</v>
      </c>
      <c r="R258" t="s">
        <v>109</v>
      </c>
      <c r="S258" s="3">
        <v>7.35</v>
      </c>
      <c r="T258" s="5">
        <v>44486</v>
      </c>
      <c r="U258">
        <v>2</v>
      </c>
      <c r="V258">
        <v>2021</v>
      </c>
      <c r="X258">
        <f t="shared" ref="X258:X321" si="12">F258-ROW()*0.0000001</f>
        <v>8.5699742000000008</v>
      </c>
      <c r="Y258">
        <f t="shared" ref="Y258:Y321" si="13">S258-ROW()*0.0000001</f>
        <v>7.3499741999999992</v>
      </c>
      <c r="Z258">
        <f t="shared" ref="Z258:Z321" si="14">L258-ROW()*0.0000001</f>
        <v>64.999974199999997</v>
      </c>
    </row>
    <row r="259" spans="1:26" x14ac:dyDescent="0.3">
      <c r="A259" t="s">
        <v>349</v>
      </c>
      <c r="B259" t="s">
        <v>63</v>
      </c>
      <c r="C259" t="s">
        <v>74</v>
      </c>
      <c r="D259" t="s">
        <v>69</v>
      </c>
      <c r="E259">
        <v>21</v>
      </c>
      <c r="F259" s="3">
        <v>8.01</v>
      </c>
      <c r="G259" s="4">
        <v>67.099999999999994</v>
      </c>
      <c r="H259">
        <v>1</v>
      </c>
      <c r="I259">
        <v>1</v>
      </c>
      <c r="J259">
        <v>4</v>
      </c>
      <c r="K259" s="4">
        <v>79.099999999999994</v>
      </c>
      <c r="L259" s="4">
        <v>49</v>
      </c>
      <c r="M259" s="4">
        <v>75.400000000000006</v>
      </c>
      <c r="N259">
        <v>0</v>
      </c>
      <c r="O259" t="s">
        <v>64</v>
      </c>
      <c r="P259" t="s">
        <v>65</v>
      </c>
      <c r="S259" s="3">
        <v>0</v>
      </c>
      <c r="T259" s="5"/>
      <c r="U259">
        <v>0</v>
      </c>
      <c r="V259">
        <v>2025</v>
      </c>
      <c r="X259">
        <f t="shared" si="12"/>
        <v>8.0099740999999991</v>
      </c>
      <c r="Y259">
        <f t="shared" si="13"/>
        <v>-2.5899999999999999E-5</v>
      </c>
      <c r="Z259">
        <f t="shared" si="14"/>
        <v>48.999974100000003</v>
      </c>
    </row>
    <row r="260" spans="1:26" x14ac:dyDescent="0.3">
      <c r="A260" t="s">
        <v>350</v>
      </c>
      <c r="B260" t="s">
        <v>82</v>
      </c>
      <c r="C260" t="s">
        <v>56</v>
      </c>
      <c r="D260" t="s">
        <v>69</v>
      </c>
      <c r="E260">
        <v>23</v>
      </c>
      <c r="F260" s="3">
        <v>7.25</v>
      </c>
      <c r="G260" s="4">
        <v>74.8</v>
      </c>
      <c r="H260">
        <v>1</v>
      </c>
      <c r="I260">
        <v>2</v>
      </c>
      <c r="J260">
        <v>4</v>
      </c>
      <c r="K260" s="4">
        <v>54.8</v>
      </c>
      <c r="L260" s="4">
        <v>69</v>
      </c>
      <c r="M260" s="4">
        <v>74.8</v>
      </c>
      <c r="N260">
        <v>0</v>
      </c>
      <c r="O260" t="s">
        <v>58</v>
      </c>
      <c r="P260" t="s">
        <v>70</v>
      </c>
      <c r="Q260" t="s">
        <v>71</v>
      </c>
      <c r="R260" t="s">
        <v>61</v>
      </c>
      <c r="S260" s="3">
        <v>4.78</v>
      </c>
      <c r="T260" s="5">
        <v>44836</v>
      </c>
      <c r="U260">
        <v>1</v>
      </c>
      <c r="V260">
        <v>2022</v>
      </c>
      <c r="X260">
        <f t="shared" si="12"/>
        <v>7.2499739999999999</v>
      </c>
      <c r="Y260">
        <f t="shared" si="13"/>
        <v>4.7799740000000002</v>
      </c>
      <c r="Z260">
        <f t="shared" si="14"/>
        <v>68.999973999999995</v>
      </c>
    </row>
    <row r="261" spans="1:26" x14ac:dyDescent="0.3">
      <c r="A261" t="s">
        <v>351</v>
      </c>
      <c r="B261" t="s">
        <v>82</v>
      </c>
      <c r="C261" t="s">
        <v>74</v>
      </c>
      <c r="D261" t="s">
        <v>57</v>
      </c>
      <c r="E261">
        <v>21</v>
      </c>
      <c r="F261" s="3">
        <v>7.41</v>
      </c>
      <c r="G261" s="4">
        <v>94.1</v>
      </c>
      <c r="H261">
        <v>3</v>
      </c>
      <c r="I261">
        <v>0</v>
      </c>
      <c r="J261">
        <v>2</v>
      </c>
      <c r="K261" s="4">
        <v>53</v>
      </c>
      <c r="L261" s="4">
        <v>75</v>
      </c>
      <c r="M261" s="4">
        <v>81.2</v>
      </c>
      <c r="N261">
        <v>0</v>
      </c>
      <c r="O261" t="s">
        <v>58</v>
      </c>
      <c r="P261" t="s">
        <v>87</v>
      </c>
      <c r="Q261" t="s">
        <v>71</v>
      </c>
      <c r="R261" t="s">
        <v>109</v>
      </c>
      <c r="S261" s="3">
        <v>7.11</v>
      </c>
      <c r="T261" s="5">
        <v>44822</v>
      </c>
      <c r="U261">
        <v>1</v>
      </c>
      <c r="V261">
        <v>2022</v>
      </c>
      <c r="X261">
        <f t="shared" si="12"/>
        <v>7.4099738999999998</v>
      </c>
      <c r="Y261">
        <f t="shared" si="13"/>
        <v>7.1099739</v>
      </c>
      <c r="Z261">
        <f t="shared" si="14"/>
        <v>74.999973900000001</v>
      </c>
    </row>
    <row r="262" spans="1:26" x14ac:dyDescent="0.3">
      <c r="A262" t="s">
        <v>352</v>
      </c>
      <c r="B262" t="s">
        <v>82</v>
      </c>
      <c r="C262" t="s">
        <v>78</v>
      </c>
      <c r="D262" t="s">
        <v>69</v>
      </c>
      <c r="E262">
        <v>22</v>
      </c>
      <c r="F262" s="3">
        <v>6.63</v>
      </c>
      <c r="G262" s="4">
        <v>71.3</v>
      </c>
      <c r="H262">
        <v>0</v>
      </c>
      <c r="I262">
        <v>2</v>
      </c>
      <c r="J262">
        <v>2</v>
      </c>
      <c r="K262" s="4">
        <v>67.599999999999994</v>
      </c>
      <c r="L262" s="4">
        <v>58.2</v>
      </c>
      <c r="M262" s="4">
        <v>82.2</v>
      </c>
      <c r="N262">
        <v>0</v>
      </c>
      <c r="O262" t="s">
        <v>58</v>
      </c>
      <c r="P262" t="s">
        <v>79</v>
      </c>
      <c r="Q262" t="s">
        <v>71</v>
      </c>
      <c r="R262" t="s">
        <v>85</v>
      </c>
      <c r="S262" s="3">
        <v>5.0999999999999996</v>
      </c>
      <c r="T262" s="5">
        <v>44864</v>
      </c>
      <c r="U262">
        <v>2</v>
      </c>
      <c r="V262">
        <v>2022</v>
      </c>
      <c r="X262">
        <f t="shared" si="12"/>
        <v>6.6299738000000001</v>
      </c>
      <c r="Y262">
        <f t="shared" si="13"/>
        <v>5.0999737999999999</v>
      </c>
      <c r="Z262">
        <f t="shared" si="14"/>
        <v>58.199973800000002</v>
      </c>
    </row>
    <row r="263" spans="1:26" x14ac:dyDescent="0.3">
      <c r="A263" t="s">
        <v>353</v>
      </c>
      <c r="B263" t="s">
        <v>67</v>
      </c>
      <c r="C263" t="s">
        <v>56</v>
      </c>
      <c r="D263" t="s">
        <v>69</v>
      </c>
      <c r="E263">
        <v>23</v>
      </c>
      <c r="F263" s="3">
        <v>9.4499999999999993</v>
      </c>
      <c r="G263" s="4">
        <v>71.599999999999994</v>
      </c>
      <c r="H263">
        <v>2</v>
      </c>
      <c r="I263">
        <v>5</v>
      </c>
      <c r="J263">
        <v>6</v>
      </c>
      <c r="K263" s="4">
        <v>89.7</v>
      </c>
      <c r="L263" s="4">
        <v>65.400000000000006</v>
      </c>
      <c r="M263" s="4">
        <v>88</v>
      </c>
      <c r="N263">
        <v>1</v>
      </c>
      <c r="O263" t="s">
        <v>58</v>
      </c>
      <c r="P263" t="s">
        <v>79</v>
      </c>
      <c r="Q263" t="s">
        <v>71</v>
      </c>
      <c r="R263" t="s">
        <v>76</v>
      </c>
      <c r="S263" s="3">
        <v>8.4700000000000006</v>
      </c>
      <c r="T263" s="5">
        <v>45203</v>
      </c>
      <c r="U263">
        <v>2</v>
      </c>
      <c r="V263">
        <v>2023</v>
      </c>
      <c r="X263">
        <f t="shared" si="12"/>
        <v>9.4499736999999993</v>
      </c>
      <c r="Y263">
        <f t="shared" si="13"/>
        <v>8.4699737000000006</v>
      </c>
      <c r="Z263">
        <f t="shared" si="14"/>
        <v>65.399973700000004</v>
      </c>
    </row>
    <row r="264" spans="1:26" x14ac:dyDescent="0.3">
      <c r="A264" t="s">
        <v>354</v>
      </c>
      <c r="B264" t="s">
        <v>63</v>
      </c>
      <c r="C264" t="s">
        <v>56</v>
      </c>
      <c r="D264" t="s">
        <v>69</v>
      </c>
      <c r="E264">
        <v>21</v>
      </c>
      <c r="F264" s="3">
        <v>8.49</v>
      </c>
      <c r="G264" s="4">
        <v>74.599999999999994</v>
      </c>
      <c r="H264">
        <v>1</v>
      </c>
      <c r="I264">
        <v>4</v>
      </c>
      <c r="J264">
        <v>3</v>
      </c>
      <c r="K264" s="4">
        <v>85.7</v>
      </c>
      <c r="L264" s="4">
        <v>65</v>
      </c>
      <c r="M264" s="4">
        <v>82.1</v>
      </c>
      <c r="N264">
        <v>0</v>
      </c>
      <c r="O264" t="s">
        <v>58</v>
      </c>
      <c r="P264" t="s">
        <v>95</v>
      </c>
      <c r="Q264" t="s">
        <v>93</v>
      </c>
      <c r="R264" t="s">
        <v>61</v>
      </c>
      <c r="S264" s="3">
        <v>8.8699999999999992</v>
      </c>
      <c r="T264" s="5">
        <v>45982</v>
      </c>
      <c r="U264">
        <v>2</v>
      </c>
      <c r="V264">
        <v>2025</v>
      </c>
      <c r="X264">
        <f t="shared" si="12"/>
        <v>8.4899736000000008</v>
      </c>
      <c r="Y264">
        <f t="shared" si="13"/>
        <v>8.8699735999999998</v>
      </c>
      <c r="Z264">
        <f t="shared" si="14"/>
        <v>64.999973600000004</v>
      </c>
    </row>
    <row r="265" spans="1:26" x14ac:dyDescent="0.3">
      <c r="A265" t="s">
        <v>355</v>
      </c>
      <c r="B265" t="s">
        <v>107</v>
      </c>
      <c r="C265" t="s">
        <v>74</v>
      </c>
      <c r="D265" t="s">
        <v>69</v>
      </c>
      <c r="E265">
        <v>23</v>
      </c>
      <c r="F265" s="3">
        <v>5.35</v>
      </c>
      <c r="G265" s="4">
        <v>92</v>
      </c>
      <c r="H265">
        <v>1</v>
      </c>
      <c r="I265">
        <v>2</v>
      </c>
      <c r="J265">
        <v>3</v>
      </c>
      <c r="K265" s="4">
        <v>70</v>
      </c>
      <c r="L265" s="4">
        <v>93.8</v>
      </c>
      <c r="M265" s="4">
        <v>54.4</v>
      </c>
      <c r="N265">
        <v>0</v>
      </c>
      <c r="O265" t="s">
        <v>58</v>
      </c>
      <c r="P265" t="s">
        <v>112</v>
      </c>
      <c r="Q265" t="s">
        <v>93</v>
      </c>
      <c r="R265" t="s">
        <v>80</v>
      </c>
      <c r="S265" s="3">
        <v>6.1</v>
      </c>
      <c r="T265" s="5">
        <v>44460</v>
      </c>
      <c r="U265">
        <v>3</v>
      </c>
      <c r="V265">
        <v>2021</v>
      </c>
      <c r="X265">
        <f t="shared" si="12"/>
        <v>5.3499734999999999</v>
      </c>
      <c r="Y265">
        <f t="shared" si="13"/>
        <v>6.0999734999999999</v>
      </c>
      <c r="Z265">
        <f t="shared" si="14"/>
        <v>93.799973499999993</v>
      </c>
    </row>
    <row r="266" spans="1:26" x14ac:dyDescent="0.3">
      <c r="A266" t="s">
        <v>356</v>
      </c>
      <c r="B266" t="s">
        <v>55</v>
      </c>
      <c r="C266" t="s">
        <v>84</v>
      </c>
      <c r="D266" t="s">
        <v>69</v>
      </c>
      <c r="E266">
        <v>23</v>
      </c>
      <c r="F266" s="3">
        <v>8.85</v>
      </c>
      <c r="G266" s="4">
        <v>94.9</v>
      </c>
      <c r="H266">
        <v>2</v>
      </c>
      <c r="I266">
        <v>4</v>
      </c>
      <c r="J266">
        <v>4</v>
      </c>
      <c r="K266" s="4">
        <v>63.5</v>
      </c>
      <c r="L266" s="4">
        <v>72.400000000000006</v>
      </c>
      <c r="M266" s="4">
        <v>73.900000000000006</v>
      </c>
      <c r="N266">
        <v>0</v>
      </c>
      <c r="O266" t="s">
        <v>58</v>
      </c>
      <c r="P266" t="s">
        <v>79</v>
      </c>
      <c r="Q266" t="s">
        <v>71</v>
      </c>
      <c r="R266" t="s">
        <v>72</v>
      </c>
      <c r="S266" s="3">
        <v>6.91</v>
      </c>
      <c r="T266" s="5">
        <v>45513</v>
      </c>
      <c r="U266">
        <v>3</v>
      </c>
      <c r="V266">
        <v>2024</v>
      </c>
      <c r="X266">
        <f t="shared" si="12"/>
        <v>8.8499733999999997</v>
      </c>
      <c r="Y266">
        <f t="shared" si="13"/>
        <v>6.9099734000000002</v>
      </c>
      <c r="Z266">
        <f t="shared" si="14"/>
        <v>72.399973400000007</v>
      </c>
    </row>
    <row r="267" spans="1:26" x14ac:dyDescent="0.3">
      <c r="A267" t="s">
        <v>357</v>
      </c>
      <c r="B267" t="s">
        <v>107</v>
      </c>
      <c r="C267" t="s">
        <v>101</v>
      </c>
      <c r="D267" t="s">
        <v>57</v>
      </c>
      <c r="E267">
        <v>23</v>
      </c>
      <c r="F267" s="3">
        <v>6.33</v>
      </c>
      <c r="G267" s="4">
        <v>91.1</v>
      </c>
      <c r="H267">
        <v>0</v>
      </c>
      <c r="I267">
        <v>0</v>
      </c>
      <c r="J267">
        <v>6</v>
      </c>
      <c r="K267" s="4">
        <v>72.5</v>
      </c>
      <c r="L267" s="4">
        <v>100</v>
      </c>
      <c r="M267" s="4">
        <v>86</v>
      </c>
      <c r="N267">
        <v>1</v>
      </c>
      <c r="O267" t="s">
        <v>64</v>
      </c>
      <c r="P267" t="s">
        <v>65</v>
      </c>
      <c r="S267" s="3">
        <v>0</v>
      </c>
      <c r="T267" s="5"/>
      <c r="U267">
        <v>0</v>
      </c>
      <c r="V267">
        <v>2021</v>
      </c>
      <c r="X267">
        <f t="shared" si="12"/>
        <v>6.3299732999999998</v>
      </c>
      <c r="Y267">
        <f t="shared" si="13"/>
        <v>-2.6699999999999998E-5</v>
      </c>
      <c r="Z267">
        <f t="shared" si="14"/>
        <v>99.999973299999994</v>
      </c>
    </row>
    <row r="268" spans="1:26" x14ac:dyDescent="0.3">
      <c r="A268" t="s">
        <v>358</v>
      </c>
      <c r="B268" t="s">
        <v>55</v>
      </c>
      <c r="C268" t="s">
        <v>78</v>
      </c>
      <c r="D268" t="s">
        <v>57</v>
      </c>
      <c r="E268">
        <v>20</v>
      </c>
      <c r="F268" s="3">
        <v>8.1199999999999992</v>
      </c>
      <c r="G268" s="4">
        <v>91.7</v>
      </c>
      <c r="H268">
        <v>2</v>
      </c>
      <c r="I268">
        <v>2</v>
      </c>
      <c r="J268">
        <v>4</v>
      </c>
      <c r="K268" s="4">
        <v>53.3</v>
      </c>
      <c r="L268" s="4">
        <v>63.8</v>
      </c>
      <c r="M268" s="4">
        <v>84.2</v>
      </c>
      <c r="N268">
        <v>2</v>
      </c>
      <c r="O268" t="s">
        <v>58</v>
      </c>
      <c r="P268" t="s">
        <v>75</v>
      </c>
      <c r="Q268" t="s">
        <v>71</v>
      </c>
      <c r="R268" t="s">
        <v>80</v>
      </c>
      <c r="S268" s="3">
        <v>5.63</v>
      </c>
      <c r="T268" s="5">
        <v>45539</v>
      </c>
      <c r="U268">
        <v>1</v>
      </c>
      <c r="V268">
        <v>2024</v>
      </c>
      <c r="X268">
        <f t="shared" si="12"/>
        <v>8.1199731999999987</v>
      </c>
      <c r="Y268">
        <f t="shared" si="13"/>
        <v>5.6299732000000002</v>
      </c>
      <c r="Z268">
        <f t="shared" si="14"/>
        <v>63.799973199999997</v>
      </c>
    </row>
    <row r="269" spans="1:26" x14ac:dyDescent="0.3">
      <c r="A269" t="s">
        <v>359</v>
      </c>
      <c r="B269" t="s">
        <v>107</v>
      </c>
      <c r="C269" t="s">
        <v>56</v>
      </c>
      <c r="D269" t="s">
        <v>69</v>
      </c>
      <c r="E269">
        <v>21</v>
      </c>
      <c r="F269" s="3">
        <v>5.67</v>
      </c>
      <c r="G269" s="4">
        <v>96.9</v>
      </c>
      <c r="H269">
        <v>0</v>
      </c>
      <c r="I269">
        <v>2</v>
      </c>
      <c r="J269">
        <v>4</v>
      </c>
      <c r="K269" s="4">
        <v>70</v>
      </c>
      <c r="L269" s="4">
        <v>63.8</v>
      </c>
      <c r="M269" s="4">
        <v>100</v>
      </c>
      <c r="N269">
        <v>3</v>
      </c>
      <c r="O269" t="s">
        <v>64</v>
      </c>
      <c r="P269" t="s">
        <v>65</v>
      </c>
      <c r="S269" s="3">
        <v>0</v>
      </c>
      <c r="T269" s="5"/>
      <c r="U269">
        <v>0</v>
      </c>
      <c r="V269">
        <v>2021</v>
      </c>
      <c r="X269">
        <f t="shared" si="12"/>
        <v>5.6699731</v>
      </c>
      <c r="Y269">
        <f t="shared" si="13"/>
        <v>-2.69E-5</v>
      </c>
      <c r="Z269">
        <f t="shared" si="14"/>
        <v>63.799973099999995</v>
      </c>
    </row>
    <row r="270" spans="1:26" x14ac:dyDescent="0.3">
      <c r="A270" t="s">
        <v>360</v>
      </c>
      <c r="B270" t="s">
        <v>63</v>
      </c>
      <c r="C270" t="s">
        <v>101</v>
      </c>
      <c r="D270" t="s">
        <v>57</v>
      </c>
      <c r="E270">
        <v>20</v>
      </c>
      <c r="F270" s="3">
        <v>7.26</v>
      </c>
      <c r="G270" s="4">
        <v>65.8</v>
      </c>
      <c r="H270">
        <v>1</v>
      </c>
      <c r="I270">
        <v>1</v>
      </c>
      <c r="J270">
        <v>4</v>
      </c>
      <c r="K270" s="4">
        <v>68.7</v>
      </c>
      <c r="L270" s="4">
        <v>87.3</v>
      </c>
      <c r="M270" s="4">
        <v>84.7</v>
      </c>
      <c r="N270">
        <v>3</v>
      </c>
      <c r="O270" t="s">
        <v>64</v>
      </c>
      <c r="P270" t="s">
        <v>65</v>
      </c>
      <c r="S270" s="3">
        <v>0</v>
      </c>
      <c r="T270" s="5"/>
      <c r="U270">
        <v>0</v>
      </c>
      <c r="V270">
        <v>2025</v>
      </c>
      <c r="X270">
        <f t="shared" si="12"/>
        <v>7.2599729999999996</v>
      </c>
      <c r="Y270">
        <f t="shared" si="13"/>
        <v>-2.6999999999999999E-5</v>
      </c>
      <c r="Z270">
        <f t="shared" si="14"/>
        <v>87.299972999999994</v>
      </c>
    </row>
    <row r="271" spans="1:26" x14ac:dyDescent="0.3">
      <c r="A271" t="s">
        <v>361</v>
      </c>
      <c r="B271" t="s">
        <v>55</v>
      </c>
      <c r="C271" t="s">
        <v>101</v>
      </c>
      <c r="D271" t="s">
        <v>57</v>
      </c>
      <c r="E271">
        <v>20</v>
      </c>
      <c r="F271" s="3">
        <v>8.86</v>
      </c>
      <c r="G271" s="4">
        <v>71</v>
      </c>
      <c r="H271">
        <v>2</v>
      </c>
      <c r="I271">
        <v>0</v>
      </c>
      <c r="J271">
        <v>4</v>
      </c>
      <c r="K271" s="4">
        <v>68.7</v>
      </c>
      <c r="L271" s="4">
        <v>32.200000000000003</v>
      </c>
      <c r="M271" s="4">
        <v>57.8</v>
      </c>
      <c r="N271">
        <v>3</v>
      </c>
      <c r="O271" t="s">
        <v>58</v>
      </c>
      <c r="P271" t="s">
        <v>75</v>
      </c>
      <c r="Q271" t="s">
        <v>71</v>
      </c>
      <c r="R271" t="s">
        <v>80</v>
      </c>
      <c r="S271" s="3">
        <v>5.58</v>
      </c>
      <c r="T271" s="5">
        <v>45520</v>
      </c>
      <c r="U271">
        <v>1</v>
      </c>
      <c r="V271">
        <v>2024</v>
      </c>
      <c r="X271">
        <f t="shared" si="12"/>
        <v>8.8599728999999989</v>
      </c>
      <c r="Y271">
        <f t="shared" si="13"/>
        <v>5.5799729000000005</v>
      </c>
      <c r="Z271">
        <f t="shared" si="14"/>
        <v>32.199972900000006</v>
      </c>
    </row>
    <row r="272" spans="1:26" x14ac:dyDescent="0.3">
      <c r="A272" t="s">
        <v>362</v>
      </c>
      <c r="B272" t="s">
        <v>67</v>
      </c>
      <c r="C272" t="s">
        <v>89</v>
      </c>
      <c r="D272" t="s">
        <v>57</v>
      </c>
      <c r="E272">
        <v>21</v>
      </c>
      <c r="F272" s="3">
        <v>8.91</v>
      </c>
      <c r="G272" s="4">
        <v>75.7</v>
      </c>
      <c r="H272">
        <v>1</v>
      </c>
      <c r="I272">
        <v>4</v>
      </c>
      <c r="J272">
        <v>4</v>
      </c>
      <c r="K272" s="4">
        <v>74.5</v>
      </c>
      <c r="L272" s="4">
        <v>81.7</v>
      </c>
      <c r="M272" s="4">
        <v>55</v>
      </c>
      <c r="N272">
        <v>0</v>
      </c>
      <c r="O272" t="s">
        <v>58</v>
      </c>
      <c r="P272" t="s">
        <v>79</v>
      </c>
      <c r="Q272" t="s">
        <v>71</v>
      </c>
      <c r="R272" t="s">
        <v>85</v>
      </c>
      <c r="S272" s="3">
        <v>6.84</v>
      </c>
      <c r="T272" s="5">
        <v>45232</v>
      </c>
      <c r="U272">
        <v>2</v>
      </c>
      <c r="V272">
        <v>2023</v>
      </c>
      <c r="X272">
        <f t="shared" si="12"/>
        <v>8.9099728000000002</v>
      </c>
      <c r="Y272">
        <f t="shared" si="13"/>
        <v>6.8399728</v>
      </c>
      <c r="Z272">
        <f t="shared" si="14"/>
        <v>81.699972799999998</v>
      </c>
    </row>
    <row r="273" spans="1:26" x14ac:dyDescent="0.3">
      <c r="A273" t="s">
        <v>363</v>
      </c>
      <c r="B273" t="s">
        <v>107</v>
      </c>
      <c r="C273" t="s">
        <v>84</v>
      </c>
      <c r="D273" t="s">
        <v>57</v>
      </c>
      <c r="E273">
        <v>23</v>
      </c>
      <c r="F273" s="3">
        <v>7.93</v>
      </c>
      <c r="G273" s="4">
        <v>82.9</v>
      </c>
      <c r="H273">
        <v>2</v>
      </c>
      <c r="I273">
        <v>3</v>
      </c>
      <c r="J273">
        <v>6</v>
      </c>
      <c r="K273" s="4">
        <v>79.099999999999994</v>
      </c>
      <c r="L273" s="4">
        <v>68.599999999999994</v>
      </c>
      <c r="M273" s="4">
        <v>74.7</v>
      </c>
      <c r="N273">
        <v>0</v>
      </c>
      <c r="O273" t="s">
        <v>58</v>
      </c>
      <c r="P273" t="s">
        <v>95</v>
      </c>
      <c r="Q273" t="s">
        <v>93</v>
      </c>
      <c r="R273" t="s">
        <v>85</v>
      </c>
      <c r="S273" s="3">
        <v>5.94</v>
      </c>
      <c r="T273" s="5">
        <v>44441</v>
      </c>
      <c r="U273">
        <v>3</v>
      </c>
      <c r="V273">
        <v>2021</v>
      </c>
      <c r="X273">
        <f t="shared" si="12"/>
        <v>7.9299726999999995</v>
      </c>
      <c r="Y273">
        <f t="shared" si="13"/>
        <v>5.9399727000000002</v>
      </c>
      <c r="Z273">
        <f t="shared" si="14"/>
        <v>68.599972699999995</v>
      </c>
    </row>
    <row r="274" spans="1:26" x14ac:dyDescent="0.3">
      <c r="A274" t="s">
        <v>364</v>
      </c>
      <c r="B274" t="s">
        <v>107</v>
      </c>
      <c r="C274" t="s">
        <v>74</v>
      </c>
      <c r="D274" t="s">
        <v>69</v>
      </c>
      <c r="E274">
        <v>20</v>
      </c>
      <c r="F274" s="3">
        <v>8.36</v>
      </c>
      <c r="G274" s="4">
        <v>82.9</v>
      </c>
      <c r="H274">
        <v>0</v>
      </c>
      <c r="I274">
        <v>2</v>
      </c>
      <c r="J274">
        <v>4</v>
      </c>
      <c r="K274" s="4">
        <v>34.5</v>
      </c>
      <c r="L274" s="4">
        <v>71.7</v>
      </c>
      <c r="M274" s="4">
        <v>75.8</v>
      </c>
      <c r="N274">
        <v>0</v>
      </c>
      <c r="O274" t="s">
        <v>58</v>
      </c>
      <c r="P274" t="s">
        <v>70</v>
      </c>
      <c r="Q274" t="s">
        <v>71</v>
      </c>
      <c r="R274" t="s">
        <v>80</v>
      </c>
      <c r="S274" s="3">
        <v>5.98</v>
      </c>
      <c r="T274" s="5">
        <v>44459</v>
      </c>
      <c r="U274">
        <v>2</v>
      </c>
      <c r="V274">
        <v>2021</v>
      </c>
      <c r="X274">
        <f t="shared" si="12"/>
        <v>8.359972599999999</v>
      </c>
      <c r="Y274">
        <f t="shared" si="13"/>
        <v>5.9799726000000009</v>
      </c>
      <c r="Z274">
        <f t="shared" si="14"/>
        <v>71.699972600000009</v>
      </c>
    </row>
    <row r="275" spans="1:26" x14ac:dyDescent="0.3">
      <c r="A275" t="s">
        <v>365</v>
      </c>
      <c r="B275" t="s">
        <v>55</v>
      </c>
      <c r="C275" t="s">
        <v>84</v>
      </c>
      <c r="D275" t="s">
        <v>69</v>
      </c>
      <c r="E275">
        <v>20</v>
      </c>
      <c r="F275" s="3">
        <v>6.38</v>
      </c>
      <c r="G275" s="4">
        <v>83</v>
      </c>
      <c r="H275">
        <v>2</v>
      </c>
      <c r="I275">
        <v>0</v>
      </c>
      <c r="J275">
        <v>3</v>
      </c>
      <c r="K275" s="4">
        <v>56.4</v>
      </c>
      <c r="L275" s="4">
        <v>65</v>
      </c>
      <c r="M275" s="4">
        <v>67.400000000000006</v>
      </c>
      <c r="N275">
        <v>1</v>
      </c>
      <c r="O275" t="s">
        <v>64</v>
      </c>
      <c r="P275" t="s">
        <v>65</v>
      </c>
      <c r="S275" s="3">
        <v>0</v>
      </c>
      <c r="T275" s="5"/>
      <c r="U275">
        <v>0</v>
      </c>
      <c r="V275">
        <v>2024</v>
      </c>
      <c r="X275">
        <f t="shared" si="12"/>
        <v>6.3799725</v>
      </c>
      <c r="Y275">
        <f t="shared" si="13"/>
        <v>-2.7499999999999998E-5</v>
      </c>
      <c r="Z275">
        <f t="shared" si="14"/>
        <v>64.999972499999998</v>
      </c>
    </row>
    <row r="276" spans="1:26" x14ac:dyDescent="0.3">
      <c r="A276" t="s">
        <v>366</v>
      </c>
      <c r="B276" t="s">
        <v>67</v>
      </c>
      <c r="C276" t="s">
        <v>84</v>
      </c>
      <c r="D276" t="s">
        <v>57</v>
      </c>
      <c r="E276">
        <v>20</v>
      </c>
      <c r="F276" s="3">
        <v>8.1300000000000008</v>
      </c>
      <c r="G276" s="4">
        <v>89.5</v>
      </c>
      <c r="H276">
        <v>1</v>
      </c>
      <c r="I276">
        <v>1</v>
      </c>
      <c r="J276">
        <v>5</v>
      </c>
      <c r="K276" s="4">
        <v>58.8</v>
      </c>
      <c r="L276" s="4">
        <v>78.8</v>
      </c>
      <c r="M276" s="4">
        <v>83.2</v>
      </c>
      <c r="N276">
        <v>1</v>
      </c>
      <c r="O276" t="s">
        <v>64</v>
      </c>
      <c r="P276" t="s">
        <v>65</v>
      </c>
      <c r="S276" s="3">
        <v>0</v>
      </c>
      <c r="T276" s="5"/>
      <c r="U276">
        <v>0</v>
      </c>
      <c r="V276">
        <v>2023</v>
      </c>
      <c r="X276">
        <f t="shared" si="12"/>
        <v>8.1299724000000015</v>
      </c>
      <c r="Y276">
        <f t="shared" si="13"/>
        <v>-2.76E-5</v>
      </c>
      <c r="Z276">
        <f t="shared" si="14"/>
        <v>78.799972400000001</v>
      </c>
    </row>
    <row r="277" spans="1:26" x14ac:dyDescent="0.3">
      <c r="A277" t="s">
        <v>367</v>
      </c>
      <c r="B277" t="s">
        <v>67</v>
      </c>
      <c r="C277" t="s">
        <v>56</v>
      </c>
      <c r="D277" t="s">
        <v>57</v>
      </c>
      <c r="E277">
        <v>23</v>
      </c>
      <c r="F277" s="3">
        <v>8.42</v>
      </c>
      <c r="G277" s="4">
        <v>64.7</v>
      </c>
      <c r="H277">
        <v>2</v>
      </c>
      <c r="I277">
        <v>4</v>
      </c>
      <c r="J277">
        <v>5</v>
      </c>
      <c r="K277" s="4">
        <v>65.8</v>
      </c>
      <c r="L277" s="4">
        <v>42.3</v>
      </c>
      <c r="M277" s="4">
        <v>43.8</v>
      </c>
      <c r="N277">
        <v>1</v>
      </c>
      <c r="O277" t="s">
        <v>58</v>
      </c>
      <c r="P277" t="s">
        <v>59</v>
      </c>
      <c r="Q277" t="s">
        <v>60</v>
      </c>
      <c r="R277" t="s">
        <v>61</v>
      </c>
      <c r="S277" s="3">
        <v>18.2</v>
      </c>
      <c r="T277" s="5">
        <v>45197</v>
      </c>
      <c r="U277">
        <v>1</v>
      </c>
      <c r="V277">
        <v>2023</v>
      </c>
      <c r="X277">
        <f t="shared" si="12"/>
        <v>8.4199722999999995</v>
      </c>
      <c r="Y277">
        <f t="shared" si="13"/>
        <v>18.199972299999999</v>
      </c>
      <c r="Z277">
        <f t="shared" si="14"/>
        <v>42.2999723</v>
      </c>
    </row>
    <row r="278" spans="1:26" x14ac:dyDescent="0.3">
      <c r="A278" t="s">
        <v>368</v>
      </c>
      <c r="B278" t="s">
        <v>63</v>
      </c>
      <c r="C278" t="s">
        <v>68</v>
      </c>
      <c r="D278" t="s">
        <v>69</v>
      </c>
      <c r="E278">
        <v>20</v>
      </c>
      <c r="F278" s="3">
        <v>9.9600000000000009</v>
      </c>
      <c r="G278" s="4">
        <v>80.7</v>
      </c>
      <c r="H278">
        <v>3</v>
      </c>
      <c r="I278">
        <v>2</v>
      </c>
      <c r="J278">
        <v>2</v>
      </c>
      <c r="K278" s="4">
        <v>67</v>
      </c>
      <c r="L278" s="4">
        <v>58.8</v>
      </c>
      <c r="M278" s="4">
        <v>68.400000000000006</v>
      </c>
      <c r="N278">
        <v>0</v>
      </c>
      <c r="O278" t="s">
        <v>58</v>
      </c>
      <c r="P278" t="s">
        <v>87</v>
      </c>
      <c r="Q278" t="s">
        <v>71</v>
      </c>
      <c r="R278" t="s">
        <v>85</v>
      </c>
      <c r="S278" s="3">
        <v>9.2200000000000006</v>
      </c>
      <c r="T278" s="5">
        <v>45972</v>
      </c>
      <c r="U278">
        <v>1</v>
      </c>
      <c r="V278">
        <v>2025</v>
      </c>
      <c r="X278">
        <f t="shared" si="12"/>
        <v>9.9599722000000011</v>
      </c>
      <c r="Y278">
        <f t="shared" si="13"/>
        <v>9.2199722000000008</v>
      </c>
      <c r="Z278">
        <f t="shared" si="14"/>
        <v>58.799972199999999</v>
      </c>
    </row>
    <row r="279" spans="1:26" x14ac:dyDescent="0.3">
      <c r="A279" t="s">
        <v>369</v>
      </c>
      <c r="B279" t="s">
        <v>67</v>
      </c>
      <c r="C279" t="s">
        <v>84</v>
      </c>
      <c r="D279" t="s">
        <v>69</v>
      </c>
      <c r="E279">
        <v>22</v>
      </c>
      <c r="F279" s="3">
        <v>7.09</v>
      </c>
      <c r="G279" s="4">
        <v>84.4</v>
      </c>
      <c r="H279">
        <v>1</v>
      </c>
      <c r="I279">
        <v>2</v>
      </c>
      <c r="J279">
        <v>3</v>
      </c>
      <c r="K279" s="4">
        <v>76.900000000000006</v>
      </c>
      <c r="L279" s="4">
        <v>99.4</v>
      </c>
      <c r="M279" s="4">
        <v>46.6</v>
      </c>
      <c r="N279">
        <v>1</v>
      </c>
      <c r="O279" t="s">
        <v>58</v>
      </c>
      <c r="P279" t="s">
        <v>112</v>
      </c>
      <c r="Q279" t="s">
        <v>93</v>
      </c>
      <c r="R279" t="s">
        <v>80</v>
      </c>
      <c r="S279" s="3">
        <v>7.26</v>
      </c>
      <c r="T279" s="5">
        <v>45210</v>
      </c>
      <c r="U279">
        <v>1</v>
      </c>
      <c r="V279">
        <v>2023</v>
      </c>
      <c r="X279">
        <f t="shared" si="12"/>
        <v>7.0899720999999998</v>
      </c>
      <c r="Y279">
        <f t="shared" si="13"/>
        <v>7.2599720999999997</v>
      </c>
      <c r="Z279">
        <f t="shared" si="14"/>
        <v>99.399972099999999</v>
      </c>
    </row>
    <row r="280" spans="1:26" x14ac:dyDescent="0.3">
      <c r="A280" t="s">
        <v>370</v>
      </c>
      <c r="B280" t="s">
        <v>67</v>
      </c>
      <c r="C280" t="s">
        <v>56</v>
      </c>
      <c r="D280" t="s">
        <v>69</v>
      </c>
      <c r="E280">
        <v>21</v>
      </c>
      <c r="F280" s="3">
        <v>7.66</v>
      </c>
      <c r="G280" s="4">
        <v>79.099999999999994</v>
      </c>
      <c r="H280">
        <v>1</v>
      </c>
      <c r="I280">
        <v>4</v>
      </c>
      <c r="J280">
        <v>6</v>
      </c>
      <c r="K280" s="4">
        <v>72.5</v>
      </c>
      <c r="L280" s="4">
        <v>71</v>
      </c>
      <c r="M280" s="4">
        <v>65</v>
      </c>
      <c r="N280">
        <v>0</v>
      </c>
      <c r="O280" t="s">
        <v>58</v>
      </c>
      <c r="P280" t="s">
        <v>75</v>
      </c>
      <c r="Q280" t="s">
        <v>71</v>
      </c>
      <c r="R280" t="s">
        <v>85</v>
      </c>
      <c r="S280" s="3">
        <v>6.99</v>
      </c>
      <c r="T280" s="5">
        <v>45142</v>
      </c>
      <c r="U280">
        <v>1</v>
      </c>
      <c r="V280">
        <v>2023</v>
      </c>
      <c r="X280">
        <f t="shared" si="12"/>
        <v>7.6599719999999998</v>
      </c>
      <c r="Y280">
        <f t="shared" si="13"/>
        <v>6.9899719999999999</v>
      </c>
      <c r="Z280">
        <f t="shared" si="14"/>
        <v>70.999972</v>
      </c>
    </row>
    <row r="281" spans="1:26" x14ac:dyDescent="0.3">
      <c r="A281" t="s">
        <v>371</v>
      </c>
      <c r="B281" t="s">
        <v>67</v>
      </c>
      <c r="C281" t="s">
        <v>68</v>
      </c>
      <c r="D281" t="s">
        <v>57</v>
      </c>
      <c r="E281">
        <v>22</v>
      </c>
      <c r="F281" s="3">
        <v>7.72</v>
      </c>
      <c r="G281" s="4">
        <v>83.7</v>
      </c>
      <c r="H281">
        <v>2</v>
      </c>
      <c r="I281">
        <v>2</v>
      </c>
      <c r="J281">
        <v>3</v>
      </c>
      <c r="K281" s="4">
        <v>84.8</v>
      </c>
      <c r="L281" s="4">
        <v>52.3</v>
      </c>
      <c r="M281" s="4">
        <v>69.8</v>
      </c>
      <c r="N281">
        <v>0</v>
      </c>
      <c r="O281" t="s">
        <v>58</v>
      </c>
      <c r="P281" t="s">
        <v>75</v>
      </c>
      <c r="Q281" t="s">
        <v>71</v>
      </c>
      <c r="R281" t="s">
        <v>130</v>
      </c>
      <c r="S281" s="3">
        <v>5.91</v>
      </c>
      <c r="T281" s="5">
        <v>45246</v>
      </c>
      <c r="U281">
        <v>2</v>
      </c>
      <c r="V281">
        <v>2023</v>
      </c>
      <c r="X281">
        <f t="shared" si="12"/>
        <v>7.7199719</v>
      </c>
      <c r="Y281">
        <f t="shared" si="13"/>
        <v>5.9099719000000004</v>
      </c>
      <c r="Z281">
        <f t="shared" si="14"/>
        <v>52.299971899999996</v>
      </c>
    </row>
    <row r="282" spans="1:26" x14ac:dyDescent="0.3">
      <c r="A282" t="s">
        <v>372</v>
      </c>
      <c r="B282" t="s">
        <v>82</v>
      </c>
      <c r="C282" t="s">
        <v>84</v>
      </c>
      <c r="D282" t="s">
        <v>57</v>
      </c>
      <c r="E282">
        <v>23</v>
      </c>
      <c r="F282" s="3">
        <v>8.2799999999999994</v>
      </c>
      <c r="G282" s="4">
        <v>91.2</v>
      </c>
      <c r="H282">
        <v>0</v>
      </c>
      <c r="I282">
        <v>2</v>
      </c>
      <c r="J282">
        <v>4</v>
      </c>
      <c r="K282" s="4">
        <v>63.8</v>
      </c>
      <c r="L282" s="4">
        <v>70.900000000000006</v>
      </c>
      <c r="M282" s="4">
        <v>86.6</v>
      </c>
      <c r="N282">
        <v>0</v>
      </c>
      <c r="O282" t="s">
        <v>58</v>
      </c>
      <c r="P282" t="s">
        <v>75</v>
      </c>
      <c r="Q282" t="s">
        <v>71</v>
      </c>
      <c r="R282" t="s">
        <v>61</v>
      </c>
      <c r="S282" s="3">
        <v>5.52</v>
      </c>
      <c r="T282" s="5">
        <v>44775</v>
      </c>
      <c r="U282">
        <v>1</v>
      </c>
      <c r="V282">
        <v>2022</v>
      </c>
      <c r="X282">
        <f t="shared" si="12"/>
        <v>8.2799718000000002</v>
      </c>
      <c r="Y282">
        <f t="shared" si="13"/>
        <v>5.5199717999999995</v>
      </c>
      <c r="Z282">
        <f t="shared" si="14"/>
        <v>70.899971800000003</v>
      </c>
    </row>
    <row r="283" spans="1:26" x14ac:dyDescent="0.3">
      <c r="A283" t="s">
        <v>373</v>
      </c>
      <c r="B283" t="s">
        <v>63</v>
      </c>
      <c r="C283" t="s">
        <v>68</v>
      </c>
      <c r="D283" t="s">
        <v>57</v>
      </c>
      <c r="E283">
        <v>20</v>
      </c>
      <c r="F283" s="3">
        <v>8.44</v>
      </c>
      <c r="G283" s="4">
        <v>82.6</v>
      </c>
      <c r="H283">
        <v>2</v>
      </c>
      <c r="I283">
        <v>1</v>
      </c>
      <c r="J283">
        <v>3</v>
      </c>
      <c r="K283" s="4">
        <v>58.5</v>
      </c>
      <c r="L283" s="4">
        <v>81.2</v>
      </c>
      <c r="M283" s="4">
        <v>59.3</v>
      </c>
      <c r="N283">
        <v>1</v>
      </c>
      <c r="O283" t="s">
        <v>58</v>
      </c>
      <c r="P283" t="s">
        <v>70</v>
      </c>
      <c r="Q283" t="s">
        <v>71</v>
      </c>
      <c r="R283" t="s">
        <v>76</v>
      </c>
      <c r="S283" s="3">
        <v>7.65</v>
      </c>
      <c r="T283" s="5">
        <v>45940</v>
      </c>
      <c r="U283">
        <v>3</v>
      </c>
      <c r="V283">
        <v>2025</v>
      </c>
      <c r="X283">
        <f t="shared" si="12"/>
        <v>8.4399716999999992</v>
      </c>
      <c r="Y283">
        <f t="shared" si="13"/>
        <v>7.6499717</v>
      </c>
      <c r="Z283">
        <f t="shared" si="14"/>
        <v>81.199971700000006</v>
      </c>
    </row>
    <row r="284" spans="1:26" x14ac:dyDescent="0.3">
      <c r="A284" t="s">
        <v>374</v>
      </c>
      <c r="B284" t="s">
        <v>107</v>
      </c>
      <c r="C284" t="s">
        <v>56</v>
      </c>
      <c r="D284" t="s">
        <v>69</v>
      </c>
      <c r="E284">
        <v>21</v>
      </c>
      <c r="F284" s="3">
        <v>8.6</v>
      </c>
      <c r="G284" s="4">
        <v>100</v>
      </c>
      <c r="H284">
        <v>3</v>
      </c>
      <c r="I284">
        <v>1</v>
      </c>
      <c r="J284">
        <v>4</v>
      </c>
      <c r="K284" s="4">
        <v>66</v>
      </c>
      <c r="L284" s="4">
        <v>71.5</v>
      </c>
      <c r="M284" s="4">
        <v>72.400000000000006</v>
      </c>
      <c r="N284">
        <v>0</v>
      </c>
      <c r="O284" t="s">
        <v>58</v>
      </c>
      <c r="P284" t="s">
        <v>79</v>
      </c>
      <c r="Q284" t="s">
        <v>71</v>
      </c>
      <c r="R284" t="s">
        <v>61</v>
      </c>
      <c r="S284" s="3">
        <v>8.19</v>
      </c>
      <c r="T284" s="5">
        <v>44466</v>
      </c>
      <c r="U284">
        <v>1</v>
      </c>
      <c r="V284">
        <v>2021</v>
      </c>
      <c r="X284">
        <f t="shared" si="12"/>
        <v>8.5999715999999999</v>
      </c>
      <c r="Y284">
        <f t="shared" si="13"/>
        <v>8.1899715999999998</v>
      </c>
      <c r="Z284">
        <f t="shared" si="14"/>
        <v>71.499971599999995</v>
      </c>
    </row>
    <row r="285" spans="1:26" x14ac:dyDescent="0.3">
      <c r="A285" t="s">
        <v>375</v>
      </c>
      <c r="B285" t="s">
        <v>55</v>
      </c>
      <c r="C285" t="s">
        <v>89</v>
      </c>
      <c r="D285" t="s">
        <v>69</v>
      </c>
      <c r="E285">
        <v>20</v>
      </c>
      <c r="F285" s="3">
        <v>8.5399999999999991</v>
      </c>
      <c r="G285" s="4">
        <v>90.6</v>
      </c>
      <c r="H285">
        <v>2</v>
      </c>
      <c r="I285">
        <v>3</v>
      </c>
      <c r="J285">
        <v>5</v>
      </c>
      <c r="K285" s="4">
        <v>68.400000000000006</v>
      </c>
      <c r="L285" s="4">
        <v>68.3</v>
      </c>
      <c r="M285" s="4">
        <v>67.7</v>
      </c>
      <c r="N285">
        <v>0</v>
      </c>
      <c r="O285" t="s">
        <v>58</v>
      </c>
      <c r="P285" t="s">
        <v>95</v>
      </c>
      <c r="Q285" t="s">
        <v>93</v>
      </c>
      <c r="R285" t="s">
        <v>72</v>
      </c>
      <c r="S285" s="3">
        <v>8.43</v>
      </c>
      <c r="T285" s="5">
        <v>45606</v>
      </c>
      <c r="U285">
        <v>1</v>
      </c>
      <c r="V285">
        <v>2024</v>
      </c>
      <c r="X285">
        <f t="shared" si="12"/>
        <v>8.5399714999999983</v>
      </c>
      <c r="Y285">
        <f t="shared" si="13"/>
        <v>8.4299714999999988</v>
      </c>
      <c r="Z285">
        <f t="shared" si="14"/>
        <v>68.299971499999998</v>
      </c>
    </row>
    <row r="286" spans="1:26" x14ac:dyDescent="0.3">
      <c r="A286" t="s">
        <v>376</v>
      </c>
      <c r="B286" t="s">
        <v>107</v>
      </c>
      <c r="C286" t="s">
        <v>56</v>
      </c>
      <c r="D286" t="s">
        <v>69</v>
      </c>
      <c r="E286">
        <v>23</v>
      </c>
      <c r="F286" s="3">
        <v>6.32</v>
      </c>
      <c r="G286" s="4">
        <v>84.4</v>
      </c>
      <c r="H286">
        <v>1</v>
      </c>
      <c r="I286">
        <v>1</v>
      </c>
      <c r="J286">
        <v>4</v>
      </c>
      <c r="K286" s="4">
        <v>69.400000000000006</v>
      </c>
      <c r="L286" s="4">
        <v>61.1</v>
      </c>
      <c r="M286" s="4">
        <v>72.5</v>
      </c>
      <c r="N286">
        <v>0</v>
      </c>
      <c r="O286" t="s">
        <v>64</v>
      </c>
      <c r="P286" t="s">
        <v>65</v>
      </c>
      <c r="S286" s="3">
        <v>0</v>
      </c>
      <c r="T286" s="5"/>
      <c r="U286">
        <v>0</v>
      </c>
      <c r="V286">
        <v>2021</v>
      </c>
      <c r="X286">
        <f t="shared" si="12"/>
        <v>6.3199714</v>
      </c>
      <c r="Y286">
        <f t="shared" si="13"/>
        <v>-2.8599999999999997E-5</v>
      </c>
      <c r="Z286">
        <f t="shared" si="14"/>
        <v>61.099971400000001</v>
      </c>
    </row>
    <row r="287" spans="1:26" x14ac:dyDescent="0.3">
      <c r="A287" t="s">
        <v>377</v>
      </c>
      <c r="B287" t="s">
        <v>63</v>
      </c>
      <c r="C287" t="s">
        <v>68</v>
      </c>
      <c r="D287" t="s">
        <v>57</v>
      </c>
      <c r="E287">
        <v>21</v>
      </c>
      <c r="F287" s="3">
        <v>5.3</v>
      </c>
      <c r="G287" s="4">
        <v>86.5</v>
      </c>
      <c r="H287">
        <v>0</v>
      </c>
      <c r="I287">
        <v>2</v>
      </c>
      <c r="J287">
        <v>3</v>
      </c>
      <c r="K287" s="4">
        <v>64.400000000000006</v>
      </c>
      <c r="L287" s="4">
        <v>51</v>
      </c>
      <c r="M287" s="4">
        <v>69.3</v>
      </c>
      <c r="N287">
        <v>0</v>
      </c>
      <c r="O287" t="s">
        <v>64</v>
      </c>
      <c r="P287" t="s">
        <v>65</v>
      </c>
      <c r="S287" s="3">
        <v>0</v>
      </c>
      <c r="T287" s="5"/>
      <c r="U287">
        <v>0</v>
      </c>
      <c r="V287">
        <v>2025</v>
      </c>
      <c r="X287">
        <f t="shared" si="12"/>
        <v>5.2999713000000002</v>
      </c>
      <c r="Y287">
        <f t="shared" si="13"/>
        <v>-2.87E-5</v>
      </c>
      <c r="Z287">
        <f t="shared" si="14"/>
        <v>50.999971299999999</v>
      </c>
    </row>
    <row r="288" spans="1:26" x14ac:dyDescent="0.3">
      <c r="A288" t="s">
        <v>378</v>
      </c>
      <c r="B288" t="s">
        <v>55</v>
      </c>
      <c r="C288" t="s">
        <v>56</v>
      </c>
      <c r="D288" t="s">
        <v>69</v>
      </c>
      <c r="E288">
        <v>22</v>
      </c>
      <c r="F288" s="3">
        <v>7.19</v>
      </c>
      <c r="G288" s="4">
        <v>88.7</v>
      </c>
      <c r="H288">
        <v>1</v>
      </c>
      <c r="I288">
        <v>1</v>
      </c>
      <c r="J288">
        <v>2</v>
      </c>
      <c r="K288" s="4">
        <v>83.2</v>
      </c>
      <c r="L288" s="4">
        <v>41.9</v>
      </c>
      <c r="M288" s="4">
        <v>71</v>
      </c>
      <c r="N288">
        <v>1</v>
      </c>
      <c r="O288" t="s">
        <v>58</v>
      </c>
      <c r="P288" t="s">
        <v>75</v>
      </c>
      <c r="Q288" t="s">
        <v>71</v>
      </c>
      <c r="R288" t="s">
        <v>76</v>
      </c>
      <c r="S288" s="3">
        <v>3.62</v>
      </c>
      <c r="T288" s="5">
        <v>45529</v>
      </c>
      <c r="U288">
        <v>3</v>
      </c>
      <c r="V288">
        <v>2024</v>
      </c>
      <c r="X288">
        <f t="shared" si="12"/>
        <v>7.1899712000000005</v>
      </c>
      <c r="Y288">
        <f t="shared" si="13"/>
        <v>3.6199712000000002</v>
      </c>
      <c r="Z288">
        <f t="shared" si="14"/>
        <v>41.899971199999996</v>
      </c>
    </row>
    <row r="289" spans="1:26" x14ac:dyDescent="0.3">
      <c r="A289" t="s">
        <v>379</v>
      </c>
      <c r="B289" t="s">
        <v>63</v>
      </c>
      <c r="C289" t="s">
        <v>89</v>
      </c>
      <c r="D289" t="s">
        <v>69</v>
      </c>
      <c r="E289">
        <v>21</v>
      </c>
      <c r="F289" s="3">
        <v>7.62</v>
      </c>
      <c r="G289" s="4">
        <v>97.2</v>
      </c>
      <c r="H289">
        <v>1</v>
      </c>
      <c r="I289">
        <v>1</v>
      </c>
      <c r="J289">
        <v>6</v>
      </c>
      <c r="K289" s="4">
        <v>81.8</v>
      </c>
      <c r="L289" s="4">
        <v>57.5</v>
      </c>
      <c r="M289" s="4">
        <v>66.2</v>
      </c>
      <c r="N289">
        <v>0</v>
      </c>
      <c r="O289" t="s">
        <v>58</v>
      </c>
      <c r="P289" t="s">
        <v>90</v>
      </c>
      <c r="Q289" t="s">
        <v>60</v>
      </c>
      <c r="R289" t="s">
        <v>80</v>
      </c>
      <c r="S289" s="3">
        <v>7.99</v>
      </c>
      <c r="T289" s="5">
        <v>45940</v>
      </c>
      <c r="U289">
        <v>1</v>
      </c>
      <c r="V289">
        <v>2025</v>
      </c>
      <c r="X289">
        <f t="shared" si="12"/>
        <v>7.6199710999999999</v>
      </c>
      <c r="Y289">
        <f t="shared" si="13"/>
        <v>7.9899711</v>
      </c>
      <c r="Z289">
        <f t="shared" si="14"/>
        <v>57.499971100000003</v>
      </c>
    </row>
    <row r="290" spans="1:26" x14ac:dyDescent="0.3">
      <c r="A290" t="s">
        <v>380</v>
      </c>
      <c r="B290" t="s">
        <v>67</v>
      </c>
      <c r="C290" t="s">
        <v>68</v>
      </c>
      <c r="D290" t="s">
        <v>57</v>
      </c>
      <c r="E290">
        <v>20</v>
      </c>
      <c r="F290" s="3">
        <v>7.1</v>
      </c>
      <c r="G290" s="4">
        <v>92.6</v>
      </c>
      <c r="H290">
        <v>0</v>
      </c>
      <c r="I290">
        <v>2</v>
      </c>
      <c r="J290">
        <v>5</v>
      </c>
      <c r="K290" s="4">
        <v>83.2</v>
      </c>
      <c r="L290" s="4">
        <v>89.7</v>
      </c>
      <c r="M290" s="4">
        <v>78.400000000000006</v>
      </c>
      <c r="N290">
        <v>0</v>
      </c>
      <c r="O290" t="s">
        <v>58</v>
      </c>
      <c r="P290" t="s">
        <v>112</v>
      </c>
      <c r="Q290" t="s">
        <v>93</v>
      </c>
      <c r="R290" t="s">
        <v>85</v>
      </c>
      <c r="S290" s="3">
        <v>4.45</v>
      </c>
      <c r="T290" s="5">
        <v>45163</v>
      </c>
      <c r="U290">
        <v>3</v>
      </c>
      <c r="V290">
        <v>2023</v>
      </c>
      <c r="X290">
        <f t="shared" si="12"/>
        <v>7.099971</v>
      </c>
      <c r="Y290">
        <f t="shared" si="13"/>
        <v>4.4499710000000006</v>
      </c>
      <c r="Z290">
        <f t="shared" si="14"/>
        <v>89.699971000000005</v>
      </c>
    </row>
    <row r="291" spans="1:26" x14ac:dyDescent="0.3">
      <c r="A291" t="s">
        <v>381</v>
      </c>
      <c r="B291" t="s">
        <v>55</v>
      </c>
      <c r="C291" t="s">
        <v>78</v>
      </c>
      <c r="D291" t="s">
        <v>57</v>
      </c>
      <c r="E291">
        <v>21</v>
      </c>
      <c r="F291" s="3">
        <v>7.24</v>
      </c>
      <c r="G291" s="4">
        <v>86.6</v>
      </c>
      <c r="H291">
        <v>2</v>
      </c>
      <c r="I291">
        <v>1</v>
      </c>
      <c r="J291">
        <v>5</v>
      </c>
      <c r="K291" s="4">
        <v>54.2</v>
      </c>
      <c r="L291" s="4">
        <v>63.6</v>
      </c>
      <c r="M291" s="4">
        <v>87.2</v>
      </c>
      <c r="N291">
        <v>0</v>
      </c>
      <c r="O291" t="s">
        <v>64</v>
      </c>
      <c r="P291" t="s">
        <v>65</v>
      </c>
      <c r="S291" s="3">
        <v>0</v>
      </c>
      <c r="T291" s="5"/>
      <c r="U291">
        <v>0</v>
      </c>
      <c r="V291">
        <v>2024</v>
      </c>
      <c r="X291">
        <f t="shared" si="12"/>
        <v>7.2399709000000003</v>
      </c>
      <c r="Y291">
        <f t="shared" si="13"/>
        <v>-2.9099999999999999E-5</v>
      </c>
      <c r="Z291">
        <f t="shared" si="14"/>
        <v>63.599970900000002</v>
      </c>
    </row>
    <row r="292" spans="1:26" x14ac:dyDescent="0.3">
      <c r="A292" t="s">
        <v>382</v>
      </c>
      <c r="B292" t="s">
        <v>67</v>
      </c>
      <c r="C292" t="s">
        <v>89</v>
      </c>
      <c r="D292" t="s">
        <v>57</v>
      </c>
      <c r="E292">
        <v>23</v>
      </c>
      <c r="F292" s="3">
        <v>7.35</v>
      </c>
      <c r="G292" s="4">
        <v>75.400000000000006</v>
      </c>
      <c r="H292">
        <v>1</v>
      </c>
      <c r="I292">
        <v>4</v>
      </c>
      <c r="J292">
        <v>4</v>
      </c>
      <c r="K292" s="4">
        <v>78.099999999999994</v>
      </c>
      <c r="L292" s="4">
        <v>67.599999999999994</v>
      </c>
      <c r="M292" s="4">
        <v>74.5</v>
      </c>
      <c r="N292">
        <v>1</v>
      </c>
      <c r="O292" t="s">
        <v>58</v>
      </c>
      <c r="P292" t="s">
        <v>104</v>
      </c>
      <c r="Q292" t="s">
        <v>105</v>
      </c>
      <c r="R292" t="s">
        <v>80</v>
      </c>
      <c r="S292" s="3">
        <v>14.35</v>
      </c>
      <c r="T292" s="5">
        <v>45164</v>
      </c>
      <c r="U292">
        <v>1</v>
      </c>
      <c r="V292">
        <v>2023</v>
      </c>
      <c r="X292">
        <f t="shared" si="12"/>
        <v>7.3499707999999995</v>
      </c>
      <c r="Y292">
        <f t="shared" si="13"/>
        <v>14.349970799999999</v>
      </c>
      <c r="Z292">
        <f t="shared" si="14"/>
        <v>67.599970799999994</v>
      </c>
    </row>
    <row r="293" spans="1:26" x14ac:dyDescent="0.3">
      <c r="A293" t="s">
        <v>383</v>
      </c>
      <c r="B293" t="s">
        <v>107</v>
      </c>
      <c r="C293" t="s">
        <v>68</v>
      </c>
      <c r="D293" t="s">
        <v>57</v>
      </c>
      <c r="E293">
        <v>23</v>
      </c>
      <c r="F293" s="3">
        <v>8.17</v>
      </c>
      <c r="G293" s="4">
        <v>85.7</v>
      </c>
      <c r="H293">
        <v>3</v>
      </c>
      <c r="I293">
        <v>1</v>
      </c>
      <c r="J293">
        <v>4</v>
      </c>
      <c r="K293" s="4">
        <v>90.5</v>
      </c>
      <c r="L293" s="4">
        <v>47.2</v>
      </c>
      <c r="M293" s="4">
        <v>98.1</v>
      </c>
      <c r="N293">
        <v>1</v>
      </c>
      <c r="O293" t="s">
        <v>58</v>
      </c>
      <c r="P293" t="s">
        <v>87</v>
      </c>
      <c r="Q293" t="s">
        <v>71</v>
      </c>
      <c r="R293" t="s">
        <v>109</v>
      </c>
      <c r="S293" s="3">
        <v>6.71</v>
      </c>
      <c r="T293" s="5">
        <v>44508</v>
      </c>
      <c r="U293">
        <v>1</v>
      </c>
      <c r="V293">
        <v>2021</v>
      </c>
      <c r="X293">
        <f t="shared" si="12"/>
        <v>8.1699707000000004</v>
      </c>
      <c r="Y293">
        <f t="shared" si="13"/>
        <v>6.7099707000000004</v>
      </c>
      <c r="Z293">
        <f t="shared" si="14"/>
        <v>47.199970700000002</v>
      </c>
    </row>
    <row r="294" spans="1:26" x14ac:dyDescent="0.3">
      <c r="A294" t="s">
        <v>384</v>
      </c>
      <c r="B294" t="s">
        <v>107</v>
      </c>
      <c r="C294" t="s">
        <v>78</v>
      </c>
      <c r="D294" t="s">
        <v>57</v>
      </c>
      <c r="E294">
        <v>21</v>
      </c>
      <c r="F294" s="3">
        <v>6.72</v>
      </c>
      <c r="G294" s="4">
        <v>87.2</v>
      </c>
      <c r="H294">
        <v>2</v>
      </c>
      <c r="I294">
        <v>2</v>
      </c>
      <c r="J294">
        <v>5</v>
      </c>
      <c r="K294" s="4">
        <v>83.7</v>
      </c>
      <c r="L294" s="4">
        <v>70.099999999999994</v>
      </c>
      <c r="M294" s="4">
        <v>74.900000000000006</v>
      </c>
      <c r="N294">
        <v>0</v>
      </c>
      <c r="O294" t="s">
        <v>58</v>
      </c>
      <c r="P294" t="s">
        <v>92</v>
      </c>
      <c r="Q294" t="s">
        <v>93</v>
      </c>
      <c r="R294" t="s">
        <v>76</v>
      </c>
      <c r="S294" s="3">
        <v>9.3800000000000008</v>
      </c>
      <c r="T294" s="5">
        <v>44520</v>
      </c>
      <c r="U294">
        <v>1</v>
      </c>
      <c r="V294">
        <v>2021</v>
      </c>
      <c r="X294">
        <f t="shared" si="12"/>
        <v>6.7199705999999999</v>
      </c>
      <c r="Y294">
        <f t="shared" si="13"/>
        <v>9.3799706</v>
      </c>
      <c r="Z294">
        <f t="shared" si="14"/>
        <v>70.099970599999992</v>
      </c>
    </row>
    <row r="295" spans="1:26" x14ac:dyDescent="0.3">
      <c r="A295" t="s">
        <v>385</v>
      </c>
      <c r="B295" t="s">
        <v>55</v>
      </c>
      <c r="C295" t="s">
        <v>56</v>
      </c>
      <c r="D295" t="s">
        <v>57</v>
      </c>
      <c r="E295">
        <v>23</v>
      </c>
      <c r="F295" s="3">
        <v>7.58</v>
      </c>
      <c r="G295" s="4">
        <v>89</v>
      </c>
      <c r="H295">
        <v>3</v>
      </c>
      <c r="I295">
        <v>1</v>
      </c>
      <c r="J295">
        <v>5</v>
      </c>
      <c r="K295" s="4">
        <v>60.8</v>
      </c>
      <c r="L295" s="4">
        <v>63.9</v>
      </c>
      <c r="M295" s="4">
        <v>83.7</v>
      </c>
      <c r="N295">
        <v>1</v>
      </c>
      <c r="O295" t="s">
        <v>58</v>
      </c>
      <c r="P295" t="s">
        <v>79</v>
      </c>
      <c r="Q295" t="s">
        <v>71</v>
      </c>
      <c r="R295" t="s">
        <v>130</v>
      </c>
      <c r="S295" s="3">
        <v>5.3</v>
      </c>
      <c r="T295" s="5">
        <v>45606</v>
      </c>
      <c r="U295">
        <v>1</v>
      </c>
      <c r="V295">
        <v>2024</v>
      </c>
      <c r="X295">
        <f t="shared" si="12"/>
        <v>7.5799704999999999</v>
      </c>
      <c r="Y295">
        <f t="shared" si="13"/>
        <v>5.2999704999999997</v>
      </c>
      <c r="Z295">
        <f t="shared" si="14"/>
        <v>63.899970500000002</v>
      </c>
    </row>
    <row r="296" spans="1:26" x14ac:dyDescent="0.3">
      <c r="A296" t="s">
        <v>386</v>
      </c>
      <c r="B296" t="s">
        <v>55</v>
      </c>
      <c r="C296" t="s">
        <v>89</v>
      </c>
      <c r="D296" t="s">
        <v>57</v>
      </c>
      <c r="E296">
        <v>23</v>
      </c>
      <c r="F296" s="3">
        <v>7.59</v>
      </c>
      <c r="G296" s="4">
        <v>75.400000000000006</v>
      </c>
      <c r="H296">
        <v>1</v>
      </c>
      <c r="I296">
        <v>1</v>
      </c>
      <c r="J296">
        <v>5</v>
      </c>
      <c r="K296" s="4">
        <v>63.4</v>
      </c>
      <c r="L296" s="4">
        <v>65</v>
      </c>
      <c r="M296" s="4">
        <v>64.900000000000006</v>
      </c>
      <c r="N296">
        <v>0</v>
      </c>
      <c r="O296" t="s">
        <v>58</v>
      </c>
      <c r="P296" t="s">
        <v>104</v>
      </c>
      <c r="Q296" t="s">
        <v>105</v>
      </c>
      <c r="R296" t="s">
        <v>76</v>
      </c>
      <c r="S296" s="3">
        <v>15.72</v>
      </c>
      <c r="T296" s="5">
        <v>45610</v>
      </c>
      <c r="U296">
        <v>1</v>
      </c>
      <c r="V296">
        <v>2024</v>
      </c>
      <c r="X296">
        <f t="shared" si="12"/>
        <v>7.5899703999999995</v>
      </c>
      <c r="Y296">
        <f t="shared" si="13"/>
        <v>15.719970400000001</v>
      </c>
      <c r="Z296">
        <f t="shared" si="14"/>
        <v>64.999970399999995</v>
      </c>
    </row>
    <row r="297" spans="1:26" x14ac:dyDescent="0.3">
      <c r="A297" t="s">
        <v>387</v>
      </c>
      <c r="B297" t="s">
        <v>63</v>
      </c>
      <c r="C297" t="s">
        <v>56</v>
      </c>
      <c r="D297" t="s">
        <v>57</v>
      </c>
      <c r="E297">
        <v>23</v>
      </c>
      <c r="F297" s="3">
        <v>8.15</v>
      </c>
      <c r="G297" s="4">
        <v>88.6</v>
      </c>
      <c r="H297">
        <v>1</v>
      </c>
      <c r="I297">
        <v>1</v>
      </c>
      <c r="J297">
        <v>3</v>
      </c>
      <c r="K297" s="4">
        <v>46</v>
      </c>
      <c r="L297" s="4">
        <v>61.1</v>
      </c>
      <c r="M297" s="4">
        <v>72.599999999999994</v>
      </c>
      <c r="N297">
        <v>0</v>
      </c>
      <c r="O297" t="s">
        <v>58</v>
      </c>
      <c r="P297" t="s">
        <v>87</v>
      </c>
      <c r="Q297" t="s">
        <v>71</v>
      </c>
      <c r="R297" t="s">
        <v>85</v>
      </c>
      <c r="S297" s="3">
        <v>6.56</v>
      </c>
      <c r="T297" s="5">
        <v>45924</v>
      </c>
      <c r="U297">
        <v>1</v>
      </c>
      <c r="V297">
        <v>2025</v>
      </c>
      <c r="X297">
        <f t="shared" si="12"/>
        <v>8.1499702999999997</v>
      </c>
      <c r="Y297">
        <f t="shared" si="13"/>
        <v>6.5599702999999998</v>
      </c>
      <c r="Z297">
        <f t="shared" si="14"/>
        <v>61.099970300000003</v>
      </c>
    </row>
    <row r="298" spans="1:26" x14ac:dyDescent="0.3">
      <c r="A298" t="s">
        <v>388</v>
      </c>
      <c r="B298" t="s">
        <v>63</v>
      </c>
      <c r="C298" t="s">
        <v>84</v>
      </c>
      <c r="D298" t="s">
        <v>57</v>
      </c>
      <c r="E298">
        <v>22</v>
      </c>
      <c r="F298" s="3">
        <v>8.6999999999999993</v>
      </c>
      <c r="G298" s="4">
        <v>89.2</v>
      </c>
      <c r="H298">
        <v>1</v>
      </c>
      <c r="I298">
        <v>4</v>
      </c>
      <c r="J298">
        <v>3</v>
      </c>
      <c r="K298" s="4">
        <v>86</v>
      </c>
      <c r="L298" s="4">
        <v>61.3</v>
      </c>
      <c r="M298" s="4">
        <v>70.3</v>
      </c>
      <c r="N298">
        <v>0</v>
      </c>
      <c r="O298" t="s">
        <v>64</v>
      </c>
      <c r="P298" t="s">
        <v>65</v>
      </c>
      <c r="S298" s="3">
        <v>0</v>
      </c>
      <c r="T298" s="5"/>
      <c r="U298">
        <v>0</v>
      </c>
      <c r="V298">
        <v>2025</v>
      </c>
      <c r="X298">
        <f t="shared" si="12"/>
        <v>8.6999701999999992</v>
      </c>
      <c r="Y298">
        <f t="shared" si="13"/>
        <v>-2.9799999999999999E-5</v>
      </c>
      <c r="Z298">
        <f t="shared" si="14"/>
        <v>61.299970199999997</v>
      </c>
    </row>
    <row r="299" spans="1:26" x14ac:dyDescent="0.3">
      <c r="A299" t="s">
        <v>389</v>
      </c>
      <c r="B299" t="s">
        <v>67</v>
      </c>
      <c r="C299" t="s">
        <v>56</v>
      </c>
      <c r="D299" t="s">
        <v>69</v>
      </c>
      <c r="E299">
        <v>20</v>
      </c>
      <c r="F299" s="3">
        <v>9.17</v>
      </c>
      <c r="G299" s="4">
        <v>71.099999999999994</v>
      </c>
      <c r="H299">
        <v>1</v>
      </c>
      <c r="I299">
        <v>1</v>
      </c>
      <c r="J299">
        <v>4</v>
      </c>
      <c r="K299" s="4">
        <v>54.3</v>
      </c>
      <c r="L299" s="4">
        <v>66.400000000000006</v>
      </c>
      <c r="M299" s="4">
        <v>59.3</v>
      </c>
      <c r="N299">
        <v>1</v>
      </c>
      <c r="O299" t="s">
        <v>64</v>
      </c>
      <c r="P299" t="s">
        <v>65</v>
      </c>
      <c r="S299" s="3">
        <v>0</v>
      </c>
      <c r="T299" s="5"/>
      <c r="U299">
        <v>0</v>
      </c>
      <c r="V299">
        <v>2023</v>
      </c>
      <c r="X299">
        <f t="shared" si="12"/>
        <v>9.1699701000000005</v>
      </c>
      <c r="Y299">
        <f t="shared" si="13"/>
        <v>-2.9899999999999998E-5</v>
      </c>
      <c r="Z299">
        <f t="shared" si="14"/>
        <v>66.399970100000004</v>
      </c>
    </row>
    <row r="300" spans="1:26" x14ac:dyDescent="0.3">
      <c r="A300" t="s">
        <v>390</v>
      </c>
      <c r="B300" t="s">
        <v>55</v>
      </c>
      <c r="C300" t="s">
        <v>68</v>
      </c>
      <c r="D300" t="s">
        <v>69</v>
      </c>
      <c r="E300">
        <v>23</v>
      </c>
      <c r="F300" s="3">
        <v>6.98</v>
      </c>
      <c r="G300" s="4">
        <v>71.2</v>
      </c>
      <c r="H300">
        <v>2</v>
      </c>
      <c r="I300">
        <v>3</v>
      </c>
      <c r="J300">
        <v>3</v>
      </c>
      <c r="K300" s="4">
        <v>61.3</v>
      </c>
      <c r="L300" s="4">
        <v>69.5</v>
      </c>
      <c r="M300" s="4">
        <v>64.8</v>
      </c>
      <c r="N300">
        <v>0</v>
      </c>
      <c r="O300" t="s">
        <v>64</v>
      </c>
      <c r="P300" t="s">
        <v>65</v>
      </c>
      <c r="S300" s="3">
        <v>0</v>
      </c>
      <c r="T300" s="5"/>
      <c r="U300">
        <v>0</v>
      </c>
      <c r="V300">
        <v>2024</v>
      </c>
      <c r="X300">
        <f t="shared" si="12"/>
        <v>6.9799700000000007</v>
      </c>
      <c r="Y300">
        <f t="shared" si="13"/>
        <v>-2.9999999999999997E-5</v>
      </c>
      <c r="Z300">
        <f t="shared" si="14"/>
        <v>69.499970000000005</v>
      </c>
    </row>
    <row r="301" spans="1:26" x14ac:dyDescent="0.3">
      <c r="A301" t="s">
        <v>391</v>
      </c>
      <c r="B301" t="s">
        <v>107</v>
      </c>
      <c r="C301" t="s">
        <v>78</v>
      </c>
      <c r="D301" t="s">
        <v>69</v>
      </c>
      <c r="E301">
        <v>21</v>
      </c>
      <c r="F301" s="3">
        <v>5.85</v>
      </c>
      <c r="G301" s="4">
        <v>92.1</v>
      </c>
      <c r="H301">
        <v>2</v>
      </c>
      <c r="I301">
        <v>1</v>
      </c>
      <c r="J301">
        <v>4</v>
      </c>
      <c r="K301" s="4">
        <v>75.8</v>
      </c>
      <c r="L301" s="4">
        <v>36.1</v>
      </c>
      <c r="M301" s="4">
        <v>78.3</v>
      </c>
      <c r="N301">
        <v>3</v>
      </c>
      <c r="O301" t="s">
        <v>58</v>
      </c>
      <c r="P301" t="s">
        <v>79</v>
      </c>
      <c r="Q301" t="s">
        <v>71</v>
      </c>
      <c r="R301" t="s">
        <v>130</v>
      </c>
      <c r="S301" s="3">
        <v>3.91</v>
      </c>
      <c r="T301" s="5">
        <v>44437</v>
      </c>
      <c r="U301">
        <v>1</v>
      </c>
      <c r="V301">
        <v>2021</v>
      </c>
      <c r="X301">
        <f t="shared" si="12"/>
        <v>5.8499698999999996</v>
      </c>
      <c r="Y301">
        <f t="shared" si="13"/>
        <v>3.9099699000000001</v>
      </c>
      <c r="Z301">
        <f t="shared" si="14"/>
        <v>36.099969900000005</v>
      </c>
    </row>
    <row r="302" spans="1:26" x14ac:dyDescent="0.3">
      <c r="A302" t="s">
        <v>392</v>
      </c>
      <c r="B302" t="s">
        <v>63</v>
      </c>
      <c r="C302" t="s">
        <v>68</v>
      </c>
      <c r="D302" t="s">
        <v>57</v>
      </c>
      <c r="E302">
        <v>23</v>
      </c>
      <c r="F302" s="3">
        <v>7.43</v>
      </c>
      <c r="G302" s="4">
        <v>74.3</v>
      </c>
      <c r="H302">
        <v>0</v>
      </c>
      <c r="I302">
        <v>0</v>
      </c>
      <c r="J302">
        <v>4</v>
      </c>
      <c r="K302" s="4">
        <v>70</v>
      </c>
      <c r="L302" s="4">
        <v>44.8</v>
      </c>
      <c r="M302" s="4">
        <v>89.4</v>
      </c>
      <c r="N302">
        <v>0</v>
      </c>
      <c r="O302" t="s">
        <v>64</v>
      </c>
      <c r="P302" t="s">
        <v>65</v>
      </c>
      <c r="S302" s="3">
        <v>0</v>
      </c>
      <c r="T302" s="5"/>
      <c r="U302">
        <v>0</v>
      </c>
      <c r="V302">
        <v>2025</v>
      </c>
      <c r="X302">
        <f t="shared" si="12"/>
        <v>7.4299697999999994</v>
      </c>
      <c r="Y302">
        <f t="shared" si="13"/>
        <v>-3.0199999999999999E-5</v>
      </c>
      <c r="Z302">
        <f t="shared" si="14"/>
        <v>44.7999698</v>
      </c>
    </row>
    <row r="303" spans="1:26" x14ac:dyDescent="0.3">
      <c r="A303" t="s">
        <v>393</v>
      </c>
      <c r="B303" t="s">
        <v>63</v>
      </c>
      <c r="C303" t="s">
        <v>56</v>
      </c>
      <c r="D303" t="s">
        <v>69</v>
      </c>
      <c r="E303">
        <v>22</v>
      </c>
      <c r="F303" s="3">
        <v>6.22</v>
      </c>
      <c r="G303" s="4">
        <v>95.8</v>
      </c>
      <c r="H303">
        <v>1</v>
      </c>
      <c r="I303">
        <v>3</v>
      </c>
      <c r="J303">
        <v>3</v>
      </c>
      <c r="K303" s="4">
        <v>73.099999999999994</v>
      </c>
      <c r="L303" s="4">
        <v>62.1</v>
      </c>
      <c r="M303" s="4">
        <v>80.7</v>
      </c>
      <c r="N303">
        <v>0</v>
      </c>
      <c r="O303" t="s">
        <v>64</v>
      </c>
      <c r="P303" t="s">
        <v>65</v>
      </c>
      <c r="S303" s="3">
        <v>0</v>
      </c>
      <c r="T303" s="5"/>
      <c r="U303">
        <v>0</v>
      </c>
      <c r="V303">
        <v>2025</v>
      </c>
      <c r="X303">
        <f t="shared" si="12"/>
        <v>6.2199697</v>
      </c>
      <c r="Y303">
        <f t="shared" si="13"/>
        <v>-3.0299999999999998E-5</v>
      </c>
      <c r="Z303">
        <f t="shared" si="14"/>
        <v>62.099969700000003</v>
      </c>
    </row>
    <row r="304" spans="1:26" x14ac:dyDescent="0.3">
      <c r="A304" t="s">
        <v>394</v>
      </c>
      <c r="B304" t="s">
        <v>107</v>
      </c>
      <c r="C304" t="s">
        <v>68</v>
      </c>
      <c r="D304" t="s">
        <v>57</v>
      </c>
      <c r="E304">
        <v>21</v>
      </c>
      <c r="F304" s="3">
        <v>10</v>
      </c>
      <c r="G304" s="4">
        <v>79.5</v>
      </c>
      <c r="H304">
        <v>1</v>
      </c>
      <c r="I304">
        <v>2</v>
      </c>
      <c r="J304">
        <v>5</v>
      </c>
      <c r="K304" s="4">
        <v>59.9</v>
      </c>
      <c r="L304" s="4">
        <v>83.8</v>
      </c>
      <c r="M304" s="4">
        <v>78</v>
      </c>
      <c r="N304">
        <v>0</v>
      </c>
      <c r="O304" t="s">
        <v>58</v>
      </c>
      <c r="P304" t="s">
        <v>59</v>
      </c>
      <c r="Q304" t="s">
        <v>60</v>
      </c>
      <c r="R304" t="s">
        <v>85</v>
      </c>
      <c r="S304" s="3">
        <v>21.47</v>
      </c>
      <c r="T304" s="5">
        <v>44515</v>
      </c>
      <c r="U304">
        <v>1</v>
      </c>
      <c r="V304">
        <v>2021</v>
      </c>
      <c r="X304">
        <f t="shared" si="12"/>
        <v>9.9999696</v>
      </c>
      <c r="Y304">
        <f t="shared" si="13"/>
        <v>21.469969599999999</v>
      </c>
      <c r="Z304">
        <f t="shared" si="14"/>
        <v>83.799969599999997</v>
      </c>
    </row>
    <row r="305" spans="1:26" x14ac:dyDescent="0.3">
      <c r="A305" t="s">
        <v>395</v>
      </c>
      <c r="B305" t="s">
        <v>63</v>
      </c>
      <c r="C305" t="s">
        <v>89</v>
      </c>
      <c r="D305" t="s">
        <v>69</v>
      </c>
      <c r="E305">
        <v>20</v>
      </c>
      <c r="F305" s="3">
        <v>6.86</v>
      </c>
      <c r="G305" s="4">
        <v>85.5</v>
      </c>
      <c r="H305">
        <v>2</v>
      </c>
      <c r="I305">
        <v>2</v>
      </c>
      <c r="J305">
        <v>2</v>
      </c>
      <c r="K305" s="4">
        <v>50.4</v>
      </c>
      <c r="L305" s="4">
        <v>48.8</v>
      </c>
      <c r="M305" s="4">
        <v>63.7</v>
      </c>
      <c r="N305">
        <v>1</v>
      </c>
      <c r="O305" t="s">
        <v>64</v>
      </c>
      <c r="P305" t="s">
        <v>65</v>
      </c>
      <c r="S305" s="3">
        <v>0</v>
      </c>
      <c r="T305" s="5"/>
      <c r="U305">
        <v>0</v>
      </c>
      <c r="V305">
        <v>2025</v>
      </c>
      <c r="X305">
        <f t="shared" si="12"/>
        <v>6.8599695000000001</v>
      </c>
      <c r="Y305">
        <f t="shared" si="13"/>
        <v>-3.0499999999999999E-5</v>
      </c>
      <c r="Z305">
        <f t="shared" si="14"/>
        <v>48.799969499999996</v>
      </c>
    </row>
    <row r="306" spans="1:26" x14ac:dyDescent="0.3">
      <c r="A306" t="s">
        <v>396</v>
      </c>
      <c r="B306" t="s">
        <v>67</v>
      </c>
      <c r="C306" t="s">
        <v>78</v>
      </c>
      <c r="D306" t="s">
        <v>57</v>
      </c>
      <c r="E306">
        <v>21</v>
      </c>
      <c r="F306" s="3">
        <v>8.16</v>
      </c>
      <c r="G306" s="4">
        <v>85</v>
      </c>
      <c r="H306">
        <v>3</v>
      </c>
      <c r="I306">
        <v>1</v>
      </c>
      <c r="J306">
        <v>4</v>
      </c>
      <c r="K306" s="4">
        <v>71</v>
      </c>
      <c r="L306" s="4">
        <v>78.7</v>
      </c>
      <c r="M306" s="4">
        <v>79.8</v>
      </c>
      <c r="N306">
        <v>0</v>
      </c>
      <c r="O306" t="s">
        <v>58</v>
      </c>
      <c r="P306" t="s">
        <v>79</v>
      </c>
      <c r="Q306" t="s">
        <v>71</v>
      </c>
      <c r="R306" t="s">
        <v>130</v>
      </c>
      <c r="S306" s="3">
        <v>5.67</v>
      </c>
      <c r="T306" s="5">
        <v>45181</v>
      </c>
      <c r="U306">
        <v>2</v>
      </c>
      <c r="V306">
        <v>2023</v>
      </c>
      <c r="X306">
        <f t="shared" si="12"/>
        <v>8.1599693999999996</v>
      </c>
      <c r="Y306">
        <f t="shared" si="13"/>
        <v>5.6699694000000003</v>
      </c>
      <c r="Z306">
        <f t="shared" si="14"/>
        <v>78.699969400000001</v>
      </c>
    </row>
    <row r="307" spans="1:26" x14ac:dyDescent="0.3">
      <c r="A307" t="s">
        <v>397</v>
      </c>
      <c r="B307" t="s">
        <v>55</v>
      </c>
      <c r="C307" t="s">
        <v>74</v>
      </c>
      <c r="D307" t="s">
        <v>69</v>
      </c>
      <c r="E307">
        <v>21</v>
      </c>
      <c r="F307" s="3">
        <v>8.49</v>
      </c>
      <c r="G307" s="4">
        <v>75.599999999999994</v>
      </c>
      <c r="H307">
        <v>0</v>
      </c>
      <c r="I307">
        <v>0</v>
      </c>
      <c r="J307">
        <v>2</v>
      </c>
      <c r="K307" s="4">
        <v>55.7</v>
      </c>
      <c r="L307" s="4">
        <v>94.8</v>
      </c>
      <c r="M307" s="4">
        <v>66.400000000000006</v>
      </c>
      <c r="N307">
        <v>0</v>
      </c>
      <c r="O307" t="s">
        <v>58</v>
      </c>
      <c r="P307" t="s">
        <v>70</v>
      </c>
      <c r="Q307" t="s">
        <v>71</v>
      </c>
      <c r="R307" t="s">
        <v>85</v>
      </c>
      <c r="S307" s="3">
        <v>7.29</v>
      </c>
      <c r="T307" s="5">
        <v>45508</v>
      </c>
      <c r="U307">
        <v>1</v>
      </c>
      <c r="V307">
        <v>2024</v>
      </c>
      <c r="X307">
        <f t="shared" si="12"/>
        <v>8.4899693000000003</v>
      </c>
      <c r="Y307">
        <f t="shared" si="13"/>
        <v>7.2899693000000001</v>
      </c>
      <c r="Z307">
        <f t="shared" si="14"/>
        <v>94.799969300000001</v>
      </c>
    </row>
    <row r="308" spans="1:26" x14ac:dyDescent="0.3">
      <c r="A308" t="s">
        <v>398</v>
      </c>
      <c r="B308" t="s">
        <v>107</v>
      </c>
      <c r="C308" t="s">
        <v>89</v>
      </c>
      <c r="D308" t="s">
        <v>57</v>
      </c>
      <c r="E308">
        <v>21</v>
      </c>
      <c r="F308" s="3">
        <v>7.96</v>
      </c>
      <c r="G308" s="4">
        <v>94.5</v>
      </c>
      <c r="H308">
        <v>1</v>
      </c>
      <c r="I308">
        <v>2</v>
      </c>
      <c r="J308">
        <v>6</v>
      </c>
      <c r="K308" s="4">
        <v>75.3</v>
      </c>
      <c r="L308" s="4">
        <v>66</v>
      </c>
      <c r="M308" s="4">
        <v>59.9</v>
      </c>
      <c r="N308">
        <v>0</v>
      </c>
      <c r="O308" t="s">
        <v>58</v>
      </c>
      <c r="P308" t="s">
        <v>112</v>
      </c>
      <c r="Q308" t="s">
        <v>93</v>
      </c>
      <c r="R308" t="s">
        <v>76</v>
      </c>
      <c r="S308" s="3">
        <v>6.23</v>
      </c>
      <c r="T308" s="5">
        <v>44477</v>
      </c>
      <c r="U308">
        <v>3</v>
      </c>
      <c r="V308">
        <v>2021</v>
      </c>
      <c r="X308">
        <f t="shared" si="12"/>
        <v>7.9599691999999997</v>
      </c>
      <c r="Y308">
        <f t="shared" si="13"/>
        <v>6.2299692000000002</v>
      </c>
      <c r="Z308">
        <f t="shared" si="14"/>
        <v>65.999969199999995</v>
      </c>
    </row>
    <row r="309" spans="1:26" x14ac:dyDescent="0.3">
      <c r="A309" t="s">
        <v>399</v>
      </c>
      <c r="B309" t="s">
        <v>55</v>
      </c>
      <c r="C309" t="s">
        <v>68</v>
      </c>
      <c r="D309" t="s">
        <v>69</v>
      </c>
      <c r="E309">
        <v>21</v>
      </c>
      <c r="F309" s="3">
        <v>9.52</v>
      </c>
      <c r="G309" s="4">
        <v>79.5</v>
      </c>
      <c r="H309">
        <v>3</v>
      </c>
      <c r="I309">
        <v>4</v>
      </c>
      <c r="J309">
        <v>3</v>
      </c>
      <c r="K309" s="4">
        <v>55.5</v>
      </c>
      <c r="L309" s="4">
        <v>63.3</v>
      </c>
      <c r="M309" s="4">
        <v>63.2</v>
      </c>
      <c r="N309">
        <v>0</v>
      </c>
      <c r="O309" t="s">
        <v>58</v>
      </c>
      <c r="P309" t="s">
        <v>95</v>
      </c>
      <c r="Q309" t="s">
        <v>93</v>
      </c>
      <c r="R309" t="s">
        <v>76</v>
      </c>
      <c r="S309" s="3">
        <v>6.39</v>
      </c>
      <c r="T309" s="5">
        <v>45574</v>
      </c>
      <c r="U309">
        <v>1</v>
      </c>
      <c r="V309">
        <v>2024</v>
      </c>
      <c r="X309">
        <f t="shared" si="12"/>
        <v>9.5199690999999991</v>
      </c>
      <c r="Y309">
        <f t="shared" si="13"/>
        <v>6.3899691000000001</v>
      </c>
      <c r="Z309">
        <f t="shared" si="14"/>
        <v>63.299969099999998</v>
      </c>
    </row>
    <row r="310" spans="1:26" x14ac:dyDescent="0.3">
      <c r="A310" t="s">
        <v>400</v>
      </c>
      <c r="B310" t="s">
        <v>63</v>
      </c>
      <c r="C310" t="s">
        <v>78</v>
      </c>
      <c r="D310" t="s">
        <v>57</v>
      </c>
      <c r="E310">
        <v>23</v>
      </c>
      <c r="F310" s="3">
        <v>7.47</v>
      </c>
      <c r="G310" s="4">
        <v>82.5</v>
      </c>
      <c r="H310">
        <v>1</v>
      </c>
      <c r="I310">
        <v>0</v>
      </c>
      <c r="J310">
        <v>5</v>
      </c>
      <c r="K310" s="4">
        <v>65.900000000000006</v>
      </c>
      <c r="L310" s="4">
        <v>78.099999999999994</v>
      </c>
      <c r="M310" s="4">
        <v>72.599999999999994</v>
      </c>
      <c r="N310">
        <v>1</v>
      </c>
      <c r="O310" t="s">
        <v>64</v>
      </c>
      <c r="P310" t="s">
        <v>65</v>
      </c>
      <c r="S310" s="3">
        <v>0</v>
      </c>
      <c r="T310" s="5"/>
      <c r="U310">
        <v>0</v>
      </c>
      <c r="V310">
        <v>2025</v>
      </c>
      <c r="X310">
        <f t="shared" si="12"/>
        <v>7.4699689999999999</v>
      </c>
      <c r="Y310">
        <f t="shared" si="13"/>
        <v>-3.1000000000000001E-5</v>
      </c>
      <c r="Z310">
        <f t="shared" si="14"/>
        <v>78.099968999999987</v>
      </c>
    </row>
    <row r="311" spans="1:26" x14ac:dyDescent="0.3">
      <c r="A311" t="s">
        <v>401</v>
      </c>
      <c r="B311" t="s">
        <v>63</v>
      </c>
      <c r="C311" t="s">
        <v>89</v>
      </c>
      <c r="D311" t="s">
        <v>57</v>
      </c>
      <c r="E311">
        <v>20</v>
      </c>
      <c r="F311" s="3">
        <v>6.9</v>
      </c>
      <c r="G311" s="4">
        <v>64.2</v>
      </c>
      <c r="H311">
        <v>2</v>
      </c>
      <c r="I311">
        <v>4</v>
      </c>
      <c r="J311">
        <v>4</v>
      </c>
      <c r="K311" s="4">
        <v>92</v>
      </c>
      <c r="L311" s="4">
        <v>71.599999999999994</v>
      </c>
      <c r="M311" s="4">
        <v>67.5</v>
      </c>
      <c r="N311">
        <v>0</v>
      </c>
      <c r="O311" t="s">
        <v>58</v>
      </c>
      <c r="P311" t="s">
        <v>79</v>
      </c>
      <c r="Q311" t="s">
        <v>71</v>
      </c>
      <c r="R311" t="s">
        <v>76</v>
      </c>
      <c r="S311" s="3">
        <v>5.91</v>
      </c>
      <c r="T311" s="5">
        <v>45979</v>
      </c>
      <c r="U311">
        <v>2</v>
      </c>
      <c r="V311">
        <v>2025</v>
      </c>
      <c r="X311">
        <f t="shared" si="12"/>
        <v>6.8999689000000002</v>
      </c>
      <c r="Y311">
        <f t="shared" si="13"/>
        <v>5.9099689</v>
      </c>
      <c r="Z311">
        <f t="shared" si="14"/>
        <v>71.599968899999993</v>
      </c>
    </row>
    <row r="312" spans="1:26" x14ac:dyDescent="0.3">
      <c r="A312" t="s">
        <v>402</v>
      </c>
      <c r="B312" t="s">
        <v>107</v>
      </c>
      <c r="C312" t="s">
        <v>68</v>
      </c>
      <c r="D312" t="s">
        <v>57</v>
      </c>
      <c r="E312">
        <v>23</v>
      </c>
      <c r="F312" s="3">
        <v>6.85</v>
      </c>
      <c r="G312" s="4">
        <v>70</v>
      </c>
      <c r="H312">
        <v>0</v>
      </c>
      <c r="I312">
        <v>1</v>
      </c>
      <c r="J312">
        <v>2</v>
      </c>
      <c r="K312" s="4">
        <v>71.099999999999994</v>
      </c>
      <c r="L312" s="4">
        <v>60.7</v>
      </c>
      <c r="M312" s="4">
        <v>77.5</v>
      </c>
      <c r="N312">
        <v>0</v>
      </c>
      <c r="O312" t="s">
        <v>64</v>
      </c>
      <c r="P312" t="s">
        <v>65</v>
      </c>
      <c r="S312" s="3">
        <v>0</v>
      </c>
      <c r="T312" s="5"/>
      <c r="U312">
        <v>0</v>
      </c>
      <c r="V312">
        <v>2021</v>
      </c>
      <c r="X312">
        <f t="shared" si="12"/>
        <v>6.8499688000000001</v>
      </c>
      <c r="Y312">
        <f t="shared" si="13"/>
        <v>-3.1199999999999999E-5</v>
      </c>
      <c r="Z312">
        <f t="shared" si="14"/>
        <v>60.699968800000001</v>
      </c>
    </row>
    <row r="313" spans="1:26" x14ac:dyDescent="0.3">
      <c r="A313" t="s">
        <v>403</v>
      </c>
      <c r="B313" t="s">
        <v>67</v>
      </c>
      <c r="C313" t="s">
        <v>56</v>
      </c>
      <c r="D313" t="s">
        <v>69</v>
      </c>
      <c r="E313">
        <v>22</v>
      </c>
      <c r="F313" s="3">
        <v>8.33</v>
      </c>
      <c r="G313" s="4">
        <v>92.1</v>
      </c>
      <c r="H313">
        <v>1</v>
      </c>
      <c r="I313">
        <v>2</v>
      </c>
      <c r="J313">
        <v>4</v>
      </c>
      <c r="K313" s="4">
        <v>56.8</v>
      </c>
      <c r="L313" s="4">
        <v>74.099999999999994</v>
      </c>
      <c r="M313" s="4">
        <v>69.5</v>
      </c>
      <c r="N313">
        <v>0</v>
      </c>
      <c r="O313" t="s">
        <v>58</v>
      </c>
      <c r="P313" t="s">
        <v>104</v>
      </c>
      <c r="Q313" t="s">
        <v>105</v>
      </c>
      <c r="R313" t="s">
        <v>76</v>
      </c>
      <c r="S313" s="3">
        <v>15.35</v>
      </c>
      <c r="T313" s="5">
        <v>45144</v>
      </c>
      <c r="U313">
        <v>1</v>
      </c>
      <c r="V313">
        <v>2023</v>
      </c>
      <c r="X313">
        <f t="shared" si="12"/>
        <v>8.3299687000000002</v>
      </c>
      <c r="Y313">
        <f t="shared" si="13"/>
        <v>15.3499687</v>
      </c>
      <c r="Z313">
        <f t="shared" si="14"/>
        <v>74.099968699999991</v>
      </c>
    </row>
    <row r="314" spans="1:26" x14ac:dyDescent="0.3">
      <c r="A314" t="s">
        <v>404</v>
      </c>
      <c r="B314" t="s">
        <v>82</v>
      </c>
      <c r="C314" t="s">
        <v>56</v>
      </c>
      <c r="D314" t="s">
        <v>69</v>
      </c>
      <c r="E314">
        <v>22</v>
      </c>
      <c r="F314" s="3">
        <v>7.48</v>
      </c>
      <c r="G314" s="4">
        <v>82</v>
      </c>
      <c r="H314">
        <v>1</v>
      </c>
      <c r="I314">
        <v>0</v>
      </c>
      <c r="J314">
        <v>6</v>
      </c>
      <c r="K314" s="4">
        <v>75</v>
      </c>
      <c r="L314" s="4">
        <v>59.7</v>
      </c>
      <c r="M314" s="4">
        <v>77.3</v>
      </c>
      <c r="N314">
        <v>0</v>
      </c>
      <c r="O314" t="s">
        <v>58</v>
      </c>
      <c r="P314" t="s">
        <v>59</v>
      </c>
      <c r="Q314" t="s">
        <v>60</v>
      </c>
      <c r="R314" t="s">
        <v>130</v>
      </c>
      <c r="S314" s="3">
        <v>19.55</v>
      </c>
      <c r="T314" s="5">
        <v>44851</v>
      </c>
      <c r="U314">
        <v>2</v>
      </c>
      <c r="V314">
        <v>2022</v>
      </c>
      <c r="X314">
        <f t="shared" si="12"/>
        <v>7.4799686000000003</v>
      </c>
      <c r="Y314">
        <f t="shared" si="13"/>
        <v>19.5499686</v>
      </c>
      <c r="Z314">
        <f t="shared" si="14"/>
        <v>59.699968600000005</v>
      </c>
    </row>
    <row r="315" spans="1:26" x14ac:dyDescent="0.3">
      <c r="A315" t="s">
        <v>405</v>
      </c>
      <c r="B315" t="s">
        <v>107</v>
      </c>
      <c r="C315" t="s">
        <v>56</v>
      </c>
      <c r="D315" t="s">
        <v>69</v>
      </c>
      <c r="E315">
        <v>21</v>
      </c>
      <c r="F315" s="3">
        <v>6.85</v>
      </c>
      <c r="G315" s="4">
        <v>76.7</v>
      </c>
      <c r="H315">
        <v>2</v>
      </c>
      <c r="I315">
        <v>2</v>
      </c>
      <c r="J315">
        <v>2</v>
      </c>
      <c r="K315" s="4">
        <v>66</v>
      </c>
      <c r="L315" s="4">
        <v>90.6</v>
      </c>
      <c r="M315" s="4">
        <v>70.3</v>
      </c>
      <c r="N315">
        <v>0</v>
      </c>
      <c r="O315" t="s">
        <v>58</v>
      </c>
      <c r="P315" t="s">
        <v>70</v>
      </c>
      <c r="Q315" t="s">
        <v>71</v>
      </c>
      <c r="R315" t="s">
        <v>72</v>
      </c>
      <c r="S315" s="3">
        <v>5.1100000000000003</v>
      </c>
      <c r="T315" s="5">
        <v>44430</v>
      </c>
      <c r="U315">
        <v>1</v>
      </c>
      <c r="V315">
        <v>2021</v>
      </c>
      <c r="X315">
        <f t="shared" si="12"/>
        <v>6.8499684999999992</v>
      </c>
      <c r="Y315">
        <f t="shared" si="13"/>
        <v>5.1099684999999999</v>
      </c>
      <c r="Z315">
        <f t="shared" si="14"/>
        <v>90.599968499999989</v>
      </c>
    </row>
    <row r="316" spans="1:26" x14ac:dyDescent="0.3">
      <c r="A316" t="s">
        <v>406</v>
      </c>
      <c r="B316" t="s">
        <v>82</v>
      </c>
      <c r="C316" t="s">
        <v>56</v>
      </c>
      <c r="D316" t="s">
        <v>57</v>
      </c>
      <c r="E316">
        <v>23</v>
      </c>
      <c r="F316" s="3">
        <v>8.0500000000000007</v>
      </c>
      <c r="G316" s="4">
        <v>76.900000000000006</v>
      </c>
      <c r="H316">
        <v>1</v>
      </c>
      <c r="I316">
        <v>0</v>
      </c>
      <c r="J316">
        <v>3</v>
      </c>
      <c r="K316" s="4">
        <v>57</v>
      </c>
      <c r="L316" s="4">
        <v>66.8</v>
      </c>
      <c r="M316" s="4">
        <v>73.400000000000006</v>
      </c>
      <c r="N316">
        <v>0</v>
      </c>
      <c r="O316" t="s">
        <v>58</v>
      </c>
      <c r="P316" t="s">
        <v>70</v>
      </c>
      <c r="Q316" t="s">
        <v>71</v>
      </c>
      <c r="R316" t="s">
        <v>61</v>
      </c>
      <c r="S316" s="3">
        <v>5.48</v>
      </c>
      <c r="T316" s="5">
        <v>44789</v>
      </c>
      <c r="U316">
        <v>1</v>
      </c>
      <c r="V316">
        <v>2022</v>
      </c>
      <c r="X316">
        <f t="shared" si="12"/>
        <v>8.0499684000000009</v>
      </c>
      <c r="Y316">
        <f t="shared" si="13"/>
        <v>5.4799684000000006</v>
      </c>
      <c r="Z316">
        <f t="shared" si="14"/>
        <v>66.799968399999997</v>
      </c>
    </row>
    <row r="317" spans="1:26" x14ac:dyDescent="0.3">
      <c r="A317" t="s">
        <v>407</v>
      </c>
      <c r="B317" t="s">
        <v>82</v>
      </c>
      <c r="C317" t="s">
        <v>68</v>
      </c>
      <c r="D317" t="s">
        <v>57</v>
      </c>
      <c r="E317">
        <v>23</v>
      </c>
      <c r="F317" s="3">
        <v>8.2899999999999991</v>
      </c>
      <c r="G317" s="4">
        <v>86.9</v>
      </c>
      <c r="H317">
        <v>1</v>
      </c>
      <c r="I317">
        <v>0</v>
      </c>
      <c r="J317">
        <v>3</v>
      </c>
      <c r="K317" s="4">
        <v>68.3</v>
      </c>
      <c r="L317" s="4">
        <v>76.400000000000006</v>
      </c>
      <c r="M317" s="4">
        <v>62.2</v>
      </c>
      <c r="N317">
        <v>0</v>
      </c>
      <c r="O317" t="s">
        <v>58</v>
      </c>
      <c r="P317" t="s">
        <v>92</v>
      </c>
      <c r="Q317" t="s">
        <v>93</v>
      </c>
      <c r="R317" t="s">
        <v>61</v>
      </c>
      <c r="S317" s="3">
        <v>9.77</v>
      </c>
      <c r="T317" s="5">
        <v>44869</v>
      </c>
      <c r="U317">
        <v>1</v>
      </c>
      <c r="V317">
        <v>2022</v>
      </c>
      <c r="X317">
        <f t="shared" si="12"/>
        <v>8.2899683</v>
      </c>
      <c r="Y317">
        <f t="shared" si="13"/>
        <v>9.7699683000000004</v>
      </c>
      <c r="Z317">
        <f t="shared" si="14"/>
        <v>76.399968300000012</v>
      </c>
    </row>
    <row r="318" spans="1:26" x14ac:dyDescent="0.3">
      <c r="A318" t="s">
        <v>408</v>
      </c>
      <c r="B318" t="s">
        <v>67</v>
      </c>
      <c r="C318" t="s">
        <v>89</v>
      </c>
      <c r="D318" t="s">
        <v>69</v>
      </c>
      <c r="E318">
        <v>20</v>
      </c>
      <c r="F318" s="3">
        <v>7.89</v>
      </c>
      <c r="G318" s="4">
        <v>93.3</v>
      </c>
      <c r="H318">
        <v>1</v>
      </c>
      <c r="I318">
        <v>5</v>
      </c>
      <c r="J318">
        <v>3</v>
      </c>
      <c r="K318" s="4">
        <v>85.4</v>
      </c>
      <c r="L318" s="4">
        <v>95</v>
      </c>
      <c r="M318" s="4">
        <v>91.2</v>
      </c>
      <c r="N318">
        <v>0</v>
      </c>
      <c r="O318" t="s">
        <v>58</v>
      </c>
      <c r="P318" t="s">
        <v>87</v>
      </c>
      <c r="Q318" t="s">
        <v>71</v>
      </c>
      <c r="R318" t="s">
        <v>72</v>
      </c>
      <c r="S318" s="3">
        <v>6.07</v>
      </c>
      <c r="T318" s="5">
        <v>45174</v>
      </c>
      <c r="U318">
        <v>1</v>
      </c>
      <c r="V318">
        <v>2023</v>
      </c>
      <c r="X318">
        <f t="shared" si="12"/>
        <v>7.8899681999999993</v>
      </c>
      <c r="Y318">
        <f t="shared" si="13"/>
        <v>6.0699681999999999</v>
      </c>
      <c r="Z318">
        <f t="shared" si="14"/>
        <v>94.999968199999998</v>
      </c>
    </row>
    <row r="319" spans="1:26" x14ac:dyDescent="0.3">
      <c r="A319" t="s">
        <v>409</v>
      </c>
      <c r="B319" t="s">
        <v>82</v>
      </c>
      <c r="C319" t="s">
        <v>56</v>
      </c>
      <c r="D319" t="s">
        <v>57</v>
      </c>
      <c r="E319">
        <v>20</v>
      </c>
      <c r="F319" s="3">
        <v>8.4600000000000009</v>
      </c>
      <c r="G319" s="4">
        <v>76.900000000000006</v>
      </c>
      <c r="H319">
        <v>1</v>
      </c>
      <c r="I319">
        <v>3</v>
      </c>
      <c r="J319">
        <v>6</v>
      </c>
      <c r="K319" s="4">
        <v>76.5</v>
      </c>
      <c r="L319" s="4">
        <v>67.3</v>
      </c>
      <c r="M319" s="4">
        <v>54.4</v>
      </c>
      <c r="N319">
        <v>0</v>
      </c>
      <c r="O319" t="s">
        <v>58</v>
      </c>
      <c r="P319" t="s">
        <v>59</v>
      </c>
      <c r="Q319" t="s">
        <v>60</v>
      </c>
      <c r="R319" t="s">
        <v>80</v>
      </c>
      <c r="S319" s="3">
        <v>21.19</v>
      </c>
      <c r="T319" s="5">
        <v>44823</v>
      </c>
      <c r="U319">
        <v>2</v>
      </c>
      <c r="V319">
        <v>2022</v>
      </c>
      <c r="X319">
        <f t="shared" si="12"/>
        <v>8.4599681000000011</v>
      </c>
      <c r="Y319">
        <f t="shared" si="13"/>
        <v>21.189968100000002</v>
      </c>
      <c r="Z319">
        <f t="shared" si="14"/>
        <v>67.299968100000001</v>
      </c>
    </row>
    <row r="320" spans="1:26" x14ac:dyDescent="0.3">
      <c r="A320" t="s">
        <v>410</v>
      </c>
      <c r="B320" t="s">
        <v>82</v>
      </c>
      <c r="C320" t="s">
        <v>84</v>
      </c>
      <c r="D320" t="s">
        <v>69</v>
      </c>
      <c r="E320">
        <v>20</v>
      </c>
      <c r="F320" s="3">
        <v>7.73</v>
      </c>
      <c r="G320" s="4">
        <v>91.9</v>
      </c>
      <c r="H320">
        <v>2</v>
      </c>
      <c r="I320">
        <v>3</v>
      </c>
      <c r="J320">
        <v>3</v>
      </c>
      <c r="K320" s="4">
        <v>65.5</v>
      </c>
      <c r="L320" s="4">
        <v>58.7</v>
      </c>
      <c r="M320" s="4">
        <v>100</v>
      </c>
      <c r="N320">
        <v>1</v>
      </c>
      <c r="O320" t="s">
        <v>58</v>
      </c>
      <c r="P320" t="s">
        <v>92</v>
      </c>
      <c r="Q320" t="s">
        <v>93</v>
      </c>
      <c r="R320" t="s">
        <v>61</v>
      </c>
      <c r="S320" s="3">
        <v>9.5500000000000007</v>
      </c>
      <c r="T320" s="5">
        <v>44831</v>
      </c>
      <c r="U320">
        <v>1</v>
      </c>
      <c r="V320">
        <v>2022</v>
      </c>
      <c r="X320">
        <f t="shared" si="12"/>
        <v>7.7299680000000004</v>
      </c>
      <c r="Y320">
        <f t="shared" si="13"/>
        <v>9.5499680000000016</v>
      </c>
      <c r="Z320">
        <f t="shared" si="14"/>
        <v>58.699968000000005</v>
      </c>
    </row>
    <row r="321" spans="1:26" x14ac:dyDescent="0.3">
      <c r="A321" t="s">
        <v>411</v>
      </c>
      <c r="B321" t="s">
        <v>67</v>
      </c>
      <c r="C321" t="s">
        <v>56</v>
      </c>
      <c r="D321" t="s">
        <v>69</v>
      </c>
      <c r="E321">
        <v>23</v>
      </c>
      <c r="F321" s="3">
        <v>7.12</v>
      </c>
      <c r="G321" s="4">
        <v>80.599999999999994</v>
      </c>
      <c r="H321">
        <v>2</v>
      </c>
      <c r="I321">
        <v>0</v>
      </c>
      <c r="J321">
        <v>4</v>
      </c>
      <c r="K321" s="4">
        <v>51</v>
      </c>
      <c r="L321" s="4">
        <v>61.4</v>
      </c>
      <c r="M321" s="4">
        <v>79.7</v>
      </c>
      <c r="N321">
        <v>0</v>
      </c>
      <c r="O321" t="s">
        <v>64</v>
      </c>
      <c r="P321" t="s">
        <v>65</v>
      </c>
      <c r="S321" s="3">
        <v>0</v>
      </c>
      <c r="T321" s="5"/>
      <c r="U321">
        <v>0</v>
      </c>
      <c r="V321">
        <v>2023</v>
      </c>
      <c r="X321">
        <f t="shared" si="12"/>
        <v>7.1199678999999998</v>
      </c>
      <c r="Y321">
        <f t="shared" si="13"/>
        <v>-3.2100000000000001E-5</v>
      </c>
      <c r="Z321">
        <f t="shared" si="14"/>
        <v>61.3999679</v>
      </c>
    </row>
    <row r="322" spans="1:26" x14ac:dyDescent="0.3">
      <c r="A322" t="s">
        <v>412</v>
      </c>
      <c r="B322" t="s">
        <v>82</v>
      </c>
      <c r="C322" t="s">
        <v>78</v>
      </c>
      <c r="D322" t="s">
        <v>69</v>
      </c>
      <c r="E322">
        <v>20</v>
      </c>
      <c r="F322" s="3">
        <v>8.3800000000000008</v>
      </c>
      <c r="G322" s="4">
        <v>86.5</v>
      </c>
      <c r="H322">
        <v>0</v>
      </c>
      <c r="I322">
        <v>4</v>
      </c>
      <c r="J322">
        <v>3</v>
      </c>
      <c r="K322" s="4">
        <v>78.3</v>
      </c>
      <c r="L322" s="4">
        <v>69.900000000000006</v>
      </c>
      <c r="M322" s="4">
        <v>55.2</v>
      </c>
      <c r="N322">
        <v>0</v>
      </c>
      <c r="O322" t="s">
        <v>58</v>
      </c>
      <c r="P322" t="s">
        <v>90</v>
      </c>
      <c r="Q322" t="s">
        <v>60</v>
      </c>
      <c r="R322" t="s">
        <v>80</v>
      </c>
      <c r="S322" s="3">
        <v>8.2899999999999991</v>
      </c>
      <c r="T322" s="5">
        <v>44860</v>
      </c>
      <c r="U322">
        <v>1</v>
      </c>
      <c r="V322">
        <v>2022</v>
      </c>
      <c r="X322">
        <f t="shared" ref="X322:X385" si="15">F322-ROW()*0.0000001</f>
        <v>8.3799678000000011</v>
      </c>
      <c r="Y322">
        <f t="shared" ref="Y322:Y385" si="16">S322-ROW()*0.0000001</f>
        <v>8.2899677999999994</v>
      </c>
      <c r="Z322">
        <f t="shared" ref="Z322:Z385" si="17">L322-ROW()*0.0000001</f>
        <v>69.899967799999999</v>
      </c>
    </row>
    <row r="323" spans="1:26" x14ac:dyDescent="0.3">
      <c r="A323" t="s">
        <v>413</v>
      </c>
      <c r="B323" t="s">
        <v>82</v>
      </c>
      <c r="C323" t="s">
        <v>89</v>
      </c>
      <c r="D323" t="s">
        <v>57</v>
      </c>
      <c r="E323">
        <v>20</v>
      </c>
      <c r="F323" s="3">
        <v>6.85</v>
      </c>
      <c r="G323" s="4">
        <v>66</v>
      </c>
      <c r="H323">
        <v>2</v>
      </c>
      <c r="I323">
        <v>2</v>
      </c>
      <c r="J323">
        <v>3</v>
      </c>
      <c r="K323" s="4">
        <v>74.7</v>
      </c>
      <c r="L323" s="4">
        <v>67.900000000000006</v>
      </c>
      <c r="M323" s="4">
        <v>75.2</v>
      </c>
      <c r="N323">
        <v>0</v>
      </c>
      <c r="O323" t="s">
        <v>58</v>
      </c>
      <c r="P323" t="s">
        <v>112</v>
      </c>
      <c r="Q323" t="s">
        <v>93</v>
      </c>
      <c r="R323" t="s">
        <v>76</v>
      </c>
      <c r="S323" s="3">
        <v>7.79</v>
      </c>
      <c r="T323" s="5">
        <v>44824</v>
      </c>
      <c r="U323">
        <v>1</v>
      </c>
      <c r="V323">
        <v>2022</v>
      </c>
      <c r="X323">
        <f t="shared" si="15"/>
        <v>6.8499676999999997</v>
      </c>
      <c r="Y323">
        <f t="shared" si="16"/>
        <v>7.7899677000000001</v>
      </c>
      <c r="Z323">
        <f t="shared" si="17"/>
        <v>67.899967700000005</v>
      </c>
    </row>
    <row r="324" spans="1:26" x14ac:dyDescent="0.3">
      <c r="A324" t="s">
        <v>414</v>
      </c>
      <c r="B324" t="s">
        <v>82</v>
      </c>
      <c r="C324" t="s">
        <v>74</v>
      </c>
      <c r="D324" t="s">
        <v>57</v>
      </c>
      <c r="E324">
        <v>20</v>
      </c>
      <c r="F324" s="3">
        <v>6.63</v>
      </c>
      <c r="G324" s="4">
        <v>67.599999999999994</v>
      </c>
      <c r="H324">
        <v>0</v>
      </c>
      <c r="I324">
        <v>3</v>
      </c>
      <c r="J324">
        <v>2</v>
      </c>
      <c r="K324" s="4">
        <v>45.2</v>
      </c>
      <c r="L324" s="4">
        <v>67.3</v>
      </c>
      <c r="M324" s="4">
        <v>76.7</v>
      </c>
      <c r="N324">
        <v>0</v>
      </c>
      <c r="O324" t="s">
        <v>58</v>
      </c>
      <c r="P324" t="s">
        <v>90</v>
      </c>
      <c r="Q324" t="s">
        <v>60</v>
      </c>
      <c r="R324" t="s">
        <v>85</v>
      </c>
      <c r="S324" s="3">
        <v>7.1</v>
      </c>
      <c r="T324" s="5">
        <v>44851</v>
      </c>
      <c r="U324">
        <v>2</v>
      </c>
      <c r="V324">
        <v>2022</v>
      </c>
      <c r="X324">
        <f t="shared" si="15"/>
        <v>6.6299675999999996</v>
      </c>
      <c r="Y324">
        <f t="shared" si="16"/>
        <v>7.0999675999999994</v>
      </c>
      <c r="Z324">
        <f t="shared" si="17"/>
        <v>67.299967600000002</v>
      </c>
    </row>
    <row r="325" spans="1:26" x14ac:dyDescent="0.3">
      <c r="A325" t="s">
        <v>415</v>
      </c>
      <c r="B325" t="s">
        <v>107</v>
      </c>
      <c r="C325" t="s">
        <v>56</v>
      </c>
      <c r="D325" t="s">
        <v>57</v>
      </c>
      <c r="E325">
        <v>21</v>
      </c>
      <c r="F325" s="3">
        <v>8.69</v>
      </c>
      <c r="G325" s="4">
        <v>89.4</v>
      </c>
      <c r="H325">
        <v>1</v>
      </c>
      <c r="I325">
        <v>0</v>
      </c>
      <c r="J325">
        <v>3</v>
      </c>
      <c r="K325" s="4">
        <v>47.3</v>
      </c>
      <c r="L325" s="4">
        <v>75.2</v>
      </c>
      <c r="M325" s="4">
        <v>91.9</v>
      </c>
      <c r="N325">
        <v>0</v>
      </c>
      <c r="O325" t="s">
        <v>64</v>
      </c>
      <c r="P325" t="s">
        <v>65</v>
      </c>
      <c r="S325" s="3">
        <v>0</v>
      </c>
      <c r="T325" s="5"/>
      <c r="U325">
        <v>0</v>
      </c>
      <c r="V325">
        <v>2021</v>
      </c>
      <c r="X325">
        <f t="shared" si="15"/>
        <v>8.6899674999999998</v>
      </c>
      <c r="Y325">
        <f t="shared" si="16"/>
        <v>-3.2499999999999997E-5</v>
      </c>
      <c r="Z325">
        <f t="shared" si="17"/>
        <v>75.1999675</v>
      </c>
    </row>
    <row r="326" spans="1:26" x14ac:dyDescent="0.3">
      <c r="A326" t="s">
        <v>416</v>
      </c>
      <c r="B326" t="s">
        <v>107</v>
      </c>
      <c r="C326" t="s">
        <v>89</v>
      </c>
      <c r="D326" t="s">
        <v>69</v>
      </c>
      <c r="E326">
        <v>22</v>
      </c>
      <c r="F326" s="3">
        <v>7.34</v>
      </c>
      <c r="G326" s="4">
        <v>84.5</v>
      </c>
      <c r="H326">
        <v>2</v>
      </c>
      <c r="I326">
        <v>1</v>
      </c>
      <c r="J326">
        <v>4</v>
      </c>
      <c r="K326" s="4">
        <v>90</v>
      </c>
      <c r="L326" s="4">
        <v>71.8</v>
      </c>
      <c r="M326" s="4">
        <v>57.8</v>
      </c>
      <c r="N326">
        <v>0</v>
      </c>
      <c r="O326" t="s">
        <v>58</v>
      </c>
      <c r="P326" t="s">
        <v>79</v>
      </c>
      <c r="Q326" t="s">
        <v>71</v>
      </c>
      <c r="R326" t="s">
        <v>61</v>
      </c>
      <c r="S326" s="3">
        <v>5.45</v>
      </c>
      <c r="T326" s="5">
        <v>44461</v>
      </c>
      <c r="U326">
        <v>3</v>
      </c>
      <c r="V326">
        <v>2021</v>
      </c>
      <c r="X326">
        <f t="shared" si="15"/>
        <v>7.3399673999999999</v>
      </c>
      <c r="Y326">
        <f t="shared" si="16"/>
        <v>5.4499674000000002</v>
      </c>
      <c r="Z326">
        <f t="shared" si="17"/>
        <v>71.7999674</v>
      </c>
    </row>
    <row r="327" spans="1:26" x14ac:dyDescent="0.3">
      <c r="A327" t="s">
        <v>417</v>
      </c>
      <c r="B327" t="s">
        <v>107</v>
      </c>
      <c r="C327" t="s">
        <v>74</v>
      </c>
      <c r="D327" t="s">
        <v>57</v>
      </c>
      <c r="E327">
        <v>22</v>
      </c>
      <c r="F327" s="3">
        <v>9.15</v>
      </c>
      <c r="G327" s="4">
        <v>85.6</v>
      </c>
      <c r="H327">
        <v>0</v>
      </c>
      <c r="I327">
        <v>5</v>
      </c>
      <c r="J327">
        <v>1</v>
      </c>
      <c r="K327" s="4">
        <v>72.5</v>
      </c>
      <c r="L327" s="4">
        <v>63.1</v>
      </c>
      <c r="M327" s="4">
        <v>57.8</v>
      </c>
      <c r="N327">
        <v>0</v>
      </c>
      <c r="O327" t="s">
        <v>58</v>
      </c>
      <c r="P327" t="s">
        <v>87</v>
      </c>
      <c r="Q327" t="s">
        <v>71</v>
      </c>
      <c r="R327" t="s">
        <v>61</v>
      </c>
      <c r="S327" s="3">
        <v>6.82</v>
      </c>
      <c r="T327" s="5">
        <v>44414</v>
      </c>
      <c r="U327">
        <v>2</v>
      </c>
      <c r="V327">
        <v>2021</v>
      </c>
      <c r="X327">
        <f t="shared" si="15"/>
        <v>9.1499673000000001</v>
      </c>
      <c r="Y327">
        <f t="shared" si="16"/>
        <v>6.8199673000000001</v>
      </c>
      <c r="Z327">
        <f t="shared" si="17"/>
        <v>63.099967300000003</v>
      </c>
    </row>
    <row r="328" spans="1:26" x14ac:dyDescent="0.3">
      <c r="A328" t="s">
        <v>418</v>
      </c>
      <c r="B328" t="s">
        <v>67</v>
      </c>
      <c r="C328" t="s">
        <v>84</v>
      </c>
      <c r="D328" t="s">
        <v>57</v>
      </c>
      <c r="E328">
        <v>23</v>
      </c>
      <c r="F328" s="3">
        <v>8.42</v>
      </c>
      <c r="G328" s="4">
        <v>72.3</v>
      </c>
      <c r="H328">
        <v>0</v>
      </c>
      <c r="I328">
        <v>2</v>
      </c>
      <c r="J328">
        <v>5</v>
      </c>
      <c r="K328" s="4">
        <v>48.5</v>
      </c>
      <c r="L328" s="4">
        <v>70.2</v>
      </c>
      <c r="M328" s="4">
        <v>78.099999999999994</v>
      </c>
      <c r="N328">
        <v>0</v>
      </c>
      <c r="O328" t="s">
        <v>58</v>
      </c>
      <c r="P328" t="s">
        <v>104</v>
      </c>
      <c r="Q328" t="s">
        <v>105</v>
      </c>
      <c r="R328" t="s">
        <v>76</v>
      </c>
      <c r="S328" s="3">
        <v>14.82</v>
      </c>
      <c r="T328" s="5">
        <v>45244</v>
      </c>
      <c r="U328">
        <v>1</v>
      </c>
      <c r="V328">
        <v>2023</v>
      </c>
      <c r="X328">
        <f t="shared" si="15"/>
        <v>8.4199672000000003</v>
      </c>
      <c r="Y328">
        <f t="shared" si="16"/>
        <v>14.819967200000001</v>
      </c>
      <c r="Z328">
        <f t="shared" si="17"/>
        <v>70.199967200000003</v>
      </c>
    </row>
    <row r="329" spans="1:26" x14ac:dyDescent="0.3">
      <c r="A329" t="s">
        <v>419</v>
      </c>
      <c r="B329" t="s">
        <v>63</v>
      </c>
      <c r="C329" t="s">
        <v>68</v>
      </c>
      <c r="D329" t="s">
        <v>57</v>
      </c>
      <c r="E329">
        <v>23</v>
      </c>
      <c r="F329" s="3">
        <v>7.27</v>
      </c>
      <c r="G329" s="4">
        <v>78.2</v>
      </c>
      <c r="H329">
        <v>1</v>
      </c>
      <c r="I329">
        <v>4</v>
      </c>
      <c r="J329">
        <v>4</v>
      </c>
      <c r="K329" s="4">
        <v>83.9</v>
      </c>
      <c r="L329" s="4">
        <v>59.7</v>
      </c>
      <c r="M329" s="4">
        <v>76.3</v>
      </c>
      <c r="N329">
        <v>0</v>
      </c>
      <c r="O329" t="s">
        <v>58</v>
      </c>
      <c r="P329" t="s">
        <v>75</v>
      </c>
      <c r="Q329" t="s">
        <v>71</v>
      </c>
      <c r="R329" t="s">
        <v>76</v>
      </c>
      <c r="S329" s="3">
        <v>4.66</v>
      </c>
      <c r="T329" s="5">
        <v>45894</v>
      </c>
      <c r="U329">
        <v>1</v>
      </c>
      <c r="V329">
        <v>2025</v>
      </c>
      <c r="X329">
        <f t="shared" si="15"/>
        <v>7.2699670999999997</v>
      </c>
      <c r="Y329">
        <f t="shared" si="16"/>
        <v>4.6599671000000003</v>
      </c>
      <c r="Z329">
        <f t="shared" si="17"/>
        <v>59.699967100000002</v>
      </c>
    </row>
    <row r="330" spans="1:26" x14ac:dyDescent="0.3">
      <c r="A330" t="s">
        <v>420</v>
      </c>
      <c r="B330" t="s">
        <v>82</v>
      </c>
      <c r="C330" t="s">
        <v>84</v>
      </c>
      <c r="D330" t="s">
        <v>57</v>
      </c>
      <c r="E330">
        <v>21</v>
      </c>
      <c r="F330" s="3">
        <v>8.09</v>
      </c>
      <c r="G330" s="4">
        <v>66.900000000000006</v>
      </c>
      <c r="H330">
        <v>2</v>
      </c>
      <c r="I330">
        <v>1</v>
      </c>
      <c r="J330">
        <v>2</v>
      </c>
      <c r="K330" s="4">
        <v>85</v>
      </c>
      <c r="L330" s="4">
        <v>62.7</v>
      </c>
      <c r="M330" s="4">
        <v>91.6</v>
      </c>
      <c r="N330">
        <v>0</v>
      </c>
      <c r="O330" t="s">
        <v>58</v>
      </c>
      <c r="P330" t="s">
        <v>75</v>
      </c>
      <c r="Q330" t="s">
        <v>71</v>
      </c>
      <c r="R330" t="s">
        <v>61</v>
      </c>
      <c r="S330" s="3">
        <v>6.47</v>
      </c>
      <c r="T330" s="5">
        <v>44776</v>
      </c>
      <c r="U330">
        <v>2</v>
      </c>
      <c r="V330">
        <v>2022</v>
      </c>
      <c r="X330">
        <f t="shared" si="15"/>
        <v>8.0899669999999997</v>
      </c>
      <c r="Y330">
        <f t="shared" si="16"/>
        <v>6.4699669999999996</v>
      </c>
      <c r="Z330">
        <f t="shared" si="17"/>
        <v>62.699967000000001</v>
      </c>
    </row>
    <row r="331" spans="1:26" x14ac:dyDescent="0.3">
      <c r="A331" t="s">
        <v>421</v>
      </c>
      <c r="B331" t="s">
        <v>82</v>
      </c>
      <c r="C331" t="s">
        <v>56</v>
      </c>
      <c r="D331" t="s">
        <v>69</v>
      </c>
      <c r="E331">
        <v>22</v>
      </c>
      <c r="F331" s="3">
        <v>9.93</v>
      </c>
      <c r="G331" s="4">
        <v>74.400000000000006</v>
      </c>
      <c r="H331">
        <v>1</v>
      </c>
      <c r="I331">
        <v>2</v>
      </c>
      <c r="J331">
        <v>2</v>
      </c>
      <c r="K331" s="4">
        <v>58.1</v>
      </c>
      <c r="L331" s="4">
        <v>35</v>
      </c>
      <c r="M331" s="4">
        <v>62</v>
      </c>
      <c r="N331">
        <v>0</v>
      </c>
      <c r="O331" t="s">
        <v>64</v>
      </c>
      <c r="P331" t="s">
        <v>65</v>
      </c>
      <c r="S331" s="3">
        <v>0</v>
      </c>
      <c r="T331" s="5"/>
      <c r="U331">
        <v>0</v>
      </c>
      <c r="V331">
        <v>2022</v>
      </c>
      <c r="X331">
        <f t="shared" si="15"/>
        <v>9.9299669000000002</v>
      </c>
      <c r="Y331">
        <f t="shared" si="16"/>
        <v>-3.3099999999999998E-5</v>
      </c>
      <c r="Z331">
        <f t="shared" si="17"/>
        <v>34.999966899999997</v>
      </c>
    </row>
    <row r="332" spans="1:26" x14ac:dyDescent="0.3">
      <c r="A332" t="s">
        <v>422</v>
      </c>
      <c r="B332" t="s">
        <v>67</v>
      </c>
      <c r="C332" t="s">
        <v>78</v>
      </c>
      <c r="D332" t="s">
        <v>69</v>
      </c>
      <c r="E332">
        <v>20</v>
      </c>
      <c r="F332" s="3">
        <v>8.33</v>
      </c>
      <c r="G332" s="4">
        <v>81.8</v>
      </c>
      <c r="H332">
        <v>1</v>
      </c>
      <c r="I332">
        <v>3</v>
      </c>
      <c r="J332">
        <v>2</v>
      </c>
      <c r="K332" s="4">
        <v>55.1</v>
      </c>
      <c r="L332" s="4">
        <v>57.5</v>
      </c>
      <c r="M332" s="4">
        <v>61</v>
      </c>
      <c r="N332">
        <v>0</v>
      </c>
      <c r="O332" t="s">
        <v>58</v>
      </c>
      <c r="P332" t="s">
        <v>70</v>
      </c>
      <c r="Q332" t="s">
        <v>71</v>
      </c>
      <c r="R332" t="s">
        <v>76</v>
      </c>
      <c r="S332" s="3">
        <v>6.85</v>
      </c>
      <c r="T332" s="5">
        <v>45253</v>
      </c>
      <c r="U332">
        <v>2</v>
      </c>
      <c r="V332">
        <v>2023</v>
      </c>
      <c r="X332">
        <f t="shared" si="15"/>
        <v>8.3299667999999993</v>
      </c>
      <c r="Y332">
        <f t="shared" si="16"/>
        <v>6.8499667999999998</v>
      </c>
      <c r="Z332">
        <f t="shared" si="17"/>
        <v>57.499966800000003</v>
      </c>
    </row>
    <row r="333" spans="1:26" x14ac:dyDescent="0.3">
      <c r="A333" t="s">
        <v>423</v>
      </c>
      <c r="B333" t="s">
        <v>82</v>
      </c>
      <c r="C333" t="s">
        <v>89</v>
      </c>
      <c r="D333" t="s">
        <v>57</v>
      </c>
      <c r="E333">
        <v>20</v>
      </c>
      <c r="F333" s="3">
        <v>8.17</v>
      </c>
      <c r="G333" s="4">
        <v>85</v>
      </c>
      <c r="H333">
        <v>2</v>
      </c>
      <c r="I333">
        <v>2</v>
      </c>
      <c r="J333">
        <v>3</v>
      </c>
      <c r="K333" s="4">
        <v>69.099999999999994</v>
      </c>
      <c r="L333" s="4">
        <v>82.2</v>
      </c>
      <c r="M333" s="4">
        <v>96.4</v>
      </c>
      <c r="N333">
        <v>0</v>
      </c>
      <c r="O333" t="s">
        <v>58</v>
      </c>
      <c r="P333" t="s">
        <v>92</v>
      </c>
      <c r="Q333" t="s">
        <v>93</v>
      </c>
      <c r="R333" t="s">
        <v>61</v>
      </c>
      <c r="S333" s="3">
        <v>10.65</v>
      </c>
      <c r="T333" s="5">
        <v>44826</v>
      </c>
      <c r="U333">
        <v>2</v>
      </c>
      <c r="V333">
        <v>2022</v>
      </c>
      <c r="X333">
        <f t="shared" si="15"/>
        <v>8.1699666999999998</v>
      </c>
      <c r="Y333">
        <f t="shared" si="16"/>
        <v>10.6499667</v>
      </c>
      <c r="Z333">
        <f t="shared" si="17"/>
        <v>82.199966700000004</v>
      </c>
    </row>
    <row r="334" spans="1:26" x14ac:dyDescent="0.3">
      <c r="A334" t="s">
        <v>424</v>
      </c>
      <c r="B334" t="s">
        <v>107</v>
      </c>
      <c r="C334" t="s">
        <v>78</v>
      </c>
      <c r="D334" t="s">
        <v>57</v>
      </c>
      <c r="E334">
        <v>23</v>
      </c>
      <c r="F334" s="3">
        <v>7.11</v>
      </c>
      <c r="G334" s="4">
        <v>75.599999999999994</v>
      </c>
      <c r="H334">
        <v>2</v>
      </c>
      <c r="I334">
        <v>3</v>
      </c>
      <c r="J334">
        <v>4</v>
      </c>
      <c r="K334" s="4">
        <v>70.2</v>
      </c>
      <c r="L334" s="4">
        <v>79.400000000000006</v>
      </c>
      <c r="M334" s="4">
        <v>73.5</v>
      </c>
      <c r="N334">
        <v>0</v>
      </c>
      <c r="O334" t="s">
        <v>58</v>
      </c>
      <c r="P334" t="s">
        <v>104</v>
      </c>
      <c r="Q334" t="s">
        <v>105</v>
      </c>
      <c r="R334" t="s">
        <v>85</v>
      </c>
      <c r="S334" s="3">
        <v>15.62</v>
      </c>
      <c r="T334" s="5">
        <v>44522</v>
      </c>
      <c r="U334">
        <v>1</v>
      </c>
      <c r="V334">
        <v>2021</v>
      </c>
      <c r="X334">
        <f t="shared" si="15"/>
        <v>7.1099665999999999</v>
      </c>
      <c r="Y334">
        <f t="shared" si="16"/>
        <v>15.6199666</v>
      </c>
      <c r="Z334">
        <f t="shared" si="17"/>
        <v>79.399966599999999</v>
      </c>
    </row>
    <row r="335" spans="1:26" x14ac:dyDescent="0.3">
      <c r="A335" t="s">
        <v>425</v>
      </c>
      <c r="B335" t="s">
        <v>63</v>
      </c>
      <c r="C335" t="s">
        <v>56</v>
      </c>
      <c r="D335" t="s">
        <v>69</v>
      </c>
      <c r="E335">
        <v>22</v>
      </c>
      <c r="F335" s="3">
        <v>9.31</v>
      </c>
      <c r="G335" s="4">
        <v>87</v>
      </c>
      <c r="H335">
        <v>2</v>
      </c>
      <c r="I335">
        <v>1</v>
      </c>
      <c r="J335">
        <v>5</v>
      </c>
      <c r="K335" s="4">
        <v>65.8</v>
      </c>
      <c r="L335" s="4">
        <v>81</v>
      </c>
      <c r="M335" s="4">
        <v>65.099999999999994</v>
      </c>
      <c r="N335">
        <v>0</v>
      </c>
      <c r="O335" t="s">
        <v>58</v>
      </c>
      <c r="P335" t="s">
        <v>75</v>
      </c>
      <c r="Q335" t="s">
        <v>71</v>
      </c>
      <c r="R335" t="s">
        <v>109</v>
      </c>
      <c r="S335" s="3">
        <v>7.92</v>
      </c>
      <c r="T335" s="5">
        <v>45936</v>
      </c>
      <c r="U335">
        <v>2</v>
      </c>
      <c r="V335">
        <v>2025</v>
      </c>
      <c r="X335">
        <f t="shared" si="15"/>
        <v>9.3099664999999998</v>
      </c>
      <c r="Y335">
        <f t="shared" si="16"/>
        <v>7.9199665000000001</v>
      </c>
      <c r="Z335">
        <f t="shared" si="17"/>
        <v>80.999966499999999</v>
      </c>
    </row>
    <row r="336" spans="1:26" x14ac:dyDescent="0.3">
      <c r="A336" t="s">
        <v>426</v>
      </c>
      <c r="B336" t="s">
        <v>55</v>
      </c>
      <c r="C336" t="s">
        <v>78</v>
      </c>
      <c r="D336" t="s">
        <v>57</v>
      </c>
      <c r="E336">
        <v>23</v>
      </c>
      <c r="F336" s="3">
        <v>8.84</v>
      </c>
      <c r="G336" s="4">
        <v>81.7</v>
      </c>
      <c r="H336">
        <v>1</v>
      </c>
      <c r="I336">
        <v>1</v>
      </c>
      <c r="J336">
        <v>6</v>
      </c>
      <c r="K336" s="4">
        <v>53</v>
      </c>
      <c r="L336" s="4">
        <v>76.400000000000006</v>
      </c>
      <c r="M336" s="4">
        <v>82.5</v>
      </c>
      <c r="N336">
        <v>2</v>
      </c>
      <c r="O336" t="s">
        <v>58</v>
      </c>
      <c r="P336" t="s">
        <v>70</v>
      </c>
      <c r="Q336" t="s">
        <v>71</v>
      </c>
      <c r="R336" t="s">
        <v>85</v>
      </c>
      <c r="S336" s="3">
        <v>7.98</v>
      </c>
      <c r="T336" s="5">
        <v>45535</v>
      </c>
      <c r="U336">
        <v>1</v>
      </c>
      <c r="V336">
        <v>2024</v>
      </c>
      <c r="X336">
        <f t="shared" si="15"/>
        <v>8.8399663999999998</v>
      </c>
      <c r="Y336">
        <f t="shared" si="16"/>
        <v>7.9799664000000003</v>
      </c>
      <c r="Z336">
        <f t="shared" si="17"/>
        <v>76.399966400000011</v>
      </c>
    </row>
    <row r="337" spans="1:26" x14ac:dyDescent="0.3">
      <c r="A337" t="s">
        <v>427</v>
      </c>
      <c r="B337" t="s">
        <v>82</v>
      </c>
      <c r="C337" t="s">
        <v>68</v>
      </c>
      <c r="D337" t="s">
        <v>69</v>
      </c>
      <c r="E337">
        <v>23</v>
      </c>
      <c r="F337" s="3">
        <v>7.12</v>
      </c>
      <c r="G337" s="4">
        <v>80</v>
      </c>
      <c r="H337">
        <v>0</v>
      </c>
      <c r="I337">
        <v>1</v>
      </c>
      <c r="J337">
        <v>5</v>
      </c>
      <c r="K337" s="4">
        <v>63.1</v>
      </c>
      <c r="L337" s="4">
        <v>62.7</v>
      </c>
      <c r="M337" s="4">
        <v>49.4</v>
      </c>
      <c r="N337">
        <v>3</v>
      </c>
      <c r="O337" t="s">
        <v>64</v>
      </c>
      <c r="P337" t="s">
        <v>65</v>
      </c>
      <c r="S337" s="3">
        <v>0</v>
      </c>
      <c r="T337" s="5"/>
      <c r="U337">
        <v>0</v>
      </c>
      <c r="V337">
        <v>2022</v>
      </c>
      <c r="X337">
        <f t="shared" si="15"/>
        <v>7.1199662999999997</v>
      </c>
      <c r="Y337">
        <f t="shared" si="16"/>
        <v>-3.3699999999999999E-5</v>
      </c>
      <c r="Z337">
        <f t="shared" si="17"/>
        <v>62.6999663</v>
      </c>
    </row>
    <row r="338" spans="1:26" x14ac:dyDescent="0.3">
      <c r="A338" t="s">
        <v>428</v>
      </c>
      <c r="B338" t="s">
        <v>107</v>
      </c>
      <c r="C338" t="s">
        <v>78</v>
      </c>
      <c r="D338" t="s">
        <v>69</v>
      </c>
      <c r="E338">
        <v>20</v>
      </c>
      <c r="F338" s="3">
        <v>9.34</v>
      </c>
      <c r="G338" s="4">
        <v>82.8</v>
      </c>
      <c r="H338">
        <v>0</v>
      </c>
      <c r="I338">
        <v>2</v>
      </c>
      <c r="J338">
        <v>3</v>
      </c>
      <c r="K338" s="4">
        <v>62.1</v>
      </c>
      <c r="L338" s="4">
        <v>51</v>
      </c>
      <c r="M338" s="4">
        <v>78.5</v>
      </c>
      <c r="N338">
        <v>1</v>
      </c>
      <c r="O338" t="s">
        <v>58</v>
      </c>
      <c r="P338" t="s">
        <v>112</v>
      </c>
      <c r="Q338" t="s">
        <v>93</v>
      </c>
      <c r="R338" t="s">
        <v>80</v>
      </c>
      <c r="S338" s="3">
        <v>4.6900000000000004</v>
      </c>
      <c r="T338" s="5">
        <v>44475</v>
      </c>
      <c r="U338">
        <v>1</v>
      </c>
      <c r="V338">
        <v>2021</v>
      </c>
      <c r="X338">
        <f t="shared" si="15"/>
        <v>9.3399661999999992</v>
      </c>
      <c r="Y338">
        <f t="shared" si="16"/>
        <v>4.6899662000000006</v>
      </c>
      <c r="Z338">
        <f t="shared" si="17"/>
        <v>50.999966200000003</v>
      </c>
    </row>
    <row r="339" spans="1:26" x14ac:dyDescent="0.3">
      <c r="A339" t="s">
        <v>429</v>
      </c>
      <c r="B339" t="s">
        <v>55</v>
      </c>
      <c r="C339" t="s">
        <v>74</v>
      </c>
      <c r="D339" t="s">
        <v>57</v>
      </c>
      <c r="E339">
        <v>20</v>
      </c>
      <c r="F339" s="3">
        <v>7.8</v>
      </c>
      <c r="G339" s="4">
        <v>100</v>
      </c>
      <c r="H339">
        <v>2</v>
      </c>
      <c r="I339">
        <v>3</v>
      </c>
      <c r="J339">
        <v>3</v>
      </c>
      <c r="K339" s="4">
        <v>47.2</v>
      </c>
      <c r="L339" s="4">
        <v>65.2</v>
      </c>
      <c r="M339" s="4">
        <v>66.400000000000006</v>
      </c>
      <c r="N339">
        <v>0</v>
      </c>
      <c r="O339" t="s">
        <v>58</v>
      </c>
      <c r="P339" t="s">
        <v>70</v>
      </c>
      <c r="Q339" t="s">
        <v>71</v>
      </c>
      <c r="R339" t="s">
        <v>61</v>
      </c>
      <c r="S339" s="3">
        <v>8.1</v>
      </c>
      <c r="T339" s="5">
        <v>45585</v>
      </c>
      <c r="U339">
        <v>2</v>
      </c>
      <c r="V339">
        <v>2024</v>
      </c>
      <c r="X339">
        <f t="shared" si="15"/>
        <v>7.7999660999999998</v>
      </c>
      <c r="Y339">
        <f t="shared" si="16"/>
        <v>8.0999660999999996</v>
      </c>
      <c r="Z339">
        <f t="shared" si="17"/>
        <v>65.199966099999997</v>
      </c>
    </row>
    <row r="340" spans="1:26" x14ac:dyDescent="0.3">
      <c r="A340" t="s">
        <v>430</v>
      </c>
      <c r="B340" t="s">
        <v>63</v>
      </c>
      <c r="C340" t="s">
        <v>84</v>
      </c>
      <c r="D340" t="s">
        <v>57</v>
      </c>
      <c r="E340">
        <v>22</v>
      </c>
      <c r="F340" s="3">
        <v>6.89</v>
      </c>
      <c r="G340" s="4">
        <v>80.599999999999994</v>
      </c>
      <c r="H340">
        <v>2</v>
      </c>
      <c r="I340">
        <v>1</v>
      </c>
      <c r="J340">
        <v>6</v>
      </c>
      <c r="K340" s="4">
        <v>81.900000000000006</v>
      </c>
      <c r="L340" s="4">
        <v>23.6</v>
      </c>
      <c r="M340" s="4">
        <v>68</v>
      </c>
      <c r="N340">
        <v>2</v>
      </c>
      <c r="O340" t="s">
        <v>64</v>
      </c>
      <c r="P340" t="s">
        <v>65</v>
      </c>
      <c r="S340" s="3">
        <v>0</v>
      </c>
      <c r="T340" s="5"/>
      <c r="U340">
        <v>0</v>
      </c>
      <c r="V340">
        <v>2025</v>
      </c>
      <c r="X340">
        <f t="shared" si="15"/>
        <v>6.8899659999999994</v>
      </c>
      <c r="Y340">
        <f t="shared" si="16"/>
        <v>-3.4E-5</v>
      </c>
      <c r="Z340">
        <f t="shared" si="17"/>
        <v>23.599966000000002</v>
      </c>
    </row>
    <row r="341" spans="1:26" x14ac:dyDescent="0.3">
      <c r="A341" t="s">
        <v>431</v>
      </c>
      <c r="B341" t="s">
        <v>55</v>
      </c>
      <c r="C341" t="s">
        <v>56</v>
      </c>
      <c r="D341" t="s">
        <v>69</v>
      </c>
      <c r="E341">
        <v>23</v>
      </c>
      <c r="F341" s="3">
        <v>7.11</v>
      </c>
      <c r="G341" s="4">
        <v>90.6</v>
      </c>
      <c r="H341">
        <v>3</v>
      </c>
      <c r="I341">
        <v>2</v>
      </c>
      <c r="J341">
        <v>4</v>
      </c>
      <c r="K341" s="4">
        <v>53.1</v>
      </c>
      <c r="L341" s="4">
        <v>87.1</v>
      </c>
      <c r="M341" s="4">
        <v>89.5</v>
      </c>
      <c r="N341">
        <v>0</v>
      </c>
      <c r="O341" t="s">
        <v>58</v>
      </c>
      <c r="P341" t="s">
        <v>70</v>
      </c>
      <c r="Q341" t="s">
        <v>71</v>
      </c>
      <c r="R341" t="s">
        <v>109</v>
      </c>
      <c r="S341" s="3">
        <v>6.92</v>
      </c>
      <c r="T341" s="5">
        <v>45607</v>
      </c>
      <c r="U341">
        <v>2</v>
      </c>
      <c r="V341">
        <v>2024</v>
      </c>
      <c r="X341">
        <f t="shared" si="15"/>
        <v>7.1099659000000006</v>
      </c>
      <c r="Y341">
        <f t="shared" si="16"/>
        <v>6.9199659000000002</v>
      </c>
      <c r="Z341">
        <f t="shared" si="17"/>
        <v>87.099965900000001</v>
      </c>
    </row>
    <row r="342" spans="1:26" x14ac:dyDescent="0.3">
      <c r="A342" t="s">
        <v>432</v>
      </c>
      <c r="B342" t="s">
        <v>107</v>
      </c>
      <c r="C342" t="s">
        <v>101</v>
      </c>
      <c r="D342" t="s">
        <v>57</v>
      </c>
      <c r="E342">
        <v>21</v>
      </c>
      <c r="F342" s="3">
        <v>8.44</v>
      </c>
      <c r="G342" s="4">
        <v>86.9</v>
      </c>
      <c r="H342">
        <v>1</v>
      </c>
      <c r="I342">
        <v>3</v>
      </c>
      <c r="J342">
        <v>3</v>
      </c>
      <c r="K342" s="4">
        <v>86.3</v>
      </c>
      <c r="L342" s="4">
        <v>73.099999999999994</v>
      </c>
      <c r="M342" s="4">
        <v>79.2</v>
      </c>
      <c r="N342">
        <v>0</v>
      </c>
      <c r="O342" t="s">
        <v>58</v>
      </c>
      <c r="P342" t="s">
        <v>70</v>
      </c>
      <c r="Q342" t="s">
        <v>71</v>
      </c>
      <c r="R342" t="s">
        <v>85</v>
      </c>
      <c r="S342" s="3">
        <v>6.58</v>
      </c>
      <c r="T342" s="5">
        <v>44474</v>
      </c>
      <c r="U342">
        <v>2</v>
      </c>
      <c r="V342">
        <v>2021</v>
      </c>
      <c r="X342">
        <f t="shared" si="15"/>
        <v>8.4399657999999995</v>
      </c>
      <c r="Y342">
        <f t="shared" si="16"/>
        <v>6.5799658000000001</v>
      </c>
      <c r="Z342">
        <f t="shared" si="17"/>
        <v>73.099965799999993</v>
      </c>
    </row>
    <row r="343" spans="1:26" x14ac:dyDescent="0.3">
      <c r="A343" t="s">
        <v>433</v>
      </c>
      <c r="B343" t="s">
        <v>55</v>
      </c>
      <c r="C343" t="s">
        <v>101</v>
      </c>
      <c r="D343" t="s">
        <v>57</v>
      </c>
      <c r="E343">
        <v>22</v>
      </c>
      <c r="F343" s="3">
        <v>6.9</v>
      </c>
      <c r="G343" s="4">
        <v>79.8</v>
      </c>
      <c r="H343">
        <v>0</v>
      </c>
      <c r="I343">
        <v>1</v>
      </c>
      <c r="J343">
        <v>3</v>
      </c>
      <c r="K343" s="4">
        <v>70.099999999999994</v>
      </c>
      <c r="L343" s="4">
        <v>82.8</v>
      </c>
      <c r="M343" s="4">
        <v>60.5</v>
      </c>
      <c r="N343">
        <v>0</v>
      </c>
      <c r="O343" t="s">
        <v>58</v>
      </c>
      <c r="P343" t="s">
        <v>79</v>
      </c>
      <c r="Q343" t="s">
        <v>71</v>
      </c>
      <c r="R343" t="s">
        <v>109</v>
      </c>
      <c r="S343" s="3">
        <v>5.58</v>
      </c>
      <c r="T343" s="5">
        <v>45509</v>
      </c>
      <c r="U343">
        <v>1</v>
      </c>
      <c r="V343">
        <v>2024</v>
      </c>
      <c r="X343">
        <f t="shared" si="15"/>
        <v>6.8999657000000001</v>
      </c>
      <c r="Y343">
        <f t="shared" si="16"/>
        <v>5.5799656999999998</v>
      </c>
      <c r="Z343">
        <f t="shared" si="17"/>
        <v>82.799965700000001</v>
      </c>
    </row>
    <row r="344" spans="1:26" x14ac:dyDescent="0.3">
      <c r="A344" t="s">
        <v>434</v>
      </c>
      <c r="B344" t="s">
        <v>67</v>
      </c>
      <c r="C344" t="s">
        <v>101</v>
      </c>
      <c r="D344" t="s">
        <v>57</v>
      </c>
      <c r="E344">
        <v>23</v>
      </c>
      <c r="F344" s="3">
        <v>6.66</v>
      </c>
      <c r="G344" s="4">
        <v>68</v>
      </c>
      <c r="H344">
        <v>0</v>
      </c>
      <c r="I344">
        <v>4</v>
      </c>
      <c r="J344">
        <v>3</v>
      </c>
      <c r="K344" s="4">
        <v>59</v>
      </c>
      <c r="L344" s="4">
        <v>62.3</v>
      </c>
      <c r="M344" s="4">
        <v>74.599999999999994</v>
      </c>
      <c r="N344">
        <v>0</v>
      </c>
      <c r="O344" t="s">
        <v>58</v>
      </c>
      <c r="P344" t="s">
        <v>70</v>
      </c>
      <c r="Q344" t="s">
        <v>71</v>
      </c>
      <c r="R344" t="s">
        <v>72</v>
      </c>
      <c r="S344" s="3">
        <v>4.18</v>
      </c>
      <c r="T344" s="5">
        <v>45147</v>
      </c>
      <c r="U344">
        <v>1</v>
      </c>
      <c r="V344">
        <v>2023</v>
      </c>
      <c r="X344">
        <f t="shared" si="15"/>
        <v>6.6599656000000005</v>
      </c>
      <c r="Y344">
        <f t="shared" si="16"/>
        <v>4.1799656000000001</v>
      </c>
      <c r="Z344">
        <f t="shared" si="17"/>
        <v>62.2999656</v>
      </c>
    </row>
    <row r="345" spans="1:26" x14ac:dyDescent="0.3">
      <c r="A345" t="s">
        <v>435</v>
      </c>
      <c r="B345" t="s">
        <v>55</v>
      </c>
      <c r="C345" t="s">
        <v>68</v>
      </c>
      <c r="D345" t="s">
        <v>57</v>
      </c>
      <c r="E345">
        <v>22</v>
      </c>
      <c r="F345" s="3">
        <v>7.26</v>
      </c>
      <c r="G345" s="4">
        <v>76.400000000000006</v>
      </c>
      <c r="H345">
        <v>1</v>
      </c>
      <c r="I345">
        <v>4</v>
      </c>
      <c r="J345">
        <v>4</v>
      </c>
      <c r="K345" s="4">
        <v>73.400000000000006</v>
      </c>
      <c r="L345" s="4">
        <v>45.9</v>
      </c>
      <c r="M345" s="4">
        <v>75.400000000000006</v>
      </c>
      <c r="N345">
        <v>0</v>
      </c>
      <c r="O345" t="s">
        <v>64</v>
      </c>
      <c r="P345" t="s">
        <v>65</v>
      </c>
      <c r="S345" s="3">
        <v>0</v>
      </c>
      <c r="T345" s="5"/>
      <c r="U345">
        <v>0</v>
      </c>
      <c r="V345">
        <v>2024</v>
      </c>
      <c r="X345">
        <f t="shared" si="15"/>
        <v>7.2599654999999998</v>
      </c>
      <c r="Y345">
        <f t="shared" si="16"/>
        <v>-3.4499999999999998E-5</v>
      </c>
      <c r="Z345">
        <f t="shared" si="17"/>
        <v>45.8999655</v>
      </c>
    </row>
    <row r="346" spans="1:26" x14ac:dyDescent="0.3">
      <c r="A346" t="s">
        <v>436</v>
      </c>
      <c r="B346" t="s">
        <v>82</v>
      </c>
      <c r="C346" t="s">
        <v>68</v>
      </c>
      <c r="D346" t="s">
        <v>69</v>
      </c>
      <c r="E346">
        <v>22</v>
      </c>
      <c r="F346" s="3">
        <v>7.39</v>
      </c>
      <c r="G346" s="4">
        <v>82.7</v>
      </c>
      <c r="H346">
        <v>1</v>
      </c>
      <c r="I346">
        <v>0</v>
      </c>
      <c r="J346">
        <v>5</v>
      </c>
      <c r="K346" s="4">
        <v>66.099999999999994</v>
      </c>
      <c r="L346" s="4">
        <v>72.8</v>
      </c>
      <c r="M346" s="4">
        <v>70.900000000000006</v>
      </c>
      <c r="N346">
        <v>0</v>
      </c>
      <c r="O346" t="s">
        <v>58</v>
      </c>
      <c r="P346" t="s">
        <v>90</v>
      </c>
      <c r="Q346" t="s">
        <v>60</v>
      </c>
      <c r="R346" t="s">
        <v>85</v>
      </c>
      <c r="S346" s="3">
        <v>7.16</v>
      </c>
      <c r="T346" s="5">
        <v>44808</v>
      </c>
      <c r="U346">
        <v>1</v>
      </c>
      <c r="V346">
        <v>2022</v>
      </c>
      <c r="X346">
        <f t="shared" si="15"/>
        <v>7.3899653999999995</v>
      </c>
      <c r="Y346">
        <f t="shared" si="16"/>
        <v>7.1599653999999999</v>
      </c>
      <c r="Z346">
        <f t="shared" si="17"/>
        <v>72.799965399999991</v>
      </c>
    </row>
    <row r="347" spans="1:26" x14ac:dyDescent="0.3">
      <c r="A347" t="s">
        <v>437</v>
      </c>
      <c r="B347" t="s">
        <v>82</v>
      </c>
      <c r="C347" t="s">
        <v>84</v>
      </c>
      <c r="D347" t="s">
        <v>69</v>
      </c>
      <c r="E347">
        <v>22</v>
      </c>
      <c r="F347" s="3">
        <v>7.04</v>
      </c>
      <c r="G347" s="4">
        <v>81.099999999999994</v>
      </c>
      <c r="H347">
        <v>3</v>
      </c>
      <c r="I347">
        <v>0</v>
      </c>
      <c r="J347">
        <v>2</v>
      </c>
      <c r="K347" s="4">
        <v>86.5</v>
      </c>
      <c r="L347" s="4">
        <v>72.599999999999994</v>
      </c>
      <c r="M347" s="4">
        <v>62.5</v>
      </c>
      <c r="N347">
        <v>0</v>
      </c>
      <c r="O347" t="s">
        <v>58</v>
      </c>
      <c r="P347" t="s">
        <v>95</v>
      </c>
      <c r="Q347" t="s">
        <v>93</v>
      </c>
      <c r="R347" t="s">
        <v>72</v>
      </c>
      <c r="S347" s="3">
        <v>8.39</v>
      </c>
      <c r="T347" s="5">
        <v>44877</v>
      </c>
      <c r="U347">
        <v>3</v>
      </c>
      <c r="V347">
        <v>2022</v>
      </c>
      <c r="X347">
        <f t="shared" si="15"/>
        <v>7.0399653000000004</v>
      </c>
      <c r="Y347">
        <f t="shared" si="16"/>
        <v>8.3899653000000001</v>
      </c>
      <c r="Z347">
        <f t="shared" si="17"/>
        <v>72.599965299999994</v>
      </c>
    </row>
    <row r="348" spans="1:26" x14ac:dyDescent="0.3">
      <c r="A348" t="s">
        <v>438</v>
      </c>
      <c r="B348" t="s">
        <v>67</v>
      </c>
      <c r="C348" t="s">
        <v>56</v>
      </c>
      <c r="D348" t="s">
        <v>69</v>
      </c>
      <c r="E348">
        <v>21</v>
      </c>
      <c r="F348" s="3">
        <v>7.24</v>
      </c>
      <c r="G348" s="4">
        <v>93.7</v>
      </c>
      <c r="H348">
        <v>1</v>
      </c>
      <c r="I348">
        <v>0</v>
      </c>
      <c r="J348">
        <v>2</v>
      </c>
      <c r="K348" s="4">
        <v>97.7</v>
      </c>
      <c r="L348" s="4">
        <v>67.900000000000006</v>
      </c>
      <c r="M348" s="4">
        <v>76.7</v>
      </c>
      <c r="N348">
        <v>0</v>
      </c>
      <c r="O348" t="s">
        <v>58</v>
      </c>
      <c r="P348" t="s">
        <v>70</v>
      </c>
      <c r="Q348" t="s">
        <v>71</v>
      </c>
      <c r="R348" t="s">
        <v>72</v>
      </c>
      <c r="S348" s="3">
        <v>4.82</v>
      </c>
      <c r="T348" s="5">
        <v>45238</v>
      </c>
      <c r="U348">
        <v>1</v>
      </c>
      <c r="V348">
        <v>2023</v>
      </c>
      <c r="X348">
        <f t="shared" si="15"/>
        <v>7.2399652000000003</v>
      </c>
      <c r="Y348">
        <f t="shared" si="16"/>
        <v>4.8199652000000004</v>
      </c>
      <c r="Z348">
        <f t="shared" si="17"/>
        <v>67.899965200000011</v>
      </c>
    </row>
    <row r="349" spans="1:26" x14ac:dyDescent="0.3">
      <c r="A349" t="s">
        <v>439</v>
      </c>
      <c r="B349" t="s">
        <v>107</v>
      </c>
      <c r="C349" t="s">
        <v>68</v>
      </c>
      <c r="D349" t="s">
        <v>57</v>
      </c>
      <c r="E349">
        <v>21</v>
      </c>
      <c r="F349" s="3">
        <v>8.48</v>
      </c>
      <c r="G349" s="4">
        <v>75.400000000000006</v>
      </c>
      <c r="H349">
        <v>1</v>
      </c>
      <c r="I349">
        <v>3</v>
      </c>
      <c r="J349">
        <v>3</v>
      </c>
      <c r="K349" s="4">
        <v>73.5</v>
      </c>
      <c r="L349" s="4">
        <v>74.3</v>
      </c>
      <c r="M349" s="4">
        <v>82.4</v>
      </c>
      <c r="N349">
        <v>0</v>
      </c>
      <c r="O349" t="s">
        <v>58</v>
      </c>
      <c r="P349" t="s">
        <v>104</v>
      </c>
      <c r="Q349" t="s">
        <v>105</v>
      </c>
      <c r="R349" t="s">
        <v>130</v>
      </c>
      <c r="S349" s="3">
        <v>16.87</v>
      </c>
      <c r="T349" s="5">
        <v>44443</v>
      </c>
      <c r="U349">
        <v>3</v>
      </c>
      <c r="V349">
        <v>2021</v>
      </c>
      <c r="X349">
        <f t="shared" si="15"/>
        <v>8.4799651000000011</v>
      </c>
      <c r="Y349">
        <f t="shared" si="16"/>
        <v>16.869965100000002</v>
      </c>
      <c r="Z349">
        <f t="shared" si="17"/>
        <v>74.299965099999994</v>
      </c>
    </row>
    <row r="350" spans="1:26" x14ac:dyDescent="0.3">
      <c r="A350" t="s">
        <v>440</v>
      </c>
      <c r="B350" t="s">
        <v>82</v>
      </c>
      <c r="C350" t="s">
        <v>78</v>
      </c>
      <c r="D350" t="s">
        <v>57</v>
      </c>
      <c r="E350">
        <v>20</v>
      </c>
      <c r="F350" s="3">
        <v>7.88</v>
      </c>
      <c r="G350" s="4">
        <v>80.7</v>
      </c>
      <c r="H350">
        <v>2</v>
      </c>
      <c r="I350">
        <v>1</v>
      </c>
      <c r="J350">
        <v>3</v>
      </c>
      <c r="K350" s="4">
        <v>65.5</v>
      </c>
      <c r="L350" s="4">
        <v>62.8</v>
      </c>
      <c r="M350" s="4">
        <v>79.400000000000006</v>
      </c>
      <c r="N350">
        <v>0</v>
      </c>
      <c r="O350" t="s">
        <v>64</v>
      </c>
      <c r="P350" t="s">
        <v>65</v>
      </c>
      <c r="S350" s="3">
        <v>0</v>
      </c>
      <c r="T350" s="5"/>
      <c r="U350">
        <v>0</v>
      </c>
      <c r="V350">
        <v>2022</v>
      </c>
      <c r="X350">
        <f t="shared" si="15"/>
        <v>7.8799650000000003</v>
      </c>
      <c r="Y350">
        <f t="shared" si="16"/>
        <v>-3.4999999999999997E-5</v>
      </c>
      <c r="Z350">
        <f t="shared" si="17"/>
        <v>62.799965</v>
      </c>
    </row>
    <row r="351" spans="1:26" x14ac:dyDescent="0.3">
      <c r="A351" t="s">
        <v>441</v>
      </c>
      <c r="B351" t="s">
        <v>63</v>
      </c>
      <c r="C351" t="s">
        <v>78</v>
      </c>
      <c r="D351" t="s">
        <v>69</v>
      </c>
      <c r="E351">
        <v>20</v>
      </c>
      <c r="F351" s="3">
        <v>7.19</v>
      </c>
      <c r="G351" s="4">
        <v>86.8</v>
      </c>
      <c r="H351">
        <v>0</v>
      </c>
      <c r="I351">
        <v>3</v>
      </c>
      <c r="J351">
        <v>4</v>
      </c>
      <c r="K351" s="4">
        <v>90.4</v>
      </c>
      <c r="L351" s="4">
        <v>73</v>
      </c>
      <c r="M351" s="4">
        <v>65.400000000000006</v>
      </c>
      <c r="N351">
        <v>0</v>
      </c>
      <c r="O351" t="s">
        <v>58</v>
      </c>
      <c r="P351" t="s">
        <v>70</v>
      </c>
      <c r="Q351" t="s">
        <v>71</v>
      </c>
      <c r="R351" t="s">
        <v>109</v>
      </c>
      <c r="S351" s="3">
        <v>3.23</v>
      </c>
      <c r="T351" s="5">
        <v>45899</v>
      </c>
      <c r="U351">
        <v>3</v>
      </c>
      <c r="V351">
        <v>2025</v>
      </c>
      <c r="X351">
        <f t="shared" si="15"/>
        <v>7.1899649000000005</v>
      </c>
      <c r="Y351">
        <f t="shared" si="16"/>
        <v>3.2299649000000001</v>
      </c>
      <c r="Z351">
        <f t="shared" si="17"/>
        <v>72.999964899999995</v>
      </c>
    </row>
    <row r="352" spans="1:26" x14ac:dyDescent="0.3">
      <c r="A352" t="s">
        <v>442</v>
      </c>
      <c r="B352" t="s">
        <v>82</v>
      </c>
      <c r="C352" t="s">
        <v>56</v>
      </c>
      <c r="D352" t="s">
        <v>57</v>
      </c>
      <c r="E352">
        <v>23</v>
      </c>
      <c r="F352" s="3">
        <v>7.26</v>
      </c>
      <c r="G352" s="4">
        <v>79.5</v>
      </c>
      <c r="H352">
        <v>2</v>
      </c>
      <c r="I352">
        <v>2</v>
      </c>
      <c r="J352">
        <v>4</v>
      </c>
      <c r="K352" s="4">
        <v>65.099999999999994</v>
      </c>
      <c r="L352" s="4">
        <v>77</v>
      </c>
      <c r="M352" s="4">
        <v>72.099999999999994</v>
      </c>
      <c r="N352">
        <v>0</v>
      </c>
      <c r="O352" t="s">
        <v>64</v>
      </c>
      <c r="P352" t="s">
        <v>65</v>
      </c>
      <c r="S352" s="3">
        <v>0</v>
      </c>
      <c r="T352" s="5"/>
      <c r="U352">
        <v>0</v>
      </c>
      <c r="V352">
        <v>2022</v>
      </c>
      <c r="X352">
        <f t="shared" si="15"/>
        <v>7.2599647999999997</v>
      </c>
      <c r="Y352">
        <f t="shared" si="16"/>
        <v>-3.5200000000000002E-5</v>
      </c>
      <c r="Z352">
        <f t="shared" si="17"/>
        <v>76.999964800000001</v>
      </c>
    </row>
    <row r="353" spans="1:26" x14ac:dyDescent="0.3">
      <c r="A353" t="s">
        <v>443</v>
      </c>
      <c r="B353" t="s">
        <v>82</v>
      </c>
      <c r="C353" t="s">
        <v>89</v>
      </c>
      <c r="D353" t="s">
        <v>69</v>
      </c>
      <c r="E353">
        <v>22</v>
      </c>
      <c r="F353" s="3">
        <v>7.53</v>
      </c>
      <c r="G353" s="4">
        <v>90.8</v>
      </c>
      <c r="H353">
        <v>2</v>
      </c>
      <c r="I353">
        <v>3</v>
      </c>
      <c r="J353">
        <v>3</v>
      </c>
      <c r="K353" s="4">
        <v>60.6</v>
      </c>
      <c r="L353" s="4">
        <v>95.1</v>
      </c>
      <c r="M353" s="4">
        <v>47.5</v>
      </c>
      <c r="N353">
        <v>1</v>
      </c>
      <c r="O353" t="s">
        <v>58</v>
      </c>
      <c r="P353" t="s">
        <v>104</v>
      </c>
      <c r="Q353" t="s">
        <v>105</v>
      </c>
      <c r="R353" t="s">
        <v>85</v>
      </c>
      <c r="S353" s="3">
        <v>15.85</v>
      </c>
      <c r="T353" s="5">
        <v>44802</v>
      </c>
      <c r="U353">
        <v>1</v>
      </c>
      <c r="V353">
        <v>2022</v>
      </c>
      <c r="X353">
        <f t="shared" si="15"/>
        <v>7.5299646999999998</v>
      </c>
      <c r="Y353">
        <f t="shared" si="16"/>
        <v>15.849964699999999</v>
      </c>
      <c r="Z353">
        <f t="shared" si="17"/>
        <v>95.099964700000001</v>
      </c>
    </row>
    <row r="354" spans="1:26" x14ac:dyDescent="0.3">
      <c r="A354" t="s">
        <v>444</v>
      </c>
      <c r="B354" t="s">
        <v>107</v>
      </c>
      <c r="C354" t="s">
        <v>101</v>
      </c>
      <c r="D354" t="s">
        <v>57</v>
      </c>
      <c r="E354">
        <v>23</v>
      </c>
      <c r="F354" s="3">
        <v>7.58</v>
      </c>
      <c r="G354" s="4">
        <v>72.2</v>
      </c>
      <c r="H354">
        <v>0</v>
      </c>
      <c r="I354">
        <v>3</v>
      </c>
      <c r="J354">
        <v>4</v>
      </c>
      <c r="K354" s="4">
        <v>85.2</v>
      </c>
      <c r="L354" s="4">
        <v>81.5</v>
      </c>
      <c r="M354" s="4">
        <v>93.2</v>
      </c>
      <c r="N354">
        <v>0</v>
      </c>
      <c r="O354" t="s">
        <v>58</v>
      </c>
      <c r="P354" t="s">
        <v>59</v>
      </c>
      <c r="Q354" t="s">
        <v>60</v>
      </c>
      <c r="R354" t="s">
        <v>80</v>
      </c>
      <c r="S354" s="3">
        <v>19.73</v>
      </c>
      <c r="T354" s="5">
        <v>44433</v>
      </c>
      <c r="U354">
        <v>1</v>
      </c>
      <c r="V354">
        <v>2021</v>
      </c>
      <c r="X354">
        <f t="shared" si="15"/>
        <v>7.5799646000000003</v>
      </c>
      <c r="Y354">
        <f t="shared" si="16"/>
        <v>19.729964599999999</v>
      </c>
      <c r="Z354">
        <f t="shared" si="17"/>
        <v>81.499964599999998</v>
      </c>
    </row>
    <row r="355" spans="1:26" x14ac:dyDescent="0.3">
      <c r="A355" t="s">
        <v>445</v>
      </c>
      <c r="B355" t="s">
        <v>55</v>
      </c>
      <c r="C355" t="s">
        <v>56</v>
      </c>
      <c r="D355" t="s">
        <v>69</v>
      </c>
      <c r="E355">
        <v>20</v>
      </c>
      <c r="F355" s="3">
        <v>7.59</v>
      </c>
      <c r="G355" s="4">
        <v>68.3</v>
      </c>
      <c r="H355">
        <v>2</v>
      </c>
      <c r="I355">
        <v>4</v>
      </c>
      <c r="J355">
        <v>3</v>
      </c>
      <c r="K355" s="4">
        <v>79.8</v>
      </c>
      <c r="L355" s="4">
        <v>51.4</v>
      </c>
      <c r="M355" s="4">
        <v>66.8</v>
      </c>
      <c r="N355">
        <v>0</v>
      </c>
      <c r="O355" t="s">
        <v>58</v>
      </c>
      <c r="P355" t="s">
        <v>59</v>
      </c>
      <c r="Q355" t="s">
        <v>60</v>
      </c>
      <c r="R355" t="s">
        <v>85</v>
      </c>
      <c r="S355" s="3">
        <v>18.809999999999999</v>
      </c>
      <c r="T355" s="5">
        <v>45579</v>
      </c>
      <c r="U355">
        <v>1</v>
      </c>
      <c r="V355">
        <v>2024</v>
      </c>
      <c r="X355">
        <f t="shared" si="15"/>
        <v>7.5899644999999998</v>
      </c>
      <c r="Y355">
        <f t="shared" si="16"/>
        <v>18.8099645</v>
      </c>
      <c r="Z355">
        <f t="shared" si="17"/>
        <v>51.399964499999996</v>
      </c>
    </row>
    <row r="356" spans="1:26" x14ac:dyDescent="0.3">
      <c r="A356" t="s">
        <v>446</v>
      </c>
      <c r="B356" t="s">
        <v>82</v>
      </c>
      <c r="C356" t="s">
        <v>84</v>
      </c>
      <c r="D356" t="s">
        <v>69</v>
      </c>
      <c r="E356">
        <v>21</v>
      </c>
      <c r="F356" s="3">
        <v>8.44</v>
      </c>
      <c r="G356" s="4">
        <v>79.400000000000006</v>
      </c>
      <c r="H356">
        <v>1</v>
      </c>
      <c r="I356">
        <v>1</v>
      </c>
      <c r="J356">
        <v>4</v>
      </c>
      <c r="K356" s="4">
        <v>60.8</v>
      </c>
      <c r="L356" s="4">
        <v>64.2</v>
      </c>
      <c r="M356" s="4">
        <v>67.8</v>
      </c>
      <c r="N356">
        <v>0</v>
      </c>
      <c r="O356" t="s">
        <v>58</v>
      </c>
      <c r="P356" t="s">
        <v>70</v>
      </c>
      <c r="Q356" t="s">
        <v>71</v>
      </c>
      <c r="R356" t="s">
        <v>76</v>
      </c>
      <c r="S356" s="3">
        <v>6.69</v>
      </c>
      <c r="T356" s="5">
        <v>44874</v>
      </c>
      <c r="U356">
        <v>1</v>
      </c>
      <c r="V356">
        <v>2022</v>
      </c>
      <c r="X356">
        <f t="shared" si="15"/>
        <v>8.4399643999999991</v>
      </c>
      <c r="Y356">
        <f t="shared" si="16"/>
        <v>6.6899644</v>
      </c>
      <c r="Z356">
        <f t="shared" si="17"/>
        <v>64.199964399999999</v>
      </c>
    </row>
    <row r="357" spans="1:26" x14ac:dyDescent="0.3">
      <c r="A357" t="s">
        <v>447</v>
      </c>
      <c r="B357" t="s">
        <v>67</v>
      </c>
      <c r="C357" t="s">
        <v>56</v>
      </c>
      <c r="D357" t="s">
        <v>57</v>
      </c>
      <c r="E357">
        <v>20</v>
      </c>
      <c r="F357" s="3">
        <v>7.83</v>
      </c>
      <c r="G357" s="4">
        <v>81.400000000000006</v>
      </c>
      <c r="H357">
        <v>0</v>
      </c>
      <c r="I357">
        <v>1</v>
      </c>
      <c r="J357">
        <v>4</v>
      </c>
      <c r="K357" s="4">
        <v>72.400000000000006</v>
      </c>
      <c r="L357" s="4">
        <v>57.2</v>
      </c>
      <c r="M357" s="4">
        <v>58.2</v>
      </c>
      <c r="N357">
        <v>0</v>
      </c>
      <c r="O357" t="s">
        <v>64</v>
      </c>
      <c r="P357" t="s">
        <v>65</v>
      </c>
      <c r="S357" s="3">
        <v>0</v>
      </c>
      <c r="T357" s="5"/>
      <c r="U357">
        <v>0</v>
      </c>
      <c r="V357">
        <v>2023</v>
      </c>
      <c r="X357">
        <f t="shared" si="15"/>
        <v>7.8299643000000003</v>
      </c>
      <c r="Y357">
        <f t="shared" si="16"/>
        <v>-3.57E-5</v>
      </c>
      <c r="Z357">
        <f t="shared" si="17"/>
        <v>57.199964300000005</v>
      </c>
    </row>
    <row r="358" spans="1:26" x14ac:dyDescent="0.3">
      <c r="A358" t="s">
        <v>448</v>
      </c>
      <c r="B358" t="s">
        <v>55</v>
      </c>
      <c r="C358" t="s">
        <v>74</v>
      </c>
      <c r="D358" t="s">
        <v>57</v>
      </c>
      <c r="E358">
        <v>23</v>
      </c>
      <c r="F358" s="3">
        <v>7.85</v>
      </c>
      <c r="G358" s="4">
        <v>84</v>
      </c>
      <c r="H358">
        <v>1</v>
      </c>
      <c r="I358">
        <v>0</v>
      </c>
      <c r="J358">
        <v>3</v>
      </c>
      <c r="K358" s="4">
        <v>63.2</v>
      </c>
      <c r="L358" s="4">
        <v>90.6</v>
      </c>
      <c r="M358" s="4">
        <v>84.3</v>
      </c>
      <c r="N358">
        <v>1</v>
      </c>
      <c r="O358" t="s">
        <v>58</v>
      </c>
      <c r="P358" t="s">
        <v>92</v>
      </c>
      <c r="Q358" t="s">
        <v>93</v>
      </c>
      <c r="R358" t="s">
        <v>130</v>
      </c>
      <c r="S358" s="3">
        <v>10.11</v>
      </c>
      <c r="T358" s="5">
        <v>45616</v>
      </c>
      <c r="U358">
        <v>1</v>
      </c>
      <c r="V358">
        <v>2024</v>
      </c>
      <c r="X358">
        <f t="shared" si="15"/>
        <v>7.8499641999999996</v>
      </c>
      <c r="Y358">
        <f t="shared" si="16"/>
        <v>10.1099642</v>
      </c>
      <c r="Z358">
        <f t="shared" si="17"/>
        <v>90.599964199999988</v>
      </c>
    </row>
    <row r="359" spans="1:26" x14ac:dyDescent="0.3">
      <c r="A359" t="s">
        <v>449</v>
      </c>
      <c r="B359" t="s">
        <v>63</v>
      </c>
      <c r="C359" t="s">
        <v>56</v>
      </c>
      <c r="D359" t="s">
        <v>57</v>
      </c>
      <c r="E359">
        <v>20</v>
      </c>
      <c r="F359" s="3">
        <v>8.93</v>
      </c>
      <c r="G359" s="4">
        <v>83.2</v>
      </c>
      <c r="H359">
        <v>1</v>
      </c>
      <c r="I359">
        <v>2</v>
      </c>
      <c r="J359">
        <v>4</v>
      </c>
      <c r="K359" s="4">
        <v>76.5</v>
      </c>
      <c r="L359" s="4">
        <v>62.6</v>
      </c>
      <c r="M359" s="4">
        <v>86.3</v>
      </c>
      <c r="N359">
        <v>0</v>
      </c>
      <c r="O359" t="s">
        <v>58</v>
      </c>
      <c r="P359" t="s">
        <v>75</v>
      </c>
      <c r="Q359" t="s">
        <v>71</v>
      </c>
      <c r="R359" t="s">
        <v>61</v>
      </c>
      <c r="S359" s="3">
        <v>5.64</v>
      </c>
      <c r="T359" s="5">
        <v>45989</v>
      </c>
      <c r="U359">
        <v>1</v>
      </c>
      <c r="V359">
        <v>2025</v>
      </c>
      <c r="X359">
        <f t="shared" si="15"/>
        <v>8.9299640999999994</v>
      </c>
      <c r="Y359">
        <f t="shared" si="16"/>
        <v>5.6399640999999994</v>
      </c>
      <c r="Z359">
        <f t="shared" si="17"/>
        <v>62.599964100000001</v>
      </c>
    </row>
    <row r="360" spans="1:26" x14ac:dyDescent="0.3">
      <c r="A360" t="s">
        <v>450</v>
      </c>
      <c r="B360" t="s">
        <v>107</v>
      </c>
      <c r="C360" t="s">
        <v>56</v>
      </c>
      <c r="D360" t="s">
        <v>57</v>
      </c>
      <c r="E360">
        <v>23</v>
      </c>
      <c r="F360" s="3">
        <v>9.34</v>
      </c>
      <c r="G360" s="4">
        <v>78.3</v>
      </c>
      <c r="H360">
        <v>1</v>
      </c>
      <c r="I360">
        <v>2</v>
      </c>
      <c r="J360">
        <v>3</v>
      </c>
      <c r="K360" s="4">
        <v>75.099999999999994</v>
      </c>
      <c r="L360" s="4">
        <v>66</v>
      </c>
      <c r="M360" s="4">
        <v>67.2</v>
      </c>
      <c r="N360">
        <v>1</v>
      </c>
      <c r="O360" t="s">
        <v>64</v>
      </c>
      <c r="P360" t="s">
        <v>65</v>
      </c>
      <c r="S360" s="3">
        <v>0</v>
      </c>
      <c r="T360" s="5"/>
      <c r="U360">
        <v>0</v>
      </c>
      <c r="V360">
        <v>2021</v>
      </c>
      <c r="X360">
        <f t="shared" si="15"/>
        <v>9.3399640000000002</v>
      </c>
      <c r="Y360">
        <f t="shared" si="16"/>
        <v>-3.6000000000000001E-5</v>
      </c>
      <c r="Z360">
        <f t="shared" si="17"/>
        <v>65.999964000000006</v>
      </c>
    </row>
    <row r="361" spans="1:26" x14ac:dyDescent="0.3">
      <c r="A361" t="s">
        <v>451</v>
      </c>
      <c r="B361" t="s">
        <v>63</v>
      </c>
      <c r="C361" t="s">
        <v>84</v>
      </c>
      <c r="D361" t="s">
        <v>69</v>
      </c>
      <c r="E361">
        <v>23</v>
      </c>
      <c r="F361" s="3">
        <v>6.54</v>
      </c>
      <c r="G361" s="4">
        <v>68.400000000000006</v>
      </c>
      <c r="H361">
        <v>1</v>
      </c>
      <c r="I361">
        <v>5</v>
      </c>
      <c r="J361">
        <v>3</v>
      </c>
      <c r="K361" s="4">
        <v>50.1</v>
      </c>
      <c r="L361" s="4">
        <v>68.3</v>
      </c>
      <c r="M361" s="4">
        <v>60.3</v>
      </c>
      <c r="N361">
        <v>0</v>
      </c>
      <c r="O361" t="s">
        <v>58</v>
      </c>
      <c r="P361" t="s">
        <v>95</v>
      </c>
      <c r="Q361" t="s">
        <v>93</v>
      </c>
      <c r="R361" t="s">
        <v>80</v>
      </c>
      <c r="S361" s="3">
        <v>5.87</v>
      </c>
      <c r="T361" s="5">
        <v>45937</v>
      </c>
      <c r="U361">
        <v>1</v>
      </c>
      <c r="V361">
        <v>2025</v>
      </c>
      <c r="X361">
        <f t="shared" si="15"/>
        <v>6.5399639000000001</v>
      </c>
      <c r="Y361">
        <f t="shared" si="16"/>
        <v>5.8699639000000001</v>
      </c>
      <c r="Z361">
        <f t="shared" si="17"/>
        <v>68.299963899999995</v>
      </c>
    </row>
    <row r="362" spans="1:26" x14ac:dyDescent="0.3">
      <c r="A362" t="s">
        <v>452</v>
      </c>
      <c r="B362" t="s">
        <v>55</v>
      </c>
      <c r="C362" t="s">
        <v>74</v>
      </c>
      <c r="D362" t="s">
        <v>69</v>
      </c>
      <c r="E362">
        <v>23</v>
      </c>
      <c r="F362" s="3">
        <v>6.23</v>
      </c>
      <c r="G362" s="4">
        <v>80.900000000000006</v>
      </c>
      <c r="H362">
        <v>1</v>
      </c>
      <c r="I362">
        <v>3</v>
      </c>
      <c r="J362">
        <v>3</v>
      </c>
      <c r="K362" s="4">
        <v>68.599999999999994</v>
      </c>
      <c r="L362" s="4">
        <v>76</v>
      </c>
      <c r="M362" s="4">
        <v>74.2</v>
      </c>
      <c r="N362">
        <v>1</v>
      </c>
      <c r="O362" t="s">
        <v>58</v>
      </c>
      <c r="P362" t="s">
        <v>70</v>
      </c>
      <c r="Q362" t="s">
        <v>71</v>
      </c>
      <c r="R362" t="s">
        <v>109</v>
      </c>
      <c r="S362" s="3">
        <v>4.7300000000000004</v>
      </c>
      <c r="T362" s="5">
        <v>45622</v>
      </c>
      <c r="U362">
        <v>1</v>
      </c>
      <c r="V362">
        <v>2024</v>
      </c>
      <c r="X362">
        <f t="shared" si="15"/>
        <v>6.2299638000000002</v>
      </c>
      <c r="Y362">
        <f t="shared" si="16"/>
        <v>4.7299638000000002</v>
      </c>
      <c r="Z362">
        <f t="shared" si="17"/>
        <v>75.999963800000003</v>
      </c>
    </row>
    <row r="363" spans="1:26" x14ac:dyDescent="0.3">
      <c r="A363" t="s">
        <v>453</v>
      </c>
      <c r="B363" t="s">
        <v>55</v>
      </c>
      <c r="C363" t="s">
        <v>68</v>
      </c>
      <c r="D363" t="s">
        <v>69</v>
      </c>
      <c r="E363">
        <v>23</v>
      </c>
      <c r="F363" s="3">
        <v>7.34</v>
      </c>
      <c r="G363" s="4">
        <v>72.599999999999994</v>
      </c>
      <c r="H363">
        <v>1</v>
      </c>
      <c r="I363">
        <v>1</v>
      </c>
      <c r="J363">
        <v>3</v>
      </c>
      <c r="K363" s="4">
        <v>47.2</v>
      </c>
      <c r="L363" s="4">
        <v>52.2</v>
      </c>
      <c r="M363" s="4">
        <v>70</v>
      </c>
      <c r="N363">
        <v>0</v>
      </c>
      <c r="O363" t="s">
        <v>64</v>
      </c>
      <c r="P363" t="s">
        <v>65</v>
      </c>
      <c r="S363" s="3">
        <v>0</v>
      </c>
      <c r="T363" s="5"/>
      <c r="U363">
        <v>0</v>
      </c>
      <c r="V363">
        <v>2024</v>
      </c>
      <c r="X363">
        <f t="shared" si="15"/>
        <v>7.3399637000000002</v>
      </c>
      <c r="Y363">
        <f t="shared" si="16"/>
        <v>-3.6300000000000001E-5</v>
      </c>
      <c r="Z363">
        <f t="shared" si="17"/>
        <v>52.199963700000005</v>
      </c>
    </row>
    <row r="364" spans="1:26" x14ac:dyDescent="0.3">
      <c r="A364" t="s">
        <v>454</v>
      </c>
      <c r="B364" t="s">
        <v>55</v>
      </c>
      <c r="C364" t="s">
        <v>56</v>
      </c>
      <c r="D364" t="s">
        <v>69</v>
      </c>
      <c r="E364">
        <v>20</v>
      </c>
      <c r="F364" s="3">
        <v>8.35</v>
      </c>
      <c r="G364" s="4">
        <v>82.6</v>
      </c>
      <c r="H364">
        <v>2</v>
      </c>
      <c r="I364">
        <v>3</v>
      </c>
      <c r="J364">
        <v>5</v>
      </c>
      <c r="K364" s="4">
        <v>48.1</v>
      </c>
      <c r="L364" s="4">
        <v>69.8</v>
      </c>
      <c r="M364" s="4">
        <v>82.9</v>
      </c>
      <c r="N364">
        <v>0</v>
      </c>
      <c r="O364" t="s">
        <v>58</v>
      </c>
      <c r="P364" t="s">
        <v>95</v>
      </c>
      <c r="Q364" t="s">
        <v>93</v>
      </c>
      <c r="R364" t="s">
        <v>109</v>
      </c>
      <c r="S364" s="3">
        <v>7.42</v>
      </c>
      <c r="T364" s="5">
        <v>45562</v>
      </c>
      <c r="U364">
        <v>2</v>
      </c>
      <c r="V364">
        <v>2024</v>
      </c>
      <c r="X364">
        <f t="shared" si="15"/>
        <v>8.3499635999999988</v>
      </c>
      <c r="Y364">
        <f t="shared" si="16"/>
        <v>7.4199636</v>
      </c>
      <c r="Z364">
        <f t="shared" si="17"/>
        <v>69.799963599999998</v>
      </c>
    </row>
    <row r="365" spans="1:26" x14ac:dyDescent="0.3">
      <c r="A365" t="s">
        <v>455</v>
      </c>
      <c r="B365" t="s">
        <v>63</v>
      </c>
      <c r="C365" t="s">
        <v>89</v>
      </c>
      <c r="D365" t="s">
        <v>57</v>
      </c>
      <c r="E365">
        <v>23</v>
      </c>
      <c r="F365" s="3">
        <v>7.99</v>
      </c>
      <c r="G365" s="4">
        <v>72</v>
      </c>
      <c r="H365">
        <v>3</v>
      </c>
      <c r="I365">
        <v>1</v>
      </c>
      <c r="J365">
        <v>3</v>
      </c>
      <c r="K365" s="4">
        <v>61.1</v>
      </c>
      <c r="L365" s="4">
        <v>84.1</v>
      </c>
      <c r="M365" s="4">
        <v>72.400000000000006</v>
      </c>
      <c r="N365">
        <v>1</v>
      </c>
      <c r="O365" t="s">
        <v>58</v>
      </c>
      <c r="P365" t="s">
        <v>70</v>
      </c>
      <c r="Q365" t="s">
        <v>71</v>
      </c>
      <c r="R365" t="s">
        <v>85</v>
      </c>
      <c r="S365" s="3">
        <v>8.01</v>
      </c>
      <c r="T365" s="5">
        <v>45881</v>
      </c>
      <c r="U365">
        <v>1</v>
      </c>
      <c r="V365">
        <v>2025</v>
      </c>
      <c r="X365">
        <f t="shared" si="15"/>
        <v>7.9899635</v>
      </c>
      <c r="Y365">
        <f t="shared" si="16"/>
        <v>8.0099634999999996</v>
      </c>
      <c r="Z365">
        <f t="shared" si="17"/>
        <v>84.099963500000001</v>
      </c>
    </row>
    <row r="366" spans="1:26" x14ac:dyDescent="0.3">
      <c r="A366" t="s">
        <v>456</v>
      </c>
      <c r="B366" t="s">
        <v>55</v>
      </c>
      <c r="C366" t="s">
        <v>89</v>
      </c>
      <c r="D366" t="s">
        <v>57</v>
      </c>
      <c r="E366">
        <v>23</v>
      </c>
      <c r="F366" s="3">
        <v>8.6</v>
      </c>
      <c r="G366" s="4">
        <v>85.4</v>
      </c>
      <c r="H366">
        <v>2</v>
      </c>
      <c r="I366">
        <v>0</v>
      </c>
      <c r="J366">
        <v>4</v>
      </c>
      <c r="K366" s="4">
        <v>59.6</v>
      </c>
      <c r="L366" s="4">
        <v>65.099999999999994</v>
      </c>
      <c r="M366" s="4">
        <v>71.599999999999994</v>
      </c>
      <c r="N366">
        <v>0</v>
      </c>
      <c r="O366" t="s">
        <v>58</v>
      </c>
      <c r="P366" t="s">
        <v>75</v>
      </c>
      <c r="Q366" t="s">
        <v>71</v>
      </c>
      <c r="R366" t="s">
        <v>61</v>
      </c>
      <c r="S366" s="3">
        <v>6.83</v>
      </c>
      <c r="T366" s="5">
        <v>45600</v>
      </c>
      <c r="U366">
        <v>1</v>
      </c>
      <c r="V366">
        <v>2024</v>
      </c>
      <c r="X366">
        <f t="shared" si="15"/>
        <v>8.5999634</v>
      </c>
      <c r="Y366">
        <f t="shared" si="16"/>
        <v>6.8299634000000005</v>
      </c>
      <c r="Z366">
        <f t="shared" si="17"/>
        <v>65.099963399999993</v>
      </c>
    </row>
    <row r="367" spans="1:26" x14ac:dyDescent="0.3">
      <c r="A367" t="s">
        <v>457</v>
      </c>
      <c r="B367" t="s">
        <v>63</v>
      </c>
      <c r="C367" t="s">
        <v>74</v>
      </c>
      <c r="D367" t="s">
        <v>57</v>
      </c>
      <c r="E367">
        <v>22</v>
      </c>
      <c r="F367" s="3">
        <v>7.3</v>
      </c>
      <c r="G367" s="4">
        <v>97</v>
      </c>
      <c r="H367">
        <v>1</v>
      </c>
      <c r="I367">
        <v>3</v>
      </c>
      <c r="J367">
        <v>6</v>
      </c>
      <c r="K367" s="4">
        <v>44.1</v>
      </c>
      <c r="L367" s="4">
        <v>97.4</v>
      </c>
      <c r="M367" s="4">
        <v>82</v>
      </c>
      <c r="N367">
        <v>0</v>
      </c>
      <c r="O367" t="s">
        <v>58</v>
      </c>
      <c r="P367" t="s">
        <v>95</v>
      </c>
      <c r="Q367" t="s">
        <v>93</v>
      </c>
      <c r="R367" t="s">
        <v>85</v>
      </c>
      <c r="S367" s="3">
        <v>7.08</v>
      </c>
      <c r="T367" s="5">
        <v>45938</v>
      </c>
      <c r="U367">
        <v>3</v>
      </c>
      <c r="V367">
        <v>2025</v>
      </c>
      <c r="X367">
        <f t="shared" si="15"/>
        <v>7.2999632999999999</v>
      </c>
      <c r="Y367">
        <f t="shared" si="16"/>
        <v>7.0799633000000002</v>
      </c>
      <c r="Z367">
        <f t="shared" si="17"/>
        <v>97.39996330000001</v>
      </c>
    </row>
    <row r="368" spans="1:26" x14ac:dyDescent="0.3">
      <c r="A368" t="s">
        <v>458</v>
      </c>
      <c r="B368" t="s">
        <v>55</v>
      </c>
      <c r="C368" t="s">
        <v>74</v>
      </c>
      <c r="D368" t="s">
        <v>69</v>
      </c>
      <c r="E368">
        <v>23</v>
      </c>
      <c r="F368" s="3">
        <v>5.89</v>
      </c>
      <c r="G368" s="4">
        <v>75.5</v>
      </c>
      <c r="H368">
        <v>2</v>
      </c>
      <c r="I368">
        <v>5</v>
      </c>
      <c r="J368">
        <v>3</v>
      </c>
      <c r="K368" s="4">
        <v>51.4</v>
      </c>
      <c r="L368" s="4">
        <v>56.7</v>
      </c>
      <c r="M368" s="4">
        <v>55.1</v>
      </c>
      <c r="N368">
        <v>0</v>
      </c>
      <c r="O368" t="s">
        <v>58</v>
      </c>
      <c r="P368" t="s">
        <v>70</v>
      </c>
      <c r="Q368" t="s">
        <v>71</v>
      </c>
      <c r="R368" t="s">
        <v>130</v>
      </c>
      <c r="S368" s="3">
        <v>4.7699999999999996</v>
      </c>
      <c r="T368" s="5">
        <v>45610</v>
      </c>
      <c r="U368">
        <v>2</v>
      </c>
      <c r="V368">
        <v>2024</v>
      </c>
      <c r="X368">
        <f t="shared" si="15"/>
        <v>5.8899631999999995</v>
      </c>
      <c r="Y368">
        <f t="shared" si="16"/>
        <v>4.7699631999999994</v>
      </c>
      <c r="Z368">
        <f t="shared" si="17"/>
        <v>56.699963200000006</v>
      </c>
    </row>
    <row r="369" spans="1:26" x14ac:dyDescent="0.3">
      <c r="A369" t="s">
        <v>459</v>
      </c>
      <c r="B369" t="s">
        <v>67</v>
      </c>
      <c r="C369" t="s">
        <v>84</v>
      </c>
      <c r="D369" t="s">
        <v>57</v>
      </c>
      <c r="E369">
        <v>20</v>
      </c>
      <c r="F369" s="3">
        <v>6.42</v>
      </c>
      <c r="G369" s="4">
        <v>70.599999999999994</v>
      </c>
      <c r="H369">
        <v>2</v>
      </c>
      <c r="I369">
        <v>0</v>
      </c>
      <c r="J369">
        <v>1</v>
      </c>
      <c r="K369" s="4">
        <v>46.4</v>
      </c>
      <c r="L369" s="4">
        <v>62.4</v>
      </c>
      <c r="M369" s="4">
        <v>70.3</v>
      </c>
      <c r="N369">
        <v>0</v>
      </c>
      <c r="O369" t="s">
        <v>58</v>
      </c>
      <c r="P369" t="s">
        <v>59</v>
      </c>
      <c r="Q369" t="s">
        <v>60</v>
      </c>
      <c r="R369" t="s">
        <v>72</v>
      </c>
      <c r="S369" s="3">
        <v>19.010000000000002</v>
      </c>
      <c r="T369" s="5">
        <v>45244</v>
      </c>
      <c r="U369">
        <v>1</v>
      </c>
      <c r="V369">
        <v>2023</v>
      </c>
      <c r="X369">
        <f t="shared" si="15"/>
        <v>6.4199631000000004</v>
      </c>
      <c r="Y369">
        <f t="shared" si="16"/>
        <v>19.0099631</v>
      </c>
      <c r="Z369">
        <f t="shared" si="17"/>
        <v>62.399963100000001</v>
      </c>
    </row>
    <row r="370" spans="1:26" x14ac:dyDescent="0.3">
      <c r="A370" t="s">
        <v>460</v>
      </c>
      <c r="B370" t="s">
        <v>55</v>
      </c>
      <c r="C370" t="s">
        <v>74</v>
      </c>
      <c r="D370" t="s">
        <v>69</v>
      </c>
      <c r="E370">
        <v>23</v>
      </c>
      <c r="F370" s="3">
        <v>8.16</v>
      </c>
      <c r="G370" s="4">
        <v>92.3</v>
      </c>
      <c r="H370">
        <v>0</v>
      </c>
      <c r="I370">
        <v>3</v>
      </c>
      <c r="J370">
        <v>1</v>
      </c>
      <c r="K370" s="4">
        <v>57.6</v>
      </c>
      <c r="L370" s="4">
        <v>81.599999999999994</v>
      </c>
      <c r="M370" s="4">
        <v>76.3</v>
      </c>
      <c r="N370">
        <v>0</v>
      </c>
      <c r="O370" t="s">
        <v>58</v>
      </c>
      <c r="P370" t="s">
        <v>87</v>
      </c>
      <c r="Q370" t="s">
        <v>71</v>
      </c>
      <c r="R370" t="s">
        <v>61</v>
      </c>
      <c r="S370" s="3">
        <v>6.66</v>
      </c>
      <c r="T370" s="5">
        <v>45619</v>
      </c>
      <c r="U370">
        <v>1</v>
      </c>
      <c r="V370">
        <v>2024</v>
      </c>
      <c r="X370">
        <f t="shared" si="15"/>
        <v>8.1599629999999994</v>
      </c>
      <c r="Y370">
        <f t="shared" si="16"/>
        <v>6.6599630000000003</v>
      </c>
      <c r="Z370">
        <f t="shared" si="17"/>
        <v>81.599962999999988</v>
      </c>
    </row>
    <row r="371" spans="1:26" x14ac:dyDescent="0.3">
      <c r="A371" t="s">
        <v>461</v>
      </c>
      <c r="B371" t="s">
        <v>63</v>
      </c>
      <c r="C371" t="s">
        <v>68</v>
      </c>
      <c r="D371" t="s">
        <v>57</v>
      </c>
      <c r="E371">
        <v>21</v>
      </c>
      <c r="F371" s="3">
        <v>8.61</v>
      </c>
      <c r="G371" s="4">
        <v>97.9</v>
      </c>
      <c r="H371">
        <v>1</v>
      </c>
      <c r="I371">
        <v>3</v>
      </c>
      <c r="J371">
        <v>2</v>
      </c>
      <c r="K371" s="4">
        <v>75.400000000000006</v>
      </c>
      <c r="L371" s="4">
        <v>70.5</v>
      </c>
      <c r="M371" s="4">
        <v>68.900000000000006</v>
      </c>
      <c r="N371">
        <v>0</v>
      </c>
      <c r="O371" t="s">
        <v>58</v>
      </c>
      <c r="P371" t="s">
        <v>79</v>
      </c>
      <c r="Q371" t="s">
        <v>71</v>
      </c>
      <c r="R371" t="s">
        <v>76</v>
      </c>
      <c r="S371" s="3">
        <v>5.87</v>
      </c>
      <c r="T371" s="5">
        <v>45970</v>
      </c>
      <c r="U371">
        <v>2</v>
      </c>
      <c r="V371">
        <v>2025</v>
      </c>
      <c r="X371">
        <f t="shared" si="15"/>
        <v>8.6099628999999993</v>
      </c>
      <c r="Y371">
        <f t="shared" si="16"/>
        <v>5.8699629</v>
      </c>
      <c r="Z371">
        <f t="shared" si="17"/>
        <v>70.4999629</v>
      </c>
    </row>
    <row r="372" spans="1:26" x14ac:dyDescent="0.3">
      <c r="A372" t="s">
        <v>462</v>
      </c>
      <c r="B372" t="s">
        <v>82</v>
      </c>
      <c r="C372" t="s">
        <v>74</v>
      </c>
      <c r="D372" t="s">
        <v>69</v>
      </c>
      <c r="E372">
        <v>21</v>
      </c>
      <c r="F372" s="3">
        <v>5.93</v>
      </c>
      <c r="G372" s="4">
        <v>70.8</v>
      </c>
      <c r="H372">
        <v>2</v>
      </c>
      <c r="I372">
        <v>0</v>
      </c>
      <c r="J372">
        <v>2</v>
      </c>
      <c r="K372" s="4">
        <v>88.7</v>
      </c>
      <c r="L372" s="4">
        <v>66.599999999999994</v>
      </c>
      <c r="M372" s="4">
        <v>77.400000000000006</v>
      </c>
      <c r="N372">
        <v>0</v>
      </c>
      <c r="O372" t="s">
        <v>58</v>
      </c>
      <c r="P372" t="s">
        <v>112</v>
      </c>
      <c r="Q372" t="s">
        <v>93</v>
      </c>
      <c r="R372" t="s">
        <v>109</v>
      </c>
      <c r="S372" s="3">
        <v>6.54</v>
      </c>
      <c r="T372" s="5">
        <v>44810</v>
      </c>
      <c r="U372">
        <v>2</v>
      </c>
      <c r="V372">
        <v>2022</v>
      </c>
      <c r="X372">
        <f t="shared" si="15"/>
        <v>5.9299627999999993</v>
      </c>
      <c r="Y372">
        <f t="shared" si="16"/>
        <v>6.5399627999999996</v>
      </c>
      <c r="Z372">
        <f t="shared" si="17"/>
        <v>66.5999628</v>
      </c>
    </row>
    <row r="373" spans="1:26" x14ac:dyDescent="0.3">
      <c r="A373" t="s">
        <v>463</v>
      </c>
      <c r="B373" t="s">
        <v>55</v>
      </c>
      <c r="C373" t="s">
        <v>101</v>
      </c>
      <c r="D373" t="s">
        <v>69</v>
      </c>
      <c r="E373">
        <v>23</v>
      </c>
      <c r="F373" s="3">
        <v>8.92</v>
      </c>
      <c r="G373" s="4">
        <v>81.2</v>
      </c>
      <c r="H373">
        <v>2</v>
      </c>
      <c r="I373">
        <v>1</v>
      </c>
      <c r="J373">
        <v>5</v>
      </c>
      <c r="K373" s="4">
        <v>82.8</v>
      </c>
      <c r="L373" s="4">
        <v>53.2</v>
      </c>
      <c r="M373" s="4">
        <v>76.7</v>
      </c>
      <c r="N373">
        <v>0</v>
      </c>
      <c r="O373" t="s">
        <v>58</v>
      </c>
      <c r="P373" t="s">
        <v>92</v>
      </c>
      <c r="Q373" t="s">
        <v>93</v>
      </c>
      <c r="R373" t="s">
        <v>76</v>
      </c>
      <c r="S373" s="3">
        <v>10.02</v>
      </c>
      <c r="T373" s="5">
        <v>45529</v>
      </c>
      <c r="U373">
        <v>1</v>
      </c>
      <c r="V373">
        <v>2024</v>
      </c>
      <c r="X373">
        <f t="shared" si="15"/>
        <v>8.9199626999999992</v>
      </c>
      <c r="Y373">
        <f t="shared" si="16"/>
        <v>10.019962699999999</v>
      </c>
      <c r="Z373">
        <f t="shared" si="17"/>
        <v>53.1999627</v>
      </c>
    </row>
    <row r="374" spans="1:26" x14ac:dyDescent="0.3">
      <c r="A374" t="s">
        <v>464</v>
      </c>
      <c r="B374" t="s">
        <v>82</v>
      </c>
      <c r="C374" t="s">
        <v>74</v>
      </c>
      <c r="D374" t="s">
        <v>57</v>
      </c>
      <c r="E374">
        <v>21</v>
      </c>
      <c r="F374" s="3">
        <v>8.07</v>
      </c>
      <c r="G374" s="4">
        <v>86.4</v>
      </c>
      <c r="H374">
        <v>3</v>
      </c>
      <c r="I374">
        <v>3</v>
      </c>
      <c r="J374">
        <v>3</v>
      </c>
      <c r="K374" s="4">
        <v>74.099999999999994</v>
      </c>
      <c r="L374" s="4">
        <v>61.3</v>
      </c>
      <c r="M374" s="4">
        <v>84.5</v>
      </c>
      <c r="N374">
        <v>0</v>
      </c>
      <c r="O374" t="s">
        <v>58</v>
      </c>
      <c r="P374" t="s">
        <v>112</v>
      </c>
      <c r="Q374" t="s">
        <v>93</v>
      </c>
      <c r="R374" t="s">
        <v>109</v>
      </c>
      <c r="S374" s="3">
        <v>7.38</v>
      </c>
      <c r="T374" s="5">
        <v>44841</v>
      </c>
      <c r="U374">
        <v>1</v>
      </c>
      <c r="V374">
        <v>2022</v>
      </c>
      <c r="X374">
        <f t="shared" si="15"/>
        <v>8.0699626000000002</v>
      </c>
      <c r="Y374">
        <f t="shared" si="16"/>
        <v>7.3799625999999998</v>
      </c>
      <c r="Z374">
        <f t="shared" si="17"/>
        <v>61.299962600000001</v>
      </c>
    </row>
    <row r="375" spans="1:26" x14ac:dyDescent="0.3">
      <c r="A375" t="s">
        <v>465</v>
      </c>
      <c r="B375" t="s">
        <v>67</v>
      </c>
      <c r="C375" t="s">
        <v>68</v>
      </c>
      <c r="D375" t="s">
        <v>57</v>
      </c>
      <c r="E375">
        <v>21</v>
      </c>
      <c r="F375" s="3">
        <v>7.59</v>
      </c>
      <c r="G375" s="4">
        <v>79.7</v>
      </c>
      <c r="H375">
        <v>2</v>
      </c>
      <c r="I375">
        <v>3</v>
      </c>
      <c r="J375">
        <v>4</v>
      </c>
      <c r="K375" s="4">
        <v>73.3</v>
      </c>
      <c r="L375" s="4">
        <v>97.5</v>
      </c>
      <c r="M375" s="4">
        <v>70.7</v>
      </c>
      <c r="N375">
        <v>0</v>
      </c>
      <c r="O375" t="s">
        <v>58</v>
      </c>
      <c r="P375" t="s">
        <v>104</v>
      </c>
      <c r="Q375" t="s">
        <v>105</v>
      </c>
      <c r="R375" t="s">
        <v>61</v>
      </c>
      <c r="S375" s="3">
        <v>17.05</v>
      </c>
      <c r="T375" s="5">
        <v>45162</v>
      </c>
      <c r="U375">
        <v>3</v>
      </c>
      <c r="V375">
        <v>2023</v>
      </c>
      <c r="X375">
        <f t="shared" si="15"/>
        <v>7.5899624999999995</v>
      </c>
      <c r="Y375">
        <f t="shared" si="16"/>
        <v>17.049962499999999</v>
      </c>
      <c r="Z375">
        <f t="shared" si="17"/>
        <v>97.499962499999995</v>
      </c>
    </row>
    <row r="376" spans="1:26" x14ac:dyDescent="0.3">
      <c r="A376" t="s">
        <v>466</v>
      </c>
      <c r="B376" t="s">
        <v>107</v>
      </c>
      <c r="C376" t="s">
        <v>74</v>
      </c>
      <c r="D376" t="s">
        <v>69</v>
      </c>
      <c r="E376">
        <v>20</v>
      </c>
      <c r="F376" s="3">
        <v>7.09</v>
      </c>
      <c r="G376" s="4">
        <v>66.2</v>
      </c>
      <c r="H376">
        <v>2</v>
      </c>
      <c r="I376">
        <v>1</v>
      </c>
      <c r="J376">
        <v>1</v>
      </c>
      <c r="K376" s="4">
        <v>66.5</v>
      </c>
      <c r="L376" s="4">
        <v>74.8</v>
      </c>
      <c r="M376" s="4">
        <v>49.6</v>
      </c>
      <c r="N376">
        <v>0</v>
      </c>
      <c r="O376" t="s">
        <v>64</v>
      </c>
      <c r="P376" t="s">
        <v>65</v>
      </c>
      <c r="S376" s="3">
        <v>0</v>
      </c>
      <c r="T376" s="5"/>
      <c r="U376">
        <v>0</v>
      </c>
      <c r="V376">
        <v>2021</v>
      </c>
      <c r="X376">
        <f t="shared" si="15"/>
        <v>7.0899624000000001</v>
      </c>
      <c r="Y376">
        <f t="shared" si="16"/>
        <v>-3.7599999999999999E-5</v>
      </c>
      <c r="Z376">
        <f t="shared" si="17"/>
        <v>74.799962399999998</v>
      </c>
    </row>
    <row r="377" spans="1:26" x14ac:dyDescent="0.3">
      <c r="A377" t="s">
        <v>467</v>
      </c>
      <c r="B377" t="s">
        <v>67</v>
      </c>
      <c r="C377" t="s">
        <v>84</v>
      </c>
      <c r="D377" t="s">
        <v>57</v>
      </c>
      <c r="E377">
        <v>22</v>
      </c>
      <c r="F377" s="3">
        <v>9.08</v>
      </c>
      <c r="G377" s="4">
        <v>69.599999999999994</v>
      </c>
      <c r="H377">
        <v>0</v>
      </c>
      <c r="I377">
        <v>1</v>
      </c>
      <c r="J377">
        <v>3</v>
      </c>
      <c r="K377" s="4">
        <v>66.599999999999994</v>
      </c>
      <c r="L377" s="4">
        <v>78.599999999999994</v>
      </c>
      <c r="M377" s="4">
        <v>55.4</v>
      </c>
      <c r="N377">
        <v>0</v>
      </c>
      <c r="O377" t="s">
        <v>64</v>
      </c>
      <c r="P377" t="s">
        <v>65</v>
      </c>
      <c r="S377" s="3">
        <v>0</v>
      </c>
      <c r="T377" s="5"/>
      <c r="U377">
        <v>0</v>
      </c>
      <c r="V377">
        <v>2023</v>
      </c>
      <c r="X377">
        <f t="shared" si="15"/>
        <v>9.0799623</v>
      </c>
      <c r="Y377">
        <f t="shared" si="16"/>
        <v>-3.7700000000000002E-5</v>
      </c>
      <c r="Z377">
        <f t="shared" si="17"/>
        <v>78.599962300000001</v>
      </c>
    </row>
    <row r="378" spans="1:26" x14ac:dyDescent="0.3">
      <c r="A378" t="s">
        <v>468</v>
      </c>
      <c r="B378" t="s">
        <v>55</v>
      </c>
      <c r="C378" t="s">
        <v>74</v>
      </c>
      <c r="D378" t="s">
        <v>57</v>
      </c>
      <c r="E378">
        <v>21</v>
      </c>
      <c r="F378" s="3">
        <v>8.4600000000000009</v>
      </c>
      <c r="G378" s="4">
        <v>70.599999999999994</v>
      </c>
      <c r="H378">
        <v>1</v>
      </c>
      <c r="I378">
        <v>2</v>
      </c>
      <c r="J378">
        <v>3</v>
      </c>
      <c r="K378" s="4">
        <v>87.4</v>
      </c>
      <c r="L378" s="4">
        <v>60.6</v>
      </c>
      <c r="M378" s="4">
        <v>79.599999999999994</v>
      </c>
      <c r="N378">
        <v>0</v>
      </c>
      <c r="O378" t="s">
        <v>58</v>
      </c>
      <c r="P378" t="s">
        <v>87</v>
      </c>
      <c r="Q378" t="s">
        <v>71</v>
      </c>
      <c r="R378" t="s">
        <v>76</v>
      </c>
      <c r="S378" s="3">
        <v>6.46</v>
      </c>
      <c r="T378" s="5">
        <v>45539</v>
      </c>
      <c r="U378">
        <v>2</v>
      </c>
      <c r="V378">
        <v>2024</v>
      </c>
      <c r="X378">
        <f t="shared" si="15"/>
        <v>8.4599622000000014</v>
      </c>
      <c r="Y378">
        <f t="shared" si="16"/>
        <v>6.4599621999999997</v>
      </c>
      <c r="Z378">
        <f t="shared" si="17"/>
        <v>60.5999622</v>
      </c>
    </row>
    <row r="379" spans="1:26" x14ac:dyDescent="0.3">
      <c r="A379" t="s">
        <v>469</v>
      </c>
      <c r="B379" t="s">
        <v>82</v>
      </c>
      <c r="C379" t="s">
        <v>78</v>
      </c>
      <c r="D379" t="s">
        <v>69</v>
      </c>
      <c r="E379">
        <v>21</v>
      </c>
      <c r="F379" s="3">
        <v>8.09</v>
      </c>
      <c r="G379" s="4">
        <v>72.599999999999994</v>
      </c>
      <c r="H379">
        <v>3</v>
      </c>
      <c r="I379">
        <v>3</v>
      </c>
      <c r="J379">
        <v>3</v>
      </c>
      <c r="K379" s="4">
        <v>76.7</v>
      </c>
      <c r="L379" s="4">
        <v>72.900000000000006</v>
      </c>
      <c r="M379" s="4">
        <v>76.2</v>
      </c>
      <c r="N379">
        <v>0</v>
      </c>
      <c r="O379" t="s">
        <v>58</v>
      </c>
      <c r="P379" t="s">
        <v>79</v>
      </c>
      <c r="Q379" t="s">
        <v>71</v>
      </c>
      <c r="R379" t="s">
        <v>80</v>
      </c>
      <c r="S379" s="3">
        <v>7.57</v>
      </c>
      <c r="T379" s="5">
        <v>44873</v>
      </c>
      <c r="U379">
        <v>2</v>
      </c>
      <c r="V379">
        <v>2022</v>
      </c>
      <c r="X379">
        <f t="shared" si="15"/>
        <v>8.0899620999999993</v>
      </c>
      <c r="Y379">
        <f t="shared" si="16"/>
        <v>7.5699621000000006</v>
      </c>
      <c r="Z379">
        <f t="shared" si="17"/>
        <v>72.89996210000001</v>
      </c>
    </row>
    <row r="380" spans="1:26" x14ac:dyDescent="0.3">
      <c r="A380" t="s">
        <v>470</v>
      </c>
      <c r="B380" t="s">
        <v>82</v>
      </c>
      <c r="C380" t="s">
        <v>68</v>
      </c>
      <c r="D380" t="s">
        <v>57</v>
      </c>
      <c r="E380">
        <v>22</v>
      </c>
      <c r="F380" s="3">
        <v>6.99</v>
      </c>
      <c r="G380" s="4">
        <v>82.8</v>
      </c>
      <c r="H380">
        <v>1</v>
      </c>
      <c r="I380">
        <v>2</v>
      </c>
      <c r="J380">
        <v>2</v>
      </c>
      <c r="K380" s="4">
        <v>70.8</v>
      </c>
      <c r="L380" s="4">
        <v>65.900000000000006</v>
      </c>
      <c r="M380" s="4">
        <v>71.3</v>
      </c>
      <c r="N380">
        <v>0</v>
      </c>
      <c r="O380" t="s">
        <v>58</v>
      </c>
      <c r="P380" t="s">
        <v>87</v>
      </c>
      <c r="Q380" t="s">
        <v>71</v>
      </c>
      <c r="R380" t="s">
        <v>109</v>
      </c>
      <c r="S380" s="3">
        <v>7.99</v>
      </c>
      <c r="T380" s="5">
        <v>44781</v>
      </c>
      <c r="U380">
        <v>3</v>
      </c>
      <c r="V380">
        <v>2022</v>
      </c>
      <c r="X380">
        <f t="shared" si="15"/>
        <v>6.9899620000000002</v>
      </c>
      <c r="Y380">
        <f t="shared" si="16"/>
        <v>7.9899620000000002</v>
      </c>
      <c r="Z380">
        <f t="shared" si="17"/>
        <v>65.899962000000002</v>
      </c>
    </row>
    <row r="381" spans="1:26" x14ac:dyDescent="0.3">
      <c r="A381" t="s">
        <v>471</v>
      </c>
      <c r="B381" t="s">
        <v>63</v>
      </c>
      <c r="C381" t="s">
        <v>56</v>
      </c>
      <c r="D381" t="s">
        <v>69</v>
      </c>
      <c r="E381">
        <v>22</v>
      </c>
      <c r="F381" s="3">
        <v>9.1</v>
      </c>
      <c r="G381" s="4">
        <v>91.9</v>
      </c>
      <c r="H381">
        <v>0</v>
      </c>
      <c r="I381">
        <v>0</v>
      </c>
      <c r="J381">
        <v>4</v>
      </c>
      <c r="K381" s="4">
        <v>43.4</v>
      </c>
      <c r="L381" s="4">
        <v>51.3</v>
      </c>
      <c r="M381" s="4">
        <v>72.2</v>
      </c>
      <c r="N381">
        <v>0</v>
      </c>
      <c r="O381" t="s">
        <v>58</v>
      </c>
      <c r="P381" t="s">
        <v>95</v>
      </c>
      <c r="Q381" t="s">
        <v>93</v>
      </c>
      <c r="R381" t="s">
        <v>130</v>
      </c>
      <c r="S381" s="3">
        <v>6.51</v>
      </c>
      <c r="T381" s="5">
        <v>45942</v>
      </c>
      <c r="U381">
        <v>2</v>
      </c>
      <c r="V381">
        <v>2025</v>
      </c>
      <c r="X381">
        <f t="shared" si="15"/>
        <v>9.0999619000000003</v>
      </c>
      <c r="Y381">
        <f t="shared" si="16"/>
        <v>6.5099618999999995</v>
      </c>
      <c r="Z381">
        <f t="shared" si="17"/>
        <v>51.2999619</v>
      </c>
    </row>
    <row r="382" spans="1:26" x14ac:dyDescent="0.3">
      <c r="A382" t="s">
        <v>472</v>
      </c>
      <c r="B382" t="s">
        <v>82</v>
      </c>
      <c r="C382" t="s">
        <v>101</v>
      </c>
      <c r="D382" t="s">
        <v>69</v>
      </c>
      <c r="E382">
        <v>21</v>
      </c>
      <c r="F382" s="3">
        <v>7.68</v>
      </c>
      <c r="G382" s="4">
        <v>69.8</v>
      </c>
      <c r="H382">
        <v>1</v>
      </c>
      <c r="I382">
        <v>3</v>
      </c>
      <c r="J382">
        <v>4</v>
      </c>
      <c r="K382" s="4">
        <v>78.2</v>
      </c>
      <c r="L382" s="4">
        <v>59</v>
      </c>
      <c r="M382" s="4">
        <v>66.2</v>
      </c>
      <c r="N382">
        <v>1</v>
      </c>
      <c r="O382" t="s">
        <v>64</v>
      </c>
      <c r="P382" t="s">
        <v>65</v>
      </c>
      <c r="S382" s="3">
        <v>0</v>
      </c>
      <c r="T382" s="5"/>
      <c r="U382">
        <v>0</v>
      </c>
      <c r="V382">
        <v>2022</v>
      </c>
      <c r="X382">
        <f t="shared" si="15"/>
        <v>7.6799618000000001</v>
      </c>
      <c r="Y382">
        <f t="shared" si="16"/>
        <v>-3.82E-5</v>
      </c>
      <c r="Z382">
        <f t="shared" si="17"/>
        <v>58.999961800000001</v>
      </c>
    </row>
    <row r="383" spans="1:26" x14ac:dyDescent="0.3">
      <c r="A383" t="s">
        <v>473</v>
      </c>
      <c r="B383" t="s">
        <v>63</v>
      </c>
      <c r="C383" t="s">
        <v>74</v>
      </c>
      <c r="D383" t="s">
        <v>57</v>
      </c>
      <c r="E383">
        <v>23</v>
      </c>
      <c r="F383" s="3">
        <v>7.92</v>
      </c>
      <c r="G383" s="4">
        <v>74.900000000000006</v>
      </c>
      <c r="H383">
        <v>2</v>
      </c>
      <c r="I383">
        <v>2</v>
      </c>
      <c r="J383">
        <v>2</v>
      </c>
      <c r="K383" s="4">
        <v>78.400000000000006</v>
      </c>
      <c r="L383" s="4">
        <v>62.2</v>
      </c>
      <c r="M383" s="4">
        <v>66.3</v>
      </c>
      <c r="N383">
        <v>0</v>
      </c>
      <c r="O383" t="s">
        <v>58</v>
      </c>
      <c r="P383" t="s">
        <v>59</v>
      </c>
      <c r="Q383" t="s">
        <v>60</v>
      </c>
      <c r="R383" t="s">
        <v>80</v>
      </c>
      <c r="S383" s="3">
        <v>18.579999999999998</v>
      </c>
      <c r="T383" s="5">
        <v>45929</v>
      </c>
      <c r="U383">
        <v>1</v>
      </c>
      <c r="V383">
        <v>2025</v>
      </c>
      <c r="X383">
        <f t="shared" si="15"/>
        <v>7.9199617</v>
      </c>
      <c r="Y383">
        <f t="shared" si="16"/>
        <v>18.579961699999998</v>
      </c>
      <c r="Z383">
        <f t="shared" si="17"/>
        <v>62.199961700000003</v>
      </c>
    </row>
    <row r="384" spans="1:26" x14ac:dyDescent="0.3">
      <c r="A384" t="s">
        <v>474</v>
      </c>
      <c r="B384" t="s">
        <v>107</v>
      </c>
      <c r="C384" t="s">
        <v>101</v>
      </c>
      <c r="D384" t="s">
        <v>57</v>
      </c>
      <c r="E384">
        <v>21</v>
      </c>
      <c r="F384" s="3">
        <v>7.72</v>
      </c>
      <c r="G384" s="4">
        <v>72</v>
      </c>
      <c r="H384">
        <v>0</v>
      </c>
      <c r="I384">
        <v>4</v>
      </c>
      <c r="J384">
        <v>5</v>
      </c>
      <c r="K384" s="4">
        <v>59.3</v>
      </c>
      <c r="L384" s="4">
        <v>100</v>
      </c>
      <c r="M384" s="4">
        <v>67.400000000000006</v>
      </c>
      <c r="N384">
        <v>0</v>
      </c>
      <c r="O384" t="s">
        <v>58</v>
      </c>
      <c r="P384" t="s">
        <v>92</v>
      </c>
      <c r="Q384" t="s">
        <v>93</v>
      </c>
      <c r="R384" t="s">
        <v>61</v>
      </c>
      <c r="S384" s="3">
        <v>9.1300000000000008</v>
      </c>
      <c r="T384" s="5">
        <v>44462</v>
      </c>
      <c r="U384">
        <v>1</v>
      </c>
      <c r="V384">
        <v>2021</v>
      </c>
      <c r="X384">
        <f t="shared" si="15"/>
        <v>7.7199615999999995</v>
      </c>
      <c r="Y384">
        <f t="shared" si="16"/>
        <v>9.1299616000000015</v>
      </c>
      <c r="Z384">
        <f t="shared" si="17"/>
        <v>99.999961600000006</v>
      </c>
    </row>
    <row r="385" spans="1:26" x14ac:dyDescent="0.3">
      <c r="A385" t="s">
        <v>475</v>
      </c>
      <c r="B385" t="s">
        <v>55</v>
      </c>
      <c r="C385" t="s">
        <v>84</v>
      </c>
      <c r="D385" t="s">
        <v>57</v>
      </c>
      <c r="E385">
        <v>23</v>
      </c>
      <c r="F385" s="3">
        <v>6.96</v>
      </c>
      <c r="G385" s="4">
        <v>84.6</v>
      </c>
      <c r="H385">
        <v>2</v>
      </c>
      <c r="I385">
        <v>4</v>
      </c>
      <c r="J385">
        <v>3</v>
      </c>
      <c r="K385" s="4">
        <v>71.2</v>
      </c>
      <c r="L385" s="4">
        <v>98.1</v>
      </c>
      <c r="M385" s="4">
        <v>70.599999999999994</v>
      </c>
      <c r="N385">
        <v>0</v>
      </c>
      <c r="O385" t="s">
        <v>58</v>
      </c>
      <c r="P385" t="s">
        <v>104</v>
      </c>
      <c r="Q385" t="s">
        <v>105</v>
      </c>
      <c r="R385" t="s">
        <v>80</v>
      </c>
      <c r="S385" s="3">
        <v>16.170000000000002</v>
      </c>
      <c r="T385" s="5">
        <v>45608</v>
      </c>
      <c r="U385">
        <v>2</v>
      </c>
      <c r="V385">
        <v>2024</v>
      </c>
      <c r="X385">
        <f t="shared" si="15"/>
        <v>6.9599615000000004</v>
      </c>
      <c r="Y385">
        <f t="shared" si="16"/>
        <v>16.169961500000003</v>
      </c>
      <c r="Z385">
        <f t="shared" si="17"/>
        <v>98.099961499999992</v>
      </c>
    </row>
    <row r="386" spans="1:26" x14ac:dyDescent="0.3">
      <c r="A386" t="s">
        <v>476</v>
      </c>
      <c r="B386" t="s">
        <v>63</v>
      </c>
      <c r="C386" t="s">
        <v>101</v>
      </c>
      <c r="D386" t="s">
        <v>69</v>
      </c>
      <c r="E386">
        <v>23</v>
      </c>
      <c r="F386" s="3">
        <v>7.94</v>
      </c>
      <c r="G386" s="4">
        <v>74.599999999999994</v>
      </c>
      <c r="H386">
        <v>0</v>
      </c>
      <c r="I386">
        <v>3</v>
      </c>
      <c r="J386">
        <v>3</v>
      </c>
      <c r="K386" s="4">
        <v>66.099999999999994</v>
      </c>
      <c r="L386" s="4">
        <v>44.9</v>
      </c>
      <c r="M386" s="4">
        <v>75.5</v>
      </c>
      <c r="N386">
        <v>0</v>
      </c>
      <c r="O386" t="s">
        <v>58</v>
      </c>
      <c r="P386" t="s">
        <v>90</v>
      </c>
      <c r="Q386" t="s">
        <v>60</v>
      </c>
      <c r="R386" t="s">
        <v>109</v>
      </c>
      <c r="S386" s="3">
        <v>7.62</v>
      </c>
      <c r="T386" s="5">
        <v>45913</v>
      </c>
      <c r="U386">
        <v>2</v>
      </c>
      <c r="V386">
        <v>2025</v>
      </c>
      <c r="X386">
        <f t="shared" ref="X386:X449" si="18">F386-ROW()*0.0000001</f>
        <v>7.9399614000000005</v>
      </c>
      <c r="Y386">
        <f t="shared" ref="Y386:Y449" si="19">S386-ROW()*0.0000001</f>
        <v>7.6199614000000002</v>
      </c>
      <c r="Z386">
        <f t="shared" ref="Z386:Z449" si="20">L386-ROW()*0.0000001</f>
        <v>44.899961399999995</v>
      </c>
    </row>
    <row r="387" spans="1:26" x14ac:dyDescent="0.3">
      <c r="A387" t="s">
        <v>477</v>
      </c>
      <c r="B387" t="s">
        <v>107</v>
      </c>
      <c r="C387" t="s">
        <v>56</v>
      </c>
      <c r="D387" t="s">
        <v>57</v>
      </c>
      <c r="E387">
        <v>23</v>
      </c>
      <c r="F387" s="3">
        <v>8.2799999999999994</v>
      </c>
      <c r="G387" s="4">
        <v>72.900000000000006</v>
      </c>
      <c r="H387">
        <v>1</v>
      </c>
      <c r="I387">
        <v>4</v>
      </c>
      <c r="J387">
        <v>5</v>
      </c>
      <c r="K387" s="4">
        <v>60.5</v>
      </c>
      <c r="L387" s="4">
        <v>57.6</v>
      </c>
      <c r="M387" s="4">
        <v>73.099999999999994</v>
      </c>
      <c r="N387">
        <v>0</v>
      </c>
      <c r="O387" t="s">
        <v>58</v>
      </c>
      <c r="P387" t="s">
        <v>59</v>
      </c>
      <c r="Q387" t="s">
        <v>60</v>
      </c>
      <c r="R387" t="s">
        <v>130</v>
      </c>
      <c r="S387" s="3">
        <v>19.28</v>
      </c>
      <c r="T387" s="5">
        <v>44418</v>
      </c>
      <c r="U387">
        <v>2</v>
      </c>
      <c r="V387">
        <v>2021</v>
      </c>
      <c r="X387">
        <f t="shared" si="18"/>
        <v>8.2799613000000001</v>
      </c>
      <c r="Y387">
        <f t="shared" si="19"/>
        <v>19.2799613</v>
      </c>
      <c r="Z387">
        <f t="shared" si="20"/>
        <v>57.599961300000004</v>
      </c>
    </row>
    <row r="388" spans="1:26" x14ac:dyDescent="0.3">
      <c r="A388" t="s">
        <v>478</v>
      </c>
      <c r="B388" t="s">
        <v>82</v>
      </c>
      <c r="C388" t="s">
        <v>101</v>
      </c>
      <c r="D388" t="s">
        <v>69</v>
      </c>
      <c r="E388">
        <v>22</v>
      </c>
      <c r="F388" s="3">
        <v>7.25</v>
      </c>
      <c r="G388" s="4">
        <v>67.599999999999994</v>
      </c>
      <c r="H388">
        <v>3</v>
      </c>
      <c r="I388">
        <v>4</v>
      </c>
      <c r="J388">
        <v>6</v>
      </c>
      <c r="K388" s="4">
        <v>73.7</v>
      </c>
      <c r="L388" s="4">
        <v>67.3</v>
      </c>
      <c r="M388" s="4">
        <v>70.099999999999994</v>
      </c>
      <c r="N388">
        <v>3</v>
      </c>
      <c r="O388" t="s">
        <v>58</v>
      </c>
      <c r="P388" t="s">
        <v>95</v>
      </c>
      <c r="Q388" t="s">
        <v>93</v>
      </c>
      <c r="R388" t="s">
        <v>130</v>
      </c>
      <c r="S388" s="3">
        <v>7.03</v>
      </c>
      <c r="T388" s="5">
        <v>44778</v>
      </c>
      <c r="U388">
        <v>1</v>
      </c>
      <c r="V388">
        <v>2022</v>
      </c>
      <c r="X388">
        <f t="shared" si="18"/>
        <v>7.2499612000000004</v>
      </c>
      <c r="Y388">
        <f t="shared" si="19"/>
        <v>7.0299612000000007</v>
      </c>
      <c r="Z388">
        <f t="shared" si="20"/>
        <v>67.299961199999998</v>
      </c>
    </row>
    <row r="389" spans="1:26" x14ac:dyDescent="0.3">
      <c r="A389" t="s">
        <v>479</v>
      </c>
      <c r="B389" t="s">
        <v>82</v>
      </c>
      <c r="C389" t="s">
        <v>68</v>
      </c>
      <c r="D389" t="s">
        <v>57</v>
      </c>
      <c r="E389">
        <v>21</v>
      </c>
      <c r="F389" s="3">
        <v>7.86</v>
      </c>
      <c r="G389" s="4">
        <v>94.2</v>
      </c>
      <c r="H389">
        <v>1</v>
      </c>
      <c r="I389">
        <v>2</v>
      </c>
      <c r="J389">
        <v>5</v>
      </c>
      <c r="K389" s="4">
        <v>52.9</v>
      </c>
      <c r="L389" s="4">
        <v>70.400000000000006</v>
      </c>
      <c r="M389" s="4">
        <v>82.3</v>
      </c>
      <c r="N389">
        <v>0</v>
      </c>
      <c r="O389" t="s">
        <v>58</v>
      </c>
      <c r="P389" t="s">
        <v>75</v>
      </c>
      <c r="Q389" t="s">
        <v>71</v>
      </c>
      <c r="R389" t="s">
        <v>109</v>
      </c>
      <c r="S389" s="3">
        <v>6.17</v>
      </c>
      <c r="T389" s="5">
        <v>44874</v>
      </c>
      <c r="U389">
        <v>1</v>
      </c>
      <c r="V389">
        <v>2022</v>
      </c>
      <c r="X389">
        <f t="shared" si="18"/>
        <v>7.8599611000000005</v>
      </c>
      <c r="Y389">
        <f t="shared" si="19"/>
        <v>6.1699611000000001</v>
      </c>
      <c r="Z389">
        <f t="shared" si="20"/>
        <v>70.399961099999999</v>
      </c>
    </row>
    <row r="390" spans="1:26" x14ac:dyDescent="0.3">
      <c r="A390" t="s">
        <v>480</v>
      </c>
      <c r="B390" t="s">
        <v>107</v>
      </c>
      <c r="C390" t="s">
        <v>101</v>
      </c>
      <c r="D390" t="s">
        <v>57</v>
      </c>
      <c r="E390">
        <v>21</v>
      </c>
      <c r="F390" s="3">
        <v>7.7</v>
      </c>
      <c r="G390" s="4">
        <v>100</v>
      </c>
      <c r="H390">
        <v>0</v>
      </c>
      <c r="I390">
        <v>3</v>
      </c>
      <c r="J390">
        <v>2</v>
      </c>
      <c r="K390" s="4">
        <v>96.5</v>
      </c>
      <c r="L390" s="4">
        <v>68</v>
      </c>
      <c r="M390" s="4">
        <v>84.4</v>
      </c>
      <c r="N390">
        <v>0</v>
      </c>
      <c r="O390" t="s">
        <v>64</v>
      </c>
      <c r="P390" t="s">
        <v>65</v>
      </c>
      <c r="S390" s="3">
        <v>0</v>
      </c>
      <c r="T390" s="5"/>
      <c r="U390">
        <v>0</v>
      </c>
      <c r="V390">
        <v>2021</v>
      </c>
      <c r="X390">
        <f t="shared" si="18"/>
        <v>7.6999610000000001</v>
      </c>
      <c r="Y390">
        <f t="shared" si="19"/>
        <v>-3.8999999999999999E-5</v>
      </c>
      <c r="Z390">
        <f t="shared" si="20"/>
        <v>67.999960999999999</v>
      </c>
    </row>
    <row r="391" spans="1:26" x14ac:dyDescent="0.3">
      <c r="A391" t="s">
        <v>481</v>
      </c>
      <c r="B391" t="s">
        <v>82</v>
      </c>
      <c r="C391" t="s">
        <v>89</v>
      </c>
      <c r="D391" t="s">
        <v>57</v>
      </c>
      <c r="E391">
        <v>20</v>
      </c>
      <c r="F391" s="3">
        <v>8.4700000000000006</v>
      </c>
      <c r="G391" s="4">
        <v>82.8</v>
      </c>
      <c r="H391">
        <v>1</v>
      </c>
      <c r="I391">
        <v>3</v>
      </c>
      <c r="J391">
        <v>6</v>
      </c>
      <c r="K391" s="4">
        <v>75.400000000000006</v>
      </c>
      <c r="L391" s="4">
        <v>97.7</v>
      </c>
      <c r="M391" s="4">
        <v>90.1</v>
      </c>
      <c r="N391">
        <v>1</v>
      </c>
      <c r="O391" t="s">
        <v>58</v>
      </c>
      <c r="P391" t="s">
        <v>70</v>
      </c>
      <c r="Q391" t="s">
        <v>71</v>
      </c>
      <c r="R391" t="s">
        <v>72</v>
      </c>
      <c r="S391" s="3">
        <v>8.2799999999999994</v>
      </c>
      <c r="T391" s="5">
        <v>44820</v>
      </c>
      <c r="U391">
        <v>1</v>
      </c>
      <c r="V391">
        <v>2022</v>
      </c>
      <c r="X391">
        <f t="shared" si="18"/>
        <v>8.4699609000000002</v>
      </c>
      <c r="Y391">
        <f t="shared" si="19"/>
        <v>8.279960899999999</v>
      </c>
      <c r="Z391">
        <f t="shared" si="20"/>
        <v>97.699960900000008</v>
      </c>
    </row>
    <row r="392" spans="1:26" x14ac:dyDescent="0.3">
      <c r="A392" t="s">
        <v>482</v>
      </c>
      <c r="B392" t="s">
        <v>107</v>
      </c>
      <c r="C392" t="s">
        <v>101</v>
      </c>
      <c r="D392" t="s">
        <v>57</v>
      </c>
      <c r="E392">
        <v>22</v>
      </c>
      <c r="F392" s="3">
        <v>7.38</v>
      </c>
      <c r="G392" s="4">
        <v>95.4</v>
      </c>
      <c r="H392">
        <v>1</v>
      </c>
      <c r="I392">
        <v>2</v>
      </c>
      <c r="J392">
        <v>4</v>
      </c>
      <c r="K392" s="4">
        <v>66.5</v>
      </c>
      <c r="L392" s="4">
        <v>62.9</v>
      </c>
      <c r="M392" s="4">
        <v>71.7</v>
      </c>
      <c r="N392">
        <v>0</v>
      </c>
      <c r="O392" t="s">
        <v>58</v>
      </c>
      <c r="P392" t="s">
        <v>87</v>
      </c>
      <c r="Q392" t="s">
        <v>71</v>
      </c>
      <c r="R392" t="s">
        <v>61</v>
      </c>
      <c r="S392" s="3">
        <v>5.0599999999999996</v>
      </c>
      <c r="T392" s="5">
        <v>44439</v>
      </c>
      <c r="U392">
        <v>2</v>
      </c>
      <c r="V392">
        <v>2021</v>
      </c>
      <c r="X392">
        <f t="shared" si="18"/>
        <v>7.3799608000000001</v>
      </c>
      <c r="Y392">
        <f t="shared" si="19"/>
        <v>5.0599607999999998</v>
      </c>
      <c r="Z392">
        <f t="shared" si="20"/>
        <v>62.899960799999995</v>
      </c>
    </row>
    <row r="393" spans="1:26" x14ac:dyDescent="0.3">
      <c r="A393" t="s">
        <v>483</v>
      </c>
      <c r="B393" t="s">
        <v>63</v>
      </c>
      <c r="C393" t="s">
        <v>68</v>
      </c>
      <c r="D393" t="s">
        <v>57</v>
      </c>
      <c r="E393">
        <v>20</v>
      </c>
      <c r="F393" s="3">
        <v>7.85</v>
      </c>
      <c r="G393" s="4">
        <v>76.900000000000006</v>
      </c>
      <c r="H393">
        <v>1</v>
      </c>
      <c r="I393">
        <v>0</v>
      </c>
      <c r="J393">
        <v>4</v>
      </c>
      <c r="K393" s="4">
        <v>81.400000000000006</v>
      </c>
      <c r="L393" s="4">
        <v>97.2</v>
      </c>
      <c r="M393" s="4">
        <v>67.8</v>
      </c>
      <c r="N393">
        <v>0</v>
      </c>
      <c r="O393" t="s">
        <v>64</v>
      </c>
      <c r="P393" t="s">
        <v>65</v>
      </c>
      <c r="S393" s="3">
        <v>0</v>
      </c>
      <c r="T393" s="5"/>
      <c r="U393">
        <v>0</v>
      </c>
      <c r="V393">
        <v>2025</v>
      </c>
      <c r="X393">
        <f t="shared" si="18"/>
        <v>7.8499606999999996</v>
      </c>
      <c r="Y393">
        <f t="shared" si="19"/>
        <v>-3.93E-5</v>
      </c>
      <c r="Z393">
        <f t="shared" si="20"/>
        <v>97.199960700000005</v>
      </c>
    </row>
    <row r="394" spans="1:26" x14ac:dyDescent="0.3">
      <c r="A394" t="s">
        <v>484</v>
      </c>
      <c r="B394" t="s">
        <v>63</v>
      </c>
      <c r="C394" t="s">
        <v>68</v>
      </c>
      <c r="D394" t="s">
        <v>69</v>
      </c>
      <c r="E394">
        <v>20</v>
      </c>
      <c r="F394" s="3">
        <v>8.0399999999999991</v>
      </c>
      <c r="G394" s="4">
        <v>82</v>
      </c>
      <c r="H394">
        <v>1</v>
      </c>
      <c r="I394">
        <v>1</v>
      </c>
      <c r="J394">
        <v>6</v>
      </c>
      <c r="K394" s="4">
        <v>79</v>
      </c>
      <c r="L394" s="4">
        <v>84.4</v>
      </c>
      <c r="M394" s="4">
        <v>73.2</v>
      </c>
      <c r="N394">
        <v>0</v>
      </c>
      <c r="O394" t="s">
        <v>58</v>
      </c>
      <c r="P394" t="s">
        <v>59</v>
      </c>
      <c r="Q394" t="s">
        <v>60</v>
      </c>
      <c r="R394" t="s">
        <v>109</v>
      </c>
      <c r="S394" s="3">
        <v>21.12</v>
      </c>
      <c r="T394" s="5">
        <v>45898</v>
      </c>
      <c r="U394">
        <v>2</v>
      </c>
      <c r="V394">
        <v>2025</v>
      </c>
      <c r="X394">
        <f t="shared" si="18"/>
        <v>8.0399605999999988</v>
      </c>
      <c r="Y394">
        <f t="shared" si="19"/>
        <v>21.119960600000002</v>
      </c>
      <c r="Z394">
        <f t="shared" si="20"/>
        <v>84.3999606</v>
      </c>
    </row>
    <row r="395" spans="1:26" x14ac:dyDescent="0.3">
      <c r="A395" t="s">
        <v>485</v>
      </c>
      <c r="B395" t="s">
        <v>107</v>
      </c>
      <c r="C395" t="s">
        <v>56</v>
      </c>
      <c r="D395" t="s">
        <v>57</v>
      </c>
      <c r="E395">
        <v>23</v>
      </c>
      <c r="F395" s="3">
        <v>7.36</v>
      </c>
      <c r="G395" s="4">
        <v>87.9</v>
      </c>
      <c r="H395">
        <v>3</v>
      </c>
      <c r="I395">
        <v>0</v>
      </c>
      <c r="J395">
        <v>5</v>
      </c>
      <c r="K395" s="4">
        <v>57.6</v>
      </c>
      <c r="L395" s="4">
        <v>69.099999999999994</v>
      </c>
      <c r="M395" s="4">
        <v>67.400000000000006</v>
      </c>
      <c r="N395">
        <v>0</v>
      </c>
      <c r="O395" t="s">
        <v>58</v>
      </c>
      <c r="P395" t="s">
        <v>92</v>
      </c>
      <c r="Q395" t="s">
        <v>93</v>
      </c>
      <c r="R395" t="s">
        <v>80</v>
      </c>
      <c r="S395" s="3">
        <v>10.23</v>
      </c>
      <c r="T395" s="5">
        <v>44411</v>
      </c>
      <c r="U395">
        <v>2</v>
      </c>
      <c r="V395">
        <v>2021</v>
      </c>
      <c r="X395">
        <f t="shared" si="18"/>
        <v>7.3599605000000006</v>
      </c>
      <c r="Y395">
        <f t="shared" si="19"/>
        <v>10.229960500000001</v>
      </c>
      <c r="Z395">
        <f t="shared" si="20"/>
        <v>69.099960499999995</v>
      </c>
    </row>
    <row r="396" spans="1:26" x14ac:dyDescent="0.3">
      <c r="A396" t="s">
        <v>486</v>
      </c>
      <c r="B396" t="s">
        <v>63</v>
      </c>
      <c r="C396" t="s">
        <v>101</v>
      </c>
      <c r="D396" t="s">
        <v>57</v>
      </c>
      <c r="E396">
        <v>22</v>
      </c>
      <c r="F396" s="3">
        <v>6.91</v>
      </c>
      <c r="G396" s="4">
        <v>75.2</v>
      </c>
      <c r="H396">
        <v>1</v>
      </c>
      <c r="I396">
        <v>1</v>
      </c>
      <c r="J396">
        <v>4</v>
      </c>
      <c r="K396" s="4">
        <v>60.9</v>
      </c>
      <c r="L396" s="4">
        <v>60.3</v>
      </c>
      <c r="M396" s="4">
        <v>73.8</v>
      </c>
      <c r="N396">
        <v>1</v>
      </c>
      <c r="O396" t="s">
        <v>64</v>
      </c>
      <c r="P396" t="s">
        <v>65</v>
      </c>
      <c r="S396" s="3">
        <v>0</v>
      </c>
      <c r="T396" s="5"/>
      <c r="U396">
        <v>0</v>
      </c>
      <c r="V396">
        <v>2025</v>
      </c>
      <c r="X396">
        <f t="shared" si="18"/>
        <v>6.9099604000000001</v>
      </c>
      <c r="Y396">
        <f t="shared" si="19"/>
        <v>-3.96E-5</v>
      </c>
      <c r="Z396">
        <f t="shared" si="20"/>
        <v>60.299960399999996</v>
      </c>
    </row>
    <row r="397" spans="1:26" x14ac:dyDescent="0.3">
      <c r="A397" t="s">
        <v>487</v>
      </c>
      <c r="B397" t="s">
        <v>63</v>
      </c>
      <c r="C397" t="s">
        <v>68</v>
      </c>
      <c r="D397" t="s">
        <v>57</v>
      </c>
      <c r="E397">
        <v>20</v>
      </c>
      <c r="F397" s="3">
        <v>7.05</v>
      </c>
      <c r="G397" s="4">
        <v>80.599999999999994</v>
      </c>
      <c r="H397">
        <v>1</v>
      </c>
      <c r="I397">
        <v>0</v>
      </c>
      <c r="J397">
        <v>5</v>
      </c>
      <c r="K397" s="4">
        <v>36</v>
      </c>
      <c r="L397" s="4">
        <v>60.1</v>
      </c>
      <c r="M397" s="4">
        <v>78.900000000000006</v>
      </c>
      <c r="N397">
        <v>0</v>
      </c>
      <c r="O397" t="s">
        <v>58</v>
      </c>
      <c r="P397" t="s">
        <v>90</v>
      </c>
      <c r="Q397" t="s">
        <v>60</v>
      </c>
      <c r="R397" t="s">
        <v>109</v>
      </c>
      <c r="S397" s="3">
        <v>7.37</v>
      </c>
      <c r="T397" s="5">
        <v>45964</v>
      </c>
      <c r="U397">
        <v>3</v>
      </c>
      <c r="V397">
        <v>2025</v>
      </c>
      <c r="X397">
        <f t="shared" si="18"/>
        <v>7.0499602999999995</v>
      </c>
      <c r="Y397">
        <f t="shared" si="19"/>
        <v>7.3699602999999998</v>
      </c>
      <c r="Z397">
        <f t="shared" si="20"/>
        <v>60.099960299999999</v>
      </c>
    </row>
    <row r="398" spans="1:26" x14ac:dyDescent="0.3">
      <c r="A398" t="s">
        <v>488</v>
      </c>
      <c r="B398" t="s">
        <v>63</v>
      </c>
      <c r="C398" t="s">
        <v>68</v>
      </c>
      <c r="D398" t="s">
        <v>69</v>
      </c>
      <c r="E398">
        <v>21</v>
      </c>
      <c r="F398" s="3">
        <v>8.02</v>
      </c>
      <c r="G398" s="4">
        <v>79.5</v>
      </c>
      <c r="H398">
        <v>1</v>
      </c>
      <c r="I398">
        <v>4</v>
      </c>
      <c r="J398">
        <v>3</v>
      </c>
      <c r="K398" s="4">
        <v>53</v>
      </c>
      <c r="L398" s="4">
        <v>99.1</v>
      </c>
      <c r="M398" s="4">
        <v>75.3</v>
      </c>
      <c r="N398">
        <v>0</v>
      </c>
      <c r="O398" t="s">
        <v>58</v>
      </c>
      <c r="P398" t="s">
        <v>92</v>
      </c>
      <c r="Q398" t="s">
        <v>93</v>
      </c>
      <c r="R398" t="s">
        <v>130</v>
      </c>
      <c r="S398" s="3">
        <v>9.4499999999999993</v>
      </c>
      <c r="T398" s="5">
        <v>45871</v>
      </c>
      <c r="U398">
        <v>2</v>
      </c>
      <c r="V398">
        <v>2025</v>
      </c>
      <c r="X398">
        <f t="shared" si="18"/>
        <v>8.0199601999999999</v>
      </c>
      <c r="Y398">
        <f t="shared" si="19"/>
        <v>9.4499601999999996</v>
      </c>
      <c r="Z398">
        <f t="shared" si="20"/>
        <v>99.099960199999998</v>
      </c>
    </row>
    <row r="399" spans="1:26" x14ac:dyDescent="0.3">
      <c r="A399" t="s">
        <v>489</v>
      </c>
      <c r="B399" t="s">
        <v>67</v>
      </c>
      <c r="C399" t="s">
        <v>101</v>
      </c>
      <c r="D399" t="s">
        <v>57</v>
      </c>
      <c r="E399">
        <v>20</v>
      </c>
      <c r="F399" s="3">
        <v>7.44</v>
      </c>
      <c r="G399" s="4">
        <v>85.9</v>
      </c>
      <c r="H399">
        <v>1</v>
      </c>
      <c r="I399">
        <v>2</v>
      </c>
      <c r="J399">
        <v>4</v>
      </c>
      <c r="K399" s="4">
        <v>77.3</v>
      </c>
      <c r="L399" s="4">
        <v>80.8</v>
      </c>
      <c r="M399" s="4">
        <v>72.099999999999994</v>
      </c>
      <c r="N399">
        <v>0</v>
      </c>
      <c r="O399" t="s">
        <v>64</v>
      </c>
      <c r="P399" t="s">
        <v>65</v>
      </c>
      <c r="S399" s="3">
        <v>0</v>
      </c>
      <c r="T399" s="5"/>
      <c r="U399">
        <v>0</v>
      </c>
      <c r="V399">
        <v>2023</v>
      </c>
      <c r="X399">
        <f t="shared" si="18"/>
        <v>7.4399601000000004</v>
      </c>
      <c r="Y399">
        <f t="shared" si="19"/>
        <v>-3.9900000000000001E-5</v>
      </c>
      <c r="Z399">
        <f t="shared" si="20"/>
        <v>80.799960099999993</v>
      </c>
    </row>
    <row r="400" spans="1:26" x14ac:dyDescent="0.3">
      <c r="A400" t="s">
        <v>490</v>
      </c>
      <c r="B400" t="s">
        <v>55</v>
      </c>
      <c r="C400" t="s">
        <v>89</v>
      </c>
      <c r="D400" t="s">
        <v>57</v>
      </c>
      <c r="E400">
        <v>22</v>
      </c>
      <c r="F400" s="3">
        <v>7.43</v>
      </c>
      <c r="G400" s="4">
        <v>82.6</v>
      </c>
      <c r="H400">
        <v>0</v>
      </c>
      <c r="I400">
        <v>1</v>
      </c>
      <c r="J400">
        <v>2</v>
      </c>
      <c r="K400" s="4">
        <v>70.599999999999994</v>
      </c>
      <c r="L400" s="4">
        <v>74.400000000000006</v>
      </c>
      <c r="M400" s="4">
        <v>81.7</v>
      </c>
      <c r="N400">
        <v>0</v>
      </c>
      <c r="O400" t="s">
        <v>64</v>
      </c>
      <c r="P400" t="s">
        <v>65</v>
      </c>
      <c r="S400" s="3">
        <v>0</v>
      </c>
      <c r="T400" s="5"/>
      <c r="U400">
        <v>0</v>
      </c>
      <c r="V400">
        <v>2024</v>
      </c>
      <c r="X400">
        <f t="shared" si="18"/>
        <v>7.4299599999999995</v>
      </c>
      <c r="Y400">
        <f t="shared" si="19"/>
        <v>-3.9999999999999996E-5</v>
      </c>
      <c r="Z400">
        <f t="shared" si="20"/>
        <v>74.399960000000007</v>
      </c>
    </row>
    <row r="401" spans="1:26" x14ac:dyDescent="0.3">
      <c r="A401" t="s">
        <v>491</v>
      </c>
      <c r="B401" t="s">
        <v>82</v>
      </c>
      <c r="C401" t="s">
        <v>56</v>
      </c>
      <c r="D401" t="s">
        <v>69</v>
      </c>
      <c r="E401">
        <v>21</v>
      </c>
      <c r="F401" s="3">
        <v>8.19</v>
      </c>
      <c r="G401" s="4">
        <v>75.5</v>
      </c>
      <c r="H401">
        <v>2</v>
      </c>
      <c r="I401">
        <v>2</v>
      </c>
      <c r="J401">
        <v>6</v>
      </c>
      <c r="K401" s="4">
        <v>61.1</v>
      </c>
      <c r="L401" s="4">
        <v>37.1</v>
      </c>
      <c r="M401" s="4">
        <v>94.1</v>
      </c>
      <c r="N401">
        <v>0</v>
      </c>
      <c r="O401" t="s">
        <v>58</v>
      </c>
      <c r="P401" t="s">
        <v>92</v>
      </c>
      <c r="Q401" t="s">
        <v>93</v>
      </c>
      <c r="R401" t="s">
        <v>61</v>
      </c>
      <c r="S401" s="3">
        <v>8.32</v>
      </c>
      <c r="T401" s="5">
        <v>44865</v>
      </c>
      <c r="U401">
        <v>2</v>
      </c>
      <c r="V401">
        <v>2022</v>
      </c>
      <c r="X401">
        <f t="shared" si="18"/>
        <v>8.1899598999999998</v>
      </c>
      <c r="Y401">
        <f t="shared" si="19"/>
        <v>8.3199599000000006</v>
      </c>
      <c r="Z401">
        <f t="shared" si="20"/>
        <v>37.099959900000002</v>
      </c>
    </row>
    <row r="402" spans="1:26" x14ac:dyDescent="0.3">
      <c r="A402" t="s">
        <v>492</v>
      </c>
      <c r="B402" t="s">
        <v>67</v>
      </c>
      <c r="C402" t="s">
        <v>89</v>
      </c>
      <c r="D402" t="s">
        <v>57</v>
      </c>
      <c r="E402">
        <v>21</v>
      </c>
      <c r="F402" s="3">
        <v>8.57</v>
      </c>
      <c r="G402" s="4">
        <v>79.3</v>
      </c>
      <c r="H402">
        <v>3</v>
      </c>
      <c r="I402">
        <v>1</v>
      </c>
      <c r="J402">
        <v>4</v>
      </c>
      <c r="K402" s="4">
        <v>72.900000000000006</v>
      </c>
      <c r="L402" s="4">
        <v>62.6</v>
      </c>
      <c r="M402" s="4">
        <v>65.5</v>
      </c>
      <c r="N402">
        <v>0</v>
      </c>
      <c r="O402" t="s">
        <v>58</v>
      </c>
      <c r="P402" t="s">
        <v>75</v>
      </c>
      <c r="Q402" t="s">
        <v>71</v>
      </c>
      <c r="R402" t="s">
        <v>109</v>
      </c>
      <c r="S402" s="3">
        <v>6.85</v>
      </c>
      <c r="T402" s="5">
        <v>45194</v>
      </c>
      <c r="U402">
        <v>1</v>
      </c>
      <c r="V402">
        <v>2023</v>
      </c>
      <c r="X402">
        <f t="shared" si="18"/>
        <v>8.5699597999999995</v>
      </c>
      <c r="Y402">
        <f t="shared" si="19"/>
        <v>6.8499597999999997</v>
      </c>
      <c r="Z402">
        <f t="shared" si="20"/>
        <v>62.599959800000001</v>
      </c>
    </row>
    <row r="403" spans="1:26" x14ac:dyDescent="0.3">
      <c r="A403" t="s">
        <v>493</v>
      </c>
      <c r="B403" t="s">
        <v>63</v>
      </c>
      <c r="C403" t="s">
        <v>74</v>
      </c>
      <c r="D403" t="s">
        <v>69</v>
      </c>
      <c r="E403">
        <v>21</v>
      </c>
      <c r="F403" s="3">
        <v>8.7200000000000006</v>
      </c>
      <c r="G403" s="4">
        <v>92</v>
      </c>
      <c r="H403">
        <v>1</v>
      </c>
      <c r="I403">
        <v>3</v>
      </c>
      <c r="J403">
        <v>5</v>
      </c>
      <c r="K403" s="4">
        <v>60.6</v>
      </c>
      <c r="L403" s="4">
        <v>64.5</v>
      </c>
      <c r="M403" s="4">
        <v>78</v>
      </c>
      <c r="N403">
        <v>2</v>
      </c>
      <c r="O403" t="s">
        <v>58</v>
      </c>
      <c r="P403" t="s">
        <v>90</v>
      </c>
      <c r="Q403" t="s">
        <v>60</v>
      </c>
      <c r="R403" t="s">
        <v>130</v>
      </c>
      <c r="S403" s="3">
        <v>8.84</v>
      </c>
      <c r="T403" s="5">
        <v>45977</v>
      </c>
      <c r="U403">
        <v>1</v>
      </c>
      <c r="V403">
        <v>2025</v>
      </c>
      <c r="X403">
        <f t="shared" si="18"/>
        <v>8.7199597000000004</v>
      </c>
      <c r="Y403">
        <f t="shared" si="19"/>
        <v>8.8399596999999996</v>
      </c>
      <c r="Z403">
        <f t="shared" si="20"/>
        <v>64.499959700000005</v>
      </c>
    </row>
    <row r="404" spans="1:26" x14ac:dyDescent="0.3">
      <c r="A404" t="s">
        <v>494</v>
      </c>
      <c r="B404" t="s">
        <v>107</v>
      </c>
      <c r="C404" t="s">
        <v>68</v>
      </c>
      <c r="D404" t="s">
        <v>57</v>
      </c>
      <c r="E404">
        <v>23</v>
      </c>
      <c r="F404" s="3">
        <v>7.1</v>
      </c>
      <c r="G404" s="4">
        <v>86.9</v>
      </c>
      <c r="H404">
        <v>2</v>
      </c>
      <c r="I404">
        <v>1</v>
      </c>
      <c r="J404">
        <v>3</v>
      </c>
      <c r="K404" s="4">
        <v>47.7</v>
      </c>
      <c r="L404" s="4">
        <v>73.3</v>
      </c>
      <c r="M404" s="4">
        <v>71.7</v>
      </c>
      <c r="N404">
        <v>0</v>
      </c>
      <c r="O404" t="s">
        <v>58</v>
      </c>
      <c r="P404" t="s">
        <v>95</v>
      </c>
      <c r="Q404" t="s">
        <v>93</v>
      </c>
      <c r="R404" t="s">
        <v>109</v>
      </c>
      <c r="S404" s="3">
        <v>7.3</v>
      </c>
      <c r="T404" s="5">
        <v>44422</v>
      </c>
      <c r="U404">
        <v>3</v>
      </c>
      <c r="V404">
        <v>2021</v>
      </c>
      <c r="X404">
        <f t="shared" si="18"/>
        <v>7.0999596</v>
      </c>
      <c r="Y404">
        <f t="shared" si="19"/>
        <v>7.2999596000000002</v>
      </c>
      <c r="Z404">
        <f t="shared" si="20"/>
        <v>73.299959599999994</v>
      </c>
    </row>
    <row r="405" spans="1:26" x14ac:dyDescent="0.3">
      <c r="A405" t="s">
        <v>495</v>
      </c>
      <c r="B405" t="s">
        <v>63</v>
      </c>
      <c r="C405" t="s">
        <v>56</v>
      </c>
      <c r="D405" t="s">
        <v>57</v>
      </c>
      <c r="E405">
        <v>21</v>
      </c>
      <c r="F405" s="3">
        <v>8.48</v>
      </c>
      <c r="G405" s="4">
        <v>86.2</v>
      </c>
      <c r="H405">
        <v>0</v>
      </c>
      <c r="I405">
        <v>1</v>
      </c>
      <c r="J405">
        <v>5</v>
      </c>
      <c r="K405" s="4">
        <v>54.7</v>
      </c>
      <c r="L405" s="4">
        <v>67.900000000000006</v>
      </c>
      <c r="M405" s="4">
        <v>63.9</v>
      </c>
      <c r="N405">
        <v>1</v>
      </c>
      <c r="O405" t="s">
        <v>58</v>
      </c>
      <c r="P405" t="s">
        <v>79</v>
      </c>
      <c r="Q405" t="s">
        <v>71</v>
      </c>
      <c r="R405" t="s">
        <v>85</v>
      </c>
      <c r="S405" s="3">
        <v>6.72</v>
      </c>
      <c r="T405" s="5">
        <v>45945</v>
      </c>
      <c r="U405">
        <v>1</v>
      </c>
      <c r="V405">
        <v>2025</v>
      </c>
      <c r="X405">
        <f t="shared" si="18"/>
        <v>8.4799594999999997</v>
      </c>
      <c r="Y405">
        <f t="shared" si="19"/>
        <v>6.7199594999999999</v>
      </c>
      <c r="Z405">
        <f t="shared" si="20"/>
        <v>67.899959500000008</v>
      </c>
    </row>
    <row r="406" spans="1:26" x14ac:dyDescent="0.3">
      <c r="A406" t="s">
        <v>496</v>
      </c>
      <c r="B406" t="s">
        <v>55</v>
      </c>
      <c r="C406" t="s">
        <v>56</v>
      </c>
      <c r="D406" t="s">
        <v>69</v>
      </c>
      <c r="E406">
        <v>23</v>
      </c>
      <c r="F406" s="3">
        <v>9.5299999999999994</v>
      </c>
      <c r="G406" s="4">
        <v>100</v>
      </c>
      <c r="H406">
        <v>2</v>
      </c>
      <c r="I406">
        <v>4</v>
      </c>
      <c r="J406">
        <v>3</v>
      </c>
      <c r="K406" s="4">
        <v>100</v>
      </c>
      <c r="L406" s="4">
        <v>64.2</v>
      </c>
      <c r="M406" s="4">
        <v>65.400000000000006</v>
      </c>
      <c r="N406">
        <v>0</v>
      </c>
      <c r="O406" t="s">
        <v>58</v>
      </c>
      <c r="P406" t="s">
        <v>95</v>
      </c>
      <c r="Q406" t="s">
        <v>93</v>
      </c>
      <c r="R406" t="s">
        <v>85</v>
      </c>
      <c r="S406" s="3">
        <v>8.32</v>
      </c>
      <c r="T406" s="5">
        <v>45519</v>
      </c>
      <c r="U406">
        <v>1</v>
      </c>
      <c r="V406">
        <v>2024</v>
      </c>
      <c r="X406">
        <f t="shared" si="18"/>
        <v>9.5299593999999992</v>
      </c>
      <c r="Y406">
        <f t="shared" si="19"/>
        <v>8.3199594000000001</v>
      </c>
      <c r="Z406">
        <f t="shared" si="20"/>
        <v>64.199959399999997</v>
      </c>
    </row>
    <row r="407" spans="1:26" x14ac:dyDescent="0.3">
      <c r="A407" t="s">
        <v>497</v>
      </c>
      <c r="B407" t="s">
        <v>63</v>
      </c>
      <c r="C407" t="s">
        <v>74</v>
      </c>
      <c r="D407" t="s">
        <v>57</v>
      </c>
      <c r="E407">
        <v>23</v>
      </c>
      <c r="F407" s="3">
        <v>7.76</v>
      </c>
      <c r="G407" s="4">
        <v>71.8</v>
      </c>
      <c r="H407">
        <v>1</v>
      </c>
      <c r="I407">
        <v>2</v>
      </c>
      <c r="J407">
        <v>4</v>
      </c>
      <c r="K407" s="4">
        <v>65.900000000000006</v>
      </c>
      <c r="L407" s="4">
        <v>74.8</v>
      </c>
      <c r="M407" s="4">
        <v>69.099999999999994</v>
      </c>
      <c r="N407">
        <v>0</v>
      </c>
      <c r="O407" t="s">
        <v>58</v>
      </c>
      <c r="P407" t="s">
        <v>104</v>
      </c>
      <c r="Q407" t="s">
        <v>105</v>
      </c>
      <c r="R407" t="s">
        <v>130</v>
      </c>
      <c r="S407" s="3">
        <v>15.44</v>
      </c>
      <c r="T407" s="5">
        <v>45954</v>
      </c>
      <c r="U407">
        <v>1</v>
      </c>
      <c r="V407">
        <v>2025</v>
      </c>
      <c r="X407">
        <f t="shared" si="18"/>
        <v>7.7599593000000002</v>
      </c>
      <c r="Y407">
        <f t="shared" si="19"/>
        <v>15.4399593</v>
      </c>
      <c r="Z407">
        <f t="shared" si="20"/>
        <v>74.799959299999998</v>
      </c>
    </row>
    <row r="408" spans="1:26" x14ac:dyDescent="0.3">
      <c r="A408" t="s">
        <v>498</v>
      </c>
      <c r="B408" t="s">
        <v>107</v>
      </c>
      <c r="C408" t="s">
        <v>78</v>
      </c>
      <c r="D408" t="s">
        <v>69</v>
      </c>
      <c r="E408">
        <v>20</v>
      </c>
      <c r="F408" s="3">
        <v>7.58</v>
      </c>
      <c r="G408" s="4">
        <v>88.4</v>
      </c>
      <c r="H408">
        <v>1</v>
      </c>
      <c r="I408">
        <v>4</v>
      </c>
      <c r="J408">
        <v>5</v>
      </c>
      <c r="K408" s="4">
        <v>66.7</v>
      </c>
      <c r="L408" s="4">
        <v>83.5</v>
      </c>
      <c r="M408" s="4">
        <v>92.9</v>
      </c>
      <c r="N408">
        <v>2</v>
      </c>
      <c r="O408" t="s">
        <v>58</v>
      </c>
      <c r="P408" t="s">
        <v>90</v>
      </c>
      <c r="Q408" t="s">
        <v>60</v>
      </c>
      <c r="R408" t="s">
        <v>61</v>
      </c>
      <c r="S408" s="3">
        <v>8.36</v>
      </c>
      <c r="T408" s="5">
        <v>44526</v>
      </c>
      <c r="U408">
        <v>1</v>
      </c>
      <c r="V408">
        <v>2021</v>
      </c>
      <c r="X408">
        <f t="shared" si="18"/>
        <v>7.5799592000000002</v>
      </c>
      <c r="Y408">
        <f t="shared" si="19"/>
        <v>8.3599591999999987</v>
      </c>
      <c r="Z408">
        <f t="shared" si="20"/>
        <v>83.499959200000006</v>
      </c>
    </row>
    <row r="409" spans="1:26" x14ac:dyDescent="0.3">
      <c r="A409" t="s">
        <v>499</v>
      </c>
      <c r="B409" t="s">
        <v>55</v>
      </c>
      <c r="C409" t="s">
        <v>56</v>
      </c>
      <c r="D409" t="s">
        <v>57</v>
      </c>
      <c r="E409">
        <v>20</v>
      </c>
      <c r="F409" s="3">
        <v>7.4</v>
      </c>
      <c r="G409" s="4">
        <v>82.5</v>
      </c>
      <c r="H409">
        <v>1</v>
      </c>
      <c r="I409">
        <v>2</v>
      </c>
      <c r="J409">
        <v>2</v>
      </c>
      <c r="K409" s="4">
        <v>75.3</v>
      </c>
      <c r="L409" s="4">
        <v>61</v>
      </c>
      <c r="M409" s="4">
        <v>85.4</v>
      </c>
      <c r="N409">
        <v>0</v>
      </c>
      <c r="O409" t="s">
        <v>64</v>
      </c>
      <c r="P409" t="s">
        <v>65</v>
      </c>
      <c r="S409" s="3">
        <v>0</v>
      </c>
      <c r="T409" s="5"/>
      <c r="U409">
        <v>0</v>
      </c>
      <c r="V409">
        <v>2024</v>
      </c>
      <c r="X409">
        <f t="shared" si="18"/>
        <v>7.3999591000000002</v>
      </c>
      <c r="Y409">
        <f t="shared" si="19"/>
        <v>-4.0899999999999998E-5</v>
      </c>
      <c r="Z409">
        <f t="shared" si="20"/>
        <v>60.999959099999998</v>
      </c>
    </row>
    <row r="410" spans="1:26" x14ac:dyDescent="0.3">
      <c r="A410" t="s">
        <v>500</v>
      </c>
      <c r="B410" t="s">
        <v>63</v>
      </c>
      <c r="C410" t="s">
        <v>74</v>
      </c>
      <c r="D410" t="s">
        <v>69</v>
      </c>
      <c r="E410">
        <v>21</v>
      </c>
      <c r="F410" s="3">
        <v>6.69</v>
      </c>
      <c r="G410" s="4">
        <v>85.1</v>
      </c>
      <c r="H410">
        <v>0</v>
      </c>
      <c r="I410">
        <v>1</v>
      </c>
      <c r="J410">
        <v>3</v>
      </c>
      <c r="K410" s="4">
        <v>81.7</v>
      </c>
      <c r="L410" s="4">
        <v>55.1</v>
      </c>
      <c r="M410" s="4">
        <v>63.3</v>
      </c>
      <c r="N410">
        <v>1</v>
      </c>
      <c r="O410" t="s">
        <v>64</v>
      </c>
      <c r="P410" t="s">
        <v>65</v>
      </c>
      <c r="S410" s="3">
        <v>0</v>
      </c>
      <c r="T410" s="5"/>
      <c r="U410">
        <v>0</v>
      </c>
      <c r="V410">
        <v>2025</v>
      </c>
      <c r="X410">
        <f t="shared" si="18"/>
        <v>6.689959</v>
      </c>
      <c r="Y410">
        <f t="shared" si="19"/>
        <v>-4.1E-5</v>
      </c>
      <c r="Z410">
        <f t="shared" si="20"/>
        <v>55.099958999999998</v>
      </c>
    </row>
    <row r="411" spans="1:26" x14ac:dyDescent="0.3">
      <c r="A411" t="s">
        <v>501</v>
      </c>
      <c r="B411" t="s">
        <v>55</v>
      </c>
      <c r="C411" t="s">
        <v>84</v>
      </c>
      <c r="D411" t="s">
        <v>69</v>
      </c>
      <c r="E411">
        <v>22</v>
      </c>
      <c r="F411" s="3">
        <v>8.41</v>
      </c>
      <c r="G411" s="4">
        <v>83.6</v>
      </c>
      <c r="H411">
        <v>2</v>
      </c>
      <c r="I411">
        <v>2</v>
      </c>
      <c r="J411">
        <v>4</v>
      </c>
      <c r="K411" s="4">
        <v>64.8</v>
      </c>
      <c r="L411" s="4">
        <v>61.6</v>
      </c>
      <c r="M411" s="4">
        <v>80.5</v>
      </c>
      <c r="N411">
        <v>0</v>
      </c>
      <c r="O411" t="s">
        <v>58</v>
      </c>
      <c r="P411" t="s">
        <v>79</v>
      </c>
      <c r="Q411" t="s">
        <v>71</v>
      </c>
      <c r="R411" t="s">
        <v>85</v>
      </c>
      <c r="S411" s="3">
        <v>7.79</v>
      </c>
      <c r="T411" s="5">
        <v>45603</v>
      </c>
      <c r="U411">
        <v>1</v>
      </c>
      <c r="V411">
        <v>2024</v>
      </c>
      <c r="X411">
        <f t="shared" si="18"/>
        <v>8.4099588999999995</v>
      </c>
      <c r="Y411">
        <f t="shared" si="19"/>
        <v>7.7899589000000002</v>
      </c>
      <c r="Z411">
        <f t="shared" si="20"/>
        <v>61.599958900000004</v>
      </c>
    </row>
    <row r="412" spans="1:26" x14ac:dyDescent="0.3">
      <c r="A412" t="s">
        <v>502</v>
      </c>
      <c r="B412" t="s">
        <v>82</v>
      </c>
      <c r="C412" t="s">
        <v>56</v>
      </c>
      <c r="D412" t="s">
        <v>57</v>
      </c>
      <c r="E412">
        <v>21</v>
      </c>
      <c r="F412" s="3">
        <v>7.59</v>
      </c>
      <c r="G412" s="4">
        <v>75.7</v>
      </c>
      <c r="H412">
        <v>1</v>
      </c>
      <c r="I412">
        <v>0</v>
      </c>
      <c r="J412">
        <v>3</v>
      </c>
      <c r="K412" s="4">
        <v>83.5</v>
      </c>
      <c r="L412" s="4">
        <v>55.6</v>
      </c>
      <c r="M412" s="4">
        <v>62.4</v>
      </c>
      <c r="N412">
        <v>0</v>
      </c>
      <c r="O412" t="s">
        <v>58</v>
      </c>
      <c r="P412" t="s">
        <v>79</v>
      </c>
      <c r="Q412" t="s">
        <v>71</v>
      </c>
      <c r="R412" t="s">
        <v>130</v>
      </c>
      <c r="S412" s="3">
        <v>4.5</v>
      </c>
      <c r="T412" s="5">
        <v>44820</v>
      </c>
      <c r="U412">
        <v>3</v>
      </c>
      <c r="V412">
        <v>2022</v>
      </c>
      <c r="X412">
        <f t="shared" si="18"/>
        <v>7.5899587999999998</v>
      </c>
      <c r="Y412">
        <f t="shared" si="19"/>
        <v>4.4999587999999999</v>
      </c>
      <c r="Z412">
        <f t="shared" si="20"/>
        <v>55.599958800000003</v>
      </c>
    </row>
    <row r="413" spans="1:26" x14ac:dyDescent="0.3">
      <c r="A413" t="s">
        <v>503</v>
      </c>
      <c r="B413" t="s">
        <v>82</v>
      </c>
      <c r="C413" t="s">
        <v>68</v>
      </c>
      <c r="D413" t="s">
        <v>69</v>
      </c>
      <c r="E413">
        <v>20</v>
      </c>
      <c r="F413" s="3">
        <v>7.52</v>
      </c>
      <c r="G413" s="4">
        <v>72.7</v>
      </c>
      <c r="H413">
        <v>1</v>
      </c>
      <c r="I413">
        <v>1</v>
      </c>
      <c r="J413">
        <v>3</v>
      </c>
      <c r="K413" s="4">
        <v>64.900000000000006</v>
      </c>
      <c r="L413" s="4">
        <v>66</v>
      </c>
      <c r="M413" s="4">
        <v>66.5</v>
      </c>
      <c r="N413">
        <v>1</v>
      </c>
      <c r="O413" t="s">
        <v>64</v>
      </c>
      <c r="P413" t="s">
        <v>65</v>
      </c>
      <c r="S413" s="3">
        <v>0</v>
      </c>
      <c r="T413" s="5"/>
      <c r="U413">
        <v>0</v>
      </c>
      <c r="V413">
        <v>2022</v>
      </c>
      <c r="X413">
        <f t="shared" si="18"/>
        <v>7.5199586999999992</v>
      </c>
      <c r="Y413">
        <f t="shared" si="19"/>
        <v>-4.1300000000000001E-5</v>
      </c>
      <c r="Z413">
        <f t="shared" si="20"/>
        <v>65.999958699999993</v>
      </c>
    </row>
    <row r="414" spans="1:26" x14ac:dyDescent="0.3">
      <c r="A414" t="s">
        <v>504</v>
      </c>
      <c r="B414" t="s">
        <v>63</v>
      </c>
      <c r="C414" t="s">
        <v>101</v>
      </c>
      <c r="D414" t="s">
        <v>57</v>
      </c>
      <c r="E414">
        <v>21</v>
      </c>
      <c r="F414" s="3">
        <v>8.27</v>
      </c>
      <c r="G414" s="4">
        <v>82</v>
      </c>
      <c r="H414">
        <v>3</v>
      </c>
      <c r="I414">
        <v>1</v>
      </c>
      <c r="J414">
        <v>3</v>
      </c>
      <c r="K414" s="4">
        <v>67.900000000000006</v>
      </c>
      <c r="L414" s="4">
        <v>100</v>
      </c>
      <c r="M414" s="4">
        <v>89.8</v>
      </c>
      <c r="N414">
        <v>1</v>
      </c>
      <c r="O414" t="s">
        <v>58</v>
      </c>
      <c r="P414" t="s">
        <v>90</v>
      </c>
      <c r="Q414" t="s">
        <v>60</v>
      </c>
      <c r="R414" t="s">
        <v>109</v>
      </c>
      <c r="S414" s="3">
        <v>9.93</v>
      </c>
      <c r="T414" s="5">
        <v>45887</v>
      </c>
      <c r="U414">
        <v>1</v>
      </c>
      <c r="V414">
        <v>2025</v>
      </c>
      <c r="X414">
        <f t="shared" si="18"/>
        <v>8.2699585999999989</v>
      </c>
      <c r="Y414">
        <f t="shared" si="19"/>
        <v>9.9299585999999991</v>
      </c>
      <c r="Z414">
        <f t="shared" si="20"/>
        <v>99.999958599999999</v>
      </c>
    </row>
    <row r="415" spans="1:26" x14ac:dyDescent="0.3">
      <c r="A415" t="s">
        <v>505</v>
      </c>
      <c r="B415" t="s">
        <v>55</v>
      </c>
      <c r="C415" t="s">
        <v>84</v>
      </c>
      <c r="D415" t="s">
        <v>69</v>
      </c>
      <c r="E415">
        <v>20</v>
      </c>
      <c r="F415" s="3">
        <v>8.35</v>
      </c>
      <c r="G415" s="4">
        <v>75</v>
      </c>
      <c r="H415">
        <v>0</v>
      </c>
      <c r="I415">
        <v>3</v>
      </c>
      <c r="J415">
        <v>3</v>
      </c>
      <c r="K415" s="4">
        <v>61.3</v>
      </c>
      <c r="L415" s="4">
        <v>64.900000000000006</v>
      </c>
      <c r="M415" s="4">
        <v>97.8</v>
      </c>
      <c r="N415">
        <v>1</v>
      </c>
      <c r="O415" t="s">
        <v>58</v>
      </c>
      <c r="P415" t="s">
        <v>75</v>
      </c>
      <c r="Q415" t="s">
        <v>71</v>
      </c>
      <c r="R415" t="s">
        <v>76</v>
      </c>
      <c r="S415" s="3">
        <v>4.55</v>
      </c>
      <c r="T415" s="5">
        <v>45606</v>
      </c>
      <c r="U415">
        <v>3</v>
      </c>
      <c r="V415">
        <v>2024</v>
      </c>
      <c r="X415">
        <f t="shared" si="18"/>
        <v>8.3499584999999996</v>
      </c>
      <c r="Y415">
        <f t="shared" si="19"/>
        <v>4.5499584999999998</v>
      </c>
      <c r="Z415">
        <f t="shared" si="20"/>
        <v>64.899958500000011</v>
      </c>
    </row>
    <row r="416" spans="1:26" x14ac:dyDescent="0.3">
      <c r="A416" t="s">
        <v>506</v>
      </c>
      <c r="B416" t="s">
        <v>107</v>
      </c>
      <c r="C416" t="s">
        <v>78</v>
      </c>
      <c r="D416" t="s">
        <v>57</v>
      </c>
      <c r="E416">
        <v>21</v>
      </c>
      <c r="F416" s="3">
        <v>7.11</v>
      </c>
      <c r="G416" s="4">
        <v>78.7</v>
      </c>
      <c r="H416">
        <v>2</v>
      </c>
      <c r="I416">
        <v>3</v>
      </c>
      <c r="J416">
        <v>5</v>
      </c>
      <c r="K416" s="4">
        <v>78.8</v>
      </c>
      <c r="L416" s="4">
        <v>53.5</v>
      </c>
      <c r="M416" s="4">
        <v>51.3</v>
      </c>
      <c r="N416">
        <v>1</v>
      </c>
      <c r="O416" t="s">
        <v>58</v>
      </c>
      <c r="P416" t="s">
        <v>90</v>
      </c>
      <c r="Q416" t="s">
        <v>60</v>
      </c>
      <c r="R416" t="s">
        <v>109</v>
      </c>
      <c r="S416" s="3">
        <v>8.67</v>
      </c>
      <c r="T416" s="5">
        <v>44487</v>
      </c>
      <c r="U416">
        <v>1</v>
      </c>
      <c r="V416">
        <v>2021</v>
      </c>
      <c r="X416">
        <f t="shared" si="18"/>
        <v>7.1099584</v>
      </c>
      <c r="Y416">
        <f t="shared" si="19"/>
        <v>8.6699584000000005</v>
      </c>
      <c r="Z416">
        <f t="shared" si="20"/>
        <v>53.499958399999997</v>
      </c>
    </row>
    <row r="417" spans="1:26" x14ac:dyDescent="0.3">
      <c r="A417" t="s">
        <v>507</v>
      </c>
      <c r="B417" t="s">
        <v>63</v>
      </c>
      <c r="C417" t="s">
        <v>78</v>
      </c>
      <c r="D417" t="s">
        <v>69</v>
      </c>
      <c r="E417">
        <v>22</v>
      </c>
      <c r="F417" s="3">
        <v>7.13</v>
      </c>
      <c r="G417" s="4">
        <v>89.2</v>
      </c>
      <c r="H417">
        <v>1</v>
      </c>
      <c r="I417">
        <v>1</v>
      </c>
      <c r="J417">
        <v>6</v>
      </c>
      <c r="K417" s="4">
        <v>48.7</v>
      </c>
      <c r="L417" s="4">
        <v>63.4</v>
      </c>
      <c r="M417" s="4">
        <v>74.400000000000006</v>
      </c>
      <c r="N417">
        <v>0</v>
      </c>
      <c r="O417" t="s">
        <v>58</v>
      </c>
      <c r="P417" t="s">
        <v>59</v>
      </c>
      <c r="Q417" t="s">
        <v>60</v>
      </c>
      <c r="R417" t="s">
        <v>80</v>
      </c>
      <c r="S417" s="3">
        <v>19.66</v>
      </c>
      <c r="T417" s="5">
        <v>45930</v>
      </c>
      <c r="U417">
        <v>3</v>
      </c>
      <c r="V417">
        <v>2025</v>
      </c>
      <c r="X417">
        <f t="shared" si="18"/>
        <v>7.1299583000000002</v>
      </c>
      <c r="Y417">
        <f t="shared" si="19"/>
        <v>19.6599583</v>
      </c>
      <c r="Z417">
        <f t="shared" si="20"/>
        <v>63.399958300000002</v>
      </c>
    </row>
    <row r="418" spans="1:26" x14ac:dyDescent="0.3">
      <c r="A418" t="s">
        <v>508</v>
      </c>
      <c r="B418" t="s">
        <v>82</v>
      </c>
      <c r="C418" t="s">
        <v>101</v>
      </c>
      <c r="D418" t="s">
        <v>57</v>
      </c>
      <c r="E418">
        <v>21</v>
      </c>
      <c r="F418" s="3">
        <v>7.09</v>
      </c>
      <c r="G418" s="4">
        <v>71</v>
      </c>
      <c r="H418">
        <v>1</v>
      </c>
      <c r="I418">
        <v>1</v>
      </c>
      <c r="J418">
        <v>4</v>
      </c>
      <c r="K418" s="4">
        <v>71.2</v>
      </c>
      <c r="L418" s="4">
        <v>93.4</v>
      </c>
      <c r="M418" s="4">
        <v>78.900000000000006</v>
      </c>
      <c r="N418">
        <v>0</v>
      </c>
      <c r="O418" t="s">
        <v>58</v>
      </c>
      <c r="P418" t="s">
        <v>104</v>
      </c>
      <c r="Q418" t="s">
        <v>105</v>
      </c>
      <c r="R418" t="s">
        <v>130</v>
      </c>
      <c r="S418" s="3">
        <v>15.52</v>
      </c>
      <c r="T418" s="5">
        <v>44849</v>
      </c>
      <c r="U418">
        <v>3</v>
      </c>
      <c r="V418">
        <v>2022</v>
      </c>
      <c r="X418">
        <f t="shared" si="18"/>
        <v>7.0899581999999999</v>
      </c>
      <c r="Y418">
        <f t="shared" si="19"/>
        <v>15.5199582</v>
      </c>
      <c r="Z418">
        <f t="shared" si="20"/>
        <v>93.3999582</v>
      </c>
    </row>
    <row r="419" spans="1:26" x14ac:dyDescent="0.3">
      <c r="A419" t="s">
        <v>509</v>
      </c>
      <c r="B419" t="s">
        <v>82</v>
      </c>
      <c r="C419" t="s">
        <v>68</v>
      </c>
      <c r="D419" t="s">
        <v>57</v>
      </c>
      <c r="E419">
        <v>22</v>
      </c>
      <c r="F419" s="3">
        <v>9.5500000000000007</v>
      </c>
      <c r="G419" s="4">
        <v>80.3</v>
      </c>
      <c r="H419">
        <v>1</v>
      </c>
      <c r="I419">
        <v>4</v>
      </c>
      <c r="J419">
        <v>1</v>
      </c>
      <c r="K419" s="4">
        <v>76.3</v>
      </c>
      <c r="L419" s="4">
        <v>65.8</v>
      </c>
      <c r="M419" s="4">
        <v>70.7</v>
      </c>
      <c r="N419">
        <v>1</v>
      </c>
      <c r="O419" t="s">
        <v>58</v>
      </c>
      <c r="P419" t="s">
        <v>70</v>
      </c>
      <c r="Q419" t="s">
        <v>71</v>
      </c>
      <c r="R419" t="s">
        <v>72</v>
      </c>
      <c r="S419" s="3">
        <v>6.57</v>
      </c>
      <c r="T419" s="5">
        <v>44871</v>
      </c>
      <c r="U419">
        <v>1</v>
      </c>
      <c r="V419">
        <v>2022</v>
      </c>
      <c r="X419">
        <f t="shared" si="18"/>
        <v>9.5499581000000013</v>
      </c>
      <c r="Y419">
        <f t="shared" si="19"/>
        <v>6.5699581</v>
      </c>
      <c r="Z419">
        <f t="shared" si="20"/>
        <v>65.799958099999998</v>
      </c>
    </row>
    <row r="420" spans="1:26" x14ac:dyDescent="0.3">
      <c r="A420" t="s">
        <v>510</v>
      </c>
      <c r="B420" t="s">
        <v>63</v>
      </c>
      <c r="C420" t="s">
        <v>101</v>
      </c>
      <c r="D420" t="s">
        <v>69</v>
      </c>
      <c r="E420">
        <v>22</v>
      </c>
      <c r="F420" s="3">
        <v>8.98</v>
      </c>
      <c r="G420" s="4">
        <v>91.5</v>
      </c>
      <c r="H420">
        <v>1</v>
      </c>
      <c r="I420">
        <v>0</v>
      </c>
      <c r="J420">
        <v>5</v>
      </c>
      <c r="K420" s="4">
        <v>82.4</v>
      </c>
      <c r="L420" s="4">
        <v>57.9</v>
      </c>
      <c r="M420" s="4">
        <v>75.7</v>
      </c>
      <c r="N420">
        <v>0</v>
      </c>
      <c r="O420" t="s">
        <v>58</v>
      </c>
      <c r="P420" t="s">
        <v>75</v>
      </c>
      <c r="Q420" t="s">
        <v>71</v>
      </c>
      <c r="R420" t="s">
        <v>85</v>
      </c>
      <c r="S420" s="3">
        <v>6.06</v>
      </c>
      <c r="T420" s="5">
        <v>45874</v>
      </c>
      <c r="U420">
        <v>1</v>
      </c>
      <c r="V420">
        <v>2025</v>
      </c>
      <c r="X420">
        <f t="shared" si="18"/>
        <v>8.9799579999999999</v>
      </c>
      <c r="Y420">
        <f t="shared" si="19"/>
        <v>6.059958</v>
      </c>
      <c r="Z420">
        <f t="shared" si="20"/>
        <v>57.899957999999998</v>
      </c>
    </row>
    <row r="421" spans="1:26" x14ac:dyDescent="0.3">
      <c r="A421" t="s">
        <v>511</v>
      </c>
      <c r="B421" t="s">
        <v>55</v>
      </c>
      <c r="C421" t="s">
        <v>56</v>
      </c>
      <c r="D421" t="s">
        <v>69</v>
      </c>
      <c r="E421">
        <v>21</v>
      </c>
      <c r="F421" s="3">
        <v>8.2899999999999991</v>
      </c>
      <c r="G421" s="4">
        <v>77.400000000000006</v>
      </c>
      <c r="H421">
        <v>0</v>
      </c>
      <c r="I421">
        <v>2</v>
      </c>
      <c r="J421">
        <v>4</v>
      </c>
      <c r="K421" s="4">
        <v>75.599999999999994</v>
      </c>
      <c r="L421" s="4">
        <v>44</v>
      </c>
      <c r="M421" s="4">
        <v>69.099999999999994</v>
      </c>
      <c r="N421">
        <v>2</v>
      </c>
      <c r="O421" t="s">
        <v>64</v>
      </c>
      <c r="P421" t="s">
        <v>65</v>
      </c>
      <c r="S421" s="3">
        <v>0</v>
      </c>
      <c r="T421" s="5"/>
      <c r="U421">
        <v>0</v>
      </c>
      <c r="V421">
        <v>2024</v>
      </c>
      <c r="X421">
        <f t="shared" si="18"/>
        <v>8.2899578999999992</v>
      </c>
      <c r="Y421">
        <f t="shared" si="19"/>
        <v>-4.21E-5</v>
      </c>
      <c r="Z421">
        <f t="shared" si="20"/>
        <v>43.999957899999998</v>
      </c>
    </row>
    <row r="422" spans="1:26" x14ac:dyDescent="0.3">
      <c r="A422" t="s">
        <v>512</v>
      </c>
      <c r="B422" t="s">
        <v>82</v>
      </c>
      <c r="C422" t="s">
        <v>84</v>
      </c>
      <c r="D422" t="s">
        <v>57</v>
      </c>
      <c r="E422">
        <v>22</v>
      </c>
      <c r="F422" s="3">
        <v>7.31</v>
      </c>
      <c r="G422" s="4">
        <v>95.2</v>
      </c>
      <c r="H422">
        <v>2</v>
      </c>
      <c r="I422">
        <v>2</v>
      </c>
      <c r="J422">
        <v>5</v>
      </c>
      <c r="K422" s="4">
        <v>55.1</v>
      </c>
      <c r="L422" s="4">
        <v>65</v>
      </c>
      <c r="M422" s="4">
        <v>81.5</v>
      </c>
      <c r="N422">
        <v>0</v>
      </c>
      <c r="O422" t="s">
        <v>58</v>
      </c>
      <c r="P422" t="s">
        <v>79</v>
      </c>
      <c r="Q422" t="s">
        <v>71</v>
      </c>
      <c r="R422" t="s">
        <v>130</v>
      </c>
      <c r="S422" s="3">
        <v>6.97</v>
      </c>
      <c r="T422" s="5">
        <v>44854</v>
      </c>
      <c r="U422">
        <v>1</v>
      </c>
      <c r="V422">
        <v>2022</v>
      </c>
      <c r="X422">
        <f t="shared" si="18"/>
        <v>7.3099577999999994</v>
      </c>
      <c r="Y422">
        <f t="shared" si="19"/>
        <v>6.9699577999999995</v>
      </c>
      <c r="Z422">
        <f t="shared" si="20"/>
        <v>64.999957800000004</v>
      </c>
    </row>
    <row r="423" spans="1:26" x14ac:dyDescent="0.3">
      <c r="A423" t="s">
        <v>513</v>
      </c>
      <c r="B423" t="s">
        <v>55</v>
      </c>
      <c r="C423" t="s">
        <v>68</v>
      </c>
      <c r="D423" t="s">
        <v>57</v>
      </c>
      <c r="E423">
        <v>22</v>
      </c>
      <c r="F423" s="3">
        <v>7.42</v>
      </c>
      <c r="G423" s="4">
        <v>68</v>
      </c>
      <c r="H423">
        <v>2</v>
      </c>
      <c r="I423">
        <v>3</v>
      </c>
      <c r="J423">
        <v>3</v>
      </c>
      <c r="K423" s="4">
        <v>76.099999999999994</v>
      </c>
      <c r="L423" s="4">
        <v>48.3</v>
      </c>
      <c r="M423" s="4">
        <v>69.900000000000006</v>
      </c>
      <c r="N423">
        <v>0</v>
      </c>
      <c r="O423" t="s">
        <v>58</v>
      </c>
      <c r="P423" t="s">
        <v>75</v>
      </c>
      <c r="Q423" t="s">
        <v>71</v>
      </c>
      <c r="R423" t="s">
        <v>109</v>
      </c>
      <c r="S423" s="3">
        <v>5</v>
      </c>
      <c r="T423" s="5">
        <v>45581</v>
      </c>
      <c r="U423">
        <v>1</v>
      </c>
      <c r="V423">
        <v>2024</v>
      </c>
      <c r="X423">
        <f t="shared" si="18"/>
        <v>7.4199577000000003</v>
      </c>
      <c r="Y423">
        <f t="shared" si="19"/>
        <v>4.9999577000000004</v>
      </c>
      <c r="Z423">
        <f t="shared" si="20"/>
        <v>48.2999577</v>
      </c>
    </row>
    <row r="424" spans="1:26" x14ac:dyDescent="0.3">
      <c r="A424" t="s">
        <v>514</v>
      </c>
      <c r="B424" t="s">
        <v>82</v>
      </c>
      <c r="C424" t="s">
        <v>68</v>
      </c>
      <c r="D424" t="s">
        <v>57</v>
      </c>
      <c r="E424">
        <v>20</v>
      </c>
      <c r="F424" s="3">
        <v>7.98</v>
      </c>
      <c r="G424" s="4">
        <v>98.4</v>
      </c>
      <c r="H424">
        <v>2</v>
      </c>
      <c r="I424">
        <v>1</v>
      </c>
      <c r="J424">
        <v>1</v>
      </c>
      <c r="K424" s="4">
        <v>78.400000000000006</v>
      </c>
      <c r="L424" s="4">
        <v>73.2</v>
      </c>
      <c r="M424" s="4">
        <v>80.7</v>
      </c>
      <c r="N424">
        <v>0</v>
      </c>
      <c r="O424" t="s">
        <v>58</v>
      </c>
      <c r="P424" t="s">
        <v>79</v>
      </c>
      <c r="Q424" t="s">
        <v>71</v>
      </c>
      <c r="R424" t="s">
        <v>72</v>
      </c>
      <c r="S424" s="3">
        <v>6.66</v>
      </c>
      <c r="T424" s="5">
        <v>44833</v>
      </c>
      <c r="U424">
        <v>1</v>
      </c>
      <c r="V424">
        <v>2022</v>
      </c>
      <c r="X424">
        <f t="shared" si="18"/>
        <v>7.9799576000000005</v>
      </c>
      <c r="Y424">
        <f t="shared" si="19"/>
        <v>6.6599576000000003</v>
      </c>
      <c r="Z424">
        <f t="shared" si="20"/>
        <v>73.199957600000005</v>
      </c>
    </row>
    <row r="425" spans="1:26" x14ac:dyDescent="0.3">
      <c r="A425" t="s">
        <v>515</v>
      </c>
      <c r="B425" t="s">
        <v>82</v>
      </c>
      <c r="C425" t="s">
        <v>74</v>
      </c>
      <c r="D425" t="s">
        <v>57</v>
      </c>
      <c r="E425">
        <v>20</v>
      </c>
      <c r="F425" s="3">
        <v>9.64</v>
      </c>
      <c r="G425" s="4">
        <v>82.2</v>
      </c>
      <c r="H425">
        <v>2</v>
      </c>
      <c r="I425">
        <v>4</v>
      </c>
      <c r="J425">
        <v>4</v>
      </c>
      <c r="K425" s="4">
        <v>77.099999999999994</v>
      </c>
      <c r="L425" s="4">
        <v>63.7</v>
      </c>
      <c r="M425" s="4">
        <v>85.8</v>
      </c>
      <c r="N425">
        <v>0</v>
      </c>
      <c r="O425" t="s">
        <v>58</v>
      </c>
      <c r="P425" t="s">
        <v>75</v>
      </c>
      <c r="Q425" t="s">
        <v>71</v>
      </c>
      <c r="R425" t="s">
        <v>61</v>
      </c>
      <c r="S425" s="3">
        <v>7.72</v>
      </c>
      <c r="T425" s="5">
        <v>44786</v>
      </c>
      <c r="U425">
        <v>2</v>
      </c>
      <c r="V425">
        <v>2022</v>
      </c>
      <c r="X425">
        <f t="shared" si="18"/>
        <v>9.6399575000000013</v>
      </c>
      <c r="Y425">
        <f t="shared" si="19"/>
        <v>7.7199574999999996</v>
      </c>
      <c r="Z425">
        <f t="shared" si="20"/>
        <v>63.699957500000004</v>
      </c>
    </row>
    <row r="426" spans="1:26" x14ac:dyDescent="0.3">
      <c r="A426" t="s">
        <v>516</v>
      </c>
      <c r="B426" t="s">
        <v>67</v>
      </c>
      <c r="C426" t="s">
        <v>78</v>
      </c>
      <c r="D426" t="s">
        <v>57</v>
      </c>
      <c r="E426">
        <v>22</v>
      </c>
      <c r="F426" s="3">
        <v>7.91</v>
      </c>
      <c r="G426" s="4">
        <v>70</v>
      </c>
      <c r="H426">
        <v>3</v>
      </c>
      <c r="I426">
        <v>2</v>
      </c>
      <c r="J426">
        <v>3</v>
      </c>
      <c r="K426" s="4">
        <v>64.599999999999994</v>
      </c>
      <c r="L426" s="4">
        <v>38.6</v>
      </c>
      <c r="M426" s="4">
        <v>84.1</v>
      </c>
      <c r="N426">
        <v>0</v>
      </c>
      <c r="O426" t="s">
        <v>64</v>
      </c>
      <c r="P426" t="s">
        <v>65</v>
      </c>
      <c r="S426" s="3">
        <v>0</v>
      </c>
      <c r="T426" s="5"/>
      <c r="U426">
        <v>0</v>
      </c>
      <c r="V426">
        <v>2023</v>
      </c>
      <c r="X426">
        <f t="shared" si="18"/>
        <v>7.9099574000000006</v>
      </c>
      <c r="Y426">
        <f t="shared" si="19"/>
        <v>-4.2599999999999999E-5</v>
      </c>
      <c r="Z426">
        <f t="shared" si="20"/>
        <v>38.599957400000001</v>
      </c>
    </row>
    <row r="427" spans="1:26" x14ac:dyDescent="0.3">
      <c r="A427" t="s">
        <v>517</v>
      </c>
      <c r="B427" t="s">
        <v>82</v>
      </c>
      <c r="C427" t="s">
        <v>56</v>
      </c>
      <c r="D427" t="s">
        <v>69</v>
      </c>
      <c r="E427">
        <v>23</v>
      </c>
      <c r="F427" s="3">
        <v>8.11</v>
      </c>
      <c r="G427" s="4">
        <v>89.5</v>
      </c>
      <c r="H427">
        <v>1</v>
      </c>
      <c r="I427">
        <v>1</v>
      </c>
      <c r="J427">
        <v>5</v>
      </c>
      <c r="K427" s="4">
        <v>65.900000000000006</v>
      </c>
      <c r="L427" s="4">
        <v>95</v>
      </c>
      <c r="M427" s="4">
        <v>71.8</v>
      </c>
      <c r="N427">
        <v>0</v>
      </c>
      <c r="O427" t="s">
        <v>58</v>
      </c>
      <c r="P427" t="s">
        <v>112</v>
      </c>
      <c r="Q427" t="s">
        <v>93</v>
      </c>
      <c r="R427" t="s">
        <v>85</v>
      </c>
      <c r="S427" s="3">
        <v>7.97</v>
      </c>
      <c r="T427" s="5">
        <v>44853</v>
      </c>
      <c r="U427">
        <v>1</v>
      </c>
      <c r="V427">
        <v>2022</v>
      </c>
      <c r="X427">
        <f t="shared" si="18"/>
        <v>8.1099572999999996</v>
      </c>
      <c r="Y427">
        <f t="shared" si="19"/>
        <v>7.9699572999999999</v>
      </c>
      <c r="Z427">
        <f t="shared" si="20"/>
        <v>94.999957300000005</v>
      </c>
    </row>
    <row r="428" spans="1:26" x14ac:dyDescent="0.3">
      <c r="A428" t="s">
        <v>518</v>
      </c>
      <c r="B428" t="s">
        <v>107</v>
      </c>
      <c r="C428" t="s">
        <v>101</v>
      </c>
      <c r="D428" t="s">
        <v>57</v>
      </c>
      <c r="E428">
        <v>21</v>
      </c>
      <c r="F428" s="3">
        <v>5.36</v>
      </c>
      <c r="G428" s="4">
        <v>85.9</v>
      </c>
      <c r="H428">
        <v>2</v>
      </c>
      <c r="I428">
        <v>1</v>
      </c>
      <c r="J428">
        <v>5</v>
      </c>
      <c r="K428" s="4">
        <v>81.900000000000006</v>
      </c>
      <c r="L428" s="4">
        <v>100</v>
      </c>
      <c r="M428" s="4">
        <v>46.9</v>
      </c>
      <c r="N428">
        <v>2</v>
      </c>
      <c r="O428" t="s">
        <v>58</v>
      </c>
      <c r="P428" t="s">
        <v>95</v>
      </c>
      <c r="Q428" t="s">
        <v>93</v>
      </c>
      <c r="R428" t="s">
        <v>61</v>
      </c>
      <c r="S428" s="3">
        <v>6.46</v>
      </c>
      <c r="T428" s="5">
        <v>44448</v>
      </c>
      <c r="U428">
        <v>3</v>
      </c>
      <c r="V428">
        <v>2021</v>
      </c>
      <c r="X428">
        <f t="shared" si="18"/>
        <v>5.3599572000000002</v>
      </c>
      <c r="Y428">
        <f t="shared" si="19"/>
        <v>6.4599571999999998</v>
      </c>
      <c r="Z428">
        <f t="shared" si="20"/>
        <v>99.999957199999997</v>
      </c>
    </row>
    <row r="429" spans="1:26" x14ac:dyDescent="0.3">
      <c r="A429" t="s">
        <v>519</v>
      </c>
      <c r="B429" t="s">
        <v>63</v>
      </c>
      <c r="C429" t="s">
        <v>101</v>
      </c>
      <c r="D429" t="s">
        <v>69</v>
      </c>
      <c r="E429">
        <v>22</v>
      </c>
      <c r="F429" s="3">
        <v>7.88</v>
      </c>
      <c r="G429" s="4">
        <v>94.4</v>
      </c>
      <c r="H429">
        <v>0</v>
      </c>
      <c r="I429">
        <v>1</v>
      </c>
      <c r="J429">
        <v>3</v>
      </c>
      <c r="K429" s="4">
        <v>68</v>
      </c>
      <c r="L429" s="4">
        <v>73.900000000000006</v>
      </c>
      <c r="M429" s="4">
        <v>79.900000000000006</v>
      </c>
      <c r="N429">
        <v>0</v>
      </c>
      <c r="O429" t="s">
        <v>58</v>
      </c>
      <c r="P429" t="s">
        <v>79</v>
      </c>
      <c r="Q429" t="s">
        <v>71</v>
      </c>
      <c r="R429" t="s">
        <v>61</v>
      </c>
      <c r="S429" s="3">
        <v>5.46</v>
      </c>
      <c r="T429" s="5">
        <v>45936</v>
      </c>
      <c r="U429">
        <v>2</v>
      </c>
      <c r="V429">
        <v>2025</v>
      </c>
      <c r="X429">
        <f t="shared" si="18"/>
        <v>7.8799570999999995</v>
      </c>
      <c r="Y429">
        <f t="shared" si="19"/>
        <v>5.4599570999999996</v>
      </c>
      <c r="Z429">
        <f t="shared" si="20"/>
        <v>73.899957100000009</v>
      </c>
    </row>
    <row r="430" spans="1:26" x14ac:dyDescent="0.3">
      <c r="A430" t="s">
        <v>520</v>
      </c>
      <c r="B430" t="s">
        <v>63</v>
      </c>
      <c r="C430" t="s">
        <v>56</v>
      </c>
      <c r="D430" t="s">
        <v>69</v>
      </c>
      <c r="E430">
        <v>21</v>
      </c>
      <c r="F430" s="3">
        <v>6.4</v>
      </c>
      <c r="G430" s="4">
        <v>68.2</v>
      </c>
      <c r="H430">
        <v>2</v>
      </c>
      <c r="I430">
        <v>1</v>
      </c>
      <c r="J430">
        <v>4</v>
      </c>
      <c r="K430" s="4">
        <v>54.6</v>
      </c>
      <c r="L430" s="4">
        <v>93</v>
      </c>
      <c r="M430" s="4">
        <v>56.7</v>
      </c>
      <c r="N430">
        <v>0</v>
      </c>
      <c r="O430" t="s">
        <v>58</v>
      </c>
      <c r="P430" t="s">
        <v>79</v>
      </c>
      <c r="Q430" t="s">
        <v>71</v>
      </c>
      <c r="R430" t="s">
        <v>109</v>
      </c>
      <c r="S430" s="3">
        <v>8.14</v>
      </c>
      <c r="T430" s="5">
        <v>45921</v>
      </c>
      <c r="U430">
        <v>2</v>
      </c>
      <c r="V430">
        <v>2025</v>
      </c>
      <c r="X430">
        <f t="shared" si="18"/>
        <v>6.3999570000000006</v>
      </c>
      <c r="Y430">
        <f t="shared" si="19"/>
        <v>8.1399570000000008</v>
      </c>
      <c r="Z430">
        <f t="shared" si="20"/>
        <v>92.999956999999995</v>
      </c>
    </row>
    <row r="431" spans="1:26" x14ac:dyDescent="0.3">
      <c r="A431" t="s">
        <v>521</v>
      </c>
      <c r="B431" t="s">
        <v>55</v>
      </c>
      <c r="C431" t="s">
        <v>101</v>
      </c>
      <c r="D431" t="s">
        <v>57</v>
      </c>
      <c r="E431">
        <v>20</v>
      </c>
      <c r="F431" s="3">
        <v>7.21</v>
      </c>
      <c r="G431" s="4">
        <v>72.099999999999994</v>
      </c>
      <c r="H431">
        <v>2</v>
      </c>
      <c r="I431">
        <v>4</v>
      </c>
      <c r="J431">
        <v>4</v>
      </c>
      <c r="K431" s="4">
        <v>62.3</v>
      </c>
      <c r="L431" s="4">
        <v>73.400000000000006</v>
      </c>
      <c r="M431" s="4">
        <v>79.5</v>
      </c>
      <c r="N431">
        <v>1</v>
      </c>
      <c r="O431" t="s">
        <v>64</v>
      </c>
      <c r="P431" t="s">
        <v>65</v>
      </c>
      <c r="S431" s="3">
        <v>0</v>
      </c>
      <c r="T431" s="5"/>
      <c r="U431">
        <v>0</v>
      </c>
      <c r="V431">
        <v>2024</v>
      </c>
      <c r="X431">
        <f t="shared" si="18"/>
        <v>7.2099568999999999</v>
      </c>
      <c r="Y431">
        <f t="shared" si="19"/>
        <v>-4.3099999999999997E-5</v>
      </c>
      <c r="Z431">
        <f t="shared" si="20"/>
        <v>73.399956900000006</v>
      </c>
    </row>
    <row r="432" spans="1:26" x14ac:dyDescent="0.3">
      <c r="A432" t="s">
        <v>522</v>
      </c>
      <c r="B432" t="s">
        <v>82</v>
      </c>
      <c r="C432" t="s">
        <v>101</v>
      </c>
      <c r="D432" t="s">
        <v>57</v>
      </c>
      <c r="E432">
        <v>21</v>
      </c>
      <c r="F432" s="3">
        <v>7.69</v>
      </c>
      <c r="G432" s="4">
        <v>88.9</v>
      </c>
      <c r="H432">
        <v>0</v>
      </c>
      <c r="I432">
        <v>1</v>
      </c>
      <c r="J432">
        <v>2</v>
      </c>
      <c r="K432" s="4">
        <v>88.9</v>
      </c>
      <c r="L432" s="4">
        <v>40.799999999999997</v>
      </c>
      <c r="M432" s="4">
        <v>78.599999999999994</v>
      </c>
      <c r="N432">
        <v>1</v>
      </c>
      <c r="O432" t="s">
        <v>64</v>
      </c>
      <c r="P432" t="s">
        <v>65</v>
      </c>
      <c r="S432" s="3">
        <v>0</v>
      </c>
      <c r="T432" s="5"/>
      <c r="U432">
        <v>0</v>
      </c>
      <c r="V432">
        <v>2022</v>
      </c>
      <c r="X432">
        <f t="shared" si="18"/>
        <v>7.6899568</v>
      </c>
      <c r="Y432">
        <f t="shared" si="19"/>
        <v>-4.32E-5</v>
      </c>
      <c r="Z432">
        <f t="shared" si="20"/>
        <v>40.799956799999997</v>
      </c>
    </row>
    <row r="433" spans="1:26" x14ac:dyDescent="0.3">
      <c r="A433" t="s">
        <v>523</v>
      </c>
      <c r="B433" t="s">
        <v>107</v>
      </c>
      <c r="C433" t="s">
        <v>89</v>
      </c>
      <c r="D433" t="s">
        <v>57</v>
      </c>
      <c r="E433">
        <v>22</v>
      </c>
      <c r="F433" s="3">
        <v>7.38</v>
      </c>
      <c r="G433" s="4">
        <v>100</v>
      </c>
      <c r="H433">
        <v>1</v>
      </c>
      <c r="I433">
        <v>4</v>
      </c>
      <c r="J433">
        <v>3</v>
      </c>
      <c r="K433" s="4">
        <v>49.2</v>
      </c>
      <c r="L433" s="4">
        <v>66.2</v>
      </c>
      <c r="M433" s="4">
        <v>71.5</v>
      </c>
      <c r="N433">
        <v>0</v>
      </c>
      <c r="O433" t="s">
        <v>58</v>
      </c>
      <c r="P433" t="s">
        <v>79</v>
      </c>
      <c r="Q433" t="s">
        <v>71</v>
      </c>
      <c r="R433" t="s">
        <v>61</v>
      </c>
      <c r="S433" s="3">
        <v>4.91</v>
      </c>
      <c r="T433" s="5">
        <v>44461</v>
      </c>
      <c r="U433">
        <v>2</v>
      </c>
      <c r="V433">
        <v>2021</v>
      </c>
      <c r="X433">
        <f t="shared" si="18"/>
        <v>7.3799567000000001</v>
      </c>
      <c r="Y433">
        <f t="shared" si="19"/>
        <v>4.9099567000000004</v>
      </c>
      <c r="Z433">
        <f t="shared" si="20"/>
        <v>66.199956700000001</v>
      </c>
    </row>
    <row r="434" spans="1:26" x14ac:dyDescent="0.3">
      <c r="A434" t="s">
        <v>524</v>
      </c>
      <c r="B434" t="s">
        <v>55</v>
      </c>
      <c r="C434" t="s">
        <v>74</v>
      </c>
      <c r="D434" t="s">
        <v>57</v>
      </c>
      <c r="E434">
        <v>22</v>
      </c>
      <c r="F434" s="3">
        <v>7.08</v>
      </c>
      <c r="G434" s="4">
        <v>87.2</v>
      </c>
      <c r="H434">
        <v>3</v>
      </c>
      <c r="I434">
        <v>2</v>
      </c>
      <c r="J434">
        <v>3</v>
      </c>
      <c r="K434" s="4">
        <v>86.2</v>
      </c>
      <c r="L434" s="4">
        <v>60.5</v>
      </c>
      <c r="M434" s="4">
        <v>74.8</v>
      </c>
      <c r="N434">
        <v>0</v>
      </c>
      <c r="O434" t="s">
        <v>64</v>
      </c>
      <c r="P434" t="s">
        <v>65</v>
      </c>
      <c r="S434" s="3">
        <v>0</v>
      </c>
      <c r="T434" s="5"/>
      <c r="U434">
        <v>0</v>
      </c>
      <c r="V434">
        <v>2024</v>
      </c>
      <c r="X434">
        <f t="shared" si="18"/>
        <v>7.0799566</v>
      </c>
      <c r="Y434">
        <f t="shared" si="19"/>
        <v>-4.3399999999999998E-5</v>
      </c>
      <c r="Z434">
        <f t="shared" si="20"/>
        <v>60.499956599999997</v>
      </c>
    </row>
    <row r="435" spans="1:26" x14ac:dyDescent="0.3">
      <c r="A435" t="s">
        <v>525</v>
      </c>
      <c r="B435" t="s">
        <v>67</v>
      </c>
      <c r="C435" t="s">
        <v>74</v>
      </c>
      <c r="D435" t="s">
        <v>69</v>
      </c>
      <c r="E435">
        <v>22</v>
      </c>
      <c r="F435" s="3">
        <v>7.09</v>
      </c>
      <c r="G435" s="4">
        <v>88.6</v>
      </c>
      <c r="H435">
        <v>1</v>
      </c>
      <c r="I435">
        <v>1</v>
      </c>
      <c r="J435">
        <v>1</v>
      </c>
      <c r="K435" s="4">
        <v>68.3</v>
      </c>
      <c r="L435" s="4">
        <v>47.5</v>
      </c>
      <c r="M435" s="4">
        <v>91.5</v>
      </c>
      <c r="N435">
        <v>0</v>
      </c>
      <c r="O435" t="s">
        <v>58</v>
      </c>
      <c r="P435" t="s">
        <v>90</v>
      </c>
      <c r="Q435" t="s">
        <v>60</v>
      </c>
      <c r="R435" t="s">
        <v>72</v>
      </c>
      <c r="S435" s="3">
        <v>6.19</v>
      </c>
      <c r="T435" s="5">
        <v>45149</v>
      </c>
      <c r="U435">
        <v>1</v>
      </c>
      <c r="V435">
        <v>2023</v>
      </c>
      <c r="X435">
        <f t="shared" si="18"/>
        <v>7.0899564999999996</v>
      </c>
      <c r="Y435">
        <f t="shared" si="19"/>
        <v>6.1899565000000001</v>
      </c>
      <c r="Z435">
        <f t="shared" si="20"/>
        <v>47.499956500000003</v>
      </c>
    </row>
    <row r="436" spans="1:26" x14ac:dyDescent="0.3">
      <c r="A436" t="s">
        <v>526</v>
      </c>
      <c r="B436" t="s">
        <v>55</v>
      </c>
      <c r="C436" t="s">
        <v>56</v>
      </c>
      <c r="D436" t="s">
        <v>57</v>
      </c>
      <c r="E436">
        <v>22</v>
      </c>
      <c r="F436" s="3">
        <v>7.46</v>
      </c>
      <c r="G436" s="4">
        <v>75.099999999999994</v>
      </c>
      <c r="H436">
        <v>1</v>
      </c>
      <c r="I436">
        <v>1</v>
      </c>
      <c r="J436">
        <v>3</v>
      </c>
      <c r="K436" s="4">
        <v>49.4</v>
      </c>
      <c r="L436" s="4">
        <v>70</v>
      </c>
      <c r="M436" s="4">
        <v>89.5</v>
      </c>
      <c r="N436">
        <v>2</v>
      </c>
      <c r="O436" t="s">
        <v>58</v>
      </c>
      <c r="P436" t="s">
        <v>92</v>
      </c>
      <c r="Q436" t="s">
        <v>93</v>
      </c>
      <c r="R436" t="s">
        <v>72</v>
      </c>
      <c r="S436" s="3">
        <v>9.3699999999999992</v>
      </c>
      <c r="T436" s="5">
        <v>45515</v>
      </c>
      <c r="U436">
        <v>1</v>
      </c>
      <c r="V436">
        <v>2024</v>
      </c>
      <c r="X436">
        <f t="shared" si="18"/>
        <v>7.4599564000000003</v>
      </c>
      <c r="Y436">
        <f t="shared" si="19"/>
        <v>9.3699563999999995</v>
      </c>
      <c r="Z436">
        <f t="shared" si="20"/>
        <v>69.999956400000002</v>
      </c>
    </row>
    <row r="437" spans="1:26" x14ac:dyDescent="0.3">
      <c r="A437" t="s">
        <v>527</v>
      </c>
      <c r="B437" t="s">
        <v>55</v>
      </c>
      <c r="C437" t="s">
        <v>74</v>
      </c>
      <c r="D437" t="s">
        <v>69</v>
      </c>
      <c r="E437">
        <v>23</v>
      </c>
      <c r="F437" s="3">
        <v>7.42</v>
      </c>
      <c r="G437" s="4">
        <v>80.400000000000006</v>
      </c>
      <c r="H437">
        <v>1</v>
      </c>
      <c r="I437">
        <v>2</v>
      </c>
      <c r="J437">
        <v>3</v>
      </c>
      <c r="K437" s="4">
        <v>79.099999999999994</v>
      </c>
      <c r="L437" s="4">
        <v>58.8</v>
      </c>
      <c r="M437" s="4">
        <v>69.8</v>
      </c>
      <c r="N437">
        <v>1</v>
      </c>
      <c r="O437" t="s">
        <v>58</v>
      </c>
      <c r="P437" t="s">
        <v>112</v>
      </c>
      <c r="Q437" t="s">
        <v>93</v>
      </c>
      <c r="R437" t="s">
        <v>130</v>
      </c>
      <c r="S437" s="3">
        <v>6.48</v>
      </c>
      <c r="T437" s="5">
        <v>45514</v>
      </c>
      <c r="U437">
        <v>1</v>
      </c>
      <c r="V437">
        <v>2024</v>
      </c>
      <c r="X437">
        <f t="shared" si="18"/>
        <v>7.4199562999999999</v>
      </c>
      <c r="Y437">
        <f t="shared" si="19"/>
        <v>6.4799563000000004</v>
      </c>
      <c r="Z437">
        <f t="shared" si="20"/>
        <v>58.799956299999998</v>
      </c>
    </row>
    <row r="438" spans="1:26" x14ac:dyDescent="0.3">
      <c r="A438" t="s">
        <v>528</v>
      </c>
      <c r="B438" t="s">
        <v>82</v>
      </c>
      <c r="C438" t="s">
        <v>84</v>
      </c>
      <c r="D438" t="s">
        <v>57</v>
      </c>
      <c r="E438">
        <v>23</v>
      </c>
      <c r="F438" s="3">
        <v>7.67</v>
      </c>
      <c r="G438" s="4">
        <v>76.400000000000006</v>
      </c>
      <c r="H438">
        <v>1</v>
      </c>
      <c r="I438">
        <v>2</v>
      </c>
      <c r="J438">
        <v>1</v>
      </c>
      <c r="K438" s="4">
        <v>58</v>
      </c>
      <c r="L438" s="4">
        <v>72.8</v>
      </c>
      <c r="M438" s="4">
        <v>51.3</v>
      </c>
      <c r="N438">
        <v>0</v>
      </c>
      <c r="O438" t="s">
        <v>58</v>
      </c>
      <c r="P438" t="s">
        <v>104</v>
      </c>
      <c r="Q438" t="s">
        <v>105</v>
      </c>
      <c r="R438" t="s">
        <v>85</v>
      </c>
      <c r="S438" s="3">
        <v>14.06</v>
      </c>
      <c r="T438" s="5">
        <v>44801</v>
      </c>
      <c r="U438">
        <v>2</v>
      </c>
      <c r="V438">
        <v>2022</v>
      </c>
      <c r="X438">
        <f t="shared" si="18"/>
        <v>7.6699561999999997</v>
      </c>
      <c r="Y438">
        <f t="shared" si="19"/>
        <v>14.0599562</v>
      </c>
      <c r="Z438">
        <f t="shared" si="20"/>
        <v>72.799956199999997</v>
      </c>
    </row>
    <row r="439" spans="1:26" x14ac:dyDescent="0.3">
      <c r="A439" t="s">
        <v>529</v>
      </c>
      <c r="B439" t="s">
        <v>67</v>
      </c>
      <c r="C439" t="s">
        <v>56</v>
      </c>
      <c r="D439" t="s">
        <v>57</v>
      </c>
      <c r="E439">
        <v>23</v>
      </c>
      <c r="F439" s="3">
        <v>7.6</v>
      </c>
      <c r="G439" s="4">
        <v>86.5</v>
      </c>
      <c r="H439">
        <v>0</v>
      </c>
      <c r="I439">
        <v>4</v>
      </c>
      <c r="J439">
        <v>5</v>
      </c>
      <c r="K439" s="4">
        <v>69.3</v>
      </c>
      <c r="L439" s="4">
        <v>81</v>
      </c>
      <c r="M439" s="4">
        <v>92.9</v>
      </c>
      <c r="N439">
        <v>1</v>
      </c>
      <c r="O439" t="s">
        <v>58</v>
      </c>
      <c r="P439" t="s">
        <v>75</v>
      </c>
      <c r="Q439" t="s">
        <v>71</v>
      </c>
      <c r="R439" t="s">
        <v>61</v>
      </c>
      <c r="S439" s="3">
        <v>5.87</v>
      </c>
      <c r="T439" s="5">
        <v>45257</v>
      </c>
      <c r="U439">
        <v>1</v>
      </c>
      <c r="V439">
        <v>2023</v>
      </c>
      <c r="X439">
        <f t="shared" si="18"/>
        <v>7.5999561</v>
      </c>
      <c r="Y439">
        <f t="shared" si="19"/>
        <v>5.8699561000000005</v>
      </c>
      <c r="Z439">
        <f t="shared" si="20"/>
        <v>80.999956100000006</v>
      </c>
    </row>
    <row r="440" spans="1:26" x14ac:dyDescent="0.3">
      <c r="A440" t="s">
        <v>530</v>
      </c>
      <c r="B440" t="s">
        <v>55</v>
      </c>
      <c r="C440" t="s">
        <v>101</v>
      </c>
      <c r="D440" t="s">
        <v>57</v>
      </c>
      <c r="E440">
        <v>22</v>
      </c>
      <c r="F440" s="3">
        <v>8.8000000000000007</v>
      </c>
      <c r="G440" s="4">
        <v>90.4</v>
      </c>
      <c r="H440">
        <v>1</v>
      </c>
      <c r="I440">
        <v>2</v>
      </c>
      <c r="J440">
        <v>2</v>
      </c>
      <c r="K440" s="4">
        <v>42.3</v>
      </c>
      <c r="L440" s="4">
        <v>95.5</v>
      </c>
      <c r="M440" s="4">
        <v>55.1</v>
      </c>
      <c r="N440">
        <v>3</v>
      </c>
      <c r="O440" t="s">
        <v>58</v>
      </c>
      <c r="P440" t="s">
        <v>59</v>
      </c>
      <c r="Q440" t="s">
        <v>60</v>
      </c>
      <c r="R440" t="s">
        <v>76</v>
      </c>
      <c r="S440" s="3">
        <v>20.54</v>
      </c>
      <c r="T440" s="5">
        <v>45515</v>
      </c>
      <c r="U440">
        <v>2</v>
      </c>
      <c r="V440">
        <v>2024</v>
      </c>
      <c r="X440">
        <f t="shared" si="18"/>
        <v>8.7999559999999999</v>
      </c>
      <c r="Y440">
        <f t="shared" si="19"/>
        <v>20.539956</v>
      </c>
      <c r="Z440">
        <f t="shared" si="20"/>
        <v>95.499955999999997</v>
      </c>
    </row>
    <row r="441" spans="1:26" x14ac:dyDescent="0.3">
      <c r="A441" t="s">
        <v>531</v>
      </c>
      <c r="B441" t="s">
        <v>107</v>
      </c>
      <c r="C441" t="s">
        <v>74</v>
      </c>
      <c r="D441" t="s">
        <v>57</v>
      </c>
      <c r="E441">
        <v>23</v>
      </c>
      <c r="F441" s="3">
        <v>5.81</v>
      </c>
      <c r="G441" s="4">
        <v>83.7</v>
      </c>
      <c r="H441">
        <v>1</v>
      </c>
      <c r="I441">
        <v>2</v>
      </c>
      <c r="J441">
        <v>3</v>
      </c>
      <c r="K441" s="4">
        <v>86.8</v>
      </c>
      <c r="L441" s="4">
        <v>69.5</v>
      </c>
      <c r="M441" s="4">
        <v>75.099999999999994</v>
      </c>
      <c r="N441">
        <v>0</v>
      </c>
      <c r="O441" t="s">
        <v>64</v>
      </c>
      <c r="P441" t="s">
        <v>65</v>
      </c>
      <c r="S441" s="3">
        <v>0</v>
      </c>
      <c r="T441" s="5"/>
      <c r="U441">
        <v>0</v>
      </c>
      <c r="V441">
        <v>2021</v>
      </c>
      <c r="X441">
        <f t="shared" si="18"/>
        <v>5.8099558999999994</v>
      </c>
      <c r="Y441">
        <f t="shared" si="19"/>
        <v>-4.4100000000000001E-5</v>
      </c>
      <c r="Z441">
        <f t="shared" si="20"/>
        <v>69.499955900000003</v>
      </c>
    </row>
    <row r="442" spans="1:26" x14ac:dyDescent="0.3">
      <c r="A442" t="s">
        <v>532</v>
      </c>
      <c r="B442" t="s">
        <v>107</v>
      </c>
      <c r="C442" t="s">
        <v>68</v>
      </c>
      <c r="D442" t="s">
        <v>57</v>
      </c>
      <c r="E442">
        <v>21</v>
      </c>
      <c r="F442" s="3">
        <v>7.87</v>
      </c>
      <c r="G442" s="4">
        <v>89.2</v>
      </c>
      <c r="H442">
        <v>2</v>
      </c>
      <c r="I442">
        <v>0</v>
      </c>
      <c r="J442">
        <v>3</v>
      </c>
      <c r="K442" s="4">
        <v>63.9</v>
      </c>
      <c r="L442" s="4">
        <v>53.2</v>
      </c>
      <c r="M442" s="4">
        <v>73.099999999999994</v>
      </c>
      <c r="N442">
        <v>0</v>
      </c>
      <c r="O442" t="s">
        <v>58</v>
      </c>
      <c r="P442" t="s">
        <v>70</v>
      </c>
      <c r="Q442" t="s">
        <v>71</v>
      </c>
      <c r="R442" t="s">
        <v>80</v>
      </c>
      <c r="S442" s="3">
        <v>4.4400000000000004</v>
      </c>
      <c r="T442" s="5">
        <v>44415</v>
      </c>
      <c r="U442">
        <v>1</v>
      </c>
      <c r="V442">
        <v>2021</v>
      </c>
      <c r="X442">
        <f t="shared" si="18"/>
        <v>7.8699558000000005</v>
      </c>
      <c r="Y442">
        <f t="shared" si="19"/>
        <v>4.4399558000000008</v>
      </c>
      <c r="Z442">
        <f t="shared" si="20"/>
        <v>53.199955800000005</v>
      </c>
    </row>
    <row r="443" spans="1:26" x14ac:dyDescent="0.3">
      <c r="A443" t="s">
        <v>533</v>
      </c>
      <c r="B443" t="s">
        <v>63</v>
      </c>
      <c r="C443" t="s">
        <v>101</v>
      </c>
      <c r="D443" t="s">
        <v>57</v>
      </c>
      <c r="E443">
        <v>22</v>
      </c>
      <c r="F443" s="3">
        <v>7.71</v>
      </c>
      <c r="G443" s="4">
        <v>81.7</v>
      </c>
      <c r="H443">
        <v>1</v>
      </c>
      <c r="I443">
        <v>4</v>
      </c>
      <c r="J443">
        <v>2</v>
      </c>
      <c r="K443" s="4">
        <v>59.4</v>
      </c>
      <c r="L443" s="4">
        <v>61.9</v>
      </c>
      <c r="M443" s="4">
        <v>79.2</v>
      </c>
      <c r="N443">
        <v>0</v>
      </c>
      <c r="O443" t="s">
        <v>58</v>
      </c>
      <c r="P443" t="s">
        <v>104</v>
      </c>
      <c r="Q443" t="s">
        <v>105</v>
      </c>
      <c r="R443" t="s">
        <v>72</v>
      </c>
      <c r="S443" s="3">
        <v>16.13</v>
      </c>
      <c r="T443" s="5">
        <v>45898</v>
      </c>
      <c r="U443">
        <v>2</v>
      </c>
      <c r="V443">
        <v>2025</v>
      </c>
      <c r="X443">
        <f t="shared" si="18"/>
        <v>7.7099557000000001</v>
      </c>
      <c r="Y443">
        <f t="shared" si="19"/>
        <v>16.1299557</v>
      </c>
      <c r="Z443">
        <f t="shared" si="20"/>
        <v>61.8999557</v>
      </c>
    </row>
    <row r="444" spans="1:26" x14ac:dyDescent="0.3">
      <c r="A444" t="s">
        <v>534</v>
      </c>
      <c r="B444" t="s">
        <v>67</v>
      </c>
      <c r="C444" t="s">
        <v>84</v>
      </c>
      <c r="D444" t="s">
        <v>69</v>
      </c>
      <c r="E444">
        <v>20</v>
      </c>
      <c r="F444" s="3">
        <v>7.53</v>
      </c>
      <c r="G444" s="4">
        <v>93.9</v>
      </c>
      <c r="H444">
        <v>1</v>
      </c>
      <c r="I444">
        <v>4</v>
      </c>
      <c r="J444">
        <v>6</v>
      </c>
      <c r="K444" s="4">
        <v>70.7</v>
      </c>
      <c r="L444" s="4">
        <v>63.7</v>
      </c>
      <c r="M444" s="4">
        <v>89.6</v>
      </c>
      <c r="N444">
        <v>0</v>
      </c>
      <c r="O444" t="s">
        <v>58</v>
      </c>
      <c r="P444" t="s">
        <v>79</v>
      </c>
      <c r="Q444" t="s">
        <v>71</v>
      </c>
      <c r="R444" t="s">
        <v>130</v>
      </c>
      <c r="S444" s="3">
        <v>4.9800000000000004</v>
      </c>
      <c r="T444" s="5">
        <v>45203</v>
      </c>
      <c r="U444">
        <v>1</v>
      </c>
      <c r="V444">
        <v>2023</v>
      </c>
      <c r="X444">
        <f t="shared" si="18"/>
        <v>7.5299556000000001</v>
      </c>
      <c r="Y444">
        <f t="shared" si="19"/>
        <v>4.9799556000000003</v>
      </c>
      <c r="Z444">
        <f t="shared" si="20"/>
        <v>63.699955600000003</v>
      </c>
    </row>
    <row r="445" spans="1:26" x14ac:dyDescent="0.3">
      <c r="A445" t="s">
        <v>535</v>
      </c>
      <c r="B445" t="s">
        <v>67</v>
      </c>
      <c r="C445" t="s">
        <v>74</v>
      </c>
      <c r="D445" t="s">
        <v>69</v>
      </c>
      <c r="E445">
        <v>22</v>
      </c>
      <c r="F445" s="3">
        <v>7.01</v>
      </c>
      <c r="G445" s="4">
        <v>74.2</v>
      </c>
      <c r="H445">
        <v>1</v>
      </c>
      <c r="I445">
        <v>1</v>
      </c>
      <c r="J445">
        <v>4</v>
      </c>
      <c r="K445" s="4">
        <v>80.400000000000006</v>
      </c>
      <c r="L445" s="4">
        <v>100</v>
      </c>
      <c r="M445" s="4">
        <v>74.7</v>
      </c>
      <c r="N445">
        <v>0</v>
      </c>
      <c r="O445" t="s">
        <v>64</v>
      </c>
      <c r="P445" t="s">
        <v>65</v>
      </c>
      <c r="S445" s="3">
        <v>0</v>
      </c>
      <c r="T445" s="5"/>
      <c r="U445">
        <v>0</v>
      </c>
      <c r="V445">
        <v>2023</v>
      </c>
      <c r="X445">
        <f t="shared" si="18"/>
        <v>7.0099555000000002</v>
      </c>
      <c r="Y445">
        <f t="shared" si="19"/>
        <v>-4.4499999999999997E-5</v>
      </c>
      <c r="Z445">
        <f t="shared" si="20"/>
        <v>99.999955499999999</v>
      </c>
    </row>
    <row r="446" spans="1:26" x14ac:dyDescent="0.3">
      <c r="A446" t="s">
        <v>536</v>
      </c>
      <c r="B446" t="s">
        <v>63</v>
      </c>
      <c r="C446" t="s">
        <v>68</v>
      </c>
      <c r="D446" t="s">
        <v>57</v>
      </c>
      <c r="E446">
        <v>21</v>
      </c>
      <c r="F446" s="3">
        <v>7.52</v>
      </c>
      <c r="G446" s="4">
        <v>94.7</v>
      </c>
      <c r="H446">
        <v>0</v>
      </c>
      <c r="I446">
        <v>0</v>
      </c>
      <c r="J446">
        <v>5</v>
      </c>
      <c r="K446" s="4">
        <v>65.400000000000006</v>
      </c>
      <c r="L446" s="4">
        <v>68.400000000000006</v>
      </c>
      <c r="M446" s="4">
        <v>67.900000000000006</v>
      </c>
      <c r="N446">
        <v>0</v>
      </c>
      <c r="O446" t="s">
        <v>58</v>
      </c>
      <c r="P446" t="s">
        <v>95</v>
      </c>
      <c r="Q446" t="s">
        <v>93</v>
      </c>
      <c r="R446" t="s">
        <v>76</v>
      </c>
      <c r="S446" s="3">
        <v>5.15</v>
      </c>
      <c r="T446" s="5">
        <v>45884</v>
      </c>
      <c r="U446">
        <v>1</v>
      </c>
      <c r="V446">
        <v>2025</v>
      </c>
      <c r="X446">
        <f t="shared" si="18"/>
        <v>7.5199553999999997</v>
      </c>
      <c r="Y446">
        <f t="shared" si="19"/>
        <v>5.1499554000000005</v>
      </c>
      <c r="Z446">
        <f t="shared" si="20"/>
        <v>68.39995540000001</v>
      </c>
    </row>
    <row r="447" spans="1:26" x14ac:dyDescent="0.3">
      <c r="A447" t="s">
        <v>537</v>
      </c>
      <c r="B447" t="s">
        <v>55</v>
      </c>
      <c r="C447" t="s">
        <v>68</v>
      </c>
      <c r="D447" t="s">
        <v>57</v>
      </c>
      <c r="E447">
        <v>23</v>
      </c>
      <c r="F447" s="3">
        <v>6.18</v>
      </c>
      <c r="G447" s="4">
        <v>75.599999999999994</v>
      </c>
      <c r="H447">
        <v>3</v>
      </c>
      <c r="I447">
        <v>3</v>
      </c>
      <c r="J447">
        <v>4</v>
      </c>
      <c r="K447" s="4">
        <v>80</v>
      </c>
      <c r="L447" s="4">
        <v>77.599999999999994</v>
      </c>
      <c r="M447" s="4">
        <v>77.400000000000006</v>
      </c>
      <c r="N447">
        <v>0</v>
      </c>
      <c r="O447" t="s">
        <v>58</v>
      </c>
      <c r="P447" t="s">
        <v>75</v>
      </c>
      <c r="Q447" t="s">
        <v>71</v>
      </c>
      <c r="R447" t="s">
        <v>72</v>
      </c>
      <c r="S447" s="3">
        <v>5.79</v>
      </c>
      <c r="T447" s="5">
        <v>45511</v>
      </c>
      <c r="U447">
        <v>1</v>
      </c>
      <c r="V447">
        <v>2024</v>
      </c>
      <c r="X447">
        <f t="shared" si="18"/>
        <v>6.1799552999999996</v>
      </c>
      <c r="Y447">
        <f t="shared" si="19"/>
        <v>5.7899552999999999</v>
      </c>
      <c r="Z447">
        <f t="shared" si="20"/>
        <v>77.599955299999991</v>
      </c>
    </row>
    <row r="448" spans="1:26" x14ac:dyDescent="0.3">
      <c r="A448" t="s">
        <v>538</v>
      </c>
      <c r="B448" t="s">
        <v>67</v>
      </c>
      <c r="C448" t="s">
        <v>56</v>
      </c>
      <c r="D448" t="s">
        <v>57</v>
      </c>
      <c r="E448">
        <v>22</v>
      </c>
      <c r="F448" s="3">
        <v>7.84</v>
      </c>
      <c r="G448" s="4">
        <v>82.1</v>
      </c>
      <c r="H448">
        <v>2</v>
      </c>
      <c r="I448">
        <v>3</v>
      </c>
      <c r="J448">
        <v>4</v>
      </c>
      <c r="K448" s="4">
        <v>67.599999999999994</v>
      </c>
      <c r="L448" s="4">
        <v>86.3</v>
      </c>
      <c r="M448" s="4">
        <v>57.6</v>
      </c>
      <c r="N448">
        <v>1</v>
      </c>
      <c r="O448" t="s">
        <v>58</v>
      </c>
      <c r="P448" t="s">
        <v>59</v>
      </c>
      <c r="Q448" t="s">
        <v>60</v>
      </c>
      <c r="R448" t="s">
        <v>85</v>
      </c>
      <c r="S448" s="3">
        <v>20.32</v>
      </c>
      <c r="T448" s="5">
        <v>45206</v>
      </c>
      <c r="U448">
        <v>2</v>
      </c>
      <c r="V448">
        <v>2023</v>
      </c>
      <c r="X448">
        <f t="shared" si="18"/>
        <v>7.8399551999999995</v>
      </c>
      <c r="Y448">
        <f t="shared" si="19"/>
        <v>20.319955199999999</v>
      </c>
      <c r="Z448">
        <f t="shared" si="20"/>
        <v>86.299955199999999</v>
      </c>
    </row>
    <row r="449" spans="1:26" x14ac:dyDescent="0.3">
      <c r="A449" t="s">
        <v>539</v>
      </c>
      <c r="B449" t="s">
        <v>107</v>
      </c>
      <c r="C449" t="s">
        <v>74</v>
      </c>
      <c r="D449" t="s">
        <v>57</v>
      </c>
      <c r="E449">
        <v>23</v>
      </c>
      <c r="F449" s="3">
        <v>8</v>
      </c>
      <c r="G449" s="4">
        <v>71.3</v>
      </c>
      <c r="H449">
        <v>1</v>
      </c>
      <c r="I449">
        <v>2</v>
      </c>
      <c r="J449">
        <v>6</v>
      </c>
      <c r="K449" s="4">
        <v>69.2</v>
      </c>
      <c r="L449" s="4">
        <v>90.6</v>
      </c>
      <c r="M449" s="4">
        <v>65.8</v>
      </c>
      <c r="N449">
        <v>2</v>
      </c>
      <c r="O449" t="s">
        <v>58</v>
      </c>
      <c r="P449" t="s">
        <v>70</v>
      </c>
      <c r="Q449" t="s">
        <v>71</v>
      </c>
      <c r="R449" t="s">
        <v>80</v>
      </c>
      <c r="S449" s="3">
        <v>6.65</v>
      </c>
      <c r="T449" s="5">
        <v>44463</v>
      </c>
      <c r="U449">
        <v>1</v>
      </c>
      <c r="V449">
        <v>2021</v>
      </c>
      <c r="X449">
        <f t="shared" si="18"/>
        <v>7.9999551000000002</v>
      </c>
      <c r="Y449">
        <f t="shared" si="19"/>
        <v>6.6499551000000006</v>
      </c>
      <c r="Z449">
        <f t="shared" si="20"/>
        <v>90.599955099999988</v>
      </c>
    </row>
    <row r="450" spans="1:26" x14ac:dyDescent="0.3">
      <c r="A450" t="s">
        <v>540</v>
      </c>
      <c r="B450" t="s">
        <v>107</v>
      </c>
      <c r="C450" t="s">
        <v>68</v>
      </c>
      <c r="D450" t="s">
        <v>57</v>
      </c>
      <c r="E450">
        <v>22</v>
      </c>
      <c r="F450" s="3">
        <v>7.02</v>
      </c>
      <c r="G450" s="4">
        <v>86.6</v>
      </c>
      <c r="H450">
        <v>1</v>
      </c>
      <c r="I450">
        <v>2</v>
      </c>
      <c r="J450">
        <v>3</v>
      </c>
      <c r="K450" s="4">
        <v>56.8</v>
      </c>
      <c r="L450" s="4">
        <v>73.099999999999994</v>
      </c>
      <c r="M450" s="4">
        <v>71.5</v>
      </c>
      <c r="N450">
        <v>1</v>
      </c>
      <c r="O450" t="s">
        <v>58</v>
      </c>
      <c r="P450" t="s">
        <v>59</v>
      </c>
      <c r="Q450" t="s">
        <v>60</v>
      </c>
      <c r="R450" t="s">
        <v>72</v>
      </c>
      <c r="S450" s="3">
        <v>20.05</v>
      </c>
      <c r="T450" s="5">
        <v>44411</v>
      </c>
      <c r="U450">
        <v>3</v>
      </c>
      <c r="V450">
        <v>2021</v>
      </c>
      <c r="X450">
        <f t="shared" ref="X450:X513" si="21">F450-ROW()*0.0000001</f>
        <v>7.0199549999999995</v>
      </c>
      <c r="Y450">
        <f t="shared" ref="Y450:Y513" si="22">S450-ROW()*0.0000001</f>
        <v>20.049955000000001</v>
      </c>
      <c r="Z450">
        <f t="shared" ref="Z450:Z513" si="23">L450-ROW()*0.0000001</f>
        <v>73.099954999999994</v>
      </c>
    </row>
    <row r="451" spans="1:26" x14ac:dyDescent="0.3">
      <c r="A451" t="s">
        <v>541</v>
      </c>
      <c r="B451" t="s">
        <v>82</v>
      </c>
      <c r="C451" t="s">
        <v>68</v>
      </c>
      <c r="D451" t="s">
        <v>57</v>
      </c>
      <c r="E451">
        <v>21</v>
      </c>
      <c r="F451" s="3">
        <v>9.4</v>
      </c>
      <c r="G451" s="4">
        <v>83.2</v>
      </c>
      <c r="H451">
        <v>2</v>
      </c>
      <c r="I451">
        <v>3</v>
      </c>
      <c r="J451">
        <v>4</v>
      </c>
      <c r="K451" s="4">
        <v>82.8</v>
      </c>
      <c r="L451" s="4">
        <v>64.8</v>
      </c>
      <c r="M451" s="4">
        <v>80.5</v>
      </c>
      <c r="N451">
        <v>0</v>
      </c>
      <c r="O451" t="s">
        <v>58</v>
      </c>
      <c r="P451" t="s">
        <v>90</v>
      </c>
      <c r="Q451" t="s">
        <v>60</v>
      </c>
      <c r="R451" t="s">
        <v>72</v>
      </c>
      <c r="S451" s="3">
        <v>9.67</v>
      </c>
      <c r="T451" s="5">
        <v>44793</v>
      </c>
      <c r="U451">
        <v>2</v>
      </c>
      <c r="V451">
        <v>2022</v>
      </c>
      <c r="X451">
        <f t="shared" si="21"/>
        <v>9.3999549000000009</v>
      </c>
      <c r="Y451">
        <f t="shared" si="22"/>
        <v>9.6699549000000005</v>
      </c>
      <c r="Z451">
        <f t="shared" si="23"/>
        <v>64.799954900000003</v>
      </c>
    </row>
    <row r="452" spans="1:26" x14ac:dyDescent="0.3">
      <c r="A452" t="s">
        <v>542</v>
      </c>
      <c r="B452" t="s">
        <v>67</v>
      </c>
      <c r="C452" t="s">
        <v>78</v>
      </c>
      <c r="D452" t="s">
        <v>57</v>
      </c>
      <c r="E452">
        <v>22</v>
      </c>
      <c r="F452" s="3">
        <v>7.54</v>
      </c>
      <c r="G452" s="4">
        <v>88.6</v>
      </c>
      <c r="H452">
        <v>1</v>
      </c>
      <c r="I452">
        <v>1</v>
      </c>
      <c r="J452">
        <v>4</v>
      </c>
      <c r="K452" s="4">
        <v>77.400000000000006</v>
      </c>
      <c r="L452" s="4">
        <v>62.6</v>
      </c>
      <c r="M452" s="4">
        <v>90.6</v>
      </c>
      <c r="N452">
        <v>0</v>
      </c>
      <c r="O452" t="s">
        <v>58</v>
      </c>
      <c r="P452" t="s">
        <v>70</v>
      </c>
      <c r="Q452" t="s">
        <v>71</v>
      </c>
      <c r="R452" t="s">
        <v>61</v>
      </c>
      <c r="S452" s="3">
        <v>6.69</v>
      </c>
      <c r="T452" s="5">
        <v>45141</v>
      </c>
      <c r="U452">
        <v>2</v>
      </c>
      <c r="V452">
        <v>2023</v>
      </c>
      <c r="X452">
        <f t="shared" si="21"/>
        <v>7.5399548000000003</v>
      </c>
      <c r="Y452">
        <f t="shared" si="22"/>
        <v>6.6899548000000006</v>
      </c>
      <c r="Z452">
        <f t="shared" si="23"/>
        <v>62.599954799999999</v>
      </c>
    </row>
    <row r="453" spans="1:26" x14ac:dyDescent="0.3">
      <c r="A453" t="s">
        <v>543</v>
      </c>
      <c r="B453" t="s">
        <v>55</v>
      </c>
      <c r="C453" t="s">
        <v>74</v>
      </c>
      <c r="D453" t="s">
        <v>57</v>
      </c>
      <c r="E453">
        <v>23</v>
      </c>
      <c r="F453" s="3">
        <v>7.69</v>
      </c>
      <c r="G453" s="4">
        <v>66.400000000000006</v>
      </c>
      <c r="H453">
        <v>0</v>
      </c>
      <c r="I453">
        <v>2</v>
      </c>
      <c r="J453">
        <v>6</v>
      </c>
      <c r="K453" s="4">
        <v>75.7</v>
      </c>
      <c r="L453" s="4">
        <v>50.8</v>
      </c>
      <c r="M453" s="4">
        <v>87</v>
      </c>
      <c r="N453">
        <v>0</v>
      </c>
      <c r="O453" t="s">
        <v>64</v>
      </c>
      <c r="P453" t="s">
        <v>65</v>
      </c>
      <c r="S453" s="3">
        <v>0</v>
      </c>
      <c r="T453" s="5"/>
      <c r="U453">
        <v>0</v>
      </c>
      <c r="V453">
        <v>2024</v>
      </c>
      <c r="X453">
        <f t="shared" si="21"/>
        <v>7.6899547000000004</v>
      </c>
      <c r="Y453">
        <f t="shared" si="22"/>
        <v>-4.5299999999999997E-5</v>
      </c>
      <c r="Z453">
        <f t="shared" si="23"/>
        <v>50.799954700000001</v>
      </c>
    </row>
    <row r="454" spans="1:26" x14ac:dyDescent="0.3">
      <c r="A454" t="s">
        <v>544</v>
      </c>
      <c r="B454" t="s">
        <v>63</v>
      </c>
      <c r="C454" t="s">
        <v>68</v>
      </c>
      <c r="D454" t="s">
        <v>57</v>
      </c>
      <c r="E454">
        <v>23</v>
      </c>
      <c r="F454" s="3">
        <v>8.85</v>
      </c>
      <c r="G454" s="4">
        <v>83.2</v>
      </c>
      <c r="H454">
        <v>1</v>
      </c>
      <c r="I454">
        <v>0</v>
      </c>
      <c r="J454">
        <v>3</v>
      </c>
      <c r="K454" s="4">
        <v>82.9</v>
      </c>
      <c r="L454" s="4">
        <v>83.3</v>
      </c>
      <c r="M454" s="4">
        <v>85</v>
      </c>
      <c r="N454">
        <v>0</v>
      </c>
      <c r="O454" t="s">
        <v>58</v>
      </c>
      <c r="P454" t="s">
        <v>59</v>
      </c>
      <c r="Q454" t="s">
        <v>60</v>
      </c>
      <c r="R454" t="s">
        <v>76</v>
      </c>
      <c r="S454" s="3">
        <v>21.51</v>
      </c>
      <c r="T454" s="5">
        <v>45889</v>
      </c>
      <c r="U454">
        <v>2</v>
      </c>
      <c r="V454">
        <v>2025</v>
      </c>
      <c r="X454">
        <f t="shared" si="21"/>
        <v>8.8499546000000002</v>
      </c>
      <c r="Y454">
        <f t="shared" si="22"/>
        <v>21.5099546</v>
      </c>
      <c r="Z454">
        <f t="shared" si="23"/>
        <v>83.299954599999992</v>
      </c>
    </row>
    <row r="455" spans="1:26" x14ac:dyDescent="0.3">
      <c r="A455" t="s">
        <v>545</v>
      </c>
      <c r="B455" t="s">
        <v>63</v>
      </c>
      <c r="C455" t="s">
        <v>68</v>
      </c>
      <c r="D455" t="s">
        <v>57</v>
      </c>
      <c r="E455">
        <v>21</v>
      </c>
      <c r="F455" s="3">
        <v>9.58</v>
      </c>
      <c r="G455" s="4">
        <v>85.6</v>
      </c>
      <c r="H455">
        <v>3</v>
      </c>
      <c r="I455">
        <v>1</v>
      </c>
      <c r="J455">
        <v>4</v>
      </c>
      <c r="K455" s="4">
        <v>53.3</v>
      </c>
      <c r="L455" s="4">
        <v>100</v>
      </c>
      <c r="M455" s="4">
        <v>87.1</v>
      </c>
      <c r="N455">
        <v>0</v>
      </c>
      <c r="O455" t="s">
        <v>58</v>
      </c>
      <c r="P455" t="s">
        <v>59</v>
      </c>
      <c r="Q455" t="s">
        <v>60</v>
      </c>
      <c r="R455" t="s">
        <v>76</v>
      </c>
      <c r="S455" s="3">
        <v>23.34</v>
      </c>
      <c r="T455" s="5">
        <v>45879</v>
      </c>
      <c r="U455">
        <v>2</v>
      </c>
      <c r="V455">
        <v>2025</v>
      </c>
      <c r="X455">
        <f t="shared" si="21"/>
        <v>9.5799544999999995</v>
      </c>
      <c r="Y455">
        <f t="shared" si="22"/>
        <v>23.339954500000001</v>
      </c>
      <c r="Z455">
        <f t="shared" si="23"/>
        <v>99.999954500000001</v>
      </c>
    </row>
    <row r="456" spans="1:26" x14ac:dyDescent="0.3">
      <c r="A456" t="s">
        <v>546</v>
      </c>
      <c r="B456" t="s">
        <v>55</v>
      </c>
      <c r="C456" t="s">
        <v>78</v>
      </c>
      <c r="D456" t="s">
        <v>69</v>
      </c>
      <c r="E456">
        <v>22</v>
      </c>
      <c r="F456" s="3">
        <v>6.64</v>
      </c>
      <c r="G456" s="4">
        <v>73.099999999999994</v>
      </c>
      <c r="H456">
        <v>1</v>
      </c>
      <c r="I456">
        <v>4</v>
      </c>
      <c r="J456">
        <v>2</v>
      </c>
      <c r="K456" s="4">
        <v>69</v>
      </c>
      <c r="L456" s="4">
        <v>90.3</v>
      </c>
      <c r="M456" s="4">
        <v>81.099999999999994</v>
      </c>
      <c r="N456">
        <v>1</v>
      </c>
      <c r="O456" t="s">
        <v>58</v>
      </c>
      <c r="P456" t="s">
        <v>104</v>
      </c>
      <c r="Q456" t="s">
        <v>105</v>
      </c>
      <c r="R456" t="s">
        <v>61</v>
      </c>
      <c r="S456" s="3">
        <v>16.13</v>
      </c>
      <c r="T456" s="5">
        <v>45565</v>
      </c>
      <c r="U456">
        <v>1</v>
      </c>
      <c r="V456">
        <v>2024</v>
      </c>
      <c r="X456">
        <f t="shared" si="21"/>
        <v>6.6399543999999997</v>
      </c>
      <c r="Y456">
        <f t="shared" si="22"/>
        <v>16.129954399999999</v>
      </c>
      <c r="Z456">
        <f t="shared" si="23"/>
        <v>90.29995439999999</v>
      </c>
    </row>
    <row r="457" spans="1:26" x14ac:dyDescent="0.3">
      <c r="A457" t="s">
        <v>547</v>
      </c>
      <c r="B457" t="s">
        <v>82</v>
      </c>
      <c r="C457" t="s">
        <v>101</v>
      </c>
      <c r="D457" t="s">
        <v>57</v>
      </c>
      <c r="E457">
        <v>20</v>
      </c>
      <c r="F457" s="3">
        <v>7.13</v>
      </c>
      <c r="G457" s="4">
        <v>86.8</v>
      </c>
      <c r="H457">
        <v>1</v>
      </c>
      <c r="I457">
        <v>2</v>
      </c>
      <c r="J457">
        <v>6</v>
      </c>
      <c r="K457" s="4">
        <v>83.5</v>
      </c>
      <c r="L457" s="4">
        <v>70.3</v>
      </c>
      <c r="M457" s="4">
        <v>74.900000000000006</v>
      </c>
      <c r="N457">
        <v>0</v>
      </c>
      <c r="O457" t="s">
        <v>58</v>
      </c>
      <c r="P457" t="s">
        <v>87</v>
      </c>
      <c r="Q457" t="s">
        <v>71</v>
      </c>
      <c r="R457" t="s">
        <v>109</v>
      </c>
      <c r="S457" s="3">
        <v>7.61</v>
      </c>
      <c r="T457" s="5">
        <v>44872</v>
      </c>
      <c r="U457">
        <v>1</v>
      </c>
      <c r="V457">
        <v>2022</v>
      </c>
      <c r="X457">
        <f t="shared" si="21"/>
        <v>7.1299542999999996</v>
      </c>
      <c r="Y457">
        <f t="shared" si="22"/>
        <v>7.6099543000000001</v>
      </c>
      <c r="Z457">
        <f t="shared" si="23"/>
        <v>70.299954299999996</v>
      </c>
    </row>
    <row r="458" spans="1:26" x14ac:dyDescent="0.3">
      <c r="A458" t="s">
        <v>548</v>
      </c>
      <c r="B458" t="s">
        <v>63</v>
      </c>
      <c r="C458" t="s">
        <v>68</v>
      </c>
      <c r="D458" t="s">
        <v>57</v>
      </c>
      <c r="E458">
        <v>22</v>
      </c>
      <c r="F458" s="3">
        <v>7.56</v>
      </c>
      <c r="G458" s="4">
        <v>61.3</v>
      </c>
      <c r="H458">
        <v>0</v>
      </c>
      <c r="I458">
        <v>3</v>
      </c>
      <c r="J458">
        <v>4</v>
      </c>
      <c r="K458" s="4">
        <v>67.5</v>
      </c>
      <c r="L458" s="4">
        <v>50.7</v>
      </c>
      <c r="M458" s="4">
        <v>62</v>
      </c>
      <c r="N458">
        <v>0</v>
      </c>
      <c r="O458" t="s">
        <v>64</v>
      </c>
      <c r="P458" t="s">
        <v>65</v>
      </c>
      <c r="S458" s="3">
        <v>0</v>
      </c>
      <c r="T458" s="5"/>
      <c r="U458">
        <v>0</v>
      </c>
      <c r="V458">
        <v>2025</v>
      </c>
      <c r="X458">
        <f t="shared" si="21"/>
        <v>7.5599542</v>
      </c>
      <c r="Y458">
        <f t="shared" si="22"/>
        <v>-4.5799999999999995E-5</v>
      </c>
      <c r="Z458">
        <f t="shared" si="23"/>
        <v>50.699954200000001</v>
      </c>
    </row>
    <row r="459" spans="1:26" x14ac:dyDescent="0.3">
      <c r="A459" t="s">
        <v>549</v>
      </c>
      <c r="B459" t="s">
        <v>67</v>
      </c>
      <c r="C459" t="s">
        <v>101</v>
      </c>
      <c r="D459" t="s">
        <v>69</v>
      </c>
      <c r="E459">
        <v>21</v>
      </c>
      <c r="F459" s="3">
        <v>6.98</v>
      </c>
      <c r="G459" s="4">
        <v>80.900000000000006</v>
      </c>
      <c r="H459">
        <v>0</v>
      </c>
      <c r="I459">
        <v>2</v>
      </c>
      <c r="J459">
        <v>5</v>
      </c>
      <c r="K459" s="4">
        <v>70.099999999999994</v>
      </c>
      <c r="L459" s="4">
        <v>61.7</v>
      </c>
      <c r="M459" s="4">
        <v>74.400000000000006</v>
      </c>
      <c r="N459">
        <v>0</v>
      </c>
      <c r="O459" t="s">
        <v>58</v>
      </c>
      <c r="P459" t="s">
        <v>95</v>
      </c>
      <c r="Q459" t="s">
        <v>93</v>
      </c>
      <c r="R459" t="s">
        <v>109</v>
      </c>
      <c r="S459" s="3">
        <v>3.58</v>
      </c>
      <c r="T459" s="5">
        <v>45232</v>
      </c>
      <c r="U459">
        <v>1</v>
      </c>
      <c r="V459">
        <v>2023</v>
      </c>
      <c r="X459">
        <f t="shared" si="21"/>
        <v>6.9799541000000005</v>
      </c>
      <c r="Y459">
        <f t="shared" si="22"/>
        <v>3.5799541000000001</v>
      </c>
      <c r="Z459">
        <f t="shared" si="23"/>
        <v>61.699954099999999</v>
      </c>
    </row>
    <row r="460" spans="1:26" x14ac:dyDescent="0.3">
      <c r="A460" t="s">
        <v>550</v>
      </c>
      <c r="B460" t="s">
        <v>82</v>
      </c>
      <c r="C460" t="s">
        <v>74</v>
      </c>
      <c r="D460" t="s">
        <v>69</v>
      </c>
      <c r="E460">
        <v>20</v>
      </c>
      <c r="F460" s="3">
        <v>8.41</v>
      </c>
      <c r="G460" s="4">
        <v>94.7</v>
      </c>
      <c r="H460">
        <v>1</v>
      </c>
      <c r="I460">
        <v>3</v>
      </c>
      <c r="J460">
        <v>5</v>
      </c>
      <c r="K460" s="4">
        <v>69.7</v>
      </c>
      <c r="L460" s="4">
        <v>76</v>
      </c>
      <c r="M460" s="4">
        <v>54.3</v>
      </c>
      <c r="N460">
        <v>1</v>
      </c>
      <c r="O460" t="s">
        <v>58</v>
      </c>
      <c r="P460" t="s">
        <v>75</v>
      </c>
      <c r="Q460" t="s">
        <v>71</v>
      </c>
      <c r="R460" t="s">
        <v>61</v>
      </c>
      <c r="S460" s="3">
        <v>6.64</v>
      </c>
      <c r="T460" s="5">
        <v>44863</v>
      </c>
      <c r="U460">
        <v>1</v>
      </c>
      <c r="V460">
        <v>2022</v>
      </c>
      <c r="X460">
        <f t="shared" si="21"/>
        <v>8.4099540000000008</v>
      </c>
      <c r="Y460">
        <f t="shared" si="22"/>
        <v>6.6399539999999995</v>
      </c>
      <c r="Z460">
        <f t="shared" si="23"/>
        <v>75.999954000000002</v>
      </c>
    </row>
    <row r="461" spans="1:26" x14ac:dyDescent="0.3">
      <c r="A461" t="s">
        <v>551</v>
      </c>
      <c r="B461" t="s">
        <v>67</v>
      </c>
      <c r="C461" t="s">
        <v>68</v>
      </c>
      <c r="D461" t="s">
        <v>69</v>
      </c>
      <c r="E461">
        <v>21</v>
      </c>
      <c r="F461" s="3">
        <v>6.88</v>
      </c>
      <c r="G461" s="4">
        <v>80.8</v>
      </c>
      <c r="H461">
        <v>1</v>
      </c>
      <c r="I461">
        <v>2</v>
      </c>
      <c r="J461">
        <v>4</v>
      </c>
      <c r="K461" s="4">
        <v>74.599999999999994</v>
      </c>
      <c r="L461" s="4">
        <v>64.900000000000006</v>
      </c>
      <c r="M461" s="4">
        <v>67.7</v>
      </c>
      <c r="N461">
        <v>0</v>
      </c>
      <c r="O461" t="s">
        <v>64</v>
      </c>
      <c r="P461" t="s">
        <v>65</v>
      </c>
      <c r="S461" s="3">
        <v>0</v>
      </c>
      <c r="T461" s="5"/>
      <c r="U461">
        <v>0</v>
      </c>
      <c r="V461">
        <v>2023</v>
      </c>
      <c r="X461">
        <f t="shared" si="21"/>
        <v>6.8799539000000003</v>
      </c>
      <c r="Y461">
        <f t="shared" si="22"/>
        <v>-4.6099999999999996E-5</v>
      </c>
      <c r="Z461">
        <f t="shared" si="23"/>
        <v>64.8999539</v>
      </c>
    </row>
    <row r="462" spans="1:26" x14ac:dyDescent="0.3">
      <c r="A462" t="s">
        <v>552</v>
      </c>
      <c r="B462" t="s">
        <v>107</v>
      </c>
      <c r="C462" t="s">
        <v>74</v>
      </c>
      <c r="D462" t="s">
        <v>69</v>
      </c>
      <c r="E462">
        <v>22</v>
      </c>
      <c r="F462" s="3">
        <v>8.7899999999999991</v>
      </c>
      <c r="G462" s="4">
        <v>75.5</v>
      </c>
      <c r="H462">
        <v>3</v>
      </c>
      <c r="I462">
        <v>0</v>
      </c>
      <c r="J462">
        <v>4</v>
      </c>
      <c r="K462" s="4">
        <v>41.1</v>
      </c>
      <c r="L462" s="4">
        <v>68.099999999999994</v>
      </c>
      <c r="M462" s="4">
        <v>74.8</v>
      </c>
      <c r="N462">
        <v>0</v>
      </c>
      <c r="O462" t="s">
        <v>58</v>
      </c>
      <c r="P462" t="s">
        <v>92</v>
      </c>
      <c r="Q462" t="s">
        <v>93</v>
      </c>
      <c r="R462" t="s">
        <v>72</v>
      </c>
      <c r="S462" s="3">
        <v>8.7899999999999991</v>
      </c>
      <c r="T462" s="5">
        <v>44492</v>
      </c>
      <c r="U462">
        <v>1</v>
      </c>
      <c r="V462">
        <v>2021</v>
      </c>
      <c r="X462">
        <f t="shared" si="21"/>
        <v>8.7899537999999993</v>
      </c>
      <c r="Y462">
        <f t="shared" si="22"/>
        <v>8.7899537999999993</v>
      </c>
      <c r="Z462">
        <f t="shared" si="23"/>
        <v>68.099953799999994</v>
      </c>
    </row>
    <row r="463" spans="1:26" x14ac:dyDescent="0.3">
      <c r="A463" t="s">
        <v>553</v>
      </c>
      <c r="B463" t="s">
        <v>82</v>
      </c>
      <c r="C463" t="s">
        <v>68</v>
      </c>
      <c r="D463" t="s">
        <v>57</v>
      </c>
      <c r="E463">
        <v>20</v>
      </c>
      <c r="F463" s="3">
        <v>8.2100000000000009</v>
      </c>
      <c r="G463" s="4">
        <v>81.400000000000006</v>
      </c>
      <c r="H463">
        <v>1</v>
      </c>
      <c r="I463">
        <v>4</v>
      </c>
      <c r="J463">
        <v>4</v>
      </c>
      <c r="K463" s="4">
        <v>69.7</v>
      </c>
      <c r="L463" s="4">
        <v>75.8</v>
      </c>
      <c r="M463" s="4">
        <v>74.7</v>
      </c>
      <c r="N463">
        <v>0</v>
      </c>
      <c r="O463" t="s">
        <v>58</v>
      </c>
      <c r="P463" t="s">
        <v>75</v>
      </c>
      <c r="Q463" t="s">
        <v>71</v>
      </c>
      <c r="R463" t="s">
        <v>76</v>
      </c>
      <c r="S463" s="3">
        <v>6.26</v>
      </c>
      <c r="T463" s="5">
        <v>44824</v>
      </c>
      <c r="U463">
        <v>1</v>
      </c>
      <c r="V463">
        <v>2022</v>
      </c>
      <c r="X463">
        <f t="shared" si="21"/>
        <v>8.2099537000000016</v>
      </c>
      <c r="Y463">
        <f t="shared" si="22"/>
        <v>6.2599536999999996</v>
      </c>
      <c r="Z463">
        <f t="shared" si="23"/>
        <v>75.799953700000003</v>
      </c>
    </row>
    <row r="464" spans="1:26" x14ac:dyDescent="0.3">
      <c r="A464" t="s">
        <v>554</v>
      </c>
      <c r="B464" t="s">
        <v>63</v>
      </c>
      <c r="C464" t="s">
        <v>78</v>
      </c>
      <c r="D464" t="s">
        <v>57</v>
      </c>
      <c r="E464">
        <v>21</v>
      </c>
      <c r="F464" s="3">
        <v>8.6999999999999993</v>
      </c>
      <c r="G464" s="4">
        <v>82.9</v>
      </c>
      <c r="H464">
        <v>1</v>
      </c>
      <c r="I464">
        <v>0</v>
      </c>
      <c r="J464">
        <v>3</v>
      </c>
      <c r="K464" s="4">
        <v>73.599999999999994</v>
      </c>
      <c r="L464" s="4">
        <v>73.2</v>
      </c>
      <c r="M464" s="4">
        <v>66.400000000000006</v>
      </c>
      <c r="N464">
        <v>0</v>
      </c>
      <c r="O464" t="s">
        <v>58</v>
      </c>
      <c r="P464" t="s">
        <v>104</v>
      </c>
      <c r="Q464" t="s">
        <v>105</v>
      </c>
      <c r="R464" t="s">
        <v>85</v>
      </c>
      <c r="S464" s="3">
        <v>15.71</v>
      </c>
      <c r="T464" s="5">
        <v>45986</v>
      </c>
      <c r="U464">
        <v>3</v>
      </c>
      <c r="V464">
        <v>2025</v>
      </c>
      <c r="X464">
        <f t="shared" si="21"/>
        <v>8.6999535999999988</v>
      </c>
      <c r="Y464">
        <f t="shared" si="22"/>
        <v>15.7099536</v>
      </c>
      <c r="Z464">
        <f t="shared" si="23"/>
        <v>73.199953600000001</v>
      </c>
    </row>
    <row r="465" spans="1:26" x14ac:dyDescent="0.3">
      <c r="A465" t="s">
        <v>555</v>
      </c>
      <c r="B465" t="s">
        <v>82</v>
      </c>
      <c r="C465" t="s">
        <v>84</v>
      </c>
      <c r="D465" t="s">
        <v>69</v>
      </c>
      <c r="E465">
        <v>23</v>
      </c>
      <c r="F465" s="3">
        <v>6.89</v>
      </c>
      <c r="G465" s="4">
        <v>90.1</v>
      </c>
      <c r="H465">
        <v>1</v>
      </c>
      <c r="I465">
        <v>2</v>
      </c>
      <c r="J465">
        <v>3</v>
      </c>
      <c r="K465" s="4">
        <v>73.5</v>
      </c>
      <c r="L465" s="4">
        <v>100</v>
      </c>
      <c r="M465" s="4">
        <v>53.3</v>
      </c>
      <c r="N465">
        <v>1</v>
      </c>
      <c r="O465" t="s">
        <v>58</v>
      </c>
      <c r="P465" t="s">
        <v>95</v>
      </c>
      <c r="Q465" t="s">
        <v>93</v>
      </c>
      <c r="R465" t="s">
        <v>130</v>
      </c>
      <c r="S465" s="3">
        <v>5.52</v>
      </c>
      <c r="T465" s="5">
        <v>44815</v>
      </c>
      <c r="U465">
        <v>1</v>
      </c>
      <c r="V465">
        <v>2022</v>
      </c>
      <c r="X465">
        <f t="shared" si="21"/>
        <v>6.8899534999999998</v>
      </c>
      <c r="Y465">
        <f t="shared" si="22"/>
        <v>5.5199534999999997</v>
      </c>
      <c r="Z465">
        <f t="shared" si="23"/>
        <v>99.999953500000004</v>
      </c>
    </row>
    <row r="466" spans="1:26" x14ac:dyDescent="0.3">
      <c r="A466" t="s">
        <v>556</v>
      </c>
      <c r="B466" t="s">
        <v>82</v>
      </c>
      <c r="C466" t="s">
        <v>56</v>
      </c>
      <c r="D466" t="s">
        <v>57</v>
      </c>
      <c r="E466">
        <v>20</v>
      </c>
      <c r="F466" s="3">
        <v>7.3</v>
      </c>
      <c r="G466" s="4">
        <v>83.2</v>
      </c>
      <c r="H466">
        <v>2</v>
      </c>
      <c r="I466">
        <v>2</v>
      </c>
      <c r="J466">
        <v>2</v>
      </c>
      <c r="K466" s="4">
        <v>90.4</v>
      </c>
      <c r="L466" s="4">
        <v>100</v>
      </c>
      <c r="M466" s="4">
        <v>67.3</v>
      </c>
      <c r="N466">
        <v>0</v>
      </c>
      <c r="O466" t="s">
        <v>58</v>
      </c>
      <c r="P466" t="s">
        <v>112</v>
      </c>
      <c r="Q466" t="s">
        <v>93</v>
      </c>
      <c r="R466" t="s">
        <v>85</v>
      </c>
      <c r="S466" s="3">
        <v>7.51</v>
      </c>
      <c r="T466" s="5">
        <v>44846</v>
      </c>
      <c r="U466">
        <v>1</v>
      </c>
      <c r="V466">
        <v>2022</v>
      </c>
      <c r="X466">
        <f t="shared" si="21"/>
        <v>7.2999533999999997</v>
      </c>
      <c r="Y466">
        <f t="shared" si="22"/>
        <v>7.5099533999999997</v>
      </c>
      <c r="Z466">
        <f t="shared" si="23"/>
        <v>99.999953399999995</v>
      </c>
    </row>
    <row r="467" spans="1:26" x14ac:dyDescent="0.3">
      <c r="A467" t="s">
        <v>557</v>
      </c>
      <c r="B467" t="s">
        <v>82</v>
      </c>
      <c r="C467" t="s">
        <v>89</v>
      </c>
      <c r="D467" t="s">
        <v>57</v>
      </c>
      <c r="E467">
        <v>20</v>
      </c>
      <c r="F467" s="3">
        <v>8.4600000000000009</v>
      </c>
      <c r="G467" s="4">
        <v>88.9</v>
      </c>
      <c r="H467">
        <v>0</v>
      </c>
      <c r="I467">
        <v>0</v>
      </c>
      <c r="J467">
        <v>3</v>
      </c>
      <c r="K467" s="4">
        <v>59.8</v>
      </c>
      <c r="L467" s="4">
        <v>65.400000000000006</v>
      </c>
      <c r="M467" s="4">
        <v>70.900000000000006</v>
      </c>
      <c r="N467">
        <v>0</v>
      </c>
      <c r="O467" t="s">
        <v>58</v>
      </c>
      <c r="P467" t="s">
        <v>87</v>
      </c>
      <c r="Q467" t="s">
        <v>71</v>
      </c>
      <c r="R467" t="s">
        <v>85</v>
      </c>
      <c r="S467" s="3">
        <v>6.81</v>
      </c>
      <c r="T467" s="5">
        <v>44848</v>
      </c>
      <c r="U467">
        <v>1</v>
      </c>
      <c r="V467">
        <v>2022</v>
      </c>
      <c r="X467">
        <f t="shared" si="21"/>
        <v>8.4599533000000005</v>
      </c>
      <c r="Y467">
        <f t="shared" si="22"/>
        <v>6.8099532999999992</v>
      </c>
      <c r="Z467">
        <f t="shared" si="23"/>
        <v>65.399953300000007</v>
      </c>
    </row>
    <row r="468" spans="1:26" x14ac:dyDescent="0.3">
      <c r="A468" t="s">
        <v>558</v>
      </c>
      <c r="B468" t="s">
        <v>82</v>
      </c>
      <c r="C468" t="s">
        <v>89</v>
      </c>
      <c r="D468" t="s">
        <v>69</v>
      </c>
      <c r="E468">
        <v>21</v>
      </c>
      <c r="F468" s="3">
        <v>8.2899999999999991</v>
      </c>
      <c r="G468" s="4">
        <v>82.8</v>
      </c>
      <c r="H468">
        <v>1</v>
      </c>
      <c r="I468">
        <v>0</v>
      </c>
      <c r="J468">
        <v>6</v>
      </c>
      <c r="K468" s="4">
        <v>91.1</v>
      </c>
      <c r="L468" s="4">
        <v>85.5</v>
      </c>
      <c r="M468" s="4">
        <v>76.3</v>
      </c>
      <c r="N468">
        <v>1</v>
      </c>
      <c r="O468" t="s">
        <v>58</v>
      </c>
      <c r="P468" t="s">
        <v>95</v>
      </c>
      <c r="Q468" t="s">
        <v>93</v>
      </c>
      <c r="R468" t="s">
        <v>130</v>
      </c>
      <c r="S468" s="3">
        <v>7.83</v>
      </c>
      <c r="T468" s="5">
        <v>44870</v>
      </c>
      <c r="U468">
        <v>2</v>
      </c>
      <c r="V468">
        <v>2022</v>
      </c>
      <c r="X468">
        <f t="shared" si="21"/>
        <v>8.2899531999999994</v>
      </c>
      <c r="Y468">
        <f t="shared" si="22"/>
        <v>7.8299532000000003</v>
      </c>
      <c r="Z468">
        <f t="shared" si="23"/>
        <v>85.499953199999993</v>
      </c>
    </row>
    <row r="469" spans="1:26" x14ac:dyDescent="0.3">
      <c r="A469" t="s">
        <v>559</v>
      </c>
      <c r="B469" t="s">
        <v>67</v>
      </c>
      <c r="C469" t="s">
        <v>56</v>
      </c>
      <c r="D469" t="s">
        <v>57</v>
      </c>
      <c r="E469">
        <v>23</v>
      </c>
      <c r="F469" s="3">
        <v>7.39</v>
      </c>
      <c r="G469" s="4">
        <v>75.3</v>
      </c>
      <c r="H469">
        <v>2</v>
      </c>
      <c r="I469">
        <v>3</v>
      </c>
      <c r="J469">
        <v>3</v>
      </c>
      <c r="K469" s="4">
        <v>62.9</v>
      </c>
      <c r="L469" s="4">
        <v>49.1</v>
      </c>
      <c r="M469" s="4">
        <v>82.3</v>
      </c>
      <c r="N469">
        <v>0</v>
      </c>
      <c r="O469" t="s">
        <v>58</v>
      </c>
      <c r="P469" t="s">
        <v>79</v>
      </c>
      <c r="Q469" t="s">
        <v>71</v>
      </c>
      <c r="R469" t="s">
        <v>85</v>
      </c>
      <c r="S469" s="3">
        <v>6.18</v>
      </c>
      <c r="T469" s="5">
        <v>45168</v>
      </c>
      <c r="U469">
        <v>1</v>
      </c>
      <c r="V469">
        <v>2023</v>
      </c>
      <c r="X469">
        <f t="shared" si="21"/>
        <v>7.3899530999999996</v>
      </c>
      <c r="Y469">
        <f t="shared" si="22"/>
        <v>6.1799530999999996</v>
      </c>
      <c r="Z469">
        <f t="shared" si="23"/>
        <v>49.0999531</v>
      </c>
    </row>
    <row r="470" spans="1:26" x14ac:dyDescent="0.3">
      <c r="A470" t="s">
        <v>560</v>
      </c>
      <c r="B470" t="s">
        <v>107</v>
      </c>
      <c r="C470" t="s">
        <v>56</v>
      </c>
      <c r="D470" t="s">
        <v>57</v>
      </c>
      <c r="E470">
        <v>20</v>
      </c>
      <c r="F470" s="3">
        <v>7.52</v>
      </c>
      <c r="G470" s="4">
        <v>69.400000000000006</v>
      </c>
      <c r="H470">
        <v>0</v>
      </c>
      <c r="I470">
        <v>1</v>
      </c>
      <c r="J470">
        <v>5</v>
      </c>
      <c r="K470" s="4">
        <v>49.1</v>
      </c>
      <c r="L470" s="4">
        <v>84.1</v>
      </c>
      <c r="M470" s="4">
        <v>70.3</v>
      </c>
      <c r="N470">
        <v>0</v>
      </c>
      <c r="O470" t="s">
        <v>64</v>
      </c>
      <c r="P470" t="s">
        <v>65</v>
      </c>
      <c r="S470" s="3">
        <v>0</v>
      </c>
      <c r="T470" s="5"/>
      <c r="U470">
        <v>0</v>
      </c>
      <c r="V470">
        <v>2021</v>
      </c>
      <c r="X470">
        <f t="shared" si="21"/>
        <v>7.5199529999999992</v>
      </c>
      <c r="Y470">
        <f t="shared" si="22"/>
        <v>-4.6999999999999997E-5</v>
      </c>
      <c r="Z470">
        <f t="shared" si="23"/>
        <v>84.099952999999999</v>
      </c>
    </row>
    <row r="471" spans="1:26" x14ac:dyDescent="0.3">
      <c r="A471" t="s">
        <v>561</v>
      </c>
      <c r="B471" t="s">
        <v>55</v>
      </c>
      <c r="C471" t="s">
        <v>74</v>
      </c>
      <c r="D471" t="s">
        <v>57</v>
      </c>
      <c r="E471">
        <v>21</v>
      </c>
      <c r="F471" s="3">
        <v>7.26</v>
      </c>
      <c r="G471" s="4">
        <v>85.3</v>
      </c>
      <c r="H471">
        <v>3</v>
      </c>
      <c r="I471">
        <v>2</v>
      </c>
      <c r="J471">
        <v>2</v>
      </c>
      <c r="K471" s="4">
        <v>89.1</v>
      </c>
      <c r="L471" s="4">
        <v>77.3</v>
      </c>
      <c r="M471" s="4">
        <v>69.400000000000006</v>
      </c>
      <c r="N471">
        <v>0</v>
      </c>
      <c r="O471" t="s">
        <v>58</v>
      </c>
      <c r="P471" t="s">
        <v>112</v>
      </c>
      <c r="Q471" t="s">
        <v>93</v>
      </c>
      <c r="R471" t="s">
        <v>80</v>
      </c>
      <c r="S471" s="3">
        <v>8.6</v>
      </c>
      <c r="T471" s="5">
        <v>45620</v>
      </c>
      <c r="U471">
        <v>1</v>
      </c>
      <c r="V471">
        <v>2024</v>
      </c>
      <c r="X471">
        <f t="shared" si="21"/>
        <v>7.2599529</v>
      </c>
      <c r="Y471">
        <f t="shared" si="22"/>
        <v>8.5999528999999999</v>
      </c>
      <c r="Z471">
        <f t="shared" si="23"/>
        <v>77.299952899999994</v>
      </c>
    </row>
    <row r="472" spans="1:26" x14ac:dyDescent="0.3">
      <c r="A472" t="s">
        <v>562</v>
      </c>
      <c r="B472" t="s">
        <v>82</v>
      </c>
      <c r="C472" t="s">
        <v>56</v>
      </c>
      <c r="D472" t="s">
        <v>57</v>
      </c>
      <c r="E472">
        <v>20</v>
      </c>
      <c r="F472" s="3">
        <v>7.5</v>
      </c>
      <c r="G472" s="4">
        <v>59.8</v>
      </c>
      <c r="H472">
        <v>1</v>
      </c>
      <c r="I472">
        <v>2</v>
      </c>
      <c r="J472">
        <v>3</v>
      </c>
      <c r="K472" s="4">
        <v>82.7</v>
      </c>
      <c r="L472" s="4">
        <v>56.5</v>
      </c>
      <c r="M472" s="4">
        <v>66.3</v>
      </c>
      <c r="N472">
        <v>0</v>
      </c>
      <c r="O472" t="s">
        <v>64</v>
      </c>
      <c r="P472" t="s">
        <v>65</v>
      </c>
      <c r="S472" s="3">
        <v>0</v>
      </c>
      <c r="T472" s="5"/>
      <c r="U472">
        <v>0</v>
      </c>
      <c r="V472">
        <v>2022</v>
      </c>
      <c r="X472">
        <f t="shared" si="21"/>
        <v>7.4999528</v>
      </c>
      <c r="Y472">
        <f t="shared" si="22"/>
        <v>-4.7199999999999995E-5</v>
      </c>
      <c r="Z472">
        <f t="shared" si="23"/>
        <v>56.499952800000003</v>
      </c>
    </row>
    <row r="473" spans="1:26" x14ac:dyDescent="0.3">
      <c r="A473" t="s">
        <v>563</v>
      </c>
      <c r="B473" t="s">
        <v>63</v>
      </c>
      <c r="C473" t="s">
        <v>56</v>
      </c>
      <c r="D473" t="s">
        <v>57</v>
      </c>
      <c r="E473">
        <v>20</v>
      </c>
      <c r="F473" s="3">
        <v>6.78</v>
      </c>
      <c r="G473" s="4">
        <v>66.099999999999994</v>
      </c>
      <c r="H473">
        <v>0</v>
      </c>
      <c r="I473">
        <v>1</v>
      </c>
      <c r="J473">
        <v>2</v>
      </c>
      <c r="K473" s="4">
        <v>69.900000000000006</v>
      </c>
      <c r="L473" s="4">
        <v>87.3</v>
      </c>
      <c r="M473" s="4">
        <v>73.2</v>
      </c>
      <c r="N473">
        <v>0</v>
      </c>
      <c r="O473" t="s">
        <v>58</v>
      </c>
      <c r="P473" t="s">
        <v>95</v>
      </c>
      <c r="Q473" t="s">
        <v>93</v>
      </c>
      <c r="R473" t="s">
        <v>61</v>
      </c>
      <c r="S473" s="3">
        <v>6.16</v>
      </c>
      <c r="T473" s="5">
        <v>45956</v>
      </c>
      <c r="U473">
        <v>2</v>
      </c>
      <c r="V473">
        <v>2025</v>
      </c>
      <c r="X473">
        <f t="shared" si="21"/>
        <v>6.7799526999999999</v>
      </c>
      <c r="Y473">
        <f t="shared" si="22"/>
        <v>6.1599526999999998</v>
      </c>
      <c r="Z473">
        <f t="shared" si="23"/>
        <v>87.299952699999992</v>
      </c>
    </row>
    <row r="474" spans="1:26" x14ac:dyDescent="0.3">
      <c r="A474" t="s">
        <v>564</v>
      </c>
      <c r="B474" t="s">
        <v>82</v>
      </c>
      <c r="C474" t="s">
        <v>74</v>
      </c>
      <c r="D474" t="s">
        <v>69</v>
      </c>
      <c r="E474">
        <v>20</v>
      </c>
      <c r="F474" s="3">
        <v>6.63</v>
      </c>
      <c r="G474" s="4">
        <v>69.400000000000006</v>
      </c>
      <c r="H474">
        <v>1</v>
      </c>
      <c r="I474">
        <v>3</v>
      </c>
      <c r="J474">
        <v>3</v>
      </c>
      <c r="K474" s="4">
        <v>59.8</v>
      </c>
      <c r="L474" s="4">
        <v>54.6</v>
      </c>
      <c r="M474" s="4">
        <v>85.2</v>
      </c>
      <c r="N474">
        <v>0</v>
      </c>
      <c r="O474" t="s">
        <v>64</v>
      </c>
      <c r="P474" t="s">
        <v>65</v>
      </c>
      <c r="S474" s="3">
        <v>0</v>
      </c>
      <c r="T474" s="5"/>
      <c r="U474">
        <v>0</v>
      </c>
      <c r="V474">
        <v>2022</v>
      </c>
      <c r="X474">
        <f t="shared" si="21"/>
        <v>6.6299526000000002</v>
      </c>
      <c r="Y474">
        <f t="shared" si="22"/>
        <v>-4.74E-5</v>
      </c>
      <c r="Z474">
        <f t="shared" si="23"/>
        <v>54.599952600000002</v>
      </c>
    </row>
    <row r="475" spans="1:26" x14ac:dyDescent="0.3">
      <c r="A475" t="s">
        <v>565</v>
      </c>
      <c r="B475" t="s">
        <v>63</v>
      </c>
      <c r="C475" t="s">
        <v>74</v>
      </c>
      <c r="D475" t="s">
        <v>69</v>
      </c>
      <c r="E475">
        <v>23</v>
      </c>
      <c r="F475" s="3">
        <v>8.5500000000000007</v>
      </c>
      <c r="G475" s="4">
        <v>88.4</v>
      </c>
      <c r="H475">
        <v>0</v>
      </c>
      <c r="I475">
        <v>4</v>
      </c>
      <c r="J475">
        <v>1</v>
      </c>
      <c r="K475" s="4">
        <v>65.099999999999994</v>
      </c>
      <c r="L475" s="4">
        <v>68</v>
      </c>
      <c r="M475" s="4">
        <v>61.4</v>
      </c>
      <c r="N475">
        <v>0</v>
      </c>
      <c r="O475" t="s">
        <v>64</v>
      </c>
      <c r="P475" t="s">
        <v>65</v>
      </c>
      <c r="S475" s="3">
        <v>0</v>
      </c>
      <c r="T475" s="5"/>
      <c r="U475">
        <v>0</v>
      </c>
      <c r="V475">
        <v>2025</v>
      </c>
      <c r="X475">
        <f t="shared" si="21"/>
        <v>8.5499524999999998</v>
      </c>
      <c r="Y475">
        <f t="shared" si="22"/>
        <v>-4.7499999999999996E-5</v>
      </c>
      <c r="Z475">
        <f t="shared" si="23"/>
        <v>67.999952500000006</v>
      </c>
    </row>
    <row r="476" spans="1:26" x14ac:dyDescent="0.3">
      <c r="A476" t="s">
        <v>566</v>
      </c>
      <c r="B476" t="s">
        <v>67</v>
      </c>
      <c r="C476" t="s">
        <v>78</v>
      </c>
      <c r="D476" t="s">
        <v>57</v>
      </c>
      <c r="E476">
        <v>22</v>
      </c>
      <c r="F476" s="3">
        <v>7.47</v>
      </c>
      <c r="G476" s="4">
        <v>68.599999999999994</v>
      </c>
      <c r="H476">
        <v>2</v>
      </c>
      <c r="I476">
        <v>0</v>
      </c>
      <c r="J476">
        <v>4</v>
      </c>
      <c r="K476" s="4">
        <v>71.599999999999994</v>
      </c>
      <c r="L476" s="4">
        <v>72.2</v>
      </c>
      <c r="M476" s="4">
        <v>50.5</v>
      </c>
      <c r="N476">
        <v>0</v>
      </c>
      <c r="O476" t="s">
        <v>64</v>
      </c>
      <c r="P476" t="s">
        <v>65</v>
      </c>
      <c r="S476" s="3">
        <v>0</v>
      </c>
      <c r="T476" s="5"/>
      <c r="U476">
        <v>0</v>
      </c>
      <c r="V476">
        <v>2023</v>
      </c>
      <c r="X476">
        <f t="shared" si="21"/>
        <v>7.4699523999999995</v>
      </c>
      <c r="Y476">
        <f t="shared" si="22"/>
        <v>-4.7599999999999998E-5</v>
      </c>
      <c r="Z476">
        <f t="shared" si="23"/>
        <v>72.199952400000001</v>
      </c>
    </row>
    <row r="477" spans="1:26" x14ac:dyDescent="0.3">
      <c r="A477" t="s">
        <v>567</v>
      </c>
      <c r="B477" t="s">
        <v>63</v>
      </c>
      <c r="C477" t="s">
        <v>89</v>
      </c>
      <c r="D477" t="s">
        <v>69</v>
      </c>
      <c r="E477">
        <v>22</v>
      </c>
      <c r="F477" s="3">
        <v>8.69</v>
      </c>
      <c r="G477" s="4">
        <v>86.2</v>
      </c>
      <c r="H477">
        <v>1</v>
      </c>
      <c r="I477">
        <v>2</v>
      </c>
      <c r="J477">
        <v>4</v>
      </c>
      <c r="K477" s="4">
        <v>87.4</v>
      </c>
      <c r="L477" s="4">
        <v>44.7</v>
      </c>
      <c r="M477" s="4">
        <v>76.5</v>
      </c>
      <c r="N477">
        <v>2</v>
      </c>
      <c r="O477" t="s">
        <v>58</v>
      </c>
      <c r="P477" t="s">
        <v>75</v>
      </c>
      <c r="Q477" t="s">
        <v>71</v>
      </c>
      <c r="R477" t="s">
        <v>76</v>
      </c>
      <c r="S477" s="3">
        <v>5.42</v>
      </c>
      <c r="T477" s="5">
        <v>45892</v>
      </c>
      <c r="U477">
        <v>1</v>
      </c>
      <c r="V477">
        <v>2025</v>
      </c>
      <c r="X477">
        <f t="shared" si="21"/>
        <v>8.6899522999999999</v>
      </c>
      <c r="Y477">
        <f t="shared" si="22"/>
        <v>5.4199523000000003</v>
      </c>
      <c r="Z477">
        <f t="shared" si="23"/>
        <v>44.6999523</v>
      </c>
    </row>
    <row r="478" spans="1:26" x14ac:dyDescent="0.3">
      <c r="A478" t="s">
        <v>568</v>
      </c>
      <c r="B478" t="s">
        <v>55</v>
      </c>
      <c r="C478" t="s">
        <v>84</v>
      </c>
      <c r="D478" t="s">
        <v>57</v>
      </c>
      <c r="E478">
        <v>23</v>
      </c>
      <c r="F478" s="3">
        <v>8.19</v>
      </c>
      <c r="G478" s="4">
        <v>72.7</v>
      </c>
      <c r="H478">
        <v>0</v>
      </c>
      <c r="I478">
        <v>1</v>
      </c>
      <c r="J478">
        <v>5</v>
      </c>
      <c r="K478" s="4">
        <v>49.6</v>
      </c>
      <c r="L478" s="4">
        <v>72.400000000000006</v>
      </c>
      <c r="M478" s="4">
        <v>88.1</v>
      </c>
      <c r="N478">
        <v>1</v>
      </c>
      <c r="O478" t="s">
        <v>64</v>
      </c>
      <c r="P478" t="s">
        <v>65</v>
      </c>
      <c r="S478" s="3">
        <v>0</v>
      </c>
      <c r="T478" s="5"/>
      <c r="U478">
        <v>0</v>
      </c>
      <c r="V478">
        <v>2024</v>
      </c>
      <c r="X478">
        <f t="shared" si="21"/>
        <v>8.1899521999999987</v>
      </c>
      <c r="Y478">
        <f t="shared" si="22"/>
        <v>-4.7799999999999996E-5</v>
      </c>
      <c r="Z478">
        <f t="shared" si="23"/>
        <v>72.399952200000001</v>
      </c>
    </row>
    <row r="479" spans="1:26" x14ac:dyDescent="0.3">
      <c r="A479" t="s">
        <v>569</v>
      </c>
      <c r="B479" t="s">
        <v>107</v>
      </c>
      <c r="C479" t="s">
        <v>68</v>
      </c>
      <c r="D479" t="s">
        <v>57</v>
      </c>
      <c r="E479">
        <v>23</v>
      </c>
      <c r="F479" s="3">
        <v>7.93</v>
      </c>
      <c r="G479" s="4">
        <v>80.7</v>
      </c>
      <c r="H479">
        <v>3</v>
      </c>
      <c r="I479">
        <v>2</v>
      </c>
      <c r="J479">
        <v>4</v>
      </c>
      <c r="K479" s="4">
        <v>65.099999999999994</v>
      </c>
      <c r="L479" s="4">
        <v>56.5</v>
      </c>
      <c r="M479" s="4">
        <v>77.7</v>
      </c>
      <c r="N479">
        <v>2</v>
      </c>
      <c r="O479" t="s">
        <v>58</v>
      </c>
      <c r="P479" t="s">
        <v>112</v>
      </c>
      <c r="Q479" t="s">
        <v>93</v>
      </c>
      <c r="R479" t="s">
        <v>130</v>
      </c>
      <c r="S479" s="3">
        <v>7.66</v>
      </c>
      <c r="T479" s="5">
        <v>44450</v>
      </c>
      <c r="U479">
        <v>1</v>
      </c>
      <c r="V479">
        <v>2021</v>
      </c>
      <c r="X479">
        <f t="shared" si="21"/>
        <v>7.9299520999999995</v>
      </c>
      <c r="Y479">
        <f t="shared" si="22"/>
        <v>7.6599520999999999</v>
      </c>
      <c r="Z479">
        <f t="shared" si="23"/>
        <v>56.499952100000002</v>
      </c>
    </row>
    <row r="480" spans="1:26" x14ac:dyDescent="0.3">
      <c r="A480" t="s">
        <v>570</v>
      </c>
      <c r="B480" t="s">
        <v>63</v>
      </c>
      <c r="C480" t="s">
        <v>78</v>
      </c>
      <c r="D480" t="s">
        <v>69</v>
      </c>
      <c r="E480">
        <v>21</v>
      </c>
      <c r="F480" s="3">
        <v>7.01</v>
      </c>
      <c r="G480" s="4">
        <v>81.400000000000006</v>
      </c>
      <c r="H480">
        <v>2</v>
      </c>
      <c r="I480">
        <v>2</v>
      </c>
      <c r="J480">
        <v>6</v>
      </c>
      <c r="K480" s="4">
        <v>64.3</v>
      </c>
      <c r="L480" s="4">
        <v>63.8</v>
      </c>
      <c r="M480" s="4">
        <v>62.1</v>
      </c>
      <c r="N480">
        <v>0</v>
      </c>
      <c r="O480" t="s">
        <v>58</v>
      </c>
      <c r="P480" t="s">
        <v>104</v>
      </c>
      <c r="Q480" t="s">
        <v>105</v>
      </c>
      <c r="R480" t="s">
        <v>85</v>
      </c>
      <c r="S480" s="3">
        <v>15.44</v>
      </c>
      <c r="T480" s="5">
        <v>45905</v>
      </c>
      <c r="U480">
        <v>2</v>
      </c>
      <c r="V480">
        <v>2025</v>
      </c>
      <c r="X480">
        <f t="shared" si="21"/>
        <v>7.0099520000000002</v>
      </c>
      <c r="Y480">
        <f t="shared" si="22"/>
        <v>15.439952</v>
      </c>
      <c r="Z480">
        <f t="shared" si="23"/>
        <v>63.799951999999998</v>
      </c>
    </row>
    <row r="481" spans="1:26" x14ac:dyDescent="0.3">
      <c r="A481" t="s">
        <v>571</v>
      </c>
      <c r="B481" t="s">
        <v>63</v>
      </c>
      <c r="C481" t="s">
        <v>101</v>
      </c>
      <c r="D481" t="s">
        <v>69</v>
      </c>
      <c r="E481">
        <v>20</v>
      </c>
      <c r="F481" s="3">
        <v>6.56</v>
      </c>
      <c r="G481" s="4">
        <v>80.5</v>
      </c>
      <c r="H481">
        <v>1</v>
      </c>
      <c r="I481">
        <v>1</v>
      </c>
      <c r="J481">
        <v>5</v>
      </c>
      <c r="K481" s="4">
        <v>61.2</v>
      </c>
      <c r="L481" s="4">
        <v>68.5</v>
      </c>
      <c r="M481" s="4">
        <v>72.7</v>
      </c>
      <c r="N481">
        <v>1</v>
      </c>
      <c r="O481" t="s">
        <v>58</v>
      </c>
      <c r="P481" t="s">
        <v>92</v>
      </c>
      <c r="Q481" t="s">
        <v>93</v>
      </c>
      <c r="R481" t="s">
        <v>76</v>
      </c>
      <c r="S481" s="3">
        <v>6.64</v>
      </c>
      <c r="T481" s="5">
        <v>45973</v>
      </c>
      <c r="U481">
        <v>1</v>
      </c>
      <c r="V481">
        <v>2025</v>
      </c>
      <c r="X481">
        <f t="shared" si="21"/>
        <v>6.5599518999999997</v>
      </c>
      <c r="Y481">
        <f t="shared" si="22"/>
        <v>6.6399518999999998</v>
      </c>
      <c r="Z481">
        <f t="shared" si="23"/>
        <v>68.499951899999999</v>
      </c>
    </row>
    <row r="482" spans="1:26" x14ac:dyDescent="0.3">
      <c r="A482" t="s">
        <v>572</v>
      </c>
      <c r="B482" t="s">
        <v>107</v>
      </c>
      <c r="C482" t="s">
        <v>78</v>
      </c>
      <c r="D482" t="s">
        <v>69</v>
      </c>
      <c r="E482">
        <v>23</v>
      </c>
      <c r="F482" s="3">
        <v>7.24</v>
      </c>
      <c r="G482" s="4">
        <v>76.2</v>
      </c>
      <c r="H482">
        <v>1</v>
      </c>
      <c r="I482">
        <v>0</v>
      </c>
      <c r="J482">
        <v>2</v>
      </c>
      <c r="K482" s="4">
        <v>58.9</v>
      </c>
      <c r="L482" s="4">
        <v>44.6</v>
      </c>
      <c r="M482" s="4">
        <v>74.7</v>
      </c>
      <c r="N482">
        <v>0</v>
      </c>
      <c r="O482" t="s">
        <v>58</v>
      </c>
      <c r="P482" t="s">
        <v>75</v>
      </c>
      <c r="Q482" t="s">
        <v>71</v>
      </c>
      <c r="R482" t="s">
        <v>109</v>
      </c>
      <c r="S482" s="3">
        <v>5.24</v>
      </c>
      <c r="T482" s="5">
        <v>44521</v>
      </c>
      <c r="U482">
        <v>1</v>
      </c>
      <c r="V482">
        <v>2021</v>
      </c>
      <c r="X482">
        <f t="shared" si="21"/>
        <v>7.2399518</v>
      </c>
      <c r="Y482">
        <f t="shared" si="22"/>
        <v>5.2399518</v>
      </c>
      <c r="Z482">
        <f t="shared" si="23"/>
        <v>44.599951799999999</v>
      </c>
    </row>
    <row r="483" spans="1:26" x14ac:dyDescent="0.3">
      <c r="A483" t="s">
        <v>573</v>
      </c>
      <c r="B483" t="s">
        <v>55</v>
      </c>
      <c r="C483" t="s">
        <v>68</v>
      </c>
      <c r="D483" t="s">
        <v>69</v>
      </c>
      <c r="E483">
        <v>21</v>
      </c>
      <c r="F483" s="3">
        <v>9.0299999999999994</v>
      </c>
      <c r="G483" s="4">
        <v>67.900000000000006</v>
      </c>
      <c r="H483">
        <v>0</v>
      </c>
      <c r="I483">
        <v>2</v>
      </c>
      <c r="J483">
        <v>3</v>
      </c>
      <c r="K483" s="4">
        <v>90.5</v>
      </c>
      <c r="L483" s="4">
        <v>62.4</v>
      </c>
      <c r="M483" s="4">
        <v>82.6</v>
      </c>
      <c r="N483">
        <v>0</v>
      </c>
      <c r="O483" t="s">
        <v>58</v>
      </c>
      <c r="P483" t="s">
        <v>59</v>
      </c>
      <c r="Q483" t="s">
        <v>60</v>
      </c>
      <c r="R483" t="s">
        <v>80</v>
      </c>
      <c r="S483" s="3">
        <v>19.07</v>
      </c>
      <c r="T483" s="5">
        <v>45538</v>
      </c>
      <c r="U483">
        <v>1</v>
      </c>
      <c r="V483">
        <v>2024</v>
      </c>
      <c r="X483">
        <f t="shared" si="21"/>
        <v>9.0299516999999998</v>
      </c>
      <c r="Y483">
        <f t="shared" si="22"/>
        <v>19.069951700000001</v>
      </c>
      <c r="Z483">
        <f t="shared" si="23"/>
        <v>62.399951699999995</v>
      </c>
    </row>
    <row r="484" spans="1:26" x14ac:dyDescent="0.3">
      <c r="A484" t="s">
        <v>574</v>
      </c>
      <c r="B484" t="s">
        <v>82</v>
      </c>
      <c r="C484" t="s">
        <v>78</v>
      </c>
      <c r="D484" t="s">
        <v>69</v>
      </c>
      <c r="E484">
        <v>22</v>
      </c>
      <c r="F484" s="3">
        <v>8.4499999999999993</v>
      </c>
      <c r="G484" s="4">
        <v>82.2</v>
      </c>
      <c r="H484">
        <v>2</v>
      </c>
      <c r="I484">
        <v>0</v>
      </c>
      <c r="J484">
        <v>1</v>
      </c>
      <c r="K484" s="4">
        <v>56.8</v>
      </c>
      <c r="L484" s="4">
        <v>67.400000000000006</v>
      </c>
      <c r="M484" s="4">
        <v>63.6</v>
      </c>
      <c r="N484">
        <v>1</v>
      </c>
      <c r="O484" t="s">
        <v>58</v>
      </c>
      <c r="P484" t="s">
        <v>87</v>
      </c>
      <c r="Q484" t="s">
        <v>71</v>
      </c>
      <c r="R484" t="s">
        <v>85</v>
      </c>
      <c r="S484" s="3">
        <v>6.99</v>
      </c>
      <c r="T484" s="5">
        <v>44858</v>
      </c>
      <c r="U484">
        <v>2</v>
      </c>
      <c r="V484">
        <v>2022</v>
      </c>
      <c r="X484">
        <f t="shared" si="21"/>
        <v>8.4499515999999986</v>
      </c>
      <c r="Y484">
        <f t="shared" si="22"/>
        <v>6.9899516000000004</v>
      </c>
      <c r="Z484">
        <f t="shared" si="23"/>
        <v>67.399951600000009</v>
      </c>
    </row>
    <row r="485" spans="1:26" x14ac:dyDescent="0.3">
      <c r="A485" t="s">
        <v>575</v>
      </c>
      <c r="B485" t="s">
        <v>63</v>
      </c>
      <c r="C485" t="s">
        <v>56</v>
      </c>
      <c r="D485" t="s">
        <v>69</v>
      </c>
      <c r="E485">
        <v>22</v>
      </c>
      <c r="F485" s="3">
        <v>7.15</v>
      </c>
      <c r="G485" s="4">
        <v>87</v>
      </c>
      <c r="H485">
        <v>2</v>
      </c>
      <c r="I485">
        <v>1</v>
      </c>
      <c r="J485">
        <v>3</v>
      </c>
      <c r="K485" s="4">
        <v>69.900000000000006</v>
      </c>
      <c r="L485" s="4">
        <v>64.5</v>
      </c>
      <c r="M485" s="4">
        <v>92.9</v>
      </c>
      <c r="N485">
        <v>1</v>
      </c>
      <c r="O485" t="s">
        <v>58</v>
      </c>
      <c r="P485" t="s">
        <v>79</v>
      </c>
      <c r="Q485" t="s">
        <v>71</v>
      </c>
      <c r="R485" t="s">
        <v>85</v>
      </c>
      <c r="S485" s="3">
        <v>5.38</v>
      </c>
      <c r="T485" s="5">
        <v>45895</v>
      </c>
      <c r="U485">
        <v>3</v>
      </c>
      <c r="V485">
        <v>2025</v>
      </c>
      <c r="X485">
        <f t="shared" si="21"/>
        <v>7.1499515000000002</v>
      </c>
      <c r="Y485">
        <f t="shared" si="22"/>
        <v>5.3799514999999998</v>
      </c>
      <c r="Z485">
        <f t="shared" si="23"/>
        <v>64.499951499999995</v>
      </c>
    </row>
    <row r="486" spans="1:26" x14ac:dyDescent="0.3">
      <c r="A486" t="s">
        <v>576</v>
      </c>
      <c r="B486" t="s">
        <v>107</v>
      </c>
      <c r="C486" t="s">
        <v>74</v>
      </c>
      <c r="D486" t="s">
        <v>57</v>
      </c>
      <c r="E486">
        <v>22</v>
      </c>
      <c r="F486" s="3">
        <v>7.25</v>
      </c>
      <c r="G486" s="4">
        <v>88.1</v>
      </c>
      <c r="H486">
        <v>0</v>
      </c>
      <c r="I486">
        <v>5</v>
      </c>
      <c r="J486">
        <v>4</v>
      </c>
      <c r="K486" s="4">
        <v>51.5</v>
      </c>
      <c r="L486" s="4">
        <v>55.7</v>
      </c>
      <c r="M486" s="4">
        <v>69</v>
      </c>
      <c r="N486">
        <v>1</v>
      </c>
      <c r="O486" t="s">
        <v>64</v>
      </c>
      <c r="P486" t="s">
        <v>65</v>
      </c>
      <c r="S486" s="3">
        <v>0</v>
      </c>
      <c r="T486" s="5"/>
      <c r="U486">
        <v>0</v>
      </c>
      <c r="V486">
        <v>2021</v>
      </c>
      <c r="X486">
        <f t="shared" si="21"/>
        <v>7.2499513999999996</v>
      </c>
      <c r="Y486">
        <f t="shared" si="22"/>
        <v>-4.8599999999999995E-5</v>
      </c>
      <c r="Z486">
        <f t="shared" si="23"/>
        <v>55.699951400000003</v>
      </c>
    </row>
    <row r="487" spans="1:26" x14ac:dyDescent="0.3">
      <c r="A487" t="s">
        <v>577</v>
      </c>
      <c r="B487" t="s">
        <v>67</v>
      </c>
      <c r="C487" t="s">
        <v>68</v>
      </c>
      <c r="D487" t="s">
        <v>69</v>
      </c>
      <c r="E487">
        <v>22</v>
      </c>
      <c r="F487" s="3">
        <v>6.81</v>
      </c>
      <c r="G487" s="4">
        <v>82.7</v>
      </c>
      <c r="H487">
        <v>1</v>
      </c>
      <c r="I487">
        <v>1</v>
      </c>
      <c r="J487">
        <v>6</v>
      </c>
      <c r="K487" s="4">
        <v>80.2</v>
      </c>
      <c r="L487" s="4">
        <v>49.7</v>
      </c>
      <c r="M487" s="4">
        <v>66.099999999999994</v>
      </c>
      <c r="N487">
        <v>1</v>
      </c>
      <c r="O487" t="s">
        <v>64</v>
      </c>
      <c r="P487" t="s">
        <v>65</v>
      </c>
      <c r="S487" s="3">
        <v>0</v>
      </c>
      <c r="T487" s="5"/>
      <c r="U487">
        <v>0</v>
      </c>
      <c r="V487">
        <v>2023</v>
      </c>
      <c r="X487">
        <f t="shared" si="21"/>
        <v>6.8099512999999998</v>
      </c>
      <c r="Y487">
        <f t="shared" si="22"/>
        <v>-4.8699999999999998E-5</v>
      </c>
      <c r="Z487">
        <f t="shared" si="23"/>
        <v>49.699951300000002</v>
      </c>
    </row>
    <row r="488" spans="1:26" x14ac:dyDescent="0.3">
      <c r="A488" t="s">
        <v>578</v>
      </c>
      <c r="B488" t="s">
        <v>107</v>
      </c>
      <c r="C488" t="s">
        <v>89</v>
      </c>
      <c r="D488" t="s">
        <v>69</v>
      </c>
      <c r="E488">
        <v>21</v>
      </c>
      <c r="F488" s="3">
        <v>6.26</v>
      </c>
      <c r="G488" s="4">
        <v>84.3</v>
      </c>
      <c r="H488">
        <v>1</v>
      </c>
      <c r="I488">
        <v>2</v>
      </c>
      <c r="J488">
        <v>4</v>
      </c>
      <c r="K488" s="4">
        <v>61.1</v>
      </c>
      <c r="L488" s="4">
        <v>54.7</v>
      </c>
      <c r="M488" s="4">
        <v>77.5</v>
      </c>
      <c r="N488">
        <v>2</v>
      </c>
      <c r="O488" t="s">
        <v>64</v>
      </c>
      <c r="P488" t="s">
        <v>65</v>
      </c>
      <c r="S488" s="3">
        <v>0</v>
      </c>
      <c r="T488" s="5"/>
      <c r="U488">
        <v>0</v>
      </c>
      <c r="V488">
        <v>2021</v>
      </c>
      <c r="X488">
        <f t="shared" si="21"/>
        <v>6.2599511999999997</v>
      </c>
      <c r="Y488">
        <f t="shared" si="22"/>
        <v>-4.88E-5</v>
      </c>
      <c r="Z488">
        <f t="shared" si="23"/>
        <v>54.699951200000001</v>
      </c>
    </row>
    <row r="489" spans="1:26" x14ac:dyDescent="0.3">
      <c r="A489" t="s">
        <v>579</v>
      </c>
      <c r="B489" t="s">
        <v>67</v>
      </c>
      <c r="C489" t="s">
        <v>56</v>
      </c>
      <c r="D489" t="s">
        <v>69</v>
      </c>
      <c r="E489">
        <v>20</v>
      </c>
      <c r="F489" s="3">
        <v>7.74</v>
      </c>
      <c r="G489" s="4">
        <v>75.099999999999994</v>
      </c>
      <c r="H489">
        <v>1</v>
      </c>
      <c r="I489">
        <v>1</v>
      </c>
      <c r="J489">
        <v>5</v>
      </c>
      <c r="K489" s="4">
        <v>37.1</v>
      </c>
      <c r="L489" s="4">
        <v>40.9</v>
      </c>
      <c r="M489" s="4">
        <v>57.3</v>
      </c>
      <c r="N489">
        <v>0</v>
      </c>
      <c r="O489" t="s">
        <v>58</v>
      </c>
      <c r="P489" t="s">
        <v>92</v>
      </c>
      <c r="Q489" t="s">
        <v>93</v>
      </c>
      <c r="R489" t="s">
        <v>85</v>
      </c>
      <c r="S489" s="3">
        <v>6.74</v>
      </c>
      <c r="T489" s="5">
        <v>45255</v>
      </c>
      <c r="U489">
        <v>1</v>
      </c>
      <c r="V489">
        <v>2023</v>
      </c>
      <c r="X489">
        <f t="shared" si="21"/>
        <v>7.7399510999999999</v>
      </c>
      <c r="Y489">
        <f t="shared" si="22"/>
        <v>6.7399510999999999</v>
      </c>
      <c r="Z489">
        <f t="shared" si="23"/>
        <v>40.899951099999996</v>
      </c>
    </row>
    <row r="490" spans="1:26" x14ac:dyDescent="0.3">
      <c r="A490" t="s">
        <v>580</v>
      </c>
      <c r="B490" t="s">
        <v>55</v>
      </c>
      <c r="C490" t="s">
        <v>84</v>
      </c>
      <c r="D490" t="s">
        <v>57</v>
      </c>
      <c r="E490">
        <v>21</v>
      </c>
      <c r="F490" s="3">
        <v>9.1999999999999993</v>
      </c>
      <c r="G490" s="4">
        <v>86</v>
      </c>
      <c r="H490">
        <v>2</v>
      </c>
      <c r="I490">
        <v>4</v>
      </c>
      <c r="J490">
        <v>3</v>
      </c>
      <c r="K490" s="4">
        <v>81.599999999999994</v>
      </c>
      <c r="L490" s="4">
        <v>57.3</v>
      </c>
      <c r="M490" s="4">
        <v>98.7</v>
      </c>
      <c r="N490">
        <v>0</v>
      </c>
      <c r="O490" t="s">
        <v>58</v>
      </c>
      <c r="P490" t="s">
        <v>104</v>
      </c>
      <c r="Q490" t="s">
        <v>105</v>
      </c>
      <c r="R490" t="s">
        <v>80</v>
      </c>
      <c r="S490" s="3">
        <v>17.12</v>
      </c>
      <c r="T490" s="5">
        <v>45547</v>
      </c>
      <c r="U490">
        <v>1</v>
      </c>
      <c r="V490">
        <v>2024</v>
      </c>
      <c r="X490">
        <f t="shared" si="21"/>
        <v>9.1999509999999987</v>
      </c>
      <c r="Y490">
        <f t="shared" si="22"/>
        <v>17.119951</v>
      </c>
      <c r="Z490">
        <f t="shared" si="23"/>
        <v>57.299951</v>
      </c>
    </row>
    <row r="491" spans="1:26" x14ac:dyDescent="0.3">
      <c r="A491" t="s">
        <v>581</v>
      </c>
      <c r="B491" t="s">
        <v>82</v>
      </c>
      <c r="C491" t="s">
        <v>78</v>
      </c>
      <c r="D491" t="s">
        <v>57</v>
      </c>
      <c r="E491">
        <v>20</v>
      </c>
      <c r="F491" s="3">
        <v>9.2100000000000009</v>
      </c>
      <c r="G491" s="4">
        <v>85.7</v>
      </c>
      <c r="H491">
        <v>0</v>
      </c>
      <c r="I491">
        <v>1</v>
      </c>
      <c r="J491">
        <v>2</v>
      </c>
      <c r="K491" s="4">
        <v>60.2</v>
      </c>
      <c r="L491" s="4">
        <v>88.4</v>
      </c>
      <c r="M491" s="4">
        <v>79.599999999999994</v>
      </c>
      <c r="N491">
        <v>0</v>
      </c>
      <c r="O491" t="s">
        <v>58</v>
      </c>
      <c r="P491" t="s">
        <v>92</v>
      </c>
      <c r="Q491" t="s">
        <v>93</v>
      </c>
      <c r="R491" t="s">
        <v>61</v>
      </c>
      <c r="S491" s="3">
        <v>10.14</v>
      </c>
      <c r="T491" s="5">
        <v>44855</v>
      </c>
      <c r="U491">
        <v>1</v>
      </c>
      <c r="V491">
        <v>2022</v>
      </c>
      <c r="X491">
        <f t="shared" si="21"/>
        <v>9.2099509000000008</v>
      </c>
      <c r="Y491">
        <f t="shared" si="22"/>
        <v>10.139950900000001</v>
      </c>
      <c r="Z491">
        <f t="shared" si="23"/>
        <v>88.399950900000007</v>
      </c>
    </row>
    <row r="492" spans="1:26" x14ac:dyDescent="0.3">
      <c r="A492" t="s">
        <v>582</v>
      </c>
      <c r="B492" t="s">
        <v>107</v>
      </c>
      <c r="C492" t="s">
        <v>68</v>
      </c>
      <c r="D492" t="s">
        <v>69</v>
      </c>
      <c r="E492">
        <v>22</v>
      </c>
      <c r="F492" s="3">
        <v>8.1999999999999993</v>
      </c>
      <c r="G492" s="4">
        <v>79.3</v>
      </c>
      <c r="H492">
        <v>1</v>
      </c>
      <c r="I492">
        <v>1</v>
      </c>
      <c r="J492">
        <v>5</v>
      </c>
      <c r="K492" s="4">
        <v>86.3</v>
      </c>
      <c r="L492" s="4">
        <v>46.8</v>
      </c>
      <c r="M492" s="4">
        <v>70.7</v>
      </c>
      <c r="N492">
        <v>0</v>
      </c>
      <c r="O492" t="s">
        <v>64</v>
      </c>
      <c r="P492" t="s">
        <v>65</v>
      </c>
      <c r="S492" s="3">
        <v>0</v>
      </c>
      <c r="T492" s="5"/>
      <c r="U492">
        <v>0</v>
      </c>
      <c r="V492">
        <v>2021</v>
      </c>
      <c r="X492">
        <f t="shared" si="21"/>
        <v>8.1999507999999999</v>
      </c>
      <c r="Y492">
        <f t="shared" si="22"/>
        <v>-4.9199999999999997E-5</v>
      </c>
      <c r="Z492">
        <f t="shared" si="23"/>
        <v>46.799950799999998</v>
      </c>
    </row>
    <row r="493" spans="1:26" x14ac:dyDescent="0.3">
      <c r="A493" t="s">
        <v>583</v>
      </c>
      <c r="B493" t="s">
        <v>63</v>
      </c>
      <c r="C493" t="s">
        <v>84</v>
      </c>
      <c r="D493" t="s">
        <v>57</v>
      </c>
      <c r="E493">
        <v>23</v>
      </c>
      <c r="F493" s="3">
        <v>7.11</v>
      </c>
      <c r="G493" s="4">
        <v>82.4</v>
      </c>
      <c r="H493">
        <v>0</v>
      </c>
      <c r="I493">
        <v>2</v>
      </c>
      <c r="J493">
        <v>3</v>
      </c>
      <c r="K493" s="4">
        <v>83.2</v>
      </c>
      <c r="L493" s="4">
        <v>83.6</v>
      </c>
      <c r="M493" s="4">
        <v>62.2</v>
      </c>
      <c r="N493">
        <v>2</v>
      </c>
      <c r="O493" t="s">
        <v>64</v>
      </c>
      <c r="P493" t="s">
        <v>65</v>
      </c>
      <c r="S493" s="3">
        <v>0</v>
      </c>
      <c r="T493" s="5"/>
      <c r="U493">
        <v>0</v>
      </c>
      <c r="V493">
        <v>2025</v>
      </c>
      <c r="X493">
        <f t="shared" si="21"/>
        <v>7.1099507000000006</v>
      </c>
      <c r="Y493">
        <f t="shared" si="22"/>
        <v>-4.9299999999999999E-5</v>
      </c>
      <c r="Z493">
        <f t="shared" si="23"/>
        <v>83.599950699999994</v>
      </c>
    </row>
    <row r="494" spans="1:26" x14ac:dyDescent="0.3">
      <c r="A494" t="s">
        <v>584</v>
      </c>
      <c r="B494" t="s">
        <v>55</v>
      </c>
      <c r="C494" t="s">
        <v>68</v>
      </c>
      <c r="D494" t="s">
        <v>69</v>
      </c>
      <c r="E494">
        <v>23</v>
      </c>
      <c r="F494" s="3">
        <v>6.35</v>
      </c>
      <c r="G494" s="4">
        <v>81.8</v>
      </c>
      <c r="H494">
        <v>1</v>
      </c>
      <c r="I494">
        <v>4</v>
      </c>
      <c r="J494">
        <v>5</v>
      </c>
      <c r="K494" s="4">
        <v>66.400000000000006</v>
      </c>
      <c r="L494" s="4">
        <v>49.9</v>
      </c>
      <c r="M494" s="4">
        <v>71.7</v>
      </c>
      <c r="N494">
        <v>3</v>
      </c>
      <c r="O494" t="s">
        <v>58</v>
      </c>
      <c r="P494" t="s">
        <v>70</v>
      </c>
      <c r="Q494" t="s">
        <v>71</v>
      </c>
      <c r="R494" t="s">
        <v>76</v>
      </c>
      <c r="S494" s="3">
        <v>3.48</v>
      </c>
      <c r="T494" s="5">
        <v>45556</v>
      </c>
      <c r="U494">
        <v>1</v>
      </c>
      <c r="V494">
        <v>2024</v>
      </c>
      <c r="X494">
        <f t="shared" si="21"/>
        <v>6.3499505999999997</v>
      </c>
      <c r="Y494">
        <f t="shared" si="22"/>
        <v>3.4799506</v>
      </c>
      <c r="Z494">
        <f t="shared" si="23"/>
        <v>49.899950599999997</v>
      </c>
    </row>
    <row r="495" spans="1:26" x14ac:dyDescent="0.3">
      <c r="A495" t="s">
        <v>585</v>
      </c>
      <c r="B495" t="s">
        <v>107</v>
      </c>
      <c r="C495" t="s">
        <v>84</v>
      </c>
      <c r="D495" t="s">
        <v>57</v>
      </c>
      <c r="E495">
        <v>23</v>
      </c>
      <c r="F495" s="3">
        <v>8.59</v>
      </c>
      <c r="G495" s="4">
        <v>86.1</v>
      </c>
      <c r="H495">
        <v>1</v>
      </c>
      <c r="I495">
        <v>3</v>
      </c>
      <c r="J495">
        <v>2</v>
      </c>
      <c r="K495" s="4">
        <v>73.5</v>
      </c>
      <c r="L495" s="4">
        <v>77.599999999999994</v>
      </c>
      <c r="M495" s="4">
        <v>85.7</v>
      </c>
      <c r="N495">
        <v>0</v>
      </c>
      <c r="O495" t="s">
        <v>58</v>
      </c>
      <c r="P495" t="s">
        <v>59</v>
      </c>
      <c r="Q495" t="s">
        <v>60</v>
      </c>
      <c r="R495" t="s">
        <v>72</v>
      </c>
      <c r="S495" s="3">
        <v>20.85</v>
      </c>
      <c r="T495" s="5">
        <v>44518</v>
      </c>
      <c r="U495">
        <v>1</v>
      </c>
      <c r="V495">
        <v>2021</v>
      </c>
      <c r="X495">
        <f t="shared" si="21"/>
        <v>8.5899505000000005</v>
      </c>
      <c r="Y495">
        <f t="shared" si="22"/>
        <v>20.849950500000002</v>
      </c>
      <c r="Z495">
        <f t="shared" si="23"/>
        <v>77.599950499999991</v>
      </c>
    </row>
    <row r="496" spans="1:26" x14ac:dyDescent="0.3">
      <c r="A496" t="s">
        <v>586</v>
      </c>
      <c r="B496" t="s">
        <v>63</v>
      </c>
      <c r="C496" t="s">
        <v>68</v>
      </c>
      <c r="D496" t="s">
        <v>57</v>
      </c>
      <c r="E496">
        <v>20</v>
      </c>
      <c r="F496" s="3">
        <v>8.0500000000000007</v>
      </c>
      <c r="G496" s="4">
        <v>68.099999999999994</v>
      </c>
      <c r="H496">
        <v>2</v>
      </c>
      <c r="I496">
        <v>1</v>
      </c>
      <c r="J496">
        <v>5</v>
      </c>
      <c r="K496" s="4">
        <v>69.3</v>
      </c>
      <c r="L496" s="4">
        <v>100</v>
      </c>
      <c r="M496" s="4">
        <v>69.400000000000006</v>
      </c>
      <c r="N496">
        <v>1</v>
      </c>
      <c r="O496" t="s">
        <v>58</v>
      </c>
      <c r="P496" t="s">
        <v>79</v>
      </c>
      <c r="Q496" t="s">
        <v>71</v>
      </c>
      <c r="R496" t="s">
        <v>72</v>
      </c>
      <c r="S496" s="3">
        <v>9.4600000000000009</v>
      </c>
      <c r="T496" s="5">
        <v>45882</v>
      </c>
      <c r="U496">
        <v>1</v>
      </c>
      <c r="V496">
        <v>2025</v>
      </c>
      <c r="X496">
        <f t="shared" si="21"/>
        <v>8.0499504000000002</v>
      </c>
      <c r="Y496">
        <f t="shared" si="22"/>
        <v>9.4599504000000003</v>
      </c>
      <c r="Z496">
        <f t="shared" si="23"/>
        <v>99.999950400000003</v>
      </c>
    </row>
    <row r="497" spans="1:26" x14ac:dyDescent="0.3">
      <c r="A497" t="s">
        <v>587</v>
      </c>
      <c r="B497" t="s">
        <v>107</v>
      </c>
      <c r="C497" t="s">
        <v>56</v>
      </c>
      <c r="D497" t="s">
        <v>69</v>
      </c>
      <c r="E497">
        <v>22</v>
      </c>
      <c r="F497" s="3">
        <v>7.37</v>
      </c>
      <c r="G497" s="4">
        <v>67.900000000000006</v>
      </c>
      <c r="H497">
        <v>2</v>
      </c>
      <c r="I497">
        <v>3</v>
      </c>
      <c r="J497">
        <v>5</v>
      </c>
      <c r="K497" s="4">
        <v>48.4</v>
      </c>
      <c r="L497" s="4">
        <v>78.900000000000006</v>
      </c>
      <c r="M497" s="4">
        <v>64.900000000000006</v>
      </c>
      <c r="N497">
        <v>0</v>
      </c>
      <c r="O497" t="s">
        <v>58</v>
      </c>
      <c r="P497" t="s">
        <v>112</v>
      </c>
      <c r="Q497" t="s">
        <v>93</v>
      </c>
      <c r="R497" t="s">
        <v>85</v>
      </c>
      <c r="S497" s="3">
        <v>6.26</v>
      </c>
      <c r="T497" s="5">
        <v>44474</v>
      </c>
      <c r="U497">
        <v>1</v>
      </c>
      <c r="V497">
        <v>2021</v>
      </c>
      <c r="X497">
        <f t="shared" si="21"/>
        <v>7.3699503000000002</v>
      </c>
      <c r="Y497">
        <f t="shared" si="22"/>
        <v>6.2599502999999999</v>
      </c>
      <c r="Z497">
        <f t="shared" si="23"/>
        <v>78.8999503</v>
      </c>
    </row>
    <row r="498" spans="1:26" x14ac:dyDescent="0.3">
      <c r="A498" t="s">
        <v>588</v>
      </c>
      <c r="B498" t="s">
        <v>67</v>
      </c>
      <c r="C498" t="s">
        <v>78</v>
      </c>
      <c r="D498" t="s">
        <v>57</v>
      </c>
      <c r="E498">
        <v>21</v>
      </c>
      <c r="F498" s="3">
        <v>7.22</v>
      </c>
      <c r="G498" s="4">
        <v>68.400000000000006</v>
      </c>
      <c r="H498">
        <v>0</v>
      </c>
      <c r="I498">
        <v>3</v>
      </c>
      <c r="J498">
        <v>4</v>
      </c>
      <c r="K498" s="4">
        <v>87.9</v>
      </c>
      <c r="L498" s="4">
        <v>67.099999999999994</v>
      </c>
      <c r="M498" s="4">
        <v>82.5</v>
      </c>
      <c r="N498">
        <v>1</v>
      </c>
      <c r="O498" t="s">
        <v>64</v>
      </c>
      <c r="P498" t="s">
        <v>65</v>
      </c>
      <c r="S498" s="3">
        <v>0</v>
      </c>
      <c r="T498" s="5"/>
      <c r="U498">
        <v>0</v>
      </c>
      <c r="V498">
        <v>2023</v>
      </c>
      <c r="X498">
        <f t="shared" si="21"/>
        <v>7.2199501999999995</v>
      </c>
      <c r="Y498">
        <f t="shared" si="22"/>
        <v>-4.9799999999999998E-5</v>
      </c>
      <c r="Z498">
        <f t="shared" si="23"/>
        <v>67.099950199999995</v>
      </c>
    </row>
    <row r="499" spans="1:26" x14ac:dyDescent="0.3">
      <c r="A499" t="s">
        <v>589</v>
      </c>
      <c r="B499" t="s">
        <v>107</v>
      </c>
      <c r="C499" t="s">
        <v>78</v>
      </c>
      <c r="D499" t="s">
        <v>57</v>
      </c>
      <c r="E499">
        <v>23</v>
      </c>
      <c r="F499" s="3">
        <v>8.19</v>
      </c>
      <c r="G499" s="4">
        <v>78</v>
      </c>
      <c r="H499">
        <v>2</v>
      </c>
      <c r="I499">
        <v>5</v>
      </c>
      <c r="J499">
        <v>5</v>
      </c>
      <c r="K499" s="4">
        <v>64.400000000000006</v>
      </c>
      <c r="L499" s="4">
        <v>67.599999999999994</v>
      </c>
      <c r="M499" s="4">
        <v>61.4</v>
      </c>
      <c r="N499">
        <v>2</v>
      </c>
      <c r="O499" t="s">
        <v>58</v>
      </c>
      <c r="P499" t="s">
        <v>90</v>
      </c>
      <c r="Q499" t="s">
        <v>60</v>
      </c>
      <c r="R499" t="s">
        <v>109</v>
      </c>
      <c r="S499" s="3">
        <v>9.98</v>
      </c>
      <c r="T499" s="5">
        <v>44464</v>
      </c>
      <c r="U499">
        <v>3</v>
      </c>
      <c r="V499">
        <v>2021</v>
      </c>
      <c r="X499">
        <f t="shared" si="21"/>
        <v>8.189950099999999</v>
      </c>
      <c r="Y499">
        <f t="shared" si="22"/>
        <v>9.9799500999999999</v>
      </c>
      <c r="Z499">
        <f t="shared" si="23"/>
        <v>67.599950100000001</v>
      </c>
    </row>
    <row r="500" spans="1:26" x14ac:dyDescent="0.3">
      <c r="A500" t="s">
        <v>590</v>
      </c>
      <c r="B500" t="s">
        <v>107</v>
      </c>
      <c r="C500" t="s">
        <v>78</v>
      </c>
      <c r="D500" t="s">
        <v>69</v>
      </c>
      <c r="E500">
        <v>20</v>
      </c>
      <c r="F500" s="3">
        <v>6.91</v>
      </c>
      <c r="G500" s="4">
        <v>86.1</v>
      </c>
      <c r="H500">
        <v>2</v>
      </c>
      <c r="I500">
        <v>4</v>
      </c>
      <c r="J500">
        <v>3</v>
      </c>
      <c r="K500" s="4">
        <v>68.3</v>
      </c>
      <c r="L500" s="4">
        <v>83.3</v>
      </c>
      <c r="M500" s="4">
        <v>76.8</v>
      </c>
      <c r="N500">
        <v>0</v>
      </c>
      <c r="O500" t="s">
        <v>58</v>
      </c>
      <c r="P500" t="s">
        <v>59</v>
      </c>
      <c r="Q500" t="s">
        <v>60</v>
      </c>
      <c r="R500" t="s">
        <v>85</v>
      </c>
      <c r="S500" s="3">
        <v>19.39</v>
      </c>
      <c r="T500" s="5">
        <v>44512</v>
      </c>
      <c r="U500">
        <v>1</v>
      </c>
      <c r="V500">
        <v>2021</v>
      </c>
      <c r="X500">
        <f t="shared" si="21"/>
        <v>6.9099500000000003</v>
      </c>
      <c r="Y500">
        <f t="shared" si="22"/>
        <v>19.389949999999999</v>
      </c>
      <c r="Z500">
        <f t="shared" si="23"/>
        <v>83.299949999999995</v>
      </c>
    </row>
    <row r="501" spans="1:26" x14ac:dyDescent="0.3">
      <c r="A501" t="s">
        <v>591</v>
      </c>
      <c r="B501" t="s">
        <v>107</v>
      </c>
      <c r="C501" t="s">
        <v>84</v>
      </c>
      <c r="D501" t="s">
        <v>69</v>
      </c>
      <c r="E501">
        <v>23</v>
      </c>
      <c r="F501" s="3">
        <v>7.87</v>
      </c>
      <c r="G501" s="4">
        <v>61.8</v>
      </c>
      <c r="H501">
        <v>1</v>
      </c>
      <c r="I501">
        <v>2</v>
      </c>
      <c r="J501">
        <v>2</v>
      </c>
      <c r="K501" s="4">
        <v>68.5</v>
      </c>
      <c r="L501" s="4">
        <v>75.900000000000006</v>
      </c>
      <c r="M501" s="4">
        <v>78.900000000000006</v>
      </c>
      <c r="N501">
        <v>0</v>
      </c>
      <c r="O501" t="s">
        <v>58</v>
      </c>
      <c r="P501" t="s">
        <v>70</v>
      </c>
      <c r="Q501" t="s">
        <v>71</v>
      </c>
      <c r="R501" t="s">
        <v>80</v>
      </c>
      <c r="S501" s="3">
        <v>6.69</v>
      </c>
      <c r="T501" s="5">
        <v>44455</v>
      </c>
      <c r="U501">
        <v>3</v>
      </c>
      <c r="V501">
        <v>2021</v>
      </c>
      <c r="X501">
        <f t="shared" si="21"/>
        <v>7.8699498999999999</v>
      </c>
      <c r="Y501">
        <f t="shared" si="22"/>
        <v>6.6899499000000002</v>
      </c>
      <c r="Z501">
        <f t="shared" si="23"/>
        <v>75.89994990000001</v>
      </c>
    </row>
    <row r="502" spans="1:26" x14ac:dyDescent="0.3">
      <c r="A502" t="s">
        <v>592</v>
      </c>
      <c r="B502" t="s">
        <v>55</v>
      </c>
      <c r="C502" t="s">
        <v>78</v>
      </c>
      <c r="D502" t="s">
        <v>57</v>
      </c>
      <c r="E502">
        <v>21</v>
      </c>
      <c r="F502" s="3">
        <v>6.55</v>
      </c>
      <c r="G502" s="4">
        <v>82.8</v>
      </c>
      <c r="H502">
        <v>0</v>
      </c>
      <c r="I502">
        <v>3</v>
      </c>
      <c r="J502">
        <v>2</v>
      </c>
      <c r="K502" s="4">
        <v>64.8</v>
      </c>
      <c r="L502" s="4">
        <v>74</v>
      </c>
      <c r="M502" s="4">
        <v>78.599999999999994</v>
      </c>
      <c r="N502">
        <v>0</v>
      </c>
      <c r="O502" t="s">
        <v>58</v>
      </c>
      <c r="P502" t="s">
        <v>59</v>
      </c>
      <c r="Q502" t="s">
        <v>60</v>
      </c>
      <c r="R502" t="s">
        <v>80</v>
      </c>
      <c r="S502" s="3">
        <v>18.37</v>
      </c>
      <c r="T502" s="5">
        <v>45581</v>
      </c>
      <c r="U502">
        <v>1</v>
      </c>
      <c r="V502">
        <v>2024</v>
      </c>
      <c r="X502">
        <f t="shared" si="21"/>
        <v>6.5499498000000003</v>
      </c>
      <c r="Y502">
        <f t="shared" si="22"/>
        <v>18.369949800000001</v>
      </c>
      <c r="Z502">
        <f t="shared" si="23"/>
        <v>73.999949799999996</v>
      </c>
    </row>
    <row r="503" spans="1:26" x14ac:dyDescent="0.3">
      <c r="A503" t="s">
        <v>593</v>
      </c>
      <c r="B503" t="s">
        <v>107</v>
      </c>
      <c r="C503" t="s">
        <v>89</v>
      </c>
      <c r="D503" t="s">
        <v>69</v>
      </c>
      <c r="E503">
        <v>22</v>
      </c>
      <c r="F503" s="3">
        <v>9.66</v>
      </c>
      <c r="G503" s="4">
        <v>92.7</v>
      </c>
      <c r="H503">
        <v>0</v>
      </c>
      <c r="I503">
        <v>2</v>
      </c>
      <c r="J503">
        <v>3</v>
      </c>
      <c r="K503" s="4">
        <v>77</v>
      </c>
      <c r="L503" s="4">
        <v>63</v>
      </c>
      <c r="M503" s="4">
        <v>79.2</v>
      </c>
      <c r="N503">
        <v>0</v>
      </c>
      <c r="O503" t="s">
        <v>64</v>
      </c>
      <c r="P503" t="s">
        <v>65</v>
      </c>
      <c r="S503" s="3">
        <v>0</v>
      </c>
      <c r="T503" s="5"/>
      <c r="U503">
        <v>0</v>
      </c>
      <c r="V503">
        <v>2021</v>
      </c>
      <c r="X503">
        <f t="shared" si="21"/>
        <v>9.6599497000000003</v>
      </c>
      <c r="Y503">
        <f t="shared" si="22"/>
        <v>-5.0299999999999996E-5</v>
      </c>
      <c r="Z503">
        <f t="shared" si="23"/>
        <v>62.999949700000002</v>
      </c>
    </row>
    <row r="504" spans="1:26" x14ac:dyDescent="0.3">
      <c r="A504" t="s">
        <v>594</v>
      </c>
      <c r="B504" t="s">
        <v>63</v>
      </c>
      <c r="C504" t="s">
        <v>101</v>
      </c>
      <c r="D504" t="s">
        <v>57</v>
      </c>
      <c r="E504">
        <v>21</v>
      </c>
      <c r="F504" s="3">
        <v>7.03</v>
      </c>
      <c r="G504" s="4">
        <v>84.5</v>
      </c>
      <c r="H504">
        <v>1</v>
      </c>
      <c r="I504">
        <v>2</v>
      </c>
      <c r="J504">
        <v>3</v>
      </c>
      <c r="K504" s="4">
        <v>66.599999999999994</v>
      </c>
      <c r="L504" s="4">
        <v>75</v>
      </c>
      <c r="M504" s="4">
        <v>62.6</v>
      </c>
      <c r="N504">
        <v>0</v>
      </c>
      <c r="O504" t="s">
        <v>64</v>
      </c>
      <c r="P504" t="s">
        <v>65</v>
      </c>
      <c r="S504" s="3">
        <v>0</v>
      </c>
      <c r="T504" s="5"/>
      <c r="U504">
        <v>0</v>
      </c>
      <c r="V504">
        <v>2025</v>
      </c>
      <c r="X504">
        <f t="shared" si="21"/>
        <v>7.0299496000000001</v>
      </c>
      <c r="Y504">
        <f t="shared" si="22"/>
        <v>-5.0399999999999999E-5</v>
      </c>
      <c r="Z504">
        <f t="shared" si="23"/>
        <v>74.999949599999994</v>
      </c>
    </row>
    <row r="505" spans="1:26" x14ac:dyDescent="0.3">
      <c r="A505" t="s">
        <v>595</v>
      </c>
      <c r="B505" t="s">
        <v>67</v>
      </c>
      <c r="C505" t="s">
        <v>78</v>
      </c>
      <c r="D505" t="s">
        <v>57</v>
      </c>
      <c r="E505">
        <v>22</v>
      </c>
      <c r="F505" s="3">
        <v>8.23</v>
      </c>
      <c r="G505" s="4">
        <v>63.8</v>
      </c>
      <c r="H505">
        <v>2</v>
      </c>
      <c r="I505">
        <v>0</v>
      </c>
      <c r="J505">
        <v>5</v>
      </c>
      <c r="K505" s="4">
        <v>60.8</v>
      </c>
      <c r="L505" s="4">
        <v>43.1</v>
      </c>
      <c r="M505" s="4">
        <v>71.7</v>
      </c>
      <c r="N505">
        <v>0</v>
      </c>
      <c r="O505" t="s">
        <v>58</v>
      </c>
      <c r="P505" t="s">
        <v>92</v>
      </c>
      <c r="Q505" t="s">
        <v>93</v>
      </c>
      <c r="R505" t="s">
        <v>76</v>
      </c>
      <c r="S505" s="3">
        <v>9.23</v>
      </c>
      <c r="T505" s="5">
        <v>45206</v>
      </c>
      <c r="U505">
        <v>1</v>
      </c>
      <c r="V505">
        <v>2023</v>
      </c>
      <c r="X505">
        <f t="shared" si="21"/>
        <v>8.2299495</v>
      </c>
      <c r="Y505">
        <f t="shared" si="22"/>
        <v>9.2299495</v>
      </c>
      <c r="Z505">
        <f t="shared" si="23"/>
        <v>43.099949500000001</v>
      </c>
    </row>
    <row r="506" spans="1:26" x14ac:dyDescent="0.3">
      <c r="A506" t="s">
        <v>596</v>
      </c>
      <c r="B506" t="s">
        <v>67</v>
      </c>
      <c r="C506" t="s">
        <v>74</v>
      </c>
      <c r="D506" t="s">
        <v>57</v>
      </c>
      <c r="E506">
        <v>22</v>
      </c>
      <c r="F506" s="3">
        <v>6.57</v>
      </c>
      <c r="G506" s="4">
        <v>86.7</v>
      </c>
      <c r="H506">
        <v>1</v>
      </c>
      <c r="I506">
        <v>0</v>
      </c>
      <c r="J506">
        <v>2</v>
      </c>
      <c r="K506" s="4">
        <v>62.2</v>
      </c>
      <c r="L506" s="4">
        <v>61</v>
      </c>
      <c r="M506" s="4">
        <v>71</v>
      </c>
      <c r="N506">
        <v>0</v>
      </c>
      <c r="O506" t="s">
        <v>58</v>
      </c>
      <c r="P506" t="s">
        <v>95</v>
      </c>
      <c r="Q506" t="s">
        <v>93</v>
      </c>
      <c r="R506" t="s">
        <v>76</v>
      </c>
      <c r="S506" s="3">
        <v>4.96</v>
      </c>
      <c r="T506" s="5">
        <v>45151</v>
      </c>
      <c r="U506">
        <v>1</v>
      </c>
      <c r="V506">
        <v>2023</v>
      </c>
      <c r="X506">
        <f t="shared" si="21"/>
        <v>6.5699494000000005</v>
      </c>
      <c r="Y506">
        <f t="shared" si="22"/>
        <v>4.9599494000000002</v>
      </c>
      <c r="Z506">
        <f t="shared" si="23"/>
        <v>60.999949399999998</v>
      </c>
    </row>
    <row r="507" spans="1:26" x14ac:dyDescent="0.3">
      <c r="A507" t="s">
        <v>597</v>
      </c>
      <c r="B507" t="s">
        <v>107</v>
      </c>
      <c r="C507" t="s">
        <v>84</v>
      </c>
      <c r="D507" t="s">
        <v>69</v>
      </c>
      <c r="E507">
        <v>22</v>
      </c>
      <c r="F507" s="3">
        <v>7.5</v>
      </c>
      <c r="G507" s="4">
        <v>84.2</v>
      </c>
      <c r="H507">
        <v>3</v>
      </c>
      <c r="I507">
        <v>0</v>
      </c>
      <c r="J507">
        <v>6</v>
      </c>
      <c r="K507" s="4">
        <v>91.3</v>
      </c>
      <c r="L507" s="4">
        <v>96.8</v>
      </c>
      <c r="M507" s="4">
        <v>75.7</v>
      </c>
      <c r="N507">
        <v>0</v>
      </c>
      <c r="O507" t="s">
        <v>58</v>
      </c>
      <c r="P507" t="s">
        <v>79</v>
      </c>
      <c r="Q507" t="s">
        <v>71</v>
      </c>
      <c r="R507" t="s">
        <v>109</v>
      </c>
      <c r="S507" s="3">
        <v>8.59</v>
      </c>
      <c r="T507" s="5">
        <v>44438</v>
      </c>
      <c r="U507">
        <v>1</v>
      </c>
      <c r="V507">
        <v>2021</v>
      </c>
      <c r="X507">
        <f t="shared" si="21"/>
        <v>7.4999492999999999</v>
      </c>
      <c r="Y507">
        <f t="shared" si="22"/>
        <v>8.5899493000000007</v>
      </c>
      <c r="Z507">
        <f t="shared" si="23"/>
        <v>96.799949299999994</v>
      </c>
    </row>
    <row r="508" spans="1:26" x14ac:dyDescent="0.3">
      <c r="A508" t="s">
        <v>598</v>
      </c>
      <c r="B508" t="s">
        <v>55</v>
      </c>
      <c r="C508" t="s">
        <v>56</v>
      </c>
      <c r="D508" t="s">
        <v>57</v>
      </c>
      <c r="E508">
        <v>23</v>
      </c>
      <c r="F508" s="3">
        <v>8.4499999999999993</v>
      </c>
      <c r="G508" s="4">
        <v>78.900000000000006</v>
      </c>
      <c r="H508">
        <v>2</v>
      </c>
      <c r="I508">
        <v>5</v>
      </c>
      <c r="J508">
        <v>6</v>
      </c>
      <c r="K508" s="4">
        <v>68.8</v>
      </c>
      <c r="L508" s="4">
        <v>83.1</v>
      </c>
      <c r="M508" s="4">
        <v>52.4</v>
      </c>
      <c r="N508">
        <v>3</v>
      </c>
      <c r="O508" t="s">
        <v>58</v>
      </c>
      <c r="P508" t="s">
        <v>95</v>
      </c>
      <c r="Q508" t="s">
        <v>93</v>
      </c>
      <c r="R508" t="s">
        <v>85</v>
      </c>
      <c r="S508" s="3">
        <v>7.24</v>
      </c>
      <c r="T508" s="5">
        <v>45612</v>
      </c>
      <c r="U508">
        <v>1</v>
      </c>
      <c r="V508">
        <v>2024</v>
      </c>
      <c r="X508">
        <f t="shared" si="21"/>
        <v>8.4499491999999989</v>
      </c>
      <c r="Y508">
        <f t="shared" si="22"/>
        <v>7.2399491999999999</v>
      </c>
      <c r="Z508">
        <f t="shared" si="23"/>
        <v>83.099949199999998</v>
      </c>
    </row>
    <row r="509" spans="1:26" x14ac:dyDescent="0.3">
      <c r="A509" t="s">
        <v>599</v>
      </c>
      <c r="B509" t="s">
        <v>55</v>
      </c>
      <c r="C509" t="s">
        <v>78</v>
      </c>
      <c r="D509" t="s">
        <v>57</v>
      </c>
      <c r="E509">
        <v>21</v>
      </c>
      <c r="F509" s="3">
        <v>8.64</v>
      </c>
      <c r="G509" s="4">
        <v>83.6</v>
      </c>
      <c r="H509">
        <v>1</v>
      </c>
      <c r="I509">
        <v>0</v>
      </c>
      <c r="J509">
        <v>4</v>
      </c>
      <c r="K509" s="4">
        <v>90.7</v>
      </c>
      <c r="L509" s="4">
        <v>68.099999999999994</v>
      </c>
      <c r="M509" s="4">
        <v>57.2</v>
      </c>
      <c r="N509">
        <v>1</v>
      </c>
      <c r="O509" t="s">
        <v>58</v>
      </c>
      <c r="P509" t="s">
        <v>79</v>
      </c>
      <c r="Q509" t="s">
        <v>71</v>
      </c>
      <c r="R509" t="s">
        <v>72</v>
      </c>
      <c r="S509" s="3">
        <v>8.35</v>
      </c>
      <c r="T509" s="5">
        <v>45580</v>
      </c>
      <c r="U509">
        <v>1</v>
      </c>
      <c r="V509">
        <v>2024</v>
      </c>
      <c r="X509">
        <f t="shared" si="21"/>
        <v>8.6399491000000008</v>
      </c>
      <c r="Y509">
        <f t="shared" si="22"/>
        <v>8.3499490999999999</v>
      </c>
      <c r="Z509">
        <f t="shared" si="23"/>
        <v>68.099949099999989</v>
      </c>
    </row>
    <row r="510" spans="1:26" x14ac:dyDescent="0.3">
      <c r="A510" t="s">
        <v>600</v>
      </c>
      <c r="B510" t="s">
        <v>63</v>
      </c>
      <c r="C510" t="s">
        <v>84</v>
      </c>
      <c r="D510" t="s">
        <v>57</v>
      </c>
      <c r="E510">
        <v>23</v>
      </c>
      <c r="F510" s="3">
        <v>8.34</v>
      </c>
      <c r="G510" s="4">
        <v>69.400000000000006</v>
      </c>
      <c r="H510">
        <v>2</v>
      </c>
      <c r="I510">
        <v>0</v>
      </c>
      <c r="J510">
        <v>6</v>
      </c>
      <c r="K510" s="4">
        <v>54.6</v>
      </c>
      <c r="L510" s="4">
        <v>53.6</v>
      </c>
      <c r="M510" s="4">
        <v>99.9</v>
      </c>
      <c r="N510">
        <v>0</v>
      </c>
      <c r="O510" t="s">
        <v>64</v>
      </c>
      <c r="P510" t="s">
        <v>65</v>
      </c>
      <c r="S510" s="3">
        <v>0</v>
      </c>
      <c r="T510" s="5"/>
      <c r="U510">
        <v>0</v>
      </c>
      <c r="V510">
        <v>2025</v>
      </c>
      <c r="X510">
        <f t="shared" si="21"/>
        <v>8.3399490000000007</v>
      </c>
      <c r="Y510">
        <f t="shared" si="22"/>
        <v>-5.1E-5</v>
      </c>
      <c r="Z510">
        <f t="shared" si="23"/>
        <v>53.599949000000002</v>
      </c>
    </row>
    <row r="511" spans="1:26" x14ac:dyDescent="0.3">
      <c r="A511" t="s">
        <v>601</v>
      </c>
      <c r="B511" t="s">
        <v>107</v>
      </c>
      <c r="C511" t="s">
        <v>78</v>
      </c>
      <c r="D511" t="s">
        <v>69</v>
      </c>
      <c r="E511">
        <v>21</v>
      </c>
      <c r="F511" s="3">
        <v>7.53</v>
      </c>
      <c r="G511" s="4">
        <v>82.5</v>
      </c>
      <c r="H511">
        <v>0</v>
      </c>
      <c r="I511">
        <v>1</v>
      </c>
      <c r="J511">
        <v>5</v>
      </c>
      <c r="K511" s="4">
        <v>59</v>
      </c>
      <c r="L511" s="4">
        <v>100</v>
      </c>
      <c r="M511" s="4">
        <v>82.7</v>
      </c>
      <c r="N511">
        <v>0</v>
      </c>
      <c r="O511" t="s">
        <v>64</v>
      </c>
      <c r="P511" t="s">
        <v>65</v>
      </c>
      <c r="S511" s="3">
        <v>0</v>
      </c>
      <c r="T511" s="5"/>
      <c r="U511">
        <v>0</v>
      </c>
      <c r="V511">
        <v>2021</v>
      </c>
      <c r="X511">
        <f t="shared" si="21"/>
        <v>7.5299488999999999</v>
      </c>
      <c r="Y511">
        <f t="shared" si="22"/>
        <v>-5.1099999999999995E-5</v>
      </c>
      <c r="Z511">
        <f t="shared" si="23"/>
        <v>99.999948900000007</v>
      </c>
    </row>
    <row r="512" spans="1:26" x14ac:dyDescent="0.3">
      <c r="A512" t="s">
        <v>602</v>
      </c>
      <c r="B512" t="s">
        <v>67</v>
      </c>
      <c r="C512" t="s">
        <v>78</v>
      </c>
      <c r="D512" t="s">
        <v>57</v>
      </c>
      <c r="E512">
        <v>20</v>
      </c>
      <c r="F512" s="3">
        <v>7.05</v>
      </c>
      <c r="G512" s="4">
        <v>86.3</v>
      </c>
      <c r="H512">
        <v>0</v>
      </c>
      <c r="I512">
        <v>2</v>
      </c>
      <c r="J512">
        <v>4</v>
      </c>
      <c r="K512" s="4">
        <v>61.2</v>
      </c>
      <c r="L512" s="4">
        <v>60.7</v>
      </c>
      <c r="M512" s="4">
        <v>71.400000000000006</v>
      </c>
      <c r="N512">
        <v>0</v>
      </c>
      <c r="O512" t="s">
        <v>58</v>
      </c>
      <c r="P512" t="s">
        <v>59</v>
      </c>
      <c r="Q512" t="s">
        <v>60</v>
      </c>
      <c r="R512" t="s">
        <v>109</v>
      </c>
      <c r="S512" s="3">
        <v>17.78</v>
      </c>
      <c r="T512" s="5">
        <v>45181</v>
      </c>
      <c r="U512">
        <v>1</v>
      </c>
      <c r="V512">
        <v>2023</v>
      </c>
      <c r="X512">
        <f t="shared" si="21"/>
        <v>7.0499488000000001</v>
      </c>
      <c r="Y512">
        <f t="shared" si="22"/>
        <v>17.7799488</v>
      </c>
      <c r="Z512">
        <f t="shared" si="23"/>
        <v>60.699948800000001</v>
      </c>
    </row>
    <row r="513" spans="1:26" x14ac:dyDescent="0.3">
      <c r="A513" t="s">
        <v>603</v>
      </c>
      <c r="B513" t="s">
        <v>55</v>
      </c>
      <c r="C513" t="s">
        <v>78</v>
      </c>
      <c r="D513" t="s">
        <v>69</v>
      </c>
      <c r="E513">
        <v>20</v>
      </c>
      <c r="F513" s="3">
        <v>6.68</v>
      </c>
      <c r="G513" s="4">
        <v>75.8</v>
      </c>
      <c r="H513">
        <v>2</v>
      </c>
      <c r="I513">
        <v>4</v>
      </c>
      <c r="J513">
        <v>4</v>
      </c>
      <c r="K513" s="4">
        <v>66.900000000000006</v>
      </c>
      <c r="L513" s="4">
        <v>55.6</v>
      </c>
      <c r="M513" s="4">
        <v>74.900000000000006</v>
      </c>
      <c r="N513">
        <v>0</v>
      </c>
      <c r="O513" t="s">
        <v>58</v>
      </c>
      <c r="P513" t="s">
        <v>112</v>
      </c>
      <c r="Q513" t="s">
        <v>93</v>
      </c>
      <c r="R513" t="s">
        <v>109</v>
      </c>
      <c r="S513" s="3">
        <v>6.64</v>
      </c>
      <c r="T513" s="5">
        <v>45616</v>
      </c>
      <c r="U513">
        <v>2</v>
      </c>
      <c r="V513">
        <v>2024</v>
      </c>
      <c r="X513">
        <f t="shared" si="21"/>
        <v>6.6799486999999997</v>
      </c>
      <c r="Y513">
        <f t="shared" si="22"/>
        <v>6.6399486999999997</v>
      </c>
      <c r="Z513">
        <f t="shared" si="23"/>
        <v>55.599948699999999</v>
      </c>
    </row>
    <row r="514" spans="1:26" x14ac:dyDescent="0.3">
      <c r="A514" t="s">
        <v>604</v>
      </c>
      <c r="B514" t="s">
        <v>107</v>
      </c>
      <c r="C514" t="s">
        <v>68</v>
      </c>
      <c r="D514" t="s">
        <v>69</v>
      </c>
      <c r="E514">
        <v>21</v>
      </c>
      <c r="F514" s="3">
        <v>9</v>
      </c>
      <c r="G514" s="4">
        <v>77.8</v>
      </c>
      <c r="H514">
        <v>1</v>
      </c>
      <c r="I514">
        <v>3</v>
      </c>
      <c r="J514">
        <v>4</v>
      </c>
      <c r="K514" s="4">
        <v>58</v>
      </c>
      <c r="L514" s="4">
        <v>72.599999999999994</v>
      </c>
      <c r="M514" s="4">
        <v>98.2</v>
      </c>
      <c r="N514">
        <v>0</v>
      </c>
      <c r="O514" t="s">
        <v>58</v>
      </c>
      <c r="P514" t="s">
        <v>79</v>
      </c>
      <c r="Q514" t="s">
        <v>71</v>
      </c>
      <c r="R514" t="s">
        <v>109</v>
      </c>
      <c r="S514" s="3">
        <v>7.88</v>
      </c>
      <c r="T514" s="5">
        <v>44506</v>
      </c>
      <c r="U514">
        <v>1</v>
      </c>
      <c r="V514">
        <v>2021</v>
      </c>
      <c r="X514">
        <f t="shared" ref="X514:X577" si="24">F514-ROW()*0.0000001</f>
        <v>8.9999485999999997</v>
      </c>
      <c r="Y514">
        <f t="shared" ref="Y514:Y577" si="25">S514-ROW()*0.0000001</f>
        <v>7.8799485999999996</v>
      </c>
      <c r="Z514">
        <f t="shared" ref="Z514:Z577" si="26">L514-ROW()*0.0000001</f>
        <v>72.599948599999991</v>
      </c>
    </row>
    <row r="515" spans="1:26" x14ac:dyDescent="0.3">
      <c r="A515" t="s">
        <v>605</v>
      </c>
      <c r="B515" t="s">
        <v>55</v>
      </c>
      <c r="C515" t="s">
        <v>101</v>
      </c>
      <c r="D515" t="s">
        <v>57</v>
      </c>
      <c r="E515">
        <v>21</v>
      </c>
      <c r="F515" s="3">
        <v>7.74</v>
      </c>
      <c r="G515" s="4">
        <v>76.900000000000006</v>
      </c>
      <c r="H515">
        <v>1</v>
      </c>
      <c r="I515">
        <v>1</v>
      </c>
      <c r="J515">
        <v>2</v>
      </c>
      <c r="K515" s="4">
        <v>66.2</v>
      </c>
      <c r="L515" s="4">
        <v>61.9</v>
      </c>
      <c r="M515" s="4">
        <v>51.5</v>
      </c>
      <c r="N515">
        <v>0</v>
      </c>
      <c r="O515" t="s">
        <v>58</v>
      </c>
      <c r="P515" t="s">
        <v>87</v>
      </c>
      <c r="Q515" t="s">
        <v>71</v>
      </c>
      <c r="R515" t="s">
        <v>85</v>
      </c>
      <c r="S515" s="3">
        <v>6.18</v>
      </c>
      <c r="T515" s="5">
        <v>45507</v>
      </c>
      <c r="U515">
        <v>1</v>
      </c>
      <c r="V515">
        <v>2024</v>
      </c>
      <c r="X515">
        <f t="shared" si="24"/>
        <v>7.7399485000000006</v>
      </c>
      <c r="Y515">
        <f t="shared" si="25"/>
        <v>6.1799485000000001</v>
      </c>
      <c r="Z515">
        <f t="shared" si="26"/>
        <v>61.899948500000001</v>
      </c>
    </row>
    <row r="516" spans="1:26" x14ac:dyDescent="0.3">
      <c r="A516" t="s">
        <v>606</v>
      </c>
      <c r="B516" t="s">
        <v>55</v>
      </c>
      <c r="C516" t="s">
        <v>56</v>
      </c>
      <c r="D516" t="s">
        <v>57</v>
      </c>
      <c r="E516">
        <v>21</v>
      </c>
      <c r="F516" s="3">
        <v>7.91</v>
      </c>
      <c r="G516" s="4">
        <v>77.7</v>
      </c>
      <c r="H516">
        <v>2</v>
      </c>
      <c r="I516">
        <v>4</v>
      </c>
      <c r="J516">
        <v>2</v>
      </c>
      <c r="K516" s="4">
        <v>70.8</v>
      </c>
      <c r="L516" s="4">
        <v>39.799999999999997</v>
      </c>
      <c r="M516" s="4">
        <v>75.400000000000006</v>
      </c>
      <c r="N516">
        <v>0</v>
      </c>
      <c r="O516" t="s">
        <v>58</v>
      </c>
      <c r="P516" t="s">
        <v>59</v>
      </c>
      <c r="Q516" t="s">
        <v>60</v>
      </c>
      <c r="R516" t="s">
        <v>85</v>
      </c>
      <c r="S516" s="3">
        <v>19.73</v>
      </c>
      <c r="T516" s="5">
        <v>45547</v>
      </c>
      <c r="U516">
        <v>2</v>
      </c>
      <c r="V516">
        <v>2024</v>
      </c>
      <c r="X516">
        <f t="shared" si="24"/>
        <v>7.9099484000000002</v>
      </c>
      <c r="Y516">
        <f t="shared" si="25"/>
        <v>19.729948400000001</v>
      </c>
      <c r="Z516">
        <f t="shared" si="26"/>
        <v>39.799948399999998</v>
      </c>
    </row>
    <row r="517" spans="1:26" x14ac:dyDescent="0.3">
      <c r="A517" t="s">
        <v>607</v>
      </c>
      <c r="B517" t="s">
        <v>67</v>
      </c>
      <c r="C517" t="s">
        <v>56</v>
      </c>
      <c r="D517" t="s">
        <v>57</v>
      </c>
      <c r="E517">
        <v>21</v>
      </c>
      <c r="F517" s="3">
        <v>8.6999999999999993</v>
      </c>
      <c r="G517" s="4">
        <v>74.5</v>
      </c>
      <c r="H517">
        <v>2</v>
      </c>
      <c r="I517">
        <v>0</v>
      </c>
      <c r="J517">
        <v>4</v>
      </c>
      <c r="K517" s="4">
        <v>82.1</v>
      </c>
      <c r="L517" s="4">
        <v>48.4</v>
      </c>
      <c r="M517" s="4">
        <v>69.900000000000006</v>
      </c>
      <c r="N517">
        <v>0</v>
      </c>
      <c r="O517" t="s">
        <v>58</v>
      </c>
      <c r="P517" t="s">
        <v>112</v>
      </c>
      <c r="Q517" t="s">
        <v>93</v>
      </c>
      <c r="R517" t="s">
        <v>85</v>
      </c>
      <c r="S517" s="3">
        <v>6.7</v>
      </c>
      <c r="T517" s="5">
        <v>45211</v>
      </c>
      <c r="U517">
        <v>3</v>
      </c>
      <c r="V517">
        <v>2023</v>
      </c>
      <c r="X517">
        <f t="shared" si="24"/>
        <v>8.6999482999999991</v>
      </c>
      <c r="Y517">
        <f t="shared" si="25"/>
        <v>6.6999483</v>
      </c>
      <c r="Z517">
        <f t="shared" si="26"/>
        <v>48.399948299999998</v>
      </c>
    </row>
    <row r="518" spans="1:26" x14ac:dyDescent="0.3">
      <c r="A518" t="s">
        <v>608</v>
      </c>
      <c r="B518" t="s">
        <v>82</v>
      </c>
      <c r="C518" t="s">
        <v>74</v>
      </c>
      <c r="D518" t="s">
        <v>69</v>
      </c>
      <c r="E518">
        <v>22</v>
      </c>
      <c r="F518" s="3">
        <v>8.18</v>
      </c>
      <c r="G518" s="4">
        <v>75.099999999999994</v>
      </c>
      <c r="H518">
        <v>1</v>
      </c>
      <c r="I518">
        <v>5</v>
      </c>
      <c r="J518">
        <v>2</v>
      </c>
      <c r="K518" s="4">
        <v>49.2</v>
      </c>
      <c r="L518" s="4">
        <v>67</v>
      </c>
      <c r="M518" s="4">
        <v>88.9</v>
      </c>
      <c r="N518">
        <v>0</v>
      </c>
      <c r="O518" t="s">
        <v>58</v>
      </c>
      <c r="P518" t="s">
        <v>87</v>
      </c>
      <c r="Q518" t="s">
        <v>71</v>
      </c>
      <c r="R518" t="s">
        <v>85</v>
      </c>
      <c r="S518" s="3">
        <v>5.54</v>
      </c>
      <c r="T518" s="5">
        <v>44844</v>
      </c>
      <c r="U518">
        <v>2</v>
      </c>
      <c r="V518">
        <v>2022</v>
      </c>
      <c r="X518">
        <f t="shared" si="24"/>
        <v>8.1799482000000001</v>
      </c>
      <c r="Y518">
        <f t="shared" si="25"/>
        <v>5.5399482000000004</v>
      </c>
      <c r="Z518">
        <f t="shared" si="26"/>
        <v>66.999948200000006</v>
      </c>
    </row>
    <row r="519" spans="1:26" x14ac:dyDescent="0.3">
      <c r="A519" t="s">
        <v>609</v>
      </c>
      <c r="B519" t="s">
        <v>63</v>
      </c>
      <c r="C519" t="s">
        <v>68</v>
      </c>
      <c r="D519" t="s">
        <v>57</v>
      </c>
      <c r="E519">
        <v>23</v>
      </c>
      <c r="F519" s="3">
        <v>7.54</v>
      </c>
      <c r="G519" s="4">
        <v>86.6</v>
      </c>
      <c r="H519">
        <v>1</v>
      </c>
      <c r="I519">
        <v>0</v>
      </c>
      <c r="J519">
        <v>6</v>
      </c>
      <c r="K519" s="4">
        <v>81</v>
      </c>
      <c r="L519" s="4">
        <v>53.1</v>
      </c>
      <c r="M519" s="4">
        <v>80.900000000000006</v>
      </c>
      <c r="N519">
        <v>0</v>
      </c>
      <c r="O519" t="s">
        <v>64</v>
      </c>
      <c r="P519" t="s">
        <v>65</v>
      </c>
      <c r="S519" s="3">
        <v>0</v>
      </c>
      <c r="T519" s="5"/>
      <c r="U519">
        <v>0</v>
      </c>
      <c r="V519">
        <v>2025</v>
      </c>
      <c r="X519">
        <f t="shared" si="24"/>
        <v>7.5399481000000002</v>
      </c>
      <c r="Y519">
        <f t="shared" si="25"/>
        <v>-5.1899999999999994E-5</v>
      </c>
      <c r="Z519">
        <f t="shared" si="26"/>
        <v>53.099948099999999</v>
      </c>
    </row>
    <row r="520" spans="1:26" x14ac:dyDescent="0.3">
      <c r="A520" t="s">
        <v>610</v>
      </c>
      <c r="B520" t="s">
        <v>63</v>
      </c>
      <c r="C520" t="s">
        <v>68</v>
      </c>
      <c r="D520" t="s">
        <v>57</v>
      </c>
      <c r="E520">
        <v>22</v>
      </c>
      <c r="F520" s="3">
        <v>8.32</v>
      </c>
      <c r="G520" s="4">
        <v>66.3</v>
      </c>
      <c r="H520">
        <v>1</v>
      </c>
      <c r="I520">
        <v>3</v>
      </c>
      <c r="J520">
        <v>4</v>
      </c>
      <c r="K520" s="4">
        <v>78.3</v>
      </c>
      <c r="L520" s="4">
        <v>46.7</v>
      </c>
      <c r="M520" s="4">
        <v>100</v>
      </c>
      <c r="N520">
        <v>0</v>
      </c>
      <c r="O520" t="s">
        <v>58</v>
      </c>
      <c r="P520" t="s">
        <v>92</v>
      </c>
      <c r="Q520" t="s">
        <v>93</v>
      </c>
      <c r="R520" t="s">
        <v>109</v>
      </c>
      <c r="S520" s="3">
        <v>9.0299999999999994</v>
      </c>
      <c r="T520" s="5">
        <v>45961</v>
      </c>
      <c r="U520">
        <v>1</v>
      </c>
      <c r="V520">
        <v>2025</v>
      </c>
      <c r="X520">
        <f t="shared" si="24"/>
        <v>8.3199480000000001</v>
      </c>
      <c r="Y520">
        <f t="shared" si="25"/>
        <v>9.0299479999999992</v>
      </c>
      <c r="Z520">
        <f t="shared" si="26"/>
        <v>46.699948000000006</v>
      </c>
    </row>
    <row r="521" spans="1:26" x14ac:dyDescent="0.3">
      <c r="A521" t="s">
        <v>611</v>
      </c>
      <c r="B521" t="s">
        <v>67</v>
      </c>
      <c r="C521" t="s">
        <v>101</v>
      </c>
      <c r="D521" t="s">
        <v>57</v>
      </c>
      <c r="E521">
        <v>23</v>
      </c>
      <c r="F521" s="3">
        <v>7.09</v>
      </c>
      <c r="G521" s="4">
        <v>83.6</v>
      </c>
      <c r="H521">
        <v>2</v>
      </c>
      <c r="I521">
        <v>0</v>
      </c>
      <c r="J521">
        <v>3</v>
      </c>
      <c r="K521" s="4">
        <v>54.4</v>
      </c>
      <c r="L521" s="4">
        <v>48</v>
      </c>
      <c r="M521" s="4">
        <v>83.8</v>
      </c>
      <c r="N521">
        <v>1</v>
      </c>
      <c r="O521" t="s">
        <v>64</v>
      </c>
      <c r="P521" t="s">
        <v>65</v>
      </c>
      <c r="S521" s="3">
        <v>0</v>
      </c>
      <c r="T521" s="5"/>
      <c r="U521">
        <v>0</v>
      </c>
      <c r="V521">
        <v>2023</v>
      </c>
      <c r="X521">
        <f t="shared" si="24"/>
        <v>7.0899478999999994</v>
      </c>
      <c r="Y521">
        <f t="shared" si="25"/>
        <v>-5.2099999999999999E-5</v>
      </c>
      <c r="Z521">
        <f t="shared" si="26"/>
        <v>47.999947900000002</v>
      </c>
    </row>
    <row r="522" spans="1:26" x14ac:dyDescent="0.3">
      <c r="A522" t="s">
        <v>612</v>
      </c>
      <c r="B522" t="s">
        <v>55</v>
      </c>
      <c r="C522" t="s">
        <v>74</v>
      </c>
      <c r="D522" t="s">
        <v>69</v>
      </c>
      <c r="E522">
        <v>23</v>
      </c>
      <c r="F522" s="3">
        <v>6.25</v>
      </c>
      <c r="G522" s="4">
        <v>86.6</v>
      </c>
      <c r="H522">
        <v>1</v>
      </c>
      <c r="I522">
        <v>4</v>
      </c>
      <c r="J522">
        <v>2</v>
      </c>
      <c r="K522" s="4">
        <v>57</v>
      </c>
      <c r="L522" s="4">
        <v>67.2</v>
      </c>
      <c r="M522" s="4">
        <v>68.7</v>
      </c>
      <c r="N522">
        <v>0</v>
      </c>
      <c r="O522" t="s">
        <v>58</v>
      </c>
      <c r="P522" t="s">
        <v>75</v>
      </c>
      <c r="Q522" t="s">
        <v>71</v>
      </c>
      <c r="R522" t="s">
        <v>80</v>
      </c>
      <c r="S522" s="3">
        <v>5.01</v>
      </c>
      <c r="T522" s="5">
        <v>45536</v>
      </c>
      <c r="U522">
        <v>2</v>
      </c>
      <c r="V522">
        <v>2024</v>
      </c>
      <c r="X522">
        <f t="shared" si="24"/>
        <v>6.2499478000000002</v>
      </c>
      <c r="Y522">
        <f t="shared" si="25"/>
        <v>5.0099478</v>
      </c>
      <c r="Z522">
        <f t="shared" si="26"/>
        <v>67.199947800000004</v>
      </c>
    </row>
    <row r="523" spans="1:26" x14ac:dyDescent="0.3">
      <c r="A523" t="s">
        <v>613</v>
      </c>
      <c r="B523" t="s">
        <v>107</v>
      </c>
      <c r="C523" t="s">
        <v>68</v>
      </c>
      <c r="D523" t="s">
        <v>57</v>
      </c>
      <c r="E523">
        <v>23</v>
      </c>
      <c r="F523" s="3">
        <v>8.92</v>
      </c>
      <c r="G523" s="4">
        <v>69.8</v>
      </c>
      <c r="H523">
        <v>3</v>
      </c>
      <c r="I523">
        <v>0</v>
      </c>
      <c r="J523">
        <v>3</v>
      </c>
      <c r="K523" s="4">
        <v>73</v>
      </c>
      <c r="L523" s="4">
        <v>68.099999999999994</v>
      </c>
      <c r="M523" s="4">
        <v>71.2</v>
      </c>
      <c r="N523">
        <v>1</v>
      </c>
      <c r="O523" t="s">
        <v>64</v>
      </c>
      <c r="P523" t="s">
        <v>65</v>
      </c>
      <c r="S523" s="3">
        <v>0</v>
      </c>
      <c r="T523" s="5"/>
      <c r="U523">
        <v>0</v>
      </c>
      <c r="V523">
        <v>2021</v>
      </c>
      <c r="X523">
        <f t="shared" si="24"/>
        <v>8.9199476999999998</v>
      </c>
      <c r="Y523">
        <f t="shared" si="25"/>
        <v>-5.2299999999999997E-5</v>
      </c>
      <c r="Z523">
        <f t="shared" si="26"/>
        <v>68.099947700000001</v>
      </c>
    </row>
    <row r="524" spans="1:26" x14ac:dyDescent="0.3">
      <c r="A524" t="s">
        <v>614</v>
      </c>
      <c r="B524" t="s">
        <v>55</v>
      </c>
      <c r="C524" t="s">
        <v>56</v>
      </c>
      <c r="D524" t="s">
        <v>57</v>
      </c>
      <c r="E524">
        <v>22</v>
      </c>
      <c r="F524" s="3">
        <v>7.16</v>
      </c>
      <c r="G524" s="4">
        <v>81.3</v>
      </c>
      <c r="H524">
        <v>2</v>
      </c>
      <c r="I524">
        <v>0</v>
      </c>
      <c r="J524">
        <v>3</v>
      </c>
      <c r="K524" s="4">
        <v>59.2</v>
      </c>
      <c r="L524" s="4">
        <v>82.6</v>
      </c>
      <c r="M524" s="4">
        <v>82.2</v>
      </c>
      <c r="N524">
        <v>2</v>
      </c>
      <c r="O524" t="s">
        <v>58</v>
      </c>
      <c r="P524" t="s">
        <v>90</v>
      </c>
      <c r="Q524" t="s">
        <v>60</v>
      </c>
      <c r="R524" t="s">
        <v>72</v>
      </c>
      <c r="S524" s="3">
        <v>9</v>
      </c>
      <c r="T524" s="5">
        <v>45517</v>
      </c>
      <c r="U524">
        <v>2</v>
      </c>
      <c r="V524">
        <v>2024</v>
      </c>
      <c r="X524">
        <f t="shared" si="24"/>
        <v>7.1599475999999997</v>
      </c>
      <c r="Y524">
        <f t="shared" si="25"/>
        <v>8.9999476000000005</v>
      </c>
      <c r="Z524">
        <f t="shared" si="26"/>
        <v>82.599947599999993</v>
      </c>
    </row>
    <row r="525" spans="1:26" x14ac:dyDescent="0.3">
      <c r="A525" t="s">
        <v>615</v>
      </c>
      <c r="B525" t="s">
        <v>67</v>
      </c>
      <c r="C525" t="s">
        <v>74</v>
      </c>
      <c r="D525" t="s">
        <v>69</v>
      </c>
      <c r="E525">
        <v>21</v>
      </c>
      <c r="F525" s="3">
        <v>7.38</v>
      </c>
      <c r="G525" s="4">
        <v>73.8</v>
      </c>
      <c r="H525">
        <v>2</v>
      </c>
      <c r="I525">
        <v>4</v>
      </c>
      <c r="J525">
        <v>2</v>
      </c>
      <c r="K525" s="4">
        <v>87.2</v>
      </c>
      <c r="L525" s="4">
        <v>52</v>
      </c>
      <c r="M525" s="4">
        <v>91.4</v>
      </c>
      <c r="N525">
        <v>0</v>
      </c>
      <c r="O525" t="s">
        <v>64</v>
      </c>
      <c r="P525" t="s">
        <v>65</v>
      </c>
      <c r="S525" s="3">
        <v>0</v>
      </c>
      <c r="T525" s="5"/>
      <c r="U525">
        <v>0</v>
      </c>
      <c r="V525">
        <v>2023</v>
      </c>
      <c r="X525">
        <f t="shared" si="24"/>
        <v>7.3799475000000001</v>
      </c>
      <c r="Y525">
        <f t="shared" si="25"/>
        <v>-5.2499999999999995E-5</v>
      </c>
      <c r="Z525">
        <f t="shared" si="26"/>
        <v>51.999947499999998</v>
      </c>
    </row>
    <row r="526" spans="1:26" x14ac:dyDescent="0.3">
      <c r="A526" t="s">
        <v>616</v>
      </c>
      <c r="B526" t="s">
        <v>63</v>
      </c>
      <c r="C526" t="s">
        <v>89</v>
      </c>
      <c r="D526" t="s">
        <v>69</v>
      </c>
      <c r="E526">
        <v>22</v>
      </c>
      <c r="F526" s="3">
        <v>7.46</v>
      </c>
      <c r="G526" s="4">
        <v>92.2</v>
      </c>
      <c r="H526">
        <v>3</v>
      </c>
      <c r="I526">
        <v>0</v>
      </c>
      <c r="J526">
        <v>6</v>
      </c>
      <c r="K526" s="4">
        <v>67.900000000000006</v>
      </c>
      <c r="L526" s="4">
        <v>67.2</v>
      </c>
      <c r="M526" s="4">
        <v>65.5</v>
      </c>
      <c r="N526">
        <v>0</v>
      </c>
      <c r="O526" t="s">
        <v>58</v>
      </c>
      <c r="P526" t="s">
        <v>70</v>
      </c>
      <c r="Q526" t="s">
        <v>71</v>
      </c>
      <c r="R526" t="s">
        <v>61</v>
      </c>
      <c r="S526" s="3">
        <v>6.57</v>
      </c>
      <c r="T526" s="5">
        <v>45895</v>
      </c>
      <c r="U526">
        <v>2</v>
      </c>
      <c r="V526">
        <v>2025</v>
      </c>
      <c r="X526">
        <f t="shared" si="24"/>
        <v>7.4599473999999999</v>
      </c>
      <c r="Y526">
        <f t="shared" si="25"/>
        <v>6.5699474000000002</v>
      </c>
      <c r="Z526">
        <f t="shared" si="26"/>
        <v>67.199947399999999</v>
      </c>
    </row>
    <row r="527" spans="1:26" x14ac:dyDescent="0.3">
      <c r="A527" t="s">
        <v>617</v>
      </c>
      <c r="B527" t="s">
        <v>55</v>
      </c>
      <c r="C527" t="s">
        <v>56</v>
      </c>
      <c r="D527" t="s">
        <v>69</v>
      </c>
      <c r="E527">
        <v>22</v>
      </c>
      <c r="F527" s="3">
        <v>7.11</v>
      </c>
      <c r="G527" s="4">
        <v>80.099999999999994</v>
      </c>
      <c r="H527">
        <v>3</v>
      </c>
      <c r="I527">
        <v>3</v>
      </c>
      <c r="J527">
        <v>3</v>
      </c>
      <c r="K527" s="4">
        <v>51.1</v>
      </c>
      <c r="L527" s="4">
        <v>59.9</v>
      </c>
      <c r="M527" s="4">
        <v>77.099999999999994</v>
      </c>
      <c r="N527">
        <v>0</v>
      </c>
      <c r="O527" t="s">
        <v>58</v>
      </c>
      <c r="P527" t="s">
        <v>75</v>
      </c>
      <c r="Q527" t="s">
        <v>71</v>
      </c>
      <c r="R527" t="s">
        <v>76</v>
      </c>
      <c r="S527" s="3">
        <v>6.12</v>
      </c>
      <c r="T527" s="5">
        <v>45581</v>
      </c>
      <c r="U527">
        <v>1</v>
      </c>
      <c r="V527">
        <v>2024</v>
      </c>
      <c r="X527">
        <f t="shared" si="24"/>
        <v>7.1099473</v>
      </c>
      <c r="Y527">
        <f t="shared" si="25"/>
        <v>6.1199472999999998</v>
      </c>
      <c r="Z527">
        <f t="shared" si="26"/>
        <v>59.899947300000001</v>
      </c>
    </row>
    <row r="528" spans="1:26" x14ac:dyDescent="0.3">
      <c r="A528" t="s">
        <v>618</v>
      </c>
      <c r="B528" t="s">
        <v>63</v>
      </c>
      <c r="C528" t="s">
        <v>74</v>
      </c>
      <c r="D528" t="s">
        <v>57</v>
      </c>
      <c r="E528">
        <v>23</v>
      </c>
      <c r="F528" s="3">
        <v>8.64</v>
      </c>
      <c r="G528" s="4">
        <v>95.3</v>
      </c>
      <c r="H528">
        <v>0</v>
      </c>
      <c r="I528">
        <v>3</v>
      </c>
      <c r="J528">
        <v>4</v>
      </c>
      <c r="K528" s="4">
        <v>52.4</v>
      </c>
      <c r="L528" s="4">
        <v>78.3</v>
      </c>
      <c r="M528" s="4">
        <v>50.5</v>
      </c>
      <c r="N528">
        <v>0</v>
      </c>
      <c r="O528" t="s">
        <v>58</v>
      </c>
      <c r="P528" t="s">
        <v>92</v>
      </c>
      <c r="Q528" t="s">
        <v>93</v>
      </c>
      <c r="R528" t="s">
        <v>80</v>
      </c>
      <c r="S528" s="3">
        <v>8.5299999999999994</v>
      </c>
      <c r="T528" s="5">
        <v>45891</v>
      </c>
      <c r="U528">
        <v>2</v>
      </c>
      <c r="V528">
        <v>2025</v>
      </c>
      <c r="X528">
        <f t="shared" si="24"/>
        <v>8.6399471999999999</v>
      </c>
      <c r="Y528">
        <f t="shared" si="25"/>
        <v>8.5299471999999987</v>
      </c>
      <c r="Z528">
        <f t="shared" si="26"/>
        <v>78.299947199999991</v>
      </c>
    </row>
    <row r="529" spans="1:26" x14ac:dyDescent="0.3">
      <c r="A529" t="s">
        <v>619</v>
      </c>
      <c r="B529" t="s">
        <v>107</v>
      </c>
      <c r="C529" t="s">
        <v>56</v>
      </c>
      <c r="D529" t="s">
        <v>57</v>
      </c>
      <c r="E529">
        <v>20</v>
      </c>
      <c r="F529" s="3">
        <v>7.99</v>
      </c>
      <c r="G529" s="4">
        <v>93.9</v>
      </c>
      <c r="H529">
        <v>0</v>
      </c>
      <c r="I529">
        <v>2</v>
      </c>
      <c r="J529">
        <v>2</v>
      </c>
      <c r="K529" s="4">
        <v>47.1</v>
      </c>
      <c r="L529" s="4">
        <v>70.3</v>
      </c>
      <c r="M529" s="4">
        <v>70.5</v>
      </c>
      <c r="N529">
        <v>0</v>
      </c>
      <c r="O529" t="s">
        <v>58</v>
      </c>
      <c r="P529" t="s">
        <v>104</v>
      </c>
      <c r="Q529" t="s">
        <v>105</v>
      </c>
      <c r="R529" t="s">
        <v>130</v>
      </c>
      <c r="S529" s="3">
        <v>15.17</v>
      </c>
      <c r="T529" s="5">
        <v>44496</v>
      </c>
      <c r="U529">
        <v>2</v>
      </c>
      <c r="V529">
        <v>2021</v>
      </c>
      <c r="X529">
        <f t="shared" si="24"/>
        <v>7.9899471000000002</v>
      </c>
      <c r="Y529">
        <f t="shared" si="25"/>
        <v>15.1699471</v>
      </c>
      <c r="Z529">
        <f t="shared" si="26"/>
        <v>70.299947099999997</v>
      </c>
    </row>
    <row r="530" spans="1:26" x14ac:dyDescent="0.3">
      <c r="A530" t="s">
        <v>620</v>
      </c>
      <c r="B530" t="s">
        <v>63</v>
      </c>
      <c r="C530" t="s">
        <v>56</v>
      </c>
      <c r="D530" t="s">
        <v>57</v>
      </c>
      <c r="E530">
        <v>20</v>
      </c>
      <c r="F530" s="3">
        <v>7.38</v>
      </c>
      <c r="G530" s="4">
        <v>84.8</v>
      </c>
      <c r="H530">
        <v>2</v>
      </c>
      <c r="I530">
        <v>1</v>
      </c>
      <c r="J530">
        <v>6</v>
      </c>
      <c r="K530" s="4">
        <v>66.5</v>
      </c>
      <c r="L530" s="4">
        <v>75.099999999999994</v>
      </c>
      <c r="M530" s="4">
        <v>94.7</v>
      </c>
      <c r="N530">
        <v>0</v>
      </c>
      <c r="O530" t="s">
        <v>64</v>
      </c>
      <c r="P530" t="s">
        <v>65</v>
      </c>
      <c r="S530" s="3">
        <v>0</v>
      </c>
      <c r="T530" s="5"/>
      <c r="U530">
        <v>0</v>
      </c>
      <c r="V530">
        <v>2025</v>
      </c>
      <c r="X530">
        <f t="shared" si="24"/>
        <v>7.3799469999999996</v>
      </c>
      <c r="Y530">
        <f t="shared" si="25"/>
        <v>-5.3000000000000001E-5</v>
      </c>
      <c r="Z530">
        <f t="shared" si="26"/>
        <v>75.099947</v>
      </c>
    </row>
    <row r="531" spans="1:26" x14ac:dyDescent="0.3">
      <c r="A531" t="s">
        <v>621</v>
      </c>
      <c r="B531" t="s">
        <v>63</v>
      </c>
      <c r="C531" t="s">
        <v>68</v>
      </c>
      <c r="D531" t="s">
        <v>57</v>
      </c>
      <c r="E531">
        <v>22</v>
      </c>
      <c r="F531" s="3">
        <v>6.5</v>
      </c>
      <c r="G531" s="4">
        <v>100</v>
      </c>
      <c r="H531">
        <v>3</v>
      </c>
      <c r="I531">
        <v>4</v>
      </c>
      <c r="J531">
        <v>4</v>
      </c>
      <c r="K531" s="4">
        <v>67.2</v>
      </c>
      <c r="L531" s="4">
        <v>88.5</v>
      </c>
      <c r="M531" s="4">
        <v>92.2</v>
      </c>
      <c r="N531">
        <v>1</v>
      </c>
      <c r="O531" t="s">
        <v>64</v>
      </c>
      <c r="P531" t="s">
        <v>65</v>
      </c>
      <c r="S531" s="3">
        <v>0</v>
      </c>
      <c r="T531" s="5"/>
      <c r="U531">
        <v>0</v>
      </c>
      <c r="V531">
        <v>2025</v>
      </c>
      <c r="X531">
        <f t="shared" si="24"/>
        <v>6.4999469000000003</v>
      </c>
      <c r="Y531">
        <f t="shared" si="25"/>
        <v>-5.3099999999999996E-5</v>
      </c>
      <c r="Z531">
        <f t="shared" si="26"/>
        <v>88.499946899999998</v>
      </c>
    </row>
    <row r="532" spans="1:26" x14ac:dyDescent="0.3">
      <c r="A532" t="s">
        <v>622</v>
      </c>
      <c r="B532" t="s">
        <v>82</v>
      </c>
      <c r="C532" t="s">
        <v>56</v>
      </c>
      <c r="D532" t="s">
        <v>57</v>
      </c>
      <c r="E532">
        <v>23</v>
      </c>
      <c r="F532" s="3">
        <v>7.92</v>
      </c>
      <c r="G532" s="4">
        <v>67.8</v>
      </c>
      <c r="H532">
        <v>2</v>
      </c>
      <c r="I532">
        <v>4</v>
      </c>
      <c r="J532">
        <v>4</v>
      </c>
      <c r="K532" s="4">
        <v>75.2</v>
      </c>
      <c r="L532" s="4">
        <v>73</v>
      </c>
      <c r="M532" s="4">
        <v>83</v>
      </c>
      <c r="N532">
        <v>0</v>
      </c>
      <c r="O532" t="s">
        <v>58</v>
      </c>
      <c r="P532" t="s">
        <v>104</v>
      </c>
      <c r="Q532" t="s">
        <v>105</v>
      </c>
      <c r="R532" t="s">
        <v>130</v>
      </c>
      <c r="S532" s="3">
        <v>16.75</v>
      </c>
      <c r="T532" s="5">
        <v>44852</v>
      </c>
      <c r="U532">
        <v>1</v>
      </c>
      <c r="V532">
        <v>2022</v>
      </c>
      <c r="X532">
        <f t="shared" si="24"/>
        <v>7.9199468</v>
      </c>
      <c r="Y532">
        <f t="shared" si="25"/>
        <v>16.7499468</v>
      </c>
      <c r="Z532">
        <f t="shared" si="26"/>
        <v>72.999946800000004</v>
      </c>
    </row>
    <row r="533" spans="1:26" x14ac:dyDescent="0.3">
      <c r="A533" t="s">
        <v>623</v>
      </c>
      <c r="B533" t="s">
        <v>82</v>
      </c>
      <c r="C533" t="s">
        <v>78</v>
      </c>
      <c r="D533" t="s">
        <v>69</v>
      </c>
      <c r="E533">
        <v>22</v>
      </c>
      <c r="F533" s="3">
        <v>5.44</v>
      </c>
      <c r="G533" s="4">
        <v>95</v>
      </c>
      <c r="H533">
        <v>1</v>
      </c>
      <c r="I533">
        <v>2</v>
      </c>
      <c r="J533">
        <v>5</v>
      </c>
      <c r="K533" s="4">
        <v>85.7</v>
      </c>
      <c r="L533" s="4">
        <v>86.4</v>
      </c>
      <c r="M533" s="4">
        <v>95.3</v>
      </c>
      <c r="N533">
        <v>0</v>
      </c>
      <c r="O533" t="s">
        <v>58</v>
      </c>
      <c r="P533" t="s">
        <v>90</v>
      </c>
      <c r="Q533" t="s">
        <v>60</v>
      </c>
      <c r="R533" t="s">
        <v>130</v>
      </c>
      <c r="S533" s="3">
        <v>7.45</v>
      </c>
      <c r="T533" s="5">
        <v>44818</v>
      </c>
      <c r="U533">
        <v>2</v>
      </c>
      <c r="V533">
        <v>2022</v>
      </c>
      <c r="X533">
        <f t="shared" si="24"/>
        <v>5.4399467000000001</v>
      </c>
      <c r="Y533">
        <f t="shared" si="25"/>
        <v>7.4499466999999999</v>
      </c>
      <c r="Z533">
        <f t="shared" si="26"/>
        <v>86.399946700000001</v>
      </c>
    </row>
    <row r="534" spans="1:26" x14ac:dyDescent="0.3">
      <c r="A534" t="s">
        <v>624</v>
      </c>
      <c r="B534" t="s">
        <v>82</v>
      </c>
      <c r="C534" t="s">
        <v>101</v>
      </c>
      <c r="D534" t="s">
        <v>57</v>
      </c>
      <c r="E534">
        <v>22</v>
      </c>
      <c r="F534" s="3">
        <v>7.86</v>
      </c>
      <c r="G534" s="4">
        <v>79.599999999999994</v>
      </c>
      <c r="H534">
        <v>2</v>
      </c>
      <c r="I534">
        <v>1</v>
      </c>
      <c r="J534">
        <v>4</v>
      </c>
      <c r="K534" s="4">
        <v>68.2</v>
      </c>
      <c r="L534" s="4">
        <v>50.4</v>
      </c>
      <c r="M534" s="4">
        <v>70.900000000000006</v>
      </c>
      <c r="N534">
        <v>0</v>
      </c>
      <c r="O534" t="s">
        <v>58</v>
      </c>
      <c r="P534" t="s">
        <v>104</v>
      </c>
      <c r="Q534" t="s">
        <v>105</v>
      </c>
      <c r="R534" t="s">
        <v>76</v>
      </c>
      <c r="S534" s="3">
        <v>15.24</v>
      </c>
      <c r="T534" s="5">
        <v>44809</v>
      </c>
      <c r="U534">
        <v>1</v>
      </c>
      <c r="V534">
        <v>2022</v>
      </c>
      <c r="X534">
        <f t="shared" si="24"/>
        <v>7.8599466000000007</v>
      </c>
      <c r="Y534">
        <f t="shared" si="25"/>
        <v>15.2399466</v>
      </c>
      <c r="Z534">
        <f t="shared" si="26"/>
        <v>50.3999466</v>
      </c>
    </row>
    <row r="535" spans="1:26" x14ac:dyDescent="0.3">
      <c r="A535" t="s">
        <v>625</v>
      </c>
      <c r="B535" t="s">
        <v>63</v>
      </c>
      <c r="C535" t="s">
        <v>68</v>
      </c>
      <c r="D535" t="s">
        <v>57</v>
      </c>
      <c r="E535">
        <v>21</v>
      </c>
      <c r="F535" s="3">
        <v>8.86</v>
      </c>
      <c r="G535" s="4">
        <v>80.900000000000006</v>
      </c>
      <c r="H535">
        <v>1</v>
      </c>
      <c r="I535">
        <v>1</v>
      </c>
      <c r="J535">
        <v>2</v>
      </c>
      <c r="K535" s="4">
        <v>85.7</v>
      </c>
      <c r="L535" s="4">
        <v>48.1</v>
      </c>
      <c r="M535" s="4">
        <v>73.2</v>
      </c>
      <c r="N535">
        <v>3</v>
      </c>
      <c r="O535" t="s">
        <v>64</v>
      </c>
      <c r="P535" t="s">
        <v>65</v>
      </c>
      <c r="S535" s="3">
        <v>0</v>
      </c>
      <c r="T535" s="5"/>
      <c r="U535">
        <v>0</v>
      </c>
      <c r="V535">
        <v>2025</v>
      </c>
      <c r="X535">
        <f t="shared" si="24"/>
        <v>8.8599464999999995</v>
      </c>
      <c r="Y535">
        <f t="shared" si="25"/>
        <v>-5.3499999999999999E-5</v>
      </c>
      <c r="Z535">
        <f t="shared" si="26"/>
        <v>48.099946500000001</v>
      </c>
    </row>
    <row r="536" spans="1:26" x14ac:dyDescent="0.3">
      <c r="A536" t="s">
        <v>626</v>
      </c>
      <c r="B536" t="s">
        <v>67</v>
      </c>
      <c r="C536" t="s">
        <v>84</v>
      </c>
      <c r="D536" t="s">
        <v>69</v>
      </c>
      <c r="E536">
        <v>23</v>
      </c>
      <c r="F536" s="3">
        <v>7.71</v>
      </c>
      <c r="G536" s="4">
        <v>77.8</v>
      </c>
      <c r="H536">
        <v>3</v>
      </c>
      <c r="I536">
        <v>1</v>
      </c>
      <c r="J536">
        <v>3</v>
      </c>
      <c r="K536" s="4">
        <v>57.8</v>
      </c>
      <c r="L536" s="4">
        <v>89.9</v>
      </c>
      <c r="M536" s="4">
        <v>70.599999999999994</v>
      </c>
      <c r="N536">
        <v>0</v>
      </c>
      <c r="O536" t="s">
        <v>58</v>
      </c>
      <c r="P536" t="s">
        <v>112</v>
      </c>
      <c r="Q536" t="s">
        <v>93</v>
      </c>
      <c r="R536" t="s">
        <v>85</v>
      </c>
      <c r="S536" s="3">
        <v>9.15</v>
      </c>
      <c r="T536" s="5">
        <v>45172</v>
      </c>
      <c r="U536">
        <v>2</v>
      </c>
      <c r="V536">
        <v>2023</v>
      </c>
      <c r="X536">
        <f t="shared" si="24"/>
        <v>7.7099463999999998</v>
      </c>
      <c r="Y536">
        <f t="shared" si="25"/>
        <v>9.149946400000001</v>
      </c>
      <c r="Z536">
        <f t="shared" si="26"/>
        <v>89.899946400000005</v>
      </c>
    </row>
    <row r="537" spans="1:26" x14ac:dyDescent="0.3">
      <c r="A537" t="s">
        <v>627</v>
      </c>
      <c r="B537" t="s">
        <v>63</v>
      </c>
      <c r="C537" t="s">
        <v>68</v>
      </c>
      <c r="D537" t="s">
        <v>57</v>
      </c>
      <c r="E537">
        <v>20</v>
      </c>
      <c r="F537" s="3">
        <v>8.74</v>
      </c>
      <c r="G537" s="4">
        <v>68.900000000000006</v>
      </c>
      <c r="H537">
        <v>1</v>
      </c>
      <c r="I537">
        <v>2</v>
      </c>
      <c r="J537">
        <v>3</v>
      </c>
      <c r="K537" s="4">
        <v>47.4</v>
      </c>
      <c r="L537" s="4">
        <v>74.2</v>
      </c>
      <c r="M537" s="4">
        <v>81.900000000000006</v>
      </c>
      <c r="N537">
        <v>0</v>
      </c>
      <c r="O537" t="s">
        <v>58</v>
      </c>
      <c r="P537" t="s">
        <v>92</v>
      </c>
      <c r="Q537" t="s">
        <v>93</v>
      </c>
      <c r="R537" t="s">
        <v>130</v>
      </c>
      <c r="S537" s="3">
        <v>10.91</v>
      </c>
      <c r="T537" s="5">
        <v>45903</v>
      </c>
      <c r="U537">
        <v>2</v>
      </c>
      <c r="V537">
        <v>2025</v>
      </c>
      <c r="X537">
        <f t="shared" si="24"/>
        <v>8.7399462999999997</v>
      </c>
      <c r="Y537">
        <f t="shared" si="25"/>
        <v>10.9099463</v>
      </c>
      <c r="Z537">
        <f t="shared" si="26"/>
        <v>74.199946300000008</v>
      </c>
    </row>
    <row r="538" spans="1:26" x14ac:dyDescent="0.3">
      <c r="A538" t="s">
        <v>628</v>
      </c>
      <c r="B538" t="s">
        <v>67</v>
      </c>
      <c r="C538" t="s">
        <v>68</v>
      </c>
      <c r="D538" t="s">
        <v>57</v>
      </c>
      <c r="E538">
        <v>20</v>
      </c>
      <c r="F538" s="3">
        <v>6.54</v>
      </c>
      <c r="G538" s="4">
        <v>87.1</v>
      </c>
      <c r="H538">
        <v>3</v>
      </c>
      <c r="I538">
        <v>4</v>
      </c>
      <c r="J538">
        <v>4</v>
      </c>
      <c r="K538" s="4">
        <v>79.099999999999994</v>
      </c>
      <c r="L538" s="4">
        <v>78.900000000000006</v>
      </c>
      <c r="M538" s="4">
        <v>100</v>
      </c>
      <c r="N538">
        <v>0</v>
      </c>
      <c r="O538" t="s">
        <v>58</v>
      </c>
      <c r="P538" t="s">
        <v>75</v>
      </c>
      <c r="Q538" t="s">
        <v>71</v>
      </c>
      <c r="R538" t="s">
        <v>130</v>
      </c>
      <c r="S538" s="3">
        <v>6.09</v>
      </c>
      <c r="T538" s="5">
        <v>45170</v>
      </c>
      <c r="U538">
        <v>2</v>
      </c>
      <c r="V538">
        <v>2023</v>
      </c>
      <c r="X538">
        <f t="shared" si="24"/>
        <v>6.5399462000000002</v>
      </c>
      <c r="Y538">
        <f t="shared" si="25"/>
        <v>6.0899462</v>
      </c>
      <c r="Z538">
        <f t="shared" si="26"/>
        <v>78.899946200000002</v>
      </c>
    </row>
    <row r="539" spans="1:26" x14ac:dyDescent="0.3">
      <c r="A539" t="s">
        <v>629</v>
      </c>
      <c r="B539" t="s">
        <v>67</v>
      </c>
      <c r="C539" t="s">
        <v>84</v>
      </c>
      <c r="D539" t="s">
        <v>57</v>
      </c>
      <c r="E539">
        <v>20</v>
      </c>
      <c r="F539" s="3">
        <v>9.48</v>
      </c>
      <c r="G539" s="4">
        <v>70.8</v>
      </c>
      <c r="H539">
        <v>1</v>
      </c>
      <c r="I539">
        <v>3</v>
      </c>
      <c r="J539">
        <v>3</v>
      </c>
      <c r="K539" s="4">
        <v>78.099999999999994</v>
      </c>
      <c r="L539" s="4">
        <v>87.5</v>
      </c>
      <c r="M539" s="4">
        <v>78.400000000000006</v>
      </c>
      <c r="N539">
        <v>0</v>
      </c>
      <c r="O539" t="s">
        <v>58</v>
      </c>
      <c r="P539" t="s">
        <v>79</v>
      </c>
      <c r="Q539" t="s">
        <v>71</v>
      </c>
      <c r="R539" t="s">
        <v>61</v>
      </c>
      <c r="S539" s="3">
        <v>6.94</v>
      </c>
      <c r="T539" s="5">
        <v>45240</v>
      </c>
      <c r="U539">
        <v>1</v>
      </c>
      <c r="V539">
        <v>2023</v>
      </c>
      <c r="X539">
        <f t="shared" si="24"/>
        <v>9.4799461000000012</v>
      </c>
      <c r="Y539">
        <f t="shared" si="25"/>
        <v>6.9399461000000002</v>
      </c>
      <c r="Z539">
        <f t="shared" si="26"/>
        <v>87.499946100000003</v>
      </c>
    </row>
    <row r="540" spans="1:26" x14ac:dyDescent="0.3">
      <c r="A540" t="s">
        <v>630</v>
      </c>
      <c r="B540" t="s">
        <v>82</v>
      </c>
      <c r="C540" t="s">
        <v>56</v>
      </c>
      <c r="D540" t="s">
        <v>57</v>
      </c>
      <c r="E540">
        <v>22</v>
      </c>
      <c r="F540" s="3">
        <v>8.64</v>
      </c>
      <c r="G540" s="4">
        <v>76.7</v>
      </c>
      <c r="H540">
        <v>3</v>
      </c>
      <c r="I540">
        <v>3</v>
      </c>
      <c r="J540">
        <v>5</v>
      </c>
      <c r="K540" s="4">
        <v>71.5</v>
      </c>
      <c r="L540" s="4">
        <v>58.6</v>
      </c>
      <c r="M540" s="4">
        <v>60.3</v>
      </c>
      <c r="N540">
        <v>2</v>
      </c>
      <c r="O540" t="s">
        <v>58</v>
      </c>
      <c r="P540" t="s">
        <v>104</v>
      </c>
      <c r="Q540" t="s">
        <v>105</v>
      </c>
      <c r="R540" t="s">
        <v>80</v>
      </c>
      <c r="S540" s="3">
        <v>17.22</v>
      </c>
      <c r="T540" s="5">
        <v>44798</v>
      </c>
      <c r="U540">
        <v>3</v>
      </c>
      <c r="V540">
        <v>2022</v>
      </c>
      <c r="X540">
        <f t="shared" si="24"/>
        <v>8.6399460000000001</v>
      </c>
      <c r="Y540">
        <f t="shared" si="25"/>
        <v>17.219946</v>
      </c>
      <c r="Z540">
        <f t="shared" si="26"/>
        <v>58.599946000000003</v>
      </c>
    </row>
    <row r="541" spans="1:26" x14ac:dyDescent="0.3">
      <c r="A541" t="s">
        <v>631</v>
      </c>
      <c r="B541" t="s">
        <v>55</v>
      </c>
      <c r="C541" t="s">
        <v>84</v>
      </c>
      <c r="D541" t="s">
        <v>69</v>
      </c>
      <c r="E541">
        <v>23</v>
      </c>
      <c r="F541" s="3">
        <v>8.08</v>
      </c>
      <c r="G541" s="4">
        <v>77.099999999999994</v>
      </c>
      <c r="H541">
        <v>1</v>
      </c>
      <c r="I541">
        <v>2</v>
      </c>
      <c r="J541">
        <v>3</v>
      </c>
      <c r="K541" s="4">
        <v>77.5</v>
      </c>
      <c r="L541" s="4">
        <v>60.8</v>
      </c>
      <c r="M541" s="4">
        <v>60.8</v>
      </c>
      <c r="N541">
        <v>0</v>
      </c>
      <c r="O541" t="s">
        <v>58</v>
      </c>
      <c r="P541" t="s">
        <v>92</v>
      </c>
      <c r="Q541" t="s">
        <v>93</v>
      </c>
      <c r="R541" t="s">
        <v>109</v>
      </c>
      <c r="S541" s="3">
        <v>10</v>
      </c>
      <c r="T541" s="5">
        <v>45571</v>
      </c>
      <c r="U541">
        <v>2</v>
      </c>
      <c r="V541">
        <v>2024</v>
      </c>
      <c r="X541">
        <f t="shared" si="24"/>
        <v>8.0799459000000002</v>
      </c>
      <c r="Y541">
        <f t="shared" si="25"/>
        <v>9.9999459000000002</v>
      </c>
      <c r="Z541">
        <f t="shared" si="26"/>
        <v>60.799945899999997</v>
      </c>
    </row>
    <row r="542" spans="1:26" x14ac:dyDescent="0.3">
      <c r="A542" t="s">
        <v>632</v>
      </c>
      <c r="B542" t="s">
        <v>107</v>
      </c>
      <c r="C542" t="s">
        <v>56</v>
      </c>
      <c r="D542" t="s">
        <v>57</v>
      </c>
      <c r="E542">
        <v>21</v>
      </c>
      <c r="F542" s="3">
        <v>7.11</v>
      </c>
      <c r="G542" s="4">
        <v>91</v>
      </c>
      <c r="H542">
        <v>2</v>
      </c>
      <c r="I542">
        <v>1</v>
      </c>
      <c r="J542">
        <v>3</v>
      </c>
      <c r="K542" s="4">
        <v>35.700000000000003</v>
      </c>
      <c r="L542" s="4">
        <v>82.3</v>
      </c>
      <c r="M542" s="4">
        <v>63.5</v>
      </c>
      <c r="N542">
        <v>0</v>
      </c>
      <c r="O542" t="s">
        <v>58</v>
      </c>
      <c r="P542" t="s">
        <v>112</v>
      </c>
      <c r="Q542" t="s">
        <v>93</v>
      </c>
      <c r="R542" t="s">
        <v>76</v>
      </c>
      <c r="S542" s="3">
        <v>7.31</v>
      </c>
      <c r="T542" s="5">
        <v>44524</v>
      </c>
      <c r="U542">
        <v>3</v>
      </c>
      <c r="V542">
        <v>2021</v>
      </c>
      <c r="X542">
        <f t="shared" si="24"/>
        <v>7.1099458000000002</v>
      </c>
      <c r="Y542">
        <f t="shared" si="25"/>
        <v>7.3099457999999995</v>
      </c>
      <c r="Z542">
        <f t="shared" si="26"/>
        <v>82.299945800000003</v>
      </c>
    </row>
    <row r="543" spans="1:26" x14ac:dyDescent="0.3">
      <c r="A543" t="s">
        <v>633</v>
      </c>
      <c r="B543" t="s">
        <v>82</v>
      </c>
      <c r="C543" t="s">
        <v>68</v>
      </c>
      <c r="D543" t="s">
        <v>57</v>
      </c>
      <c r="E543">
        <v>20</v>
      </c>
      <c r="F543" s="3">
        <v>6.96</v>
      </c>
      <c r="G543" s="4">
        <v>81.3</v>
      </c>
      <c r="H543">
        <v>3</v>
      </c>
      <c r="I543">
        <v>3</v>
      </c>
      <c r="J543">
        <v>6</v>
      </c>
      <c r="K543" s="4">
        <v>61.4</v>
      </c>
      <c r="L543" s="4">
        <v>64.8</v>
      </c>
      <c r="M543" s="4">
        <v>64.3</v>
      </c>
      <c r="N543">
        <v>0</v>
      </c>
      <c r="O543" t="s">
        <v>58</v>
      </c>
      <c r="P543" t="s">
        <v>59</v>
      </c>
      <c r="Q543" t="s">
        <v>60</v>
      </c>
      <c r="R543" t="s">
        <v>76</v>
      </c>
      <c r="S543" s="3">
        <v>19.45</v>
      </c>
      <c r="T543" s="5">
        <v>44832</v>
      </c>
      <c r="U543">
        <v>2</v>
      </c>
      <c r="V543">
        <v>2022</v>
      </c>
      <c r="X543">
        <f t="shared" si="24"/>
        <v>6.9599456999999996</v>
      </c>
      <c r="Y543">
        <f t="shared" si="25"/>
        <v>19.449945700000001</v>
      </c>
      <c r="Z543">
        <f t="shared" si="26"/>
        <v>64.799945699999995</v>
      </c>
    </row>
    <row r="544" spans="1:26" x14ac:dyDescent="0.3">
      <c r="A544" t="s">
        <v>634</v>
      </c>
      <c r="B544" t="s">
        <v>82</v>
      </c>
      <c r="C544" t="s">
        <v>56</v>
      </c>
      <c r="D544" t="s">
        <v>69</v>
      </c>
      <c r="E544">
        <v>23</v>
      </c>
      <c r="F544" s="3">
        <v>7.59</v>
      </c>
      <c r="G544" s="4">
        <v>60</v>
      </c>
      <c r="H544">
        <v>2</v>
      </c>
      <c r="I544">
        <v>3</v>
      </c>
      <c r="J544">
        <v>6</v>
      </c>
      <c r="K544" s="4">
        <v>83.7</v>
      </c>
      <c r="L544" s="4">
        <v>61.7</v>
      </c>
      <c r="M544" s="4">
        <v>63.2</v>
      </c>
      <c r="N544">
        <v>0</v>
      </c>
      <c r="O544" t="s">
        <v>64</v>
      </c>
      <c r="P544" t="s">
        <v>65</v>
      </c>
      <c r="S544" s="3">
        <v>0</v>
      </c>
      <c r="T544" s="5"/>
      <c r="U544">
        <v>0</v>
      </c>
      <c r="V544">
        <v>2022</v>
      </c>
      <c r="X544">
        <f t="shared" si="24"/>
        <v>7.5899456000000001</v>
      </c>
      <c r="Y544">
        <f t="shared" si="25"/>
        <v>-5.4399999999999994E-5</v>
      </c>
      <c r="Z544">
        <f t="shared" si="26"/>
        <v>61.6999456</v>
      </c>
    </row>
    <row r="545" spans="1:26" x14ac:dyDescent="0.3">
      <c r="A545" t="s">
        <v>635</v>
      </c>
      <c r="B545" t="s">
        <v>55</v>
      </c>
      <c r="C545" t="s">
        <v>78</v>
      </c>
      <c r="D545" t="s">
        <v>69</v>
      </c>
      <c r="E545">
        <v>20</v>
      </c>
      <c r="F545" s="3">
        <v>8.73</v>
      </c>
      <c r="G545" s="4">
        <v>73.900000000000006</v>
      </c>
      <c r="H545">
        <v>2</v>
      </c>
      <c r="I545">
        <v>3</v>
      </c>
      <c r="J545">
        <v>6</v>
      </c>
      <c r="K545" s="4">
        <v>64.400000000000006</v>
      </c>
      <c r="L545" s="4">
        <v>51</v>
      </c>
      <c r="M545" s="4">
        <v>76.599999999999994</v>
      </c>
      <c r="N545">
        <v>0</v>
      </c>
      <c r="O545" t="s">
        <v>58</v>
      </c>
      <c r="P545" t="s">
        <v>75</v>
      </c>
      <c r="Q545" t="s">
        <v>71</v>
      </c>
      <c r="R545" t="s">
        <v>61</v>
      </c>
      <c r="S545" s="3">
        <v>5.53</v>
      </c>
      <c r="T545" s="5">
        <v>45611</v>
      </c>
      <c r="U545">
        <v>1</v>
      </c>
      <c r="V545">
        <v>2024</v>
      </c>
      <c r="X545">
        <f t="shared" si="24"/>
        <v>8.7299455000000012</v>
      </c>
      <c r="Y545">
        <f t="shared" si="25"/>
        <v>5.5299455000000002</v>
      </c>
      <c r="Z545">
        <f t="shared" si="26"/>
        <v>50.999945500000003</v>
      </c>
    </row>
    <row r="546" spans="1:26" x14ac:dyDescent="0.3">
      <c r="A546" t="s">
        <v>636</v>
      </c>
      <c r="B546" t="s">
        <v>107</v>
      </c>
      <c r="C546" t="s">
        <v>89</v>
      </c>
      <c r="D546" t="s">
        <v>69</v>
      </c>
      <c r="E546">
        <v>21</v>
      </c>
      <c r="F546" s="3">
        <v>6.47</v>
      </c>
      <c r="G546" s="4">
        <v>67.900000000000006</v>
      </c>
      <c r="H546">
        <v>0</v>
      </c>
      <c r="I546">
        <v>0</v>
      </c>
      <c r="J546">
        <v>4</v>
      </c>
      <c r="K546" s="4">
        <v>77.099999999999994</v>
      </c>
      <c r="L546" s="4">
        <v>83.4</v>
      </c>
      <c r="M546" s="4">
        <v>56.9</v>
      </c>
      <c r="N546">
        <v>1</v>
      </c>
      <c r="O546" t="s">
        <v>58</v>
      </c>
      <c r="P546" t="s">
        <v>59</v>
      </c>
      <c r="Q546" t="s">
        <v>60</v>
      </c>
      <c r="R546" t="s">
        <v>72</v>
      </c>
      <c r="S546" s="3">
        <v>18.21</v>
      </c>
      <c r="T546" s="5">
        <v>44519</v>
      </c>
      <c r="U546">
        <v>1</v>
      </c>
      <c r="V546">
        <v>2021</v>
      </c>
      <c r="X546">
        <f t="shared" si="24"/>
        <v>6.4699453999999994</v>
      </c>
      <c r="Y546">
        <f t="shared" si="25"/>
        <v>18.209945400000002</v>
      </c>
      <c r="Z546">
        <f t="shared" si="26"/>
        <v>83.399945400000007</v>
      </c>
    </row>
    <row r="547" spans="1:26" x14ac:dyDescent="0.3">
      <c r="A547" t="s">
        <v>637</v>
      </c>
      <c r="B547" t="s">
        <v>63</v>
      </c>
      <c r="C547" t="s">
        <v>78</v>
      </c>
      <c r="D547" t="s">
        <v>69</v>
      </c>
      <c r="E547">
        <v>23</v>
      </c>
      <c r="F547" s="3">
        <v>7.66</v>
      </c>
      <c r="G547" s="4">
        <v>86.5</v>
      </c>
      <c r="H547">
        <v>1</v>
      </c>
      <c r="I547">
        <v>2</v>
      </c>
      <c r="J547">
        <v>2</v>
      </c>
      <c r="K547" s="4">
        <v>100</v>
      </c>
      <c r="L547" s="4">
        <v>61.8</v>
      </c>
      <c r="M547" s="4">
        <v>79.900000000000006</v>
      </c>
      <c r="N547">
        <v>0</v>
      </c>
      <c r="O547" t="s">
        <v>58</v>
      </c>
      <c r="P547" t="s">
        <v>104</v>
      </c>
      <c r="Q547" t="s">
        <v>105</v>
      </c>
      <c r="R547" t="s">
        <v>130</v>
      </c>
      <c r="S547" s="3">
        <v>14.47</v>
      </c>
      <c r="T547" s="5">
        <v>45898</v>
      </c>
      <c r="U547">
        <v>1</v>
      </c>
      <c r="V547">
        <v>2025</v>
      </c>
      <c r="X547">
        <f t="shared" si="24"/>
        <v>7.6599453000000004</v>
      </c>
      <c r="Y547">
        <f t="shared" si="25"/>
        <v>14.469945300000001</v>
      </c>
      <c r="Z547">
        <f t="shared" si="26"/>
        <v>61.799945299999997</v>
      </c>
    </row>
    <row r="548" spans="1:26" x14ac:dyDescent="0.3">
      <c r="A548" t="s">
        <v>638</v>
      </c>
      <c r="B548" t="s">
        <v>63</v>
      </c>
      <c r="C548" t="s">
        <v>74</v>
      </c>
      <c r="D548" t="s">
        <v>57</v>
      </c>
      <c r="E548">
        <v>22</v>
      </c>
      <c r="F548" s="3">
        <v>8.31</v>
      </c>
      <c r="G548" s="4">
        <v>71.400000000000006</v>
      </c>
      <c r="H548">
        <v>2</v>
      </c>
      <c r="I548">
        <v>1</v>
      </c>
      <c r="J548">
        <v>5</v>
      </c>
      <c r="K548" s="4">
        <v>82.3</v>
      </c>
      <c r="L548" s="4">
        <v>83.2</v>
      </c>
      <c r="M548" s="4">
        <v>85.9</v>
      </c>
      <c r="N548">
        <v>0</v>
      </c>
      <c r="O548" t="s">
        <v>58</v>
      </c>
      <c r="P548" t="s">
        <v>90</v>
      </c>
      <c r="Q548" t="s">
        <v>60</v>
      </c>
      <c r="R548" t="s">
        <v>109</v>
      </c>
      <c r="S548" s="3">
        <v>9.65</v>
      </c>
      <c r="T548" s="5">
        <v>45890</v>
      </c>
      <c r="U548">
        <v>1</v>
      </c>
      <c r="V548">
        <v>2025</v>
      </c>
      <c r="X548">
        <f t="shared" si="24"/>
        <v>8.3099452000000014</v>
      </c>
      <c r="Y548">
        <f t="shared" si="25"/>
        <v>9.6499452000000012</v>
      </c>
      <c r="Z548">
        <f t="shared" si="26"/>
        <v>83.199945200000002</v>
      </c>
    </row>
    <row r="549" spans="1:26" x14ac:dyDescent="0.3">
      <c r="A549" t="s">
        <v>639</v>
      </c>
      <c r="B549" t="s">
        <v>82</v>
      </c>
      <c r="C549" t="s">
        <v>74</v>
      </c>
      <c r="D549" t="s">
        <v>57</v>
      </c>
      <c r="E549">
        <v>22</v>
      </c>
      <c r="F549" s="3">
        <v>8.49</v>
      </c>
      <c r="G549" s="4">
        <v>76.5</v>
      </c>
      <c r="H549">
        <v>1</v>
      </c>
      <c r="I549">
        <v>1</v>
      </c>
      <c r="J549">
        <v>2</v>
      </c>
      <c r="K549" s="4">
        <v>63</v>
      </c>
      <c r="L549" s="4">
        <v>77.400000000000006</v>
      </c>
      <c r="M549" s="4">
        <v>66.5</v>
      </c>
      <c r="N549">
        <v>0</v>
      </c>
      <c r="O549" t="s">
        <v>64</v>
      </c>
      <c r="P549" t="s">
        <v>65</v>
      </c>
      <c r="S549" s="3">
        <v>0</v>
      </c>
      <c r="T549" s="5"/>
      <c r="U549">
        <v>0</v>
      </c>
      <c r="V549">
        <v>2022</v>
      </c>
      <c r="X549">
        <f t="shared" si="24"/>
        <v>8.4899450999999999</v>
      </c>
      <c r="Y549">
        <f t="shared" si="25"/>
        <v>-5.49E-5</v>
      </c>
      <c r="Z549">
        <f t="shared" si="26"/>
        <v>77.399945100000011</v>
      </c>
    </row>
    <row r="550" spans="1:26" x14ac:dyDescent="0.3">
      <c r="A550" t="s">
        <v>640</v>
      </c>
      <c r="B550" t="s">
        <v>107</v>
      </c>
      <c r="C550" t="s">
        <v>56</v>
      </c>
      <c r="D550" t="s">
        <v>57</v>
      </c>
      <c r="E550">
        <v>20</v>
      </c>
      <c r="F550" s="3">
        <v>8.31</v>
      </c>
      <c r="G550" s="4">
        <v>97.8</v>
      </c>
      <c r="H550">
        <v>2</v>
      </c>
      <c r="I550">
        <v>3</v>
      </c>
      <c r="J550">
        <v>2</v>
      </c>
      <c r="K550" s="4">
        <v>43.3</v>
      </c>
      <c r="L550" s="4">
        <v>90.9</v>
      </c>
      <c r="M550" s="4">
        <v>78.099999999999994</v>
      </c>
      <c r="N550">
        <v>1</v>
      </c>
      <c r="O550" t="s">
        <v>58</v>
      </c>
      <c r="P550" t="s">
        <v>87</v>
      </c>
      <c r="Q550" t="s">
        <v>71</v>
      </c>
      <c r="R550" t="s">
        <v>109</v>
      </c>
      <c r="S550" s="3">
        <v>6.9</v>
      </c>
      <c r="T550" s="5">
        <v>44493</v>
      </c>
      <c r="U550">
        <v>1</v>
      </c>
      <c r="V550">
        <v>2021</v>
      </c>
      <c r="X550">
        <f t="shared" si="24"/>
        <v>8.3099450000000008</v>
      </c>
      <c r="Y550">
        <f t="shared" si="25"/>
        <v>6.8999450000000007</v>
      </c>
      <c r="Z550">
        <f t="shared" si="26"/>
        <v>90.899945000000002</v>
      </c>
    </row>
    <row r="551" spans="1:26" x14ac:dyDescent="0.3">
      <c r="A551" t="s">
        <v>641</v>
      </c>
      <c r="B551" t="s">
        <v>82</v>
      </c>
      <c r="C551" t="s">
        <v>74</v>
      </c>
      <c r="D551" t="s">
        <v>57</v>
      </c>
      <c r="E551">
        <v>20</v>
      </c>
      <c r="F551" s="3">
        <v>6.37</v>
      </c>
      <c r="G551" s="4">
        <v>87.7</v>
      </c>
      <c r="H551">
        <v>2</v>
      </c>
      <c r="I551">
        <v>1</v>
      </c>
      <c r="J551">
        <v>2</v>
      </c>
      <c r="K551" s="4">
        <v>78</v>
      </c>
      <c r="L551" s="4">
        <v>44.6</v>
      </c>
      <c r="M551" s="4">
        <v>82</v>
      </c>
      <c r="N551">
        <v>2</v>
      </c>
      <c r="O551" t="s">
        <v>58</v>
      </c>
      <c r="P551" t="s">
        <v>79</v>
      </c>
      <c r="Q551" t="s">
        <v>71</v>
      </c>
      <c r="R551" t="s">
        <v>61</v>
      </c>
      <c r="S551" s="3">
        <v>5.55</v>
      </c>
      <c r="T551" s="5">
        <v>44794</v>
      </c>
      <c r="U551">
        <v>1</v>
      </c>
      <c r="V551">
        <v>2022</v>
      </c>
      <c r="X551">
        <f t="shared" si="24"/>
        <v>6.3699449000000001</v>
      </c>
      <c r="Y551">
        <f t="shared" si="25"/>
        <v>5.5499448999999998</v>
      </c>
      <c r="Z551">
        <f t="shared" si="26"/>
        <v>44.599944900000004</v>
      </c>
    </row>
    <row r="552" spans="1:26" x14ac:dyDescent="0.3">
      <c r="A552" t="s">
        <v>642</v>
      </c>
      <c r="B552" t="s">
        <v>67</v>
      </c>
      <c r="C552" t="s">
        <v>84</v>
      </c>
      <c r="D552" t="s">
        <v>69</v>
      </c>
      <c r="E552">
        <v>23</v>
      </c>
      <c r="F552" s="3">
        <v>8.67</v>
      </c>
      <c r="G552" s="4">
        <v>71.5</v>
      </c>
      <c r="H552">
        <v>1</v>
      </c>
      <c r="I552">
        <v>4</v>
      </c>
      <c r="J552">
        <v>4</v>
      </c>
      <c r="K552" s="4">
        <v>39.700000000000003</v>
      </c>
      <c r="L552" s="4">
        <v>27</v>
      </c>
      <c r="M552" s="4">
        <v>84.5</v>
      </c>
      <c r="N552">
        <v>1</v>
      </c>
      <c r="O552" t="s">
        <v>58</v>
      </c>
      <c r="P552" t="s">
        <v>90</v>
      </c>
      <c r="Q552" t="s">
        <v>60</v>
      </c>
      <c r="R552" t="s">
        <v>85</v>
      </c>
      <c r="S552" s="3">
        <v>6.8</v>
      </c>
      <c r="T552" s="5">
        <v>45209</v>
      </c>
      <c r="U552">
        <v>1</v>
      </c>
      <c r="V552">
        <v>2023</v>
      </c>
      <c r="X552">
        <f t="shared" si="24"/>
        <v>8.6699447999999997</v>
      </c>
      <c r="Y552">
        <f t="shared" si="25"/>
        <v>6.7999447999999996</v>
      </c>
      <c r="Z552">
        <f t="shared" si="26"/>
        <v>26.999944800000002</v>
      </c>
    </row>
    <row r="553" spans="1:26" x14ac:dyDescent="0.3">
      <c r="A553" t="s">
        <v>643</v>
      </c>
      <c r="B553" t="s">
        <v>82</v>
      </c>
      <c r="C553" t="s">
        <v>74</v>
      </c>
      <c r="D553" t="s">
        <v>69</v>
      </c>
      <c r="E553">
        <v>21</v>
      </c>
      <c r="F553" s="3">
        <v>7.71</v>
      </c>
      <c r="G553" s="4">
        <v>89.4</v>
      </c>
      <c r="H553">
        <v>1</v>
      </c>
      <c r="I553">
        <v>1</v>
      </c>
      <c r="J553">
        <v>2</v>
      </c>
      <c r="K553" s="4">
        <v>56.9</v>
      </c>
      <c r="L553" s="4">
        <v>96.3</v>
      </c>
      <c r="M553" s="4">
        <v>75.3</v>
      </c>
      <c r="N553">
        <v>0</v>
      </c>
      <c r="O553" t="s">
        <v>58</v>
      </c>
      <c r="P553" t="s">
        <v>112</v>
      </c>
      <c r="Q553" t="s">
        <v>93</v>
      </c>
      <c r="R553" t="s">
        <v>130</v>
      </c>
      <c r="S553" s="3">
        <v>8.07</v>
      </c>
      <c r="T553" s="5">
        <v>44820</v>
      </c>
      <c r="U553">
        <v>1</v>
      </c>
      <c r="V553">
        <v>2022</v>
      </c>
      <c r="X553">
        <f t="shared" si="24"/>
        <v>7.7099447000000003</v>
      </c>
      <c r="Y553">
        <f t="shared" si="25"/>
        <v>8.0699447000000006</v>
      </c>
      <c r="Z553">
        <f t="shared" si="26"/>
        <v>96.299944699999998</v>
      </c>
    </row>
    <row r="554" spans="1:26" x14ac:dyDescent="0.3">
      <c r="A554" t="s">
        <v>644</v>
      </c>
      <c r="B554" t="s">
        <v>82</v>
      </c>
      <c r="C554" t="s">
        <v>101</v>
      </c>
      <c r="D554" t="s">
        <v>57</v>
      </c>
      <c r="E554">
        <v>20</v>
      </c>
      <c r="F554" s="3">
        <v>6.67</v>
      </c>
      <c r="G554" s="4">
        <v>75.5</v>
      </c>
      <c r="H554">
        <v>1</v>
      </c>
      <c r="I554">
        <v>2</v>
      </c>
      <c r="J554">
        <v>5</v>
      </c>
      <c r="K554" s="4">
        <v>57.6</v>
      </c>
      <c r="L554" s="4">
        <v>85.2</v>
      </c>
      <c r="M554" s="4">
        <v>62.6</v>
      </c>
      <c r="N554">
        <v>2</v>
      </c>
      <c r="O554" t="s">
        <v>64</v>
      </c>
      <c r="P554" t="s">
        <v>65</v>
      </c>
      <c r="S554" s="3">
        <v>0</v>
      </c>
      <c r="T554" s="5"/>
      <c r="U554">
        <v>0</v>
      </c>
      <c r="V554">
        <v>2022</v>
      </c>
      <c r="X554">
        <f t="shared" si="24"/>
        <v>6.6699446</v>
      </c>
      <c r="Y554">
        <f t="shared" si="25"/>
        <v>-5.5399999999999998E-5</v>
      </c>
      <c r="Z554">
        <f t="shared" si="26"/>
        <v>85.199944600000009</v>
      </c>
    </row>
    <row r="555" spans="1:26" x14ac:dyDescent="0.3">
      <c r="A555" t="s">
        <v>645</v>
      </c>
      <c r="B555" t="s">
        <v>63</v>
      </c>
      <c r="C555" t="s">
        <v>101</v>
      </c>
      <c r="D555" t="s">
        <v>57</v>
      </c>
      <c r="E555">
        <v>23</v>
      </c>
      <c r="F555" s="3">
        <v>7.63</v>
      </c>
      <c r="G555" s="4">
        <v>89.4</v>
      </c>
      <c r="H555">
        <v>0</v>
      </c>
      <c r="I555">
        <v>3</v>
      </c>
      <c r="J555">
        <v>2</v>
      </c>
      <c r="K555" s="4">
        <v>66.3</v>
      </c>
      <c r="L555" s="4">
        <v>54.6</v>
      </c>
      <c r="M555" s="4">
        <v>75.3</v>
      </c>
      <c r="N555">
        <v>0</v>
      </c>
      <c r="O555" t="s">
        <v>58</v>
      </c>
      <c r="P555" t="s">
        <v>87</v>
      </c>
      <c r="Q555" t="s">
        <v>71</v>
      </c>
      <c r="R555" t="s">
        <v>72</v>
      </c>
      <c r="S555" s="3">
        <v>3.61</v>
      </c>
      <c r="T555" s="5">
        <v>45891</v>
      </c>
      <c r="U555">
        <v>2</v>
      </c>
      <c r="V555">
        <v>2025</v>
      </c>
      <c r="X555">
        <f t="shared" si="24"/>
        <v>7.6299444999999997</v>
      </c>
      <c r="Y555">
        <f t="shared" si="25"/>
        <v>3.6099444999999997</v>
      </c>
      <c r="Z555">
        <f t="shared" si="26"/>
        <v>54.599944499999999</v>
      </c>
    </row>
    <row r="556" spans="1:26" x14ac:dyDescent="0.3">
      <c r="A556" t="s">
        <v>646</v>
      </c>
      <c r="B556" t="s">
        <v>63</v>
      </c>
      <c r="C556" t="s">
        <v>74</v>
      </c>
      <c r="D556" t="s">
        <v>57</v>
      </c>
      <c r="E556">
        <v>21</v>
      </c>
      <c r="F556" s="3">
        <v>5.89</v>
      </c>
      <c r="G556" s="4">
        <v>78.3</v>
      </c>
      <c r="H556">
        <v>3</v>
      </c>
      <c r="I556">
        <v>2</v>
      </c>
      <c r="J556">
        <v>2</v>
      </c>
      <c r="K556" s="4">
        <v>71.8</v>
      </c>
      <c r="L556" s="4">
        <v>57.7</v>
      </c>
      <c r="M556" s="4">
        <v>72.099999999999994</v>
      </c>
      <c r="N556">
        <v>0</v>
      </c>
      <c r="O556" t="s">
        <v>64</v>
      </c>
      <c r="P556" t="s">
        <v>65</v>
      </c>
      <c r="S556" s="3">
        <v>0</v>
      </c>
      <c r="T556" s="5"/>
      <c r="U556">
        <v>0</v>
      </c>
      <c r="V556">
        <v>2025</v>
      </c>
      <c r="X556">
        <f t="shared" si="24"/>
        <v>5.8899444000000001</v>
      </c>
      <c r="Y556">
        <f t="shared" si="25"/>
        <v>-5.5599999999999996E-5</v>
      </c>
      <c r="Z556">
        <f t="shared" si="26"/>
        <v>57.6999444</v>
      </c>
    </row>
    <row r="557" spans="1:26" x14ac:dyDescent="0.3">
      <c r="A557" t="s">
        <v>647</v>
      </c>
      <c r="B557" t="s">
        <v>63</v>
      </c>
      <c r="C557" t="s">
        <v>89</v>
      </c>
      <c r="D557" t="s">
        <v>69</v>
      </c>
      <c r="E557">
        <v>20</v>
      </c>
      <c r="F557" s="3">
        <v>8.17</v>
      </c>
      <c r="G557" s="4">
        <v>73.400000000000006</v>
      </c>
      <c r="H557">
        <v>2</v>
      </c>
      <c r="I557">
        <v>3</v>
      </c>
      <c r="J557">
        <v>3</v>
      </c>
      <c r="K557" s="4">
        <v>55.9</v>
      </c>
      <c r="L557" s="4">
        <v>70.7</v>
      </c>
      <c r="M557" s="4">
        <v>75.7</v>
      </c>
      <c r="N557">
        <v>0</v>
      </c>
      <c r="O557" t="s">
        <v>58</v>
      </c>
      <c r="P557" t="s">
        <v>90</v>
      </c>
      <c r="Q557" t="s">
        <v>60</v>
      </c>
      <c r="R557" t="s">
        <v>109</v>
      </c>
      <c r="S557" s="3">
        <v>10.11</v>
      </c>
      <c r="T557" s="5">
        <v>45880</v>
      </c>
      <c r="U557">
        <v>1</v>
      </c>
      <c r="V557">
        <v>2025</v>
      </c>
      <c r="X557">
        <f t="shared" si="24"/>
        <v>8.1699442999999992</v>
      </c>
      <c r="Y557">
        <f t="shared" si="25"/>
        <v>10.109944299999999</v>
      </c>
      <c r="Z557">
        <f t="shared" si="26"/>
        <v>70.699944299999999</v>
      </c>
    </row>
    <row r="558" spans="1:26" x14ac:dyDescent="0.3">
      <c r="A558" t="s">
        <v>648</v>
      </c>
      <c r="B558" t="s">
        <v>67</v>
      </c>
      <c r="C558" t="s">
        <v>56</v>
      </c>
      <c r="D558" t="s">
        <v>69</v>
      </c>
      <c r="E558">
        <v>20</v>
      </c>
      <c r="F558" s="3">
        <v>7.54</v>
      </c>
      <c r="G558" s="4">
        <v>72.5</v>
      </c>
      <c r="H558">
        <v>1</v>
      </c>
      <c r="I558">
        <v>3</v>
      </c>
      <c r="J558">
        <v>3</v>
      </c>
      <c r="K558" s="4">
        <v>82.7</v>
      </c>
      <c r="L558" s="4">
        <v>67</v>
      </c>
      <c r="M558" s="4">
        <v>62.1</v>
      </c>
      <c r="N558">
        <v>0</v>
      </c>
      <c r="O558" t="s">
        <v>58</v>
      </c>
      <c r="P558" t="s">
        <v>95</v>
      </c>
      <c r="Q558" t="s">
        <v>93</v>
      </c>
      <c r="R558" t="s">
        <v>76</v>
      </c>
      <c r="S558" s="3">
        <v>7.12</v>
      </c>
      <c r="T558" s="5">
        <v>45257</v>
      </c>
      <c r="U558">
        <v>2</v>
      </c>
      <c r="V558">
        <v>2023</v>
      </c>
      <c r="X558">
        <f t="shared" si="24"/>
        <v>7.5399441999999999</v>
      </c>
      <c r="Y558">
        <f t="shared" si="25"/>
        <v>7.1199441999999999</v>
      </c>
      <c r="Z558">
        <f t="shared" si="26"/>
        <v>66.999944200000002</v>
      </c>
    </row>
    <row r="559" spans="1:26" x14ac:dyDescent="0.3">
      <c r="A559" t="s">
        <v>649</v>
      </c>
      <c r="B559" t="s">
        <v>63</v>
      </c>
      <c r="C559" t="s">
        <v>56</v>
      </c>
      <c r="D559" t="s">
        <v>69</v>
      </c>
      <c r="E559">
        <v>23</v>
      </c>
      <c r="F559" s="3">
        <v>6.51</v>
      </c>
      <c r="G559" s="4">
        <v>84.6</v>
      </c>
      <c r="H559">
        <v>1</v>
      </c>
      <c r="I559">
        <v>4</v>
      </c>
      <c r="J559">
        <v>6</v>
      </c>
      <c r="K559" s="4">
        <v>87.9</v>
      </c>
      <c r="L559" s="4">
        <v>60</v>
      </c>
      <c r="M559" s="4">
        <v>55.8</v>
      </c>
      <c r="N559">
        <v>2</v>
      </c>
      <c r="O559" t="s">
        <v>64</v>
      </c>
      <c r="P559" t="s">
        <v>65</v>
      </c>
      <c r="S559" s="3">
        <v>0</v>
      </c>
      <c r="T559" s="5"/>
      <c r="U559">
        <v>0</v>
      </c>
      <c r="V559">
        <v>2025</v>
      </c>
      <c r="X559">
        <f t="shared" si="24"/>
        <v>6.5099440999999993</v>
      </c>
      <c r="Y559">
        <f t="shared" si="25"/>
        <v>-5.5899999999999997E-5</v>
      </c>
      <c r="Z559">
        <f t="shared" si="26"/>
        <v>59.9999441</v>
      </c>
    </row>
    <row r="560" spans="1:26" x14ac:dyDescent="0.3">
      <c r="A560" t="s">
        <v>650</v>
      </c>
      <c r="B560" t="s">
        <v>107</v>
      </c>
      <c r="C560" t="s">
        <v>56</v>
      </c>
      <c r="D560" t="s">
        <v>69</v>
      </c>
      <c r="E560">
        <v>20</v>
      </c>
      <c r="F560" s="3">
        <v>7.39</v>
      </c>
      <c r="G560" s="4">
        <v>90.2</v>
      </c>
      <c r="H560">
        <v>2</v>
      </c>
      <c r="I560">
        <v>1</v>
      </c>
      <c r="J560">
        <v>6</v>
      </c>
      <c r="K560" s="4">
        <v>64.599999999999994</v>
      </c>
      <c r="L560" s="4">
        <v>57.3</v>
      </c>
      <c r="M560" s="4">
        <v>49.8</v>
      </c>
      <c r="N560">
        <v>0</v>
      </c>
      <c r="O560" t="s">
        <v>58</v>
      </c>
      <c r="P560" t="s">
        <v>112</v>
      </c>
      <c r="Q560" t="s">
        <v>93</v>
      </c>
      <c r="R560" t="s">
        <v>109</v>
      </c>
      <c r="S560" s="3">
        <v>7.47</v>
      </c>
      <c r="T560" s="5">
        <v>44506</v>
      </c>
      <c r="U560">
        <v>1</v>
      </c>
      <c r="V560">
        <v>2021</v>
      </c>
      <c r="X560">
        <f t="shared" si="24"/>
        <v>7.3899439999999998</v>
      </c>
      <c r="Y560">
        <f t="shared" si="25"/>
        <v>7.4699439999999999</v>
      </c>
      <c r="Z560">
        <f t="shared" si="26"/>
        <v>57.299943999999996</v>
      </c>
    </row>
    <row r="561" spans="1:26" x14ac:dyDescent="0.3">
      <c r="A561" t="s">
        <v>651</v>
      </c>
      <c r="B561" t="s">
        <v>55</v>
      </c>
      <c r="C561" t="s">
        <v>89</v>
      </c>
      <c r="D561" t="s">
        <v>69</v>
      </c>
      <c r="E561">
        <v>22</v>
      </c>
      <c r="F561" s="3">
        <v>7.01</v>
      </c>
      <c r="G561" s="4">
        <v>85.4</v>
      </c>
      <c r="H561">
        <v>1</v>
      </c>
      <c r="I561">
        <v>0</v>
      </c>
      <c r="J561">
        <v>2</v>
      </c>
      <c r="K561" s="4">
        <v>83</v>
      </c>
      <c r="L561" s="4">
        <v>62.8</v>
      </c>
      <c r="M561" s="4">
        <v>53</v>
      </c>
      <c r="N561">
        <v>0</v>
      </c>
      <c r="O561" t="s">
        <v>58</v>
      </c>
      <c r="P561" t="s">
        <v>92</v>
      </c>
      <c r="Q561" t="s">
        <v>93</v>
      </c>
      <c r="R561" t="s">
        <v>80</v>
      </c>
      <c r="S561" s="3">
        <v>8.48</v>
      </c>
      <c r="T561" s="5">
        <v>45582</v>
      </c>
      <c r="U561">
        <v>3</v>
      </c>
      <c r="V561">
        <v>2024</v>
      </c>
      <c r="X561">
        <f t="shared" si="24"/>
        <v>7.0099438999999997</v>
      </c>
      <c r="Y561">
        <f t="shared" si="25"/>
        <v>8.4799439000000003</v>
      </c>
      <c r="Z561">
        <f t="shared" si="26"/>
        <v>62.799943899999995</v>
      </c>
    </row>
    <row r="562" spans="1:26" x14ac:dyDescent="0.3">
      <c r="A562" t="s">
        <v>652</v>
      </c>
      <c r="B562" t="s">
        <v>107</v>
      </c>
      <c r="C562" t="s">
        <v>68</v>
      </c>
      <c r="D562" t="s">
        <v>69</v>
      </c>
      <c r="E562">
        <v>21</v>
      </c>
      <c r="F562" s="3">
        <v>7.07</v>
      </c>
      <c r="G562" s="4">
        <v>78.099999999999994</v>
      </c>
      <c r="H562">
        <v>1</v>
      </c>
      <c r="I562">
        <v>2</v>
      </c>
      <c r="J562">
        <v>6</v>
      </c>
      <c r="K562" s="4">
        <v>58.3</v>
      </c>
      <c r="L562" s="4">
        <v>77.400000000000006</v>
      </c>
      <c r="M562" s="4">
        <v>52.1</v>
      </c>
      <c r="N562">
        <v>0</v>
      </c>
      <c r="O562" t="s">
        <v>58</v>
      </c>
      <c r="P562" t="s">
        <v>87</v>
      </c>
      <c r="Q562" t="s">
        <v>71</v>
      </c>
      <c r="R562" t="s">
        <v>61</v>
      </c>
      <c r="S562" s="3">
        <v>6.46</v>
      </c>
      <c r="T562" s="5">
        <v>44520</v>
      </c>
      <c r="U562">
        <v>3</v>
      </c>
      <c r="V562">
        <v>2021</v>
      </c>
      <c r="X562">
        <f t="shared" si="24"/>
        <v>7.0699437999999999</v>
      </c>
      <c r="Y562">
        <f t="shared" si="25"/>
        <v>6.4599437999999996</v>
      </c>
      <c r="Z562">
        <f t="shared" si="26"/>
        <v>77.399943800000003</v>
      </c>
    </row>
    <row r="563" spans="1:26" x14ac:dyDescent="0.3">
      <c r="A563" t="s">
        <v>653</v>
      </c>
      <c r="B563" t="s">
        <v>107</v>
      </c>
      <c r="C563" t="s">
        <v>68</v>
      </c>
      <c r="D563" t="s">
        <v>69</v>
      </c>
      <c r="E563">
        <v>21</v>
      </c>
      <c r="F563" s="3">
        <v>5.62</v>
      </c>
      <c r="G563" s="4">
        <v>65.8</v>
      </c>
      <c r="H563">
        <v>1</v>
      </c>
      <c r="I563">
        <v>3</v>
      </c>
      <c r="J563">
        <v>4</v>
      </c>
      <c r="K563" s="4">
        <v>53.5</v>
      </c>
      <c r="L563" s="4">
        <v>70.2</v>
      </c>
      <c r="M563" s="4">
        <v>86.3</v>
      </c>
      <c r="N563">
        <v>0</v>
      </c>
      <c r="O563" t="s">
        <v>64</v>
      </c>
      <c r="P563" t="s">
        <v>65</v>
      </c>
      <c r="S563" s="3">
        <v>0</v>
      </c>
      <c r="T563" s="5"/>
      <c r="U563">
        <v>0</v>
      </c>
      <c r="V563">
        <v>2021</v>
      </c>
      <c r="X563">
        <f t="shared" si="24"/>
        <v>5.6199437000000003</v>
      </c>
      <c r="Y563">
        <f t="shared" si="25"/>
        <v>-5.63E-5</v>
      </c>
      <c r="Z563">
        <f t="shared" si="26"/>
        <v>70.199943700000006</v>
      </c>
    </row>
    <row r="564" spans="1:26" x14ac:dyDescent="0.3">
      <c r="A564" t="s">
        <v>654</v>
      </c>
      <c r="B564" t="s">
        <v>63</v>
      </c>
      <c r="C564" t="s">
        <v>68</v>
      </c>
      <c r="D564" t="s">
        <v>57</v>
      </c>
      <c r="E564">
        <v>22</v>
      </c>
      <c r="F564" s="3">
        <v>6.15</v>
      </c>
      <c r="G564" s="4">
        <v>76.2</v>
      </c>
      <c r="H564">
        <v>2</v>
      </c>
      <c r="I564">
        <v>2</v>
      </c>
      <c r="J564">
        <v>3</v>
      </c>
      <c r="K564" s="4">
        <v>83.1</v>
      </c>
      <c r="L564" s="4">
        <v>62.6</v>
      </c>
      <c r="M564" s="4">
        <v>77</v>
      </c>
      <c r="N564">
        <v>0</v>
      </c>
      <c r="O564" t="s">
        <v>58</v>
      </c>
      <c r="P564" t="s">
        <v>95</v>
      </c>
      <c r="Q564" t="s">
        <v>93</v>
      </c>
      <c r="R564" t="s">
        <v>109</v>
      </c>
      <c r="S564" s="3">
        <v>5.0999999999999996</v>
      </c>
      <c r="T564" s="5">
        <v>45955</v>
      </c>
      <c r="U564">
        <v>1</v>
      </c>
      <c r="V564">
        <v>2025</v>
      </c>
      <c r="X564">
        <f t="shared" si="24"/>
        <v>6.1499436000000003</v>
      </c>
      <c r="Y564">
        <f t="shared" si="25"/>
        <v>5.0999435999999996</v>
      </c>
      <c r="Z564">
        <f t="shared" si="26"/>
        <v>62.599943600000003</v>
      </c>
    </row>
    <row r="565" spans="1:26" x14ac:dyDescent="0.3">
      <c r="A565" t="s">
        <v>655</v>
      </c>
      <c r="B565" t="s">
        <v>55</v>
      </c>
      <c r="C565" t="s">
        <v>74</v>
      </c>
      <c r="D565" t="s">
        <v>57</v>
      </c>
      <c r="E565">
        <v>23</v>
      </c>
      <c r="F565" s="3">
        <v>7.44</v>
      </c>
      <c r="G565" s="4">
        <v>70.7</v>
      </c>
      <c r="H565">
        <v>0</v>
      </c>
      <c r="I565">
        <v>1</v>
      </c>
      <c r="J565">
        <v>5</v>
      </c>
      <c r="K565" s="4">
        <v>71.7</v>
      </c>
      <c r="L565" s="4">
        <v>60</v>
      </c>
      <c r="M565" s="4">
        <v>74.5</v>
      </c>
      <c r="N565">
        <v>0</v>
      </c>
      <c r="O565" t="s">
        <v>58</v>
      </c>
      <c r="P565" t="s">
        <v>90</v>
      </c>
      <c r="Q565" t="s">
        <v>60</v>
      </c>
      <c r="R565" t="s">
        <v>109</v>
      </c>
      <c r="S565" s="3">
        <v>8.09</v>
      </c>
      <c r="T565" s="5">
        <v>45529</v>
      </c>
      <c r="U565">
        <v>1</v>
      </c>
      <c r="V565">
        <v>2024</v>
      </c>
      <c r="X565">
        <f t="shared" si="24"/>
        <v>7.4399435</v>
      </c>
      <c r="Y565">
        <f t="shared" si="25"/>
        <v>8.0899435000000004</v>
      </c>
      <c r="Z565">
        <f t="shared" si="26"/>
        <v>59.999943500000001</v>
      </c>
    </row>
    <row r="566" spans="1:26" x14ac:dyDescent="0.3">
      <c r="A566" t="s">
        <v>656</v>
      </c>
      <c r="B566" t="s">
        <v>55</v>
      </c>
      <c r="C566" t="s">
        <v>78</v>
      </c>
      <c r="D566" t="s">
        <v>57</v>
      </c>
      <c r="E566">
        <v>22</v>
      </c>
      <c r="F566" s="3">
        <v>7.29</v>
      </c>
      <c r="G566" s="4">
        <v>94.3</v>
      </c>
      <c r="H566">
        <v>1</v>
      </c>
      <c r="I566">
        <v>0</v>
      </c>
      <c r="J566">
        <v>6</v>
      </c>
      <c r="K566" s="4">
        <v>73.5</v>
      </c>
      <c r="L566" s="4">
        <v>100</v>
      </c>
      <c r="M566" s="4">
        <v>69.900000000000006</v>
      </c>
      <c r="N566">
        <v>0</v>
      </c>
      <c r="O566" t="s">
        <v>58</v>
      </c>
      <c r="P566" t="s">
        <v>87</v>
      </c>
      <c r="Q566" t="s">
        <v>71</v>
      </c>
      <c r="R566" t="s">
        <v>109</v>
      </c>
      <c r="S566" s="3">
        <v>7.08</v>
      </c>
      <c r="T566" s="5">
        <v>45520</v>
      </c>
      <c r="U566">
        <v>2</v>
      </c>
      <c r="V566">
        <v>2024</v>
      </c>
      <c r="X566">
        <f t="shared" si="24"/>
        <v>7.2899434000000003</v>
      </c>
      <c r="Y566">
        <f t="shared" si="25"/>
        <v>7.0799434000000003</v>
      </c>
      <c r="Z566">
        <f t="shared" si="26"/>
        <v>99.999943400000006</v>
      </c>
    </row>
    <row r="567" spans="1:26" x14ac:dyDescent="0.3">
      <c r="A567" t="s">
        <v>657</v>
      </c>
      <c r="B567" t="s">
        <v>55</v>
      </c>
      <c r="C567" t="s">
        <v>78</v>
      </c>
      <c r="D567" t="s">
        <v>57</v>
      </c>
      <c r="E567">
        <v>22</v>
      </c>
      <c r="F567" s="3">
        <v>8.5299999999999994</v>
      </c>
      <c r="G567" s="4">
        <v>78.400000000000006</v>
      </c>
      <c r="H567">
        <v>3</v>
      </c>
      <c r="I567">
        <v>1</v>
      </c>
      <c r="J567">
        <v>2</v>
      </c>
      <c r="K567" s="4">
        <v>93.8</v>
      </c>
      <c r="L567" s="4">
        <v>61.3</v>
      </c>
      <c r="M567" s="4">
        <v>51</v>
      </c>
      <c r="N567">
        <v>2</v>
      </c>
      <c r="O567" t="s">
        <v>58</v>
      </c>
      <c r="P567" t="s">
        <v>95</v>
      </c>
      <c r="Q567" t="s">
        <v>93</v>
      </c>
      <c r="R567" t="s">
        <v>72</v>
      </c>
      <c r="S567" s="3">
        <v>8.9700000000000006</v>
      </c>
      <c r="T567" s="5">
        <v>45601</v>
      </c>
      <c r="U567">
        <v>1</v>
      </c>
      <c r="V567">
        <v>2024</v>
      </c>
      <c r="X567">
        <f t="shared" si="24"/>
        <v>8.5299432999999993</v>
      </c>
      <c r="Y567">
        <f t="shared" si="25"/>
        <v>8.9699433000000006</v>
      </c>
      <c r="Z567">
        <f t="shared" si="26"/>
        <v>61.299943299999995</v>
      </c>
    </row>
    <row r="568" spans="1:26" x14ac:dyDescent="0.3">
      <c r="A568" t="s">
        <v>658</v>
      </c>
      <c r="B568" t="s">
        <v>67</v>
      </c>
      <c r="C568" t="s">
        <v>56</v>
      </c>
      <c r="D568" t="s">
        <v>69</v>
      </c>
      <c r="E568">
        <v>21</v>
      </c>
      <c r="F568" s="3">
        <v>7.08</v>
      </c>
      <c r="G568" s="4">
        <v>84.7</v>
      </c>
      <c r="H568">
        <v>0</v>
      </c>
      <c r="I568">
        <v>3</v>
      </c>
      <c r="J568">
        <v>2</v>
      </c>
      <c r="K568" s="4">
        <v>77.3</v>
      </c>
      <c r="L568" s="4">
        <v>77.8</v>
      </c>
      <c r="M568" s="4">
        <v>78.599999999999994</v>
      </c>
      <c r="N568">
        <v>0</v>
      </c>
      <c r="O568" t="s">
        <v>64</v>
      </c>
      <c r="P568" t="s">
        <v>65</v>
      </c>
      <c r="S568" s="3">
        <v>0</v>
      </c>
      <c r="T568" s="5"/>
      <c r="U568">
        <v>0</v>
      </c>
      <c r="V568">
        <v>2023</v>
      </c>
      <c r="X568">
        <f t="shared" si="24"/>
        <v>7.0799431999999998</v>
      </c>
      <c r="Y568">
        <f t="shared" si="25"/>
        <v>-5.6799999999999998E-5</v>
      </c>
      <c r="Z568">
        <f t="shared" si="26"/>
        <v>77.799943200000001</v>
      </c>
    </row>
    <row r="569" spans="1:26" x14ac:dyDescent="0.3">
      <c r="A569" t="s">
        <v>659</v>
      </c>
      <c r="B569" t="s">
        <v>63</v>
      </c>
      <c r="C569" t="s">
        <v>56</v>
      </c>
      <c r="D569" t="s">
        <v>57</v>
      </c>
      <c r="E569">
        <v>23</v>
      </c>
      <c r="F569" s="3">
        <v>7.18</v>
      </c>
      <c r="G569" s="4">
        <v>78.900000000000006</v>
      </c>
      <c r="H569">
        <v>2</v>
      </c>
      <c r="I569">
        <v>0</v>
      </c>
      <c r="J569">
        <v>3</v>
      </c>
      <c r="K569" s="4">
        <v>100</v>
      </c>
      <c r="L569" s="4">
        <v>100</v>
      </c>
      <c r="M569" s="4">
        <v>76.7</v>
      </c>
      <c r="N569">
        <v>0</v>
      </c>
      <c r="O569" t="s">
        <v>58</v>
      </c>
      <c r="P569" t="s">
        <v>112</v>
      </c>
      <c r="Q569" t="s">
        <v>93</v>
      </c>
      <c r="R569" t="s">
        <v>61</v>
      </c>
      <c r="S569" s="3">
        <v>7.51</v>
      </c>
      <c r="T569" s="5">
        <v>45972</v>
      </c>
      <c r="U569">
        <v>2</v>
      </c>
      <c r="V569">
        <v>2025</v>
      </c>
      <c r="X569">
        <f t="shared" si="24"/>
        <v>7.1799431</v>
      </c>
      <c r="Y569">
        <f t="shared" si="25"/>
        <v>7.5099431000000001</v>
      </c>
      <c r="Z569">
        <f t="shared" si="26"/>
        <v>99.999943099999996</v>
      </c>
    </row>
    <row r="570" spans="1:26" x14ac:dyDescent="0.3">
      <c r="A570" t="s">
        <v>660</v>
      </c>
      <c r="B570" t="s">
        <v>55</v>
      </c>
      <c r="C570" t="s">
        <v>78</v>
      </c>
      <c r="D570" t="s">
        <v>69</v>
      </c>
      <c r="E570">
        <v>20</v>
      </c>
      <c r="F570" s="3">
        <v>7.22</v>
      </c>
      <c r="G570" s="4">
        <v>85.9</v>
      </c>
      <c r="H570">
        <v>1</v>
      </c>
      <c r="I570">
        <v>1</v>
      </c>
      <c r="J570">
        <v>2</v>
      </c>
      <c r="K570" s="4">
        <v>69.3</v>
      </c>
      <c r="L570" s="4">
        <v>80.400000000000006</v>
      </c>
      <c r="M570" s="4">
        <v>74.5</v>
      </c>
      <c r="N570">
        <v>1</v>
      </c>
      <c r="O570" t="s">
        <v>58</v>
      </c>
      <c r="P570" t="s">
        <v>95</v>
      </c>
      <c r="Q570" t="s">
        <v>93</v>
      </c>
      <c r="R570" t="s">
        <v>76</v>
      </c>
      <c r="S570" s="3">
        <v>5.99</v>
      </c>
      <c r="T570" s="5">
        <v>45612</v>
      </c>
      <c r="U570">
        <v>1</v>
      </c>
      <c r="V570">
        <v>2024</v>
      </c>
      <c r="X570">
        <f t="shared" si="24"/>
        <v>7.2199429999999998</v>
      </c>
      <c r="Y570">
        <f t="shared" si="25"/>
        <v>5.9899430000000002</v>
      </c>
      <c r="Z570">
        <f t="shared" si="26"/>
        <v>80.399943000000007</v>
      </c>
    </row>
    <row r="571" spans="1:26" x14ac:dyDescent="0.3">
      <c r="A571" t="s">
        <v>661</v>
      </c>
      <c r="B571" t="s">
        <v>67</v>
      </c>
      <c r="C571" t="s">
        <v>74</v>
      </c>
      <c r="D571" t="s">
        <v>57</v>
      </c>
      <c r="E571">
        <v>22</v>
      </c>
      <c r="F571" s="3">
        <v>7.47</v>
      </c>
      <c r="G571" s="4">
        <v>88.5</v>
      </c>
      <c r="H571">
        <v>1</v>
      </c>
      <c r="I571">
        <v>0</v>
      </c>
      <c r="J571">
        <v>3</v>
      </c>
      <c r="K571" s="4">
        <v>89.2</v>
      </c>
      <c r="L571" s="4">
        <v>77.099999999999994</v>
      </c>
      <c r="M571" s="4">
        <v>64.8</v>
      </c>
      <c r="N571">
        <v>0</v>
      </c>
      <c r="O571" t="s">
        <v>58</v>
      </c>
      <c r="P571" t="s">
        <v>75</v>
      </c>
      <c r="Q571" t="s">
        <v>71</v>
      </c>
      <c r="R571" t="s">
        <v>109</v>
      </c>
      <c r="S571" s="3">
        <v>6.16</v>
      </c>
      <c r="T571" s="5">
        <v>45252</v>
      </c>
      <c r="U571">
        <v>1</v>
      </c>
      <c r="V571">
        <v>2023</v>
      </c>
      <c r="X571">
        <f t="shared" si="24"/>
        <v>7.4699428999999995</v>
      </c>
      <c r="Y571">
        <f t="shared" si="25"/>
        <v>6.1599428999999999</v>
      </c>
      <c r="Z571">
        <f t="shared" si="26"/>
        <v>77.099942899999988</v>
      </c>
    </row>
    <row r="572" spans="1:26" x14ac:dyDescent="0.3">
      <c r="A572" t="s">
        <v>662</v>
      </c>
      <c r="B572" t="s">
        <v>82</v>
      </c>
      <c r="C572" t="s">
        <v>78</v>
      </c>
      <c r="D572" t="s">
        <v>57</v>
      </c>
      <c r="E572">
        <v>22</v>
      </c>
      <c r="F572" s="3">
        <v>7.73</v>
      </c>
      <c r="G572" s="4">
        <v>100</v>
      </c>
      <c r="H572">
        <v>0</v>
      </c>
      <c r="I572">
        <v>3</v>
      </c>
      <c r="J572">
        <v>4</v>
      </c>
      <c r="K572" s="4">
        <v>67.3</v>
      </c>
      <c r="L572" s="4">
        <v>88.5</v>
      </c>
      <c r="M572" s="4">
        <v>65.7</v>
      </c>
      <c r="N572">
        <v>1</v>
      </c>
      <c r="O572" t="s">
        <v>58</v>
      </c>
      <c r="P572" t="s">
        <v>92</v>
      </c>
      <c r="Q572" t="s">
        <v>93</v>
      </c>
      <c r="R572" t="s">
        <v>72</v>
      </c>
      <c r="S572" s="3">
        <v>8.3699999999999992</v>
      </c>
      <c r="T572" s="5">
        <v>44843</v>
      </c>
      <c r="U572">
        <v>2</v>
      </c>
      <c r="V572">
        <v>2022</v>
      </c>
      <c r="X572">
        <f t="shared" si="24"/>
        <v>7.7299428000000008</v>
      </c>
      <c r="Y572">
        <f t="shared" si="25"/>
        <v>8.3699427999999987</v>
      </c>
      <c r="Z572">
        <f t="shared" si="26"/>
        <v>88.499942799999999</v>
      </c>
    </row>
    <row r="573" spans="1:26" x14ac:dyDescent="0.3">
      <c r="A573" t="s">
        <v>663</v>
      </c>
      <c r="B573" t="s">
        <v>82</v>
      </c>
      <c r="C573" t="s">
        <v>74</v>
      </c>
      <c r="D573" t="s">
        <v>69</v>
      </c>
      <c r="E573">
        <v>23</v>
      </c>
      <c r="F573" s="3">
        <v>7.28</v>
      </c>
      <c r="G573" s="4">
        <v>77.900000000000006</v>
      </c>
      <c r="H573">
        <v>0</v>
      </c>
      <c r="I573">
        <v>4</v>
      </c>
      <c r="J573">
        <v>5</v>
      </c>
      <c r="K573" s="4">
        <v>51.8</v>
      </c>
      <c r="L573" s="4">
        <v>90.9</v>
      </c>
      <c r="M573" s="4">
        <v>80.3</v>
      </c>
      <c r="N573">
        <v>1</v>
      </c>
      <c r="O573" t="s">
        <v>58</v>
      </c>
      <c r="P573" t="s">
        <v>104</v>
      </c>
      <c r="Q573" t="s">
        <v>105</v>
      </c>
      <c r="R573" t="s">
        <v>109</v>
      </c>
      <c r="S573" s="3">
        <v>12.95</v>
      </c>
      <c r="T573" s="5">
        <v>44807</v>
      </c>
      <c r="U573">
        <v>1</v>
      </c>
      <c r="V573">
        <v>2022</v>
      </c>
      <c r="X573">
        <f t="shared" si="24"/>
        <v>7.2799427000000003</v>
      </c>
      <c r="Y573">
        <f t="shared" si="25"/>
        <v>12.949942699999999</v>
      </c>
      <c r="Z573">
        <f t="shared" si="26"/>
        <v>90.899942700000011</v>
      </c>
    </row>
    <row r="574" spans="1:26" x14ac:dyDescent="0.3">
      <c r="A574" t="s">
        <v>664</v>
      </c>
      <c r="B574" t="s">
        <v>67</v>
      </c>
      <c r="C574" t="s">
        <v>74</v>
      </c>
      <c r="D574" t="s">
        <v>57</v>
      </c>
      <c r="E574">
        <v>22</v>
      </c>
      <c r="F574" s="3">
        <v>8.16</v>
      </c>
      <c r="G574" s="4">
        <v>91.4</v>
      </c>
      <c r="H574">
        <v>0</v>
      </c>
      <c r="I574">
        <v>2</v>
      </c>
      <c r="J574">
        <v>3</v>
      </c>
      <c r="K574" s="4">
        <v>79.599999999999994</v>
      </c>
      <c r="L574" s="4">
        <v>69.599999999999994</v>
      </c>
      <c r="M574" s="4">
        <v>64.8</v>
      </c>
      <c r="N574">
        <v>3</v>
      </c>
      <c r="O574" t="s">
        <v>58</v>
      </c>
      <c r="P574" t="s">
        <v>112</v>
      </c>
      <c r="Q574" t="s">
        <v>93</v>
      </c>
      <c r="R574" t="s">
        <v>130</v>
      </c>
      <c r="S574" s="3">
        <v>7.7</v>
      </c>
      <c r="T574" s="5">
        <v>45184</v>
      </c>
      <c r="U574">
        <v>1</v>
      </c>
      <c r="V574">
        <v>2023</v>
      </c>
      <c r="X574">
        <f t="shared" si="24"/>
        <v>8.1599426000000008</v>
      </c>
      <c r="Y574">
        <f t="shared" si="25"/>
        <v>7.6999426</v>
      </c>
      <c r="Z574">
        <f t="shared" si="26"/>
        <v>69.599942599999991</v>
      </c>
    </row>
    <row r="575" spans="1:26" x14ac:dyDescent="0.3">
      <c r="A575" t="s">
        <v>665</v>
      </c>
      <c r="B575" t="s">
        <v>67</v>
      </c>
      <c r="C575" t="s">
        <v>56</v>
      </c>
      <c r="D575" t="s">
        <v>57</v>
      </c>
      <c r="E575">
        <v>23</v>
      </c>
      <c r="F575" s="3">
        <v>9.7200000000000006</v>
      </c>
      <c r="G575" s="4">
        <v>84.5</v>
      </c>
      <c r="H575">
        <v>0</v>
      </c>
      <c r="I575">
        <v>0</v>
      </c>
      <c r="J575">
        <v>3</v>
      </c>
      <c r="K575" s="4">
        <v>67.5</v>
      </c>
      <c r="L575" s="4">
        <v>50.1</v>
      </c>
      <c r="M575" s="4">
        <v>86.8</v>
      </c>
      <c r="N575">
        <v>1</v>
      </c>
      <c r="O575" t="s">
        <v>58</v>
      </c>
      <c r="P575" t="s">
        <v>112</v>
      </c>
      <c r="Q575" t="s">
        <v>93</v>
      </c>
      <c r="R575" t="s">
        <v>72</v>
      </c>
      <c r="S575" s="3">
        <v>7.96</v>
      </c>
      <c r="T575" s="5">
        <v>45186</v>
      </c>
      <c r="U575">
        <v>1</v>
      </c>
      <c r="V575">
        <v>2023</v>
      </c>
      <c r="X575">
        <f t="shared" si="24"/>
        <v>9.7199425000000002</v>
      </c>
      <c r="Y575">
        <f t="shared" si="25"/>
        <v>7.9599425000000004</v>
      </c>
      <c r="Z575">
        <f t="shared" si="26"/>
        <v>50.099942500000004</v>
      </c>
    </row>
    <row r="576" spans="1:26" x14ac:dyDescent="0.3">
      <c r="A576" t="s">
        <v>666</v>
      </c>
      <c r="B576" t="s">
        <v>63</v>
      </c>
      <c r="C576" t="s">
        <v>74</v>
      </c>
      <c r="D576" t="s">
        <v>57</v>
      </c>
      <c r="E576">
        <v>20</v>
      </c>
      <c r="F576" s="3">
        <v>6.91</v>
      </c>
      <c r="G576" s="4">
        <v>76.8</v>
      </c>
      <c r="H576">
        <v>1</v>
      </c>
      <c r="I576">
        <v>1</v>
      </c>
      <c r="J576">
        <v>5</v>
      </c>
      <c r="K576" s="4">
        <v>97</v>
      </c>
      <c r="L576" s="4">
        <v>67.7</v>
      </c>
      <c r="M576" s="4">
        <v>93.2</v>
      </c>
      <c r="N576">
        <v>0</v>
      </c>
      <c r="O576" t="s">
        <v>58</v>
      </c>
      <c r="P576" t="s">
        <v>70</v>
      </c>
      <c r="Q576" t="s">
        <v>71</v>
      </c>
      <c r="R576" t="s">
        <v>130</v>
      </c>
      <c r="S576" s="3">
        <v>5.16</v>
      </c>
      <c r="T576" s="5">
        <v>45975</v>
      </c>
      <c r="U576">
        <v>2</v>
      </c>
      <c r="V576">
        <v>2025</v>
      </c>
      <c r="X576">
        <f t="shared" si="24"/>
        <v>6.9099424000000003</v>
      </c>
      <c r="Y576">
        <f t="shared" si="25"/>
        <v>5.1599424000000003</v>
      </c>
      <c r="Z576">
        <f t="shared" si="26"/>
        <v>67.699942399999998</v>
      </c>
    </row>
    <row r="577" spans="1:26" x14ac:dyDescent="0.3">
      <c r="A577" t="s">
        <v>667</v>
      </c>
      <c r="B577" t="s">
        <v>63</v>
      </c>
      <c r="C577" t="s">
        <v>89</v>
      </c>
      <c r="D577" t="s">
        <v>69</v>
      </c>
      <c r="E577">
        <v>23</v>
      </c>
      <c r="F577" s="3">
        <v>8</v>
      </c>
      <c r="G577" s="4">
        <v>77.400000000000006</v>
      </c>
      <c r="H577">
        <v>0</v>
      </c>
      <c r="I577">
        <v>2</v>
      </c>
      <c r="J577">
        <v>3</v>
      </c>
      <c r="K577" s="4">
        <v>75.900000000000006</v>
      </c>
      <c r="L577" s="4">
        <v>78.7</v>
      </c>
      <c r="M577" s="4">
        <v>87.4</v>
      </c>
      <c r="N577">
        <v>0</v>
      </c>
      <c r="O577" t="s">
        <v>64</v>
      </c>
      <c r="P577" t="s">
        <v>65</v>
      </c>
      <c r="S577" s="3">
        <v>0</v>
      </c>
      <c r="T577" s="5"/>
      <c r="U577">
        <v>0</v>
      </c>
      <c r="V577">
        <v>2025</v>
      </c>
      <c r="X577">
        <f t="shared" si="24"/>
        <v>7.9999422999999998</v>
      </c>
      <c r="Y577">
        <f t="shared" si="25"/>
        <v>-5.77E-5</v>
      </c>
      <c r="Z577">
        <f t="shared" si="26"/>
        <v>78.699942300000004</v>
      </c>
    </row>
    <row r="578" spans="1:26" x14ac:dyDescent="0.3">
      <c r="A578" t="s">
        <v>668</v>
      </c>
      <c r="B578" t="s">
        <v>82</v>
      </c>
      <c r="C578" t="s">
        <v>68</v>
      </c>
      <c r="D578" t="s">
        <v>57</v>
      </c>
      <c r="E578">
        <v>20</v>
      </c>
      <c r="F578" s="3">
        <v>7.68</v>
      </c>
      <c r="G578" s="4">
        <v>86.2</v>
      </c>
      <c r="H578">
        <v>2</v>
      </c>
      <c r="I578">
        <v>2</v>
      </c>
      <c r="J578">
        <v>5</v>
      </c>
      <c r="K578" s="4">
        <v>81.3</v>
      </c>
      <c r="L578" s="4">
        <v>64.8</v>
      </c>
      <c r="M578" s="4">
        <v>75.099999999999994</v>
      </c>
      <c r="N578">
        <v>0</v>
      </c>
      <c r="O578" t="s">
        <v>58</v>
      </c>
      <c r="P578" t="s">
        <v>92</v>
      </c>
      <c r="Q578" t="s">
        <v>93</v>
      </c>
      <c r="R578" t="s">
        <v>130</v>
      </c>
      <c r="S578" s="3">
        <v>9.66</v>
      </c>
      <c r="T578" s="5">
        <v>44795</v>
      </c>
      <c r="U578">
        <v>1</v>
      </c>
      <c r="V578">
        <v>2022</v>
      </c>
      <c r="X578">
        <f t="shared" ref="X578:X641" si="27">F578-ROW()*0.0000001</f>
        <v>7.6799421999999993</v>
      </c>
      <c r="Y578">
        <f t="shared" ref="Y578:Y641" si="28">S578-ROW()*0.0000001</f>
        <v>9.6599421999999997</v>
      </c>
      <c r="Z578">
        <f t="shared" ref="Z578:Z641" si="29">L578-ROW()*0.0000001</f>
        <v>64.799942200000004</v>
      </c>
    </row>
    <row r="579" spans="1:26" x14ac:dyDescent="0.3">
      <c r="A579" t="s">
        <v>669</v>
      </c>
      <c r="B579" t="s">
        <v>55</v>
      </c>
      <c r="C579" t="s">
        <v>78</v>
      </c>
      <c r="D579" t="s">
        <v>69</v>
      </c>
      <c r="E579">
        <v>23</v>
      </c>
      <c r="F579" s="3">
        <v>8.59</v>
      </c>
      <c r="G579" s="4">
        <v>79.3</v>
      </c>
      <c r="H579">
        <v>2</v>
      </c>
      <c r="I579">
        <v>2</v>
      </c>
      <c r="J579">
        <v>6</v>
      </c>
      <c r="K579" s="4">
        <v>46</v>
      </c>
      <c r="L579" s="4">
        <v>66.5</v>
      </c>
      <c r="M579" s="4">
        <v>72.900000000000006</v>
      </c>
      <c r="N579">
        <v>0</v>
      </c>
      <c r="O579" t="s">
        <v>58</v>
      </c>
      <c r="P579" t="s">
        <v>87</v>
      </c>
      <c r="Q579" t="s">
        <v>71</v>
      </c>
      <c r="R579" t="s">
        <v>109</v>
      </c>
      <c r="S579" s="3">
        <v>7.28</v>
      </c>
      <c r="T579" s="5">
        <v>45584</v>
      </c>
      <c r="U579">
        <v>1</v>
      </c>
      <c r="V579">
        <v>2024</v>
      </c>
      <c r="X579">
        <f t="shared" si="27"/>
        <v>8.5899421</v>
      </c>
      <c r="Y579">
        <f t="shared" si="28"/>
        <v>7.2799421000000004</v>
      </c>
      <c r="Z579">
        <f t="shared" si="29"/>
        <v>66.499942099999998</v>
      </c>
    </row>
    <row r="580" spans="1:26" x14ac:dyDescent="0.3">
      <c r="A580" t="s">
        <v>670</v>
      </c>
      <c r="B580" t="s">
        <v>82</v>
      </c>
      <c r="C580" t="s">
        <v>101</v>
      </c>
      <c r="D580" t="s">
        <v>69</v>
      </c>
      <c r="E580">
        <v>22</v>
      </c>
      <c r="F580" s="3">
        <v>7.83</v>
      </c>
      <c r="G580" s="4">
        <v>82.9</v>
      </c>
      <c r="H580">
        <v>2</v>
      </c>
      <c r="I580">
        <v>4</v>
      </c>
      <c r="J580">
        <v>6</v>
      </c>
      <c r="K580" s="4">
        <v>78.2</v>
      </c>
      <c r="L580" s="4">
        <v>94.3</v>
      </c>
      <c r="M580" s="4">
        <v>75.2</v>
      </c>
      <c r="N580">
        <v>0</v>
      </c>
      <c r="O580" t="s">
        <v>58</v>
      </c>
      <c r="P580" t="s">
        <v>59</v>
      </c>
      <c r="Q580" t="s">
        <v>60</v>
      </c>
      <c r="R580" t="s">
        <v>109</v>
      </c>
      <c r="S580" s="3">
        <v>19.29</v>
      </c>
      <c r="T580" s="5">
        <v>44780</v>
      </c>
      <c r="U580">
        <v>1</v>
      </c>
      <c r="V580">
        <v>2022</v>
      </c>
      <c r="X580">
        <f t="shared" si="27"/>
        <v>7.829942</v>
      </c>
      <c r="Y580">
        <f t="shared" si="28"/>
        <v>19.289942</v>
      </c>
      <c r="Z580">
        <f t="shared" si="29"/>
        <v>94.299942000000001</v>
      </c>
    </row>
    <row r="581" spans="1:26" x14ac:dyDescent="0.3">
      <c r="A581" t="s">
        <v>671</v>
      </c>
      <c r="B581" t="s">
        <v>55</v>
      </c>
      <c r="C581" t="s">
        <v>68</v>
      </c>
      <c r="D581" t="s">
        <v>69</v>
      </c>
      <c r="E581">
        <v>20</v>
      </c>
      <c r="F581" s="3">
        <v>7</v>
      </c>
      <c r="G581" s="4">
        <v>88</v>
      </c>
      <c r="H581">
        <v>1</v>
      </c>
      <c r="I581">
        <v>4</v>
      </c>
      <c r="J581">
        <v>4</v>
      </c>
      <c r="K581" s="4">
        <v>67</v>
      </c>
      <c r="L581" s="4">
        <v>81.8</v>
      </c>
      <c r="M581" s="4">
        <v>82.2</v>
      </c>
      <c r="N581">
        <v>0</v>
      </c>
      <c r="O581" t="s">
        <v>58</v>
      </c>
      <c r="P581" t="s">
        <v>75</v>
      </c>
      <c r="Q581" t="s">
        <v>71</v>
      </c>
      <c r="R581" t="s">
        <v>109</v>
      </c>
      <c r="S581" s="3">
        <v>6.09</v>
      </c>
      <c r="T581" s="5">
        <v>45551</v>
      </c>
      <c r="U581">
        <v>2</v>
      </c>
      <c r="V581">
        <v>2024</v>
      </c>
      <c r="X581">
        <f t="shared" si="27"/>
        <v>6.9999418999999996</v>
      </c>
      <c r="Y581">
        <f t="shared" si="28"/>
        <v>6.0899418999999995</v>
      </c>
      <c r="Z581">
        <f t="shared" si="29"/>
        <v>81.799941899999993</v>
      </c>
    </row>
    <row r="582" spans="1:26" x14ac:dyDescent="0.3">
      <c r="A582" t="s">
        <v>672</v>
      </c>
      <c r="B582" t="s">
        <v>55</v>
      </c>
      <c r="C582" t="s">
        <v>78</v>
      </c>
      <c r="D582" t="s">
        <v>69</v>
      </c>
      <c r="E582">
        <v>22</v>
      </c>
      <c r="F582" s="3">
        <v>6.6</v>
      </c>
      <c r="G582" s="4">
        <v>100</v>
      </c>
      <c r="H582">
        <v>3</v>
      </c>
      <c r="I582">
        <v>0</v>
      </c>
      <c r="J582">
        <v>3</v>
      </c>
      <c r="K582" s="4">
        <v>57.1</v>
      </c>
      <c r="L582" s="4">
        <v>78.900000000000006</v>
      </c>
      <c r="M582" s="4">
        <v>91.5</v>
      </c>
      <c r="N582">
        <v>0</v>
      </c>
      <c r="O582" t="s">
        <v>58</v>
      </c>
      <c r="P582" t="s">
        <v>87</v>
      </c>
      <c r="Q582" t="s">
        <v>71</v>
      </c>
      <c r="R582" t="s">
        <v>80</v>
      </c>
      <c r="S582" s="3">
        <v>6.53</v>
      </c>
      <c r="T582" s="5">
        <v>45581</v>
      </c>
      <c r="U582">
        <v>2</v>
      </c>
      <c r="V582">
        <v>2024</v>
      </c>
      <c r="X582">
        <f t="shared" si="27"/>
        <v>6.5999417999999999</v>
      </c>
      <c r="Y582">
        <f t="shared" si="28"/>
        <v>6.5299418000000005</v>
      </c>
      <c r="Z582">
        <f t="shared" si="29"/>
        <v>78.899941800000008</v>
      </c>
    </row>
    <row r="583" spans="1:26" x14ac:dyDescent="0.3">
      <c r="A583" t="s">
        <v>673</v>
      </c>
      <c r="B583" t="s">
        <v>63</v>
      </c>
      <c r="C583" t="s">
        <v>74</v>
      </c>
      <c r="D583" t="s">
        <v>57</v>
      </c>
      <c r="E583">
        <v>20</v>
      </c>
      <c r="F583" s="3">
        <v>8.1999999999999993</v>
      </c>
      <c r="G583" s="4">
        <v>82.3</v>
      </c>
      <c r="H583">
        <v>0</v>
      </c>
      <c r="I583">
        <v>0</v>
      </c>
      <c r="J583">
        <v>2</v>
      </c>
      <c r="K583" s="4">
        <v>87.7</v>
      </c>
      <c r="L583" s="4">
        <v>54.5</v>
      </c>
      <c r="M583" s="4">
        <v>80.599999999999994</v>
      </c>
      <c r="N583">
        <v>0</v>
      </c>
      <c r="O583" t="s">
        <v>64</v>
      </c>
      <c r="P583" t="s">
        <v>65</v>
      </c>
      <c r="S583" s="3">
        <v>0</v>
      </c>
      <c r="T583" s="5"/>
      <c r="U583">
        <v>0</v>
      </c>
      <c r="V583">
        <v>2025</v>
      </c>
      <c r="X583">
        <f t="shared" si="27"/>
        <v>8.1999417000000001</v>
      </c>
      <c r="Y583">
        <f t="shared" si="28"/>
        <v>-5.8299999999999994E-5</v>
      </c>
      <c r="Z583">
        <f t="shared" si="29"/>
        <v>54.499941700000001</v>
      </c>
    </row>
    <row r="584" spans="1:26" x14ac:dyDescent="0.3">
      <c r="A584" t="s">
        <v>674</v>
      </c>
      <c r="B584" t="s">
        <v>107</v>
      </c>
      <c r="C584" t="s">
        <v>68</v>
      </c>
      <c r="D584" t="s">
        <v>57</v>
      </c>
      <c r="E584">
        <v>23</v>
      </c>
      <c r="F584" s="3">
        <v>6.67</v>
      </c>
      <c r="G584" s="4">
        <v>71.8</v>
      </c>
      <c r="H584">
        <v>0</v>
      </c>
      <c r="I584">
        <v>1</v>
      </c>
      <c r="J584">
        <v>5</v>
      </c>
      <c r="K584" s="4">
        <v>49.9</v>
      </c>
      <c r="L584" s="4">
        <v>66.3</v>
      </c>
      <c r="M584" s="4">
        <v>53.6</v>
      </c>
      <c r="N584">
        <v>0</v>
      </c>
      <c r="O584" t="s">
        <v>58</v>
      </c>
      <c r="P584" t="s">
        <v>112</v>
      </c>
      <c r="Q584" t="s">
        <v>93</v>
      </c>
      <c r="R584" t="s">
        <v>72</v>
      </c>
      <c r="S584" s="3">
        <v>6.02</v>
      </c>
      <c r="T584" s="5">
        <v>44522</v>
      </c>
      <c r="U584">
        <v>1</v>
      </c>
      <c r="V584">
        <v>2021</v>
      </c>
      <c r="X584">
        <f t="shared" si="27"/>
        <v>6.6699415999999996</v>
      </c>
      <c r="Y584">
        <f t="shared" si="28"/>
        <v>6.0199415999999992</v>
      </c>
      <c r="Z584">
        <f t="shared" si="29"/>
        <v>66.299941599999997</v>
      </c>
    </row>
    <row r="585" spans="1:26" x14ac:dyDescent="0.3">
      <c r="A585" t="s">
        <v>675</v>
      </c>
      <c r="B585" t="s">
        <v>107</v>
      </c>
      <c r="C585" t="s">
        <v>78</v>
      </c>
      <c r="D585" t="s">
        <v>69</v>
      </c>
      <c r="E585">
        <v>23</v>
      </c>
      <c r="F585" s="3">
        <v>8.7200000000000006</v>
      </c>
      <c r="G585" s="4">
        <v>85.6</v>
      </c>
      <c r="H585">
        <v>1</v>
      </c>
      <c r="I585">
        <v>2</v>
      </c>
      <c r="J585">
        <v>6</v>
      </c>
      <c r="K585" s="4">
        <v>73</v>
      </c>
      <c r="L585" s="4">
        <v>75.7</v>
      </c>
      <c r="M585" s="4">
        <v>62.9</v>
      </c>
      <c r="N585">
        <v>0</v>
      </c>
      <c r="O585" t="s">
        <v>58</v>
      </c>
      <c r="P585" t="s">
        <v>95</v>
      </c>
      <c r="Q585" t="s">
        <v>93</v>
      </c>
      <c r="R585" t="s">
        <v>80</v>
      </c>
      <c r="S585" s="3">
        <v>7.93</v>
      </c>
      <c r="T585" s="5">
        <v>44522</v>
      </c>
      <c r="U585">
        <v>3</v>
      </c>
      <c r="V585">
        <v>2021</v>
      </c>
      <c r="X585">
        <f t="shared" si="27"/>
        <v>8.7199415000000009</v>
      </c>
      <c r="Y585">
        <f t="shared" si="28"/>
        <v>7.9299415</v>
      </c>
      <c r="Z585">
        <f t="shared" si="29"/>
        <v>75.699941500000008</v>
      </c>
    </row>
    <row r="586" spans="1:26" x14ac:dyDescent="0.3">
      <c r="A586" t="s">
        <v>676</v>
      </c>
      <c r="B586" t="s">
        <v>67</v>
      </c>
      <c r="C586" t="s">
        <v>74</v>
      </c>
      <c r="D586" t="s">
        <v>57</v>
      </c>
      <c r="E586">
        <v>23</v>
      </c>
      <c r="F586" s="3">
        <v>8.15</v>
      </c>
      <c r="G586" s="4">
        <v>77.599999999999994</v>
      </c>
      <c r="H586">
        <v>2</v>
      </c>
      <c r="I586">
        <v>2</v>
      </c>
      <c r="J586">
        <v>2</v>
      </c>
      <c r="K586" s="4">
        <v>59.4</v>
      </c>
      <c r="L586" s="4">
        <v>79.8</v>
      </c>
      <c r="M586" s="4">
        <v>72.2</v>
      </c>
      <c r="N586">
        <v>1</v>
      </c>
      <c r="O586" t="s">
        <v>58</v>
      </c>
      <c r="P586" t="s">
        <v>104</v>
      </c>
      <c r="Q586" t="s">
        <v>105</v>
      </c>
      <c r="R586" t="s">
        <v>130</v>
      </c>
      <c r="S586" s="3">
        <v>17.59</v>
      </c>
      <c r="T586" s="5">
        <v>45155</v>
      </c>
      <c r="U586">
        <v>1</v>
      </c>
      <c r="V586">
        <v>2023</v>
      </c>
      <c r="X586">
        <f t="shared" si="27"/>
        <v>8.1499414000000012</v>
      </c>
      <c r="Y586">
        <f t="shared" si="28"/>
        <v>17.589941400000001</v>
      </c>
      <c r="Z586">
        <f t="shared" si="29"/>
        <v>79.799941399999994</v>
      </c>
    </row>
    <row r="587" spans="1:26" x14ac:dyDescent="0.3">
      <c r="A587" t="s">
        <v>677</v>
      </c>
      <c r="B587" t="s">
        <v>63</v>
      </c>
      <c r="C587" t="s">
        <v>89</v>
      </c>
      <c r="D587" t="s">
        <v>57</v>
      </c>
      <c r="E587">
        <v>21</v>
      </c>
      <c r="F587" s="3">
        <v>7.73</v>
      </c>
      <c r="G587" s="4">
        <v>99</v>
      </c>
      <c r="H587">
        <v>2</v>
      </c>
      <c r="I587">
        <v>3</v>
      </c>
      <c r="J587">
        <v>1</v>
      </c>
      <c r="K587" s="4">
        <v>71.8</v>
      </c>
      <c r="L587" s="4">
        <v>93.8</v>
      </c>
      <c r="M587" s="4">
        <v>85.8</v>
      </c>
      <c r="N587">
        <v>1</v>
      </c>
      <c r="O587" t="s">
        <v>58</v>
      </c>
      <c r="P587" t="s">
        <v>87</v>
      </c>
      <c r="Q587" t="s">
        <v>71</v>
      </c>
      <c r="R587" t="s">
        <v>80</v>
      </c>
      <c r="S587" s="3">
        <v>7.68</v>
      </c>
      <c r="T587" s="5">
        <v>45872</v>
      </c>
      <c r="U587">
        <v>1</v>
      </c>
      <c r="V587">
        <v>2025</v>
      </c>
      <c r="X587">
        <f t="shared" si="27"/>
        <v>7.7299413000000001</v>
      </c>
      <c r="Y587">
        <f t="shared" si="28"/>
        <v>7.6799412999999994</v>
      </c>
      <c r="Z587">
        <f t="shared" si="29"/>
        <v>93.7999413</v>
      </c>
    </row>
    <row r="588" spans="1:26" x14ac:dyDescent="0.3">
      <c r="A588" t="s">
        <v>678</v>
      </c>
      <c r="B588" t="s">
        <v>55</v>
      </c>
      <c r="C588" t="s">
        <v>56</v>
      </c>
      <c r="D588" t="s">
        <v>57</v>
      </c>
      <c r="E588">
        <v>21</v>
      </c>
      <c r="F588" s="3">
        <v>6.47</v>
      </c>
      <c r="G588" s="4">
        <v>77.5</v>
      </c>
      <c r="H588">
        <v>2</v>
      </c>
      <c r="I588">
        <v>0</v>
      </c>
      <c r="J588">
        <v>5</v>
      </c>
      <c r="K588" s="4">
        <v>64.099999999999994</v>
      </c>
      <c r="L588" s="4">
        <v>80</v>
      </c>
      <c r="M588" s="4">
        <v>100</v>
      </c>
      <c r="N588">
        <v>0</v>
      </c>
      <c r="O588" t="s">
        <v>64</v>
      </c>
      <c r="P588" t="s">
        <v>65</v>
      </c>
      <c r="S588" s="3">
        <v>0</v>
      </c>
      <c r="T588" s="5"/>
      <c r="U588">
        <v>0</v>
      </c>
      <c r="V588">
        <v>2024</v>
      </c>
      <c r="X588">
        <f t="shared" si="27"/>
        <v>6.4699412000000001</v>
      </c>
      <c r="Y588">
        <f t="shared" si="28"/>
        <v>-5.8799999999999999E-5</v>
      </c>
      <c r="Z588">
        <f t="shared" si="29"/>
        <v>79.999941199999995</v>
      </c>
    </row>
    <row r="589" spans="1:26" x14ac:dyDescent="0.3">
      <c r="A589" t="s">
        <v>679</v>
      </c>
      <c r="B589" t="s">
        <v>107</v>
      </c>
      <c r="C589" t="s">
        <v>89</v>
      </c>
      <c r="D589" t="s">
        <v>69</v>
      </c>
      <c r="E589">
        <v>20</v>
      </c>
      <c r="F589" s="3">
        <v>8.26</v>
      </c>
      <c r="G589" s="4">
        <v>82.2</v>
      </c>
      <c r="H589">
        <v>1</v>
      </c>
      <c r="I589">
        <v>3</v>
      </c>
      <c r="J589">
        <v>2</v>
      </c>
      <c r="K589" s="4">
        <v>65.5</v>
      </c>
      <c r="L589" s="4">
        <v>61.9</v>
      </c>
      <c r="M589" s="4">
        <v>74.900000000000006</v>
      </c>
      <c r="N589">
        <v>1</v>
      </c>
      <c r="O589" t="s">
        <v>58</v>
      </c>
      <c r="P589" t="s">
        <v>79</v>
      </c>
      <c r="Q589" t="s">
        <v>71</v>
      </c>
      <c r="R589" t="s">
        <v>61</v>
      </c>
      <c r="S589" s="3">
        <v>5.38</v>
      </c>
      <c r="T589" s="5">
        <v>44478</v>
      </c>
      <c r="U589">
        <v>1</v>
      </c>
      <c r="V589">
        <v>2021</v>
      </c>
      <c r="X589">
        <f t="shared" si="27"/>
        <v>8.2599410999999989</v>
      </c>
      <c r="Y589">
        <f t="shared" si="28"/>
        <v>5.3799410999999999</v>
      </c>
      <c r="Z589">
        <f t="shared" si="29"/>
        <v>61.899941099999999</v>
      </c>
    </row>
    <row r="590" spans="1:26" x14ac:dyDescent="0.3">
      <c r="A590" t="s">
        <v>680</v>
      </c>
      <c r="B590" t="s">
        <v>55</v>
      </c>
      <c r="C590" t="s">
        <v>101</v>
      </c>
      <c r="D590" t="s">
        <v>57</v>
      </c>
      <c r="E590">
        <v>21</v>
      </c>
      <c r="F590" s="3">
        <v>9.11</v>
      </c>
      <c r="G590" s="4">
        <v>87.6</v>
      </c>
      <c r="H590">
        <v>2</v>
      </c>
      <c r="I590">
        <v>2</v>
      </c>
      <c r="J590">
        <v>2</v>
      </c>
      <c r="K590" s="4">
        <v>68.8</v>
      </c>
      <c r="L590" s="4">
        <v>98.2</v>
      </c>
      <c r="M590" s="4">
        <v>82</v>
      </c>
      <c r="N590">
        <v>0</v>
      </c>
      <c r="O590" t="s">
        <v>58</v>
      </c>
      <c r="P590" t="s">
        <v>90</v>
      </c>
      <c r="Q590" t="s">
        <v>60</v>
      </c>
      <c r="R590" t="s">
        <v>72</v>
      </c>
      <c r="S590" s="3">
        <v>10.62</v>
      </c>
      <c r="T590" s="5">
        <v>45580</v>
      </c>
      <c r="U590">
        <v>1</v>
      </c>
      <c r="V590">
        <v>2024</v>
      </c>
      <c r="X590">
        <f t="shared" si="27"/>
        <v>9.1099409999999992</v>
      </c>
      <c r="Y590">
        <f t="shared" si="28"/>
        <v>10.619940999999999</v>
      </c>
      <c r="Z590">
        <f t="shared" si="29"/>
        <v>98.19994100000001</v>
      </c>
    </row>
    <row r="591" spans="1:26" x14ac:dyDescent="0.3">
      <c r="A591" t="s">
        <v>681</v>
      </c>
      <c r="B591" t="s">
        <v>107</v>
      </c>
      <c r="C591" t="s">
        <v>101</v>
      </c>
      <c r="D591" t="s">
        <v>57</v>
      </c>
      <c r="E591">
        <v>23</v>
      </c>
      <c r="F591" s="3">
        <v>7.27</v>
      </c>
      <c r="G591" s="4">
        <v>86.4</v>
      </c>
      <c r="H591">
        <v>1</v>
      </c>
      <c r="I591">
        <v>5</v>
      </c>
      <c r="J591">
        <v>6</v>
      </c>
      <c r="K591" s="4">
        <v>54.6</v>
      </c>
      <c r="L591" s="4">
        <v>65.8</v>
      </c>
      <c r="M591" s="4">
        <v>55.4</v>
      </c>
      <c r="N591">
        <v>0</v>
      </c>
      <c r="O591" t="s">
        <v>58</v>
      </c>
      <c r="P591" t="s">
        <v>112</v>
      </c>
      <c r="Q591" t="s">
        <v>93</v>
      </c>
      <c r="R591" t="s">
        <v>109</v>
      </c>
      <c r="S591" s="3">
        <v>7.41</v>
      </c>
      <c r="T591" s="5">
        <v>44483</v>
      </c>
      <c r="U591">
        <v>1</v>
      </c>
      <c r="V591">
        <v>2021</v>
      </c>
      <c r="X591">
        <f t="shared" si="27"/>
        <v>7.2699408999999999</v>
      </c>
      <c r="Y591">
        <f t="shared" si="28"/>
        <v>7.4099409000000005</v>
      </c>
      <c r="Z591">
        <f t="shared" si="29"/>
        <v>65.799940899999996</v>
      </c>
    </row>
    <row r="592" spans="1:26" x14ac:dyDescent="0.3">
      <c r="A592" t="s">
        <v>682</v>
      </c>
      <c r="B592" t="s">
        <v>107</v>
      </c>
      <c r="C592" t="s">
        <v>78</v>
      </c>
      <c r="D592" t="s">
        <v>69</v>
      </c>
      <c r="E592">
        <v>21</v>
      </c>
      <c r="F592" s="3">
        <v>6.98</v>
      </c>
      <c r="G592" s="4">
        <v>94.5</v>
      </c>
      <c r="H592">
        <v>1</v>
      </c>
      <c r="I592">
        <v>2</v>
      </c>
      <c r="J592">
        <v>2</v>
      </c>
      <c r="K592" s="4">
        <v>82.4</v>
      </c>
      <c r="L592" s="4">
        <v>83.7</v>
      </c>
      <c r="M592" s="4">
        <v>65.599999999999994</v>
      </c>
      <c r="N592">
        <v>0</v>
      </c>
      <c r="O592" t="s">
        <v>64</v>
      </c>
      <c r="P592" t="s">
        <v>65</v>
      </c>
      <c r="S592" s="3">
        <v>0</v>
      </c>
      <c r="T592" s="5"/>
      <c r="U592">
        <v>0</v>
      </c>
      <c r="V592">
        <v>2021</v>
      </c>
      <c r="X592">
        <f t="shared" si="27"/>
        <v>6.9799408000000005</v>
      </c>
      <c r="Y592">
        <f t="shared" si="28"/>
        <v>-5.9199999999999996E-5</v>
      </c>
      <c r="Z592">
        <f t="shared" si="29"/>
        <v>83.699940800000007</v>
      </c>
    </row>
    <row r="593" spans="1:26" x14ac:dyDescent="0.3">
      <c r="A593" t="s">
        <v>683</v>
      </c>
      <c r="B593" t="s">
        <v>107</v>
      </c>
      <c r="C593" t="s">
        <v>78</v>
      </c>
      <c r="D593" t="s">
        <v>69</v>
      </c>
      <c r="E593">
        <v>21</v>
      </c>
      <c r="F593" s="3">
        <v>7.57</v>
      </c>
      <c r="G593" s="4">
        <v>88</v>
      </c>
      <c r="H593">
        <v>1</v>
      </c>
      <c r="I593">
        <v>3</v>
      </c>
      <c r="J593">
        <v>2</v>
      </c>
      <c r="K593" s="4">
        <v>77.3</v>
      </c>
      <c r="L593" s="4">
        <v>61.4</v>
      </c>
      <c r="M593" s="4">
        <v>78.3</v>
      </c>
      <c r="N593">
        <v>0</v>
      </c>
      <c r="O593" t="s">
        <v>58</v>
      </c>
      <c r="P593" t="s">
        <v>90</v>
      </c>
      <c r="Q593" t="s">
        <v>60</v>
      </c>
      <c r="R593" t="s">
        <v>130</v>
      </c>
      <c r="S593" s="3">
        <v>7.62</v>
      </c>
      <c r="T593" s="5">
        <v>44427</v>
      </c>
      <c r="U593">
        <v>1</v>
      </c>
      <c r="V593">
        <v>2021</v>
      </c>
      <c r="X593">
        <f t="shared" si="27"/>
        <v>7.5699407000000001</v>
      </c>
      <c r="Y593">
        <f t="shared" si="28"/>
        <v>7.6199406999999999</v>
      </c>
      <c r="Z593">
        <f t="shared" si="29"/>
        <v>61.399940700000002</v>
      </c>
    </row>
    <row r="594" spans="1:26" x14ac:dyDescent="0.3">
      <c r="A594" t="s">
        <v>684</v>
      </c>
      <c r="B594" t="s">
        <v>63</v>
      </c>
      <c r="C594" t="s">
        <v>68</v>
      </c>
      <c r="D594" t="s">
        <v>57</v>
      </c>
      <c r="E594">
        <v>22</v>
      </c>
      <c r="F594" s="3">
        <v>8.07</v>
      </c>
      <c r="G594" s="4">
        <v>100</v>
      </c>
      <c r="H594">
        <v>0</v>
      </c>
      <c r="I594">
        <v>1</v>
      </c>
      <c r="J594">
        <v>4</v>
      </c>
      <c r="K594" s="4">
        <v>54.2</v>
      </c>
      <c r="L594" s="4">
        <v>58.3</v>
      </c>
      <c r="M594" s="4">
        <v>49.4</v>
      </c>
      <c r="N594">
        <v>2</v>
      </c>
      <c r="O594" t="s">
        <v>58</v>
      </c>
      <c r="P594" t="s">
        <v>70</v>
      </c>
      <c r="Q594" t="s">
        <v>71</v>
      </c>
      <c r="R594" t="s">
        <v>80</v>
      </c>
      <c r="S594" s="3">
        <v>5.58</v>
      </c>
      <c r="T594" s="5">
        <v>45900</v>
      </c>
      <c r="U594">
        <v>1</v>
      </c>
      <c r="V594">
        <v>2025</v>
      </c>
      <c r="X594">
        <f t="shared" si="27"/>
        <v>8.0699406000000007</v>
      </c>
      <c r="Y594">
        <f t="shared" si="28"/>
        <v>5.5799406000000005</v>
      </c>
      <c r="Z594">
        <f t="shared" si="29"/>
        <v>58.299940599999999</v>
      </c>
    </row>
    <row r="595" spans="1:26" x14ac:dyDescent="0.3">
      <c r="A595" t="s">
        <v>685</v>
      </c>
      <c r="B595" t="s">
        <v>82</v>
      </c>
      <c r="C595" t="s">
        <v>89</v>
      </c>
      <c r="D595" t="s">
        <v>57</v>
      </c>
      <c r="E595">
        <v>20</v>
      </c>
      <c r="F595" s="3">
        <v>7.17</v>
      </c>
      <c r="G595" s="4">
        <v>86</v>
      </c>
      <c r="H595">
        <v>0</v>
      </c>
      <c r="I595">
        <v>3</v>
      </c>
      <c r="J595">
        <v>5</v>
      </c>
      <c r="K595" s="4">
        <v>87.8</v>
      </c>
      <c r="L595" s="4">
        <v>49.7</v>
      </c>
      <c r="M595" s="4">
        <v>77</v>
      </c>
      <c r="N595">
        <v>0</v>
      </c>
      <c r="O595" t="s">
        <v>58</v>
      </c>
      <c r="P595" t="s">
        <v>70</v>
      </c>
      <c r="Q595" t="s">
        <v>71</v>
      </c>
      <c r="R595" t="s">
        <v>109</v>
      </c>
      <c r="S595" s="3">
        <v>4.68</v>
      </c>
      <c r="T595" s="5">
        <v>44888</v>
      </c>
      <c r="U595">
        <v>1</v>
      </c>
      <c r="V595">
        <v>2022</v>
      </c>
      <c r="X595">
        <f t="shared" si="27"/>
        <v>7.1699405</v>
      </c>
      <c r="Y595">
        <f t="shared" si="28"/>
        <v>4.6799404999999998</v>
      </c>
      <c r="Z595">
        <f t="shared" si="29"/>
        <v>49.699940500000004</v>
      </c>
    </row>
    <row r="596" spans="1:26" x14ac:dyDescent="0.3">
      <c r="A596" t="s">
        <v>686</v>
      </c>
      <c r="B596" t="s">
        <v>55</v>
      </c>
      <c r="C596" t="s">
        <v>56</v>
      </c>
      <c r="D596" t="s">
        <v>69</v>
      </c>
      <c r="E596">
        <v>20</v>
      </c>
      <c r="F596" s="3">
        <v>8.4600000000000009</v>
      </c>
      <c r="G596" s="4">
        <v>93.7</v>
      </c>
      <c r="H596">
        <v>2</v>
      </c>
      <c r="I596">
        <v>0</v>
      </c>
      <c r="J596">
        <v>3</v>
      </c>
      <c r="K596" s="4">
        <v>78.7</v>
      </c>
      <c r="L596" s="4">
        <v>50.7</v>
      </c>
      <c r="M596" s="4">
        <v>69.5</v>
      </c>
      <c r="N596">
        <v>0</v>
      </c>
      <c r="O596" t="s">
        <v>58</v>
      </c>
      <c r="P596" t="s">
        <v>112</v>
      </c>
      <c r="Q596" t="s">
        <v>93</v>
      </c>
      <c r="R596" t="s">
        <v>109</v>
      </c>
      <c r="S596" s="3">
        <v>6.59</v>
      </c>
      <c r="T596" s="5">
        <v>45506</v>
      </c>
      <c r="U596">
        <v>2</v>
      </c>
      <c r="V596">
        <v>2024</v>
      </c>
      <c r="X596">
        <f t="shared" si="27"/>
        <v>8.4599404000000007</v>
      </c>
      <c r="Y596">
        <f t="shared" si="28"/>
        <v>6.5899403999999997</v>
      </c>
      <c r="Z596">
        <f t="shared" si="29"/>
        <v>50.699940400000003</v>
      </c>
    </row>
    <row r="597" spans="1:26" x14ac:dyDescent="0.3">
      <c r="A597" t="s">
        <v>687</v>
      </c>
      <c r="B597" t="s">
        <v>63</v>
      </c>
      <c r="C597" t="s">
        <v>68</v>
      </c>
      <c r="D597" t="s">
        <v>69</v>
      </c>
      <c r="E597">
        <v>20</v>
      </c>
      <c r="F597" s="3">
        <v>9.3699999999999992</v>
      </c>
      <c r="G597" s="4">
        <v>77.8</v>
      </c>
      <c r="H597">
        <v>1</v>
      </c>
      <c r="I597">
        <v>2</v>
      </c>
      <c r="J597">
        <v>3</v>
      </c>
      <c r="K597" s="4">
        <v>69.400000000000006</v>
      </c>
      <c r="L597" s="4">
        <v>62.9</v>
      </c>
      <c r="M597" s="4">
        <v>74.5</v>
      </c>
      <c r="N597">
        <v>1</v>
      </c>
      <c r="O597" t="s">
        <v>58</v>
      </c>
      <c r="P597" t="s">
        <v>95</v>
      </c>
      <c r="Q597" t="s">
        <v>93</v>
      </c>
      <c r="R597" t="s">
        <v>61</v>
      </c>
      <c r="S597" s="3">
        <v>8.58</v>
      </c>
      <c r="T597" s="5">
        <v>45978</v>
      </c>
      <c r="U597">
        <v>1</v>
      </c>
      <c r="V597">
        <v>2025</v>
      </c>
      <c r="X597">
        <f t="shared" si="27"/>
        <v>9.3699402999999997</v>
      </c>
      <c r="Y597">
        <f t="shared" si="28"/>
        <v>8.5799403000000005</v>
      </c>
      <c r="Z597">
        <f t="shared" si="29"/>
        <v>62.899940299999997</v>
      </c>
    </row>
    <row r="598" spans="1:26" x14ac:dyDescent="0.3">
      <c r="A598" t="s">
        <v>688</v>
      </c>
      <c r="B598" t="s">
        <v>63</v>
      </c>
      <c r="C598" t="s">
        <v>68</v>
      </c>
      <c r="D598" t="s">
        <v>69</v>
      </c>
      <c r="E598">
        <v>21</v>
      </c>
      <c r="F598" s="3">
        <v>7.95</v>
      </c>
      <c r="G598" s="4">
        <v>99.8</v>
      </c>
      <c r="H598">
        <v>1</v>
      </c>
      <c r="I598">
        <v>0</v>
      </c>
      <c r="J598">
        <v>4</v>
      </c>
      <c r="K598" s="4">
        <v>48.1</v>
      </c>
      <c r="L598" s="4">
        <v>89.6</v>
      </c>
      <c r="M598" s="4">
        <v>65.400000000000006</v>
      </c>
      <c r="N598">
        <v>1</v>
      </c>
      <c r="O598" t="s">
        <v>58</v>
      </c>
      <c r="P598" t="s">
        <v>95</v>
      </c>
      <c r="Q598" t="s">
        <v>93</v>
      </c>
      <c r="R598" t="s">
        <v>61</v>
      </c>
      <c r="S598" s="3">
        <v>6.55</v>
      </c>
      <c r="T598" s="5">
        <v>45965</v>
      </c>
      <c r="U598">
        <v>1</v>
      </c>
      <c r="V598">
        <v>2025</v>
      </c>
      <c r="X598">
        <f t="shared" si="27"/>
        <v>7.9499402000000003</v>
      </c>
      <c r="Y598">
        <f t="shared" si="28"/>
        <v>6.5499402</v>
      </c>
      <c r="Z598">
        <f t="shared" si="29"/>
        <v>89.599940199999992</v>
      </c>
    </row>
    <row r="599" spans="1:26" x14ac:dyDescent="0.3">
      <c r="A599" t="s">
        <v>689</v>
      </c>
      <c r="B599" t="s">
        <v>63</v>
      </c>
      <c r="C599" t="s">
        <v>84</v>
      </c>
      <c r="D599" t="s">
        <v>57</v>
      </c>
      <c r="E599">
        <v>23</v>
      </c>
      <c r="F599" s="3">
        <v>7.36</v>
      </c>
      <c r="G599" s="4">
        <v>78.900000000000006</v>
      </c>
      <c r="H599">
        <v>1</v>
      </c>
      <c r="I599">
        <v>0</v>
      </c>
      <c r="J599">
        <v>4</v>
      </c>
      <c r="K599" s="4">
        <v>59</v>
      </c>
      <c r="L599" s="4">
        <v>73.900000000000006</v>
      </c>
      <c r="M599" s="4">
        <v>80.3</v>
      </c>
      <c r="N599">
        <v>0</v>
      </c>
      <c r="O599" t="s">
        <v>58</v>
      </c>
      <c r="P599" t="s">
        <v>70</v>
      </c>
      <c r="Q599" t="s">
        <v>71</v>
      </c>
      <c r="R599" t="s">
        <v>80</v>
      </c>
      <c r="S599" s="3">
        <v>5.87</v>
      </c>
      <c r="T599" s="5">
        <v>45887</v>
      </c>
      <c r="U599">
        <v>3</v>
      </c>
      <c r="V599">
        <v>2025</v>
      </c>
      <c r="X599">
        <f t="shared" si="27"/>
        <v>7.3599401000000002</v>
      </c>
      <c r="Y599">
        <f t="shared" si="28"/>
        <v>5.8699401</v>
      </c>
      <c r="Z599">
        <f t="shared" si="29"/>
        <v>73.899940100000009</v>
      </c>
    </row>
    <row r="600" spans="1:26" x14ac:dyDescent="0.3">
      <c r="A600" t="s">
        <v>690</v>
      </c>
      <c r="B600" t="s">
        <v>63</v>
      </c>
      <c r="C600" t="s">
        <v>68</v>
      </c>
      <c r="D600" t="s">
        <v>57</v>
      </c>
      <c r="E600">
        <v>22</v>
      </c>
      <c r="F600" s="3">
        <v>8.0500000000000007</v>
      </c>
      <c r="G600" s="4">
        <v>95.4</v>
      </c>
      <c r="H600">
        <v>3</v>
      </c>
      <c r="I600">
        <v>0</v>
      </c>
      <c r="J600">
        <v>1</v>
      </c>
      <c r="K600" s="4">
        <v>41.6</v>
      </c>
      <c r="L600" s="4">
        <v>43.3</v>
      </c>
      <c r="M600" s="4">
        <v>86.7</v>
      </c>
      <c r="N600">
        <v>0</v>
      </c>
      <c r="O600" t="s">
        <v>58</v>
      </c>
      <c r="P600" t="s">
        <v>87</v>
      </c>
      <c r="Q600" t="s">
        <v>71</v>
      </c>
      <c r="R600" t="s">
        <v>130</v>
      </c>
      <c r="S600" s="3">
        <v>5.97</v>
      </c>
      <c r="T600" s="5">
        <v>45924</v>
      </c>
      <c r="U600">
        <v>2</v>
      </c>
      <c r="V600">
        <v>2025</v>
      </c>
      <c r="X600">
        <f t="shared" si="27"/>
        <v>8.0499400000000012</v>
      </c>
      <c r="Y600">
        <f t="shared" si="28"/>
        <v>5.9699399999999994</v>
      </c>
      <c r="Z600">
        <f t="shared" si="29"/>
        <v>43.299939999999999</v>
      </c>
    </row>
    <row r="601" spans="1:26" x14ac:dyDescent="0.3">
      <c r="A601" t="s">
        <v>691</v>
      </c>
      <c r="B601" t="s">
        <v>63</v>
      </c>
      <c r="C601" t="s">
        <v>68</v>
      </c>
      <c r="D601" t="s">
        <v>69</v>
      </c>
      <c r="E601">
        <v>20</v>
      </c>
      <c r="F601" s="3">
        <v>8.7100000000000009</v>
      </c>
      <c r="G601" s="4">
        <v>90</v>
      </c>
      <c r="H601">
        <v>1</v>
      </c>
      <c r="I601">
        <v>0</v>
      </c>
      <c r="J601">
        <v>2</v>
      </c>
      <c r="K601" s="4">
        <v>70.5</v>
      </c>
      <c r="L601" s="4">
        <v>82.5</v>
      </c>
      <c r="M601" s="4">
        <v>82.9</v>
      </c>
      <c r="N601">
        <v>0</v>
      </c>
      <c r="O601" t="s">
        <v>58</v>
      </c>
      <c r="P601" t="s">
        <v>90</v>
      </c>
      <c r="Q601" t="s">
        <v>60</v>
      </c>
      <c r="R601" t="s">
        <v>130</v>
      </c>
      <c r="S601" s="3">
        <v>7.96</v>
      </c>
      <c r="T601" s="5">
        <v>45873</v>
      </c>
      <c r="U601">
        <v>1</v>
      </c>
      <c r="V601">
        <v>2025</v>
      </c>
      <c r="X601">
        <f t="shared" si="27"/>
        <v>8.7099399000000002</v>
      </c>
      <c r="Y601">
        <f t="shared" si="28"/>
        <v>7.9599399000000002</v>
      </c>
      <c r="Z601">
        <f t="shared" si="29"/>
        <v>82.499939900000001</v>
      </c>
    </row>
    <row r="602" spans="1:26" x14ac:dyDescent="0.3">
      <c r="A602" t="s">
        <v>692</v>
      </c>
      <c r="B602" t="s">
        <v>67</v>
      </c>
      <c r="C602" t="s">
        <v>68</v>
      </c>
      <c r="D602" t="s">
        <v>69</v>
      </c>
      <c r="E602">
        <v>21</v>
      </c>
      <c r="F602" s="3">
        <v>7.79</v>
      </c>
      <c r="G602" s="4">
        <v>82.6</v>
      </c>
      <c r="H602">
        <v>0</v>
      </c>
      <c r="I602">
        <v>1</v>
      </c>
      <c r="J602">
        <v>4</v>
      </c>
      <c r="K602" s="4">
        <v>79.900000000000006</v>
      </c>
      <c r="L602" s="4">
        <v>69.900000000000006</v>
      </c>
      <c r="M602" s="4">
        <v>82.6</v>
      </c>
      <c r="N602">
        <v>0</v>
      </c>
      <c r="O602" t="s">
        <v>58</v>
      </c>
      <c r="P602" t="s">
        <v>87</v>
      </c>
      <c r="Q602" t="s">
        <v>71</v>
      </c>
      <c r="R602" t="s">
        <v>72</v>
      </c>
      <c r="S602" s="3">
        <v>5.34</v>
      </c>
      <c r="T602" s="5">
        <v>45160</v>
      </c>
      <c r="U602">
        <v>1</v>
      </c>
      <c r="V602">
        <v>2023</v>
      </c>
      <c r="X602">
        <f t="shared" si="27"/>
        <v>7.7899398</v>
      </c>
      <c r="Y602">
        <f t="shared" si="28"/>
        <v>5.3399397999999998</v>
      </c>
      <c r="Z602">
        <f t="shared" si="29"/>
        <v>69.899939800000013</v>
      </c>
    </row>
    <row r="603" spans="1:26" x14ac:dyDescent="0.3">
      <c r="A603" t="s">
        <v>693</v>
      </c>
      <c r="B603" t="s">
        <v>55</v>
      </c>
      <c r="C603" t="s">
        <v>89</v>
      </c>
      <c r="D603" t="s">
        <v>57</v>
      </c>
      <c r="E603">
        <v>23</v>
      </c>
      <c r="F603" s="3">
        <v>8.09</v>
      </c>
      <c r="G603" s="4">
        <v>95.5</v>
      </c>
      <c r="H603">
        <v>1</v>
      </c>
      <c r="I603">
        <v>5</v>
      </c>
      <c r="J603">
        <v>5</v>
      </c>
      <c r="K603" s="4">
        <v>57.9</v>
      </c>
      <c r="L603" s="4">
        <v>92.7</v>
      </c>
      <c r="M603" s="4">
        <v>80.8</v>
      </c>
      <c r="N603">
        <v>1</v>
      </c>
      <c r="O603" t="s">
        <v>58</v>
      </c>
      <c r="P603" t="s">
        <v>95</v>
      </c>
      <c r="Q603" t="s">
        <v>93</v>
      </c>
      <c r="R603" t="s">
        <v>80</v>
      </c>
      <c r="S603" s="3">
        <v>7.3</v>
      </c>
      <c r="T603" s="5">
        <v>45624</v>
      </c>
      <c r="U603">
        <v>2</v>
      </c>
      <c r="V603">
        <v>2024</v>
      </c>
      <c r="X603">
        <f t="shared" si="27"/>
        <v>8.0899397000000004</v>
      </c>
      <c r="Y603">
        <f t="shared" si="28"/>
        <v>7.2999396999999995</v>
      </c>
      <c r="Z603">
        <f t="shared" si="29"/>
        <v>92.699939700000002</v>
      </c>
    </row>
    <row r="604" spans="1:26" x14ac:dyDescent="0.3">
      <c r="A604" t="s">
        <v>694</v>
      </c>
      <c r="B604" t="s">
        <v>63</v>
      </c>
      <c r="C604" t="s">
        <v>78</v>
      </c>
      <c r="D604" t="s">
        <v>57</v>
      </c>
      <c r="E604">
        <v>22</v>
      </c>
      <c r="F604" s="3">
        <v>8.2799999999999994</v>
      </c>
      <c r="G604" s="4">
        <v>81.900000000000006</v>
      </c>
      <c r="H604">
        <v>2</v>
      </c>
      <c r="I604">
        <v>1</v>
      </c>
      <c r="J604">
        <v>5</v>
      </c>
      <c r="K604" s="4">
        <v>68.099999999999994</v>
      </c>
      <c r="L604" s="4">
        <v>62.6</v>
      </c>
      <c r="M604" s="4">
        <v>73.8</v>
      </c>
      <c r="N604">
        <v>0</v>
      </c>
      <c r="O604" t="s">
        <v>58</v>
      </c>
      <c r="P604" t="s">
        <v>90</v>
      </c>
      <c r="Q604" t="s">
        <v>60</v>
      </c>
      <c r="R604" t="s">
        <v>80</v>
      </c>
      <c r="S604" s="3">
        <v>7.85</v>
      </c>
      <c r="T604" s="5">
        <v>45947</v>
      </c>
      <c r="U604">
        <v>1</v>
      </c>
      <c r="V604">
        <v>2025</v>
      </c>
      <c r="X604">
        <f t="shared" si="27"/>
        <v>8.2799395999999987</v>
      </c>
      <c r="Y604">
        <f t="shared" si="28"/>
        <v>7.8499395999999999</v>
      </c>
      <c r="Z604">
        <f t="shared" si="29"/>
        <v>62.599939599999999</v>
      </c>
    </row>
    <row r="605" spans="1:26" x14ac:dyDescent="0.3">
      <c r="A605" t="s">
        <v>695</v>
      </c>
      <c r="B605" t="s">
        <v>55</v>
      </c>
      <c r="C605" t="s">
        <v>56</v>
      </c>
      <c r="D605" t="s">
        <v>69</v>
      </c>
      <c r="E605">
        <v>22</v>
      </c>
      <c r="F605" s="3">
        <v>6.86</v>
      </c>
      <c r="G605" s="4">
        <v>94.3</v>
      </c>
      <c r="H605">
        <v>0</v>
      </c>
      <c r="I605">
        <v>3</v>
      </c>
      <c r="J605">
        <v>5</v>
      </c>
      <c r="K605" s="4">
        <v>81.900000000000006</v>
      </c>
      <c r="L605" s="4">
        <v>56.4</v>
      </c>
      <c r="M605" s="4">
        <v>68.7</v>
      </c>
      <c r="N605">
        <v>1</v>
      </c>
      <c r="O605" t="s">
        <v>58</v>
      </c>
      <c r="P605" t="s">
        <v>87</v>
      </c>
      <c r="Q605" t="s">
        <v>71</v>
      </c>
      <c r="R605" t="s">
        <v>85</v>
      </c>
      <c r="S605" s="3">
        <v>5.77</v>
      </c>
      <c r="T605" s="5">
        <v>45582</v>
      </c>
      <c r="U605">
        <v>1</v>
      </c>
      <c r="V605">
        <v>2024</v>
      </c>
      <c r="X605">
        <f t="shared" si="27"/>
        <v>6.8599395000000003</v>
      </c>
      <c r="Y605">
        <f t="shared" si="28"/>
        <v>5.7699394999999996</v>
      </c>
      <c r="Z605">
        <f t="shared" si="29"/>
        <v>56.399939500000002</v>
      </c>
    </row>
    <row r="606" spans="1:26" x14ac:dyDescent="0.3">
      <c r="A606" t="s">
        <v>696</v>
      </c>
      <c r="B606" t="s">
        <v>67</v>
      </c>
      <c r="C606" t="s">
        <v>68</v>
      </c>
      <c r="D606" t="s">
        <v>57</v>
      </c>
      <c r="E606">
        <v>20</v>
      </c>
      <c r="F606" s="3">
        <v>8.06</v>
      </c>
      <c r="G606" s="4">
        <v>85.4</v>
      </c>
      <c r="H606">
        <v>1</v>
      </c>
      <c r="I606">
        <v>0</v>
      </c>
      <c r="J606">
        <v>5</v>
      </c>
      <c r="K606" s="4">
        <v>59.3</v>
      </c>
      <c r="L606" s="4">
        <v>96</v>
      </c>
      <c r="M606" s="4">
        <v>85.1</v>
      </c>
      <c r="N606">
        <v>0</v>
      </c>
      <c r="O606" t="s">
        <v>58</v>
      </c>
      <c r="P606" t="s">
        <v>87</v>
      </c>
      <c r="Q606" t="s">
        <v>71</v>
      </c>
      <c r="R606" t="s">
        <v>61</v>
      </c>
      <c r="S606" s="3">
        <v>7.59</v>
      </c>
      <c r="T606" s="5">
        <v>45239</v>
      </c>
      <c r="U606">
        <v>1</v>
      </c>
      <c r="V606">
        <v>2023</v>
      </c>
      <c r="X606">
        <f t="shared" si="27"/>
        <v>8.0599394000000011</v>
      </c>
      <c r="Y606">
        <f t="shared" si="28"/>
        <v>7.5899393999999996</v>
      </c>
      <c r="Z606">
        <f t="shared" si="29"/>
        <v>95.999939400000002</v>
      </c>
    </row>
    <row r="607" spans="1:26" x14ac:dyDescent="0.3">
      <c r="A607" t="s">
        <v>697</v>
      </c>
      <c r="B607" t="s">
        <v>67</v>
      </c>
      <c r="C607" t="s">
        <v>101</v>
      </c>
      <c r="D607" t="s">
        <v>57</v>
      </c>
      <c r="E607">
        <v>20</v>
      </c>
      <c r="F607" s="3">
        <v>6.44</v>
      </c>
      <c r="G607" s="4">
        <v>78.599999999999994</v>
      </c>
      <c r="H607">
        <v>1</v>
      </c>
      <c r="I607">
        <v>2</v>
      </c>
      <c r="J607">
        <v>1</v>
      </c>
      <c r="K607" s="4">
        <v>75.8</v>
      </c>
      <c r="L607" s="4">
        <v>85.1</v>
      </c>
      <c r="M607" s="4">
        <v>63.4</v>
      </c>
      <c r="N607">
        <v>0</v>
      </c>
      <c r="O607" t="s">
        <v>64</v>
      </c>
      <c r="P607" t="s">
        <v>65</v>
      </c>
      <c r="S607" s="3">
        <v>0</v>
      </c>
      <c r="T607" s="5"/>
      <c r="U607">
        <v>0</v>
      </c>
      <c r="V607">
        <v>2023</v>
      </c>
      <c r="X607">
        <f t="shared" si="27"/>
        <v>6.4399393000000007</v>
      </c>
      <c r="Y607">
        <f t="shared" si="28"/>
        <v>-6.0699999999999998E-5</v>
      </c>
      <c r="Z607">
        <f t="shared" si="29"/>
        <v>85.099939299999988</v>
      </c>
    </row>
    <row r="608" spans="1:26" x14ac:dyDescent="0.3">
      <c r="A608" t="s">
        <v>698</v>
      </c>
      <c r="B608" t="s">
        <v>55</v>
      </c>
      <c r="C608" t="s">
        <v>68</v>
      </c>
      <c r="D608" t="s">
        <v>57</v>
      </c>
      <c r="E608">
        <v>23</v>
      </c>
      <c r="F608" s="3">
        <v>7.06</v>
      </c>
      <c r="G608" s="4">
        <v>84.9</v>
      </c>
      <c r="H608">
        <v>1</v>
      </c>
      <c r="I608">
        <v>1</v>
      </c>
      <c r="J608">
        <v>5</v>
      </c>
      <c r="K608" s="4">
        <v>97.5</v>
      </c>
      <c r="L608" s="4">
        <v>44.4</v>
      </c>
      <c r="M608" s="4">
        <v>80</v>
      </c>
      <c r="N608">
        <v>0</v>
      </c>
      <c r="O608" t="s">
        <v>58</v>
      </c>
      <c r="P608" t="s">
        <v>59</v>
      </c>
      <c r="Q608" t="s">
        <v>60</v>
      </c>
      <c r="R608" t="s">
        <v>130</v>
      </c>
      <c r="S608" s="3">
        <v>17.88</v>
      </c>
      <c r="T608" s="5">
        <v>45619</v>
      </c>
      <c r="U608">
        <v>2</v>
      </c>
      <c r="V608">
        <v>2024</v>
      </c>
      <c r="X608">
        <f t="shared" si="27"/>
        <v>7.0599391999999996</v>
      </c>
      <c r="Y608">
        <f t="shared" si="28"/>
        <v>17.879939199999999</v>
      </c>
      <c r="Z608">
        <f t="shared" si="29"/>
        <v>44.399939199999999</v>
      </c>
    </row>
    <row r="609" spans="1:26" x14ac:dyDescent="0.3">
      <c r="A609" t="s">
        <v>699</v>
      </c>
      <c r="B609" t="s">
        <v>107</v>
      </c>
      <c r="C609" t="s">
        <v>74</v>
      </c>
      <c r="D609" t="s">
        <v>57</v>
      </c>
      <c r="E609">
        <v>21</v>
      </c>
      <c r="F609" s="3">
        <v>8.68</v>
      </c>
      <c r="G609" s="4">
        <v>82.3</v>
      </c>
      <c r="H609">
        <v>1</v>
      </c>
      <c r="I609">
        <v>1</v>
      </c>
      <c r="J609">
        <v>5</v>
      </c>
      <c r="K609" s="4">
        <v>78.3</v>
      </c>
      <c r="L609" s="4">
        <v>75.400000000000006</v>
      </c>
      <c r="M609" s="4">
        <v>79.7</v>
      </c>
      <c r="N609">
        <v>0</v>
      </c>
      <c r="O609" t="s">
        <v>58</v>
      </c>
      <c r="P609" t="s">
        <v>75</v>
      </c>
      <c r="Q609" t="s">
        <v>71</v>
      </c>
      <c r="R609" t="s">
        <v>76</v>
      </c>
      <c r="S609" s="3">
        <v>6.68</v>
      </c>
      <c r="T609" s="5">
        <v>44442</v>
      </c>
      <c r="U609">
        <v>2</v>
      </c>
      <c r="V609">
        <v>2021</v>
      </c>
      <c r="X609">
        <f t="shared" si="27"/>
        <v>8.6799391000000004</v>
      </c>
      <c r="Y609">
        <f t="shared" si="28"/>
        <v>6.6799390999999995</v>
      </c>
      <c r="Z609">
        <f t="shared" si="29"/>
        <v>75.399939100000012</v>
      </c>
    </row>
    <row r="610" spans="1:26" x14ac:dyDescent="0.3">
      <c r="A610" t="s">
        <v>700</v>
      </c>
      <c r="B610" t="s">
        <v>82</v>
      </c>
      <c r="C610" t="s">
        <v>89</v>
      </c>
      <c r="D610" t="s">
        <v>57</v>
      </c>
      <c r="E610">
        <v>23</v>
      </c>
      <c r="F610" s="3">
        <v>8.43</v>
      </c>
      <c r="G610" s="4">
        <v>78</v>
      </c>
      <c r="H610">
        <v>2</v>
      </c>
      <c r="I610">
        <v>0</v>
      </c>
      <c r="J610">
        <v>4</v>
      </c>
      <c r="K610" s="4">
        <v>53.6</v>
      </c>
      <c r="L610" s="4">
        <v>44.4</v>
      </c>
      <c r="M610" s="4">
        <v>61.4</v>
      </c>
      <c r="N610">
        <v>0</v>
      </c>
      <c r="O610" t="s">
        <v>58</v>
      </c>
      <c r="P610" t="s">
        <v>59</v>
      </c>
      <c r="Q610" t="s">
        <v>60</v>
      </c>
      <c r="R610" t="s">
        <v>61</v>
      </c>
      <c r="S610" s="3">
        <v>19.809999999999999</v>
      </c>
      <c r="T610" s="5">
        <v>44821</v>
      </c>
      <c r="U610">
        <v>1</v>
      </c>
      <c r="V610">
        <v>2022</v>
      </c>
      <c r="X610">
        <f t="shared" si="27"/>
        <v>8.4299389999999992</v>
      </c>
      <c r="Y610">
        <f t="shared" si="28"/>
        <v>19.809939</v>
      </c>
      <c r="Z610">
        <f t="shared" si="29"/>
        <v>44.399938999999996</v>
      </c>
    </row>
    <row r="611" spans="1:26" x14ac:dyDescent="0.3">
      <c r="A611" t="s">
        <v>701</v>
      </c>
      <c r="B611" t="s">
        <v>107</v>
      </c>
      <c r="C611" t="s">
        <v>101</v>
      </c>
      <c r="D611" t="s">
        <v>69</v>
      </c>
      <c r="E611">
        <v>20</v>
      </c>
      <c r="F611" s="3">
        <v>7.41</v>
      </c>
      <c r="G611" s="4">
        <v>84.1</v>
      </c>
      <c r="H611">
        <v>3</v>
      </c>
      <c r="I611">
        <v>2</v>
      </c>
      <c r="J611">
        <v>3</v>
      </c>
      <c r="K611" s="4">
        <v>67.599999999999994</v>
      </c>
      <c r="L611" s="4">
        <v>84.3</v>
      </c>
      <c r="M611" s="4">
        <v>62.7</v>
      </c>
      <c r="N611">
        <v>2</v>
      </c>
      <c r="O611" t="s">
        <v>58</v>
      </c>
      <c r="P611" t="s">
        <v>79</v>
      </c>
      <c r="Q611" t="s">
        <v>71</v>
      </c>
      <c r="R611" t="s">
        <v>109</v>
      </c>
      <c r="S611" s="3">
        <v>6.89</v>
      </c>
      <c r="T611" s="5">
        <v>44478</v>
      </c>
      <c r="U611">
        <v>1</v>
      </c>
      <c r="V611">
        <v>2021</v>
      </c>
      <c r="X611">
        <f t="shared" si="27"/>
        <v>7.4099389000000002</v>
      </c>
      <c r="Y611">
        <f t="shared" si="28"/>
        <v>6.8899388999999998</v>
      </c>
      <c r="Z611">
        <f t="shared" si="29"/>
        <v>84.299938900000001</v>
      </c>
    </row>
    <row r="612" spans="1:26" x14ac:dyDescent="0.3">
      <c r="A612" t="s">
        <v>702</v>
      </c>
      <c r="B612" t="s">
        <v>107</v>
      </c>
      <c r="C612" t="s">
        <v>56</v>
      </c>
      <c r="D612" t="s">
        <v>57</v>
      </c>
      <c r="E612">
        <v>23</v>
      </c>
      <c r="F612" s="3">
        <v>9.19</v>
      </c>
      <c r="G612" s="4">
        <v>85.6</v>
      </c>
      <c r="H612">
        <v>3</v>
      </c>
      <c r="I612">
        <v>0</v>
      </c>
      <c r="J612">
        <v>4</v>
      </c>
      <c r="K612" s="4">
        <v>78.099999999999994</v>
      </c>
      <c r="L612" s="4">
        <v>53.3</v>
      </c>
      <c r="M612" s="4">
        <v>80.099999999999994</v>
      </c>
      <c r="N612">
        <v>0</v>
      </c>
      <c r="O612" t="s">
        <v>58</v>
      </c>
      <c r="P612" t="s">
        <v>104</v>
      </c>
      <c r="Q612" t="s">
        <v>105</v>
      </c>
      <c r="R612" t="s">
        <v>130</v>
      </c>
      <c r="S612" s="3">
        <v>14.84</v>
      </c>
      <c r="T612" s="5">
        <v>44515</v>
      </c>
      <c r="U612">
        <v>1</v>
      </c>
      <c r="V612">
        <v>2021</v>
      </c>
      <c r="X612">
        <f t="shared" si="27"/>
        <v>9.1899388000000002</v>
      </c>
      <c r="Y612">
        <f t="shared" si="28"/>
        <v>14.839938800000001</v>
      </c>
      <c r="Z612">
        <f t="shared" si="29"/>
        <v>53.2999388</v>
      </c>
    </row>
    <row r="613" spans="1:26" x14ac:dyDescent="0.3">
      <c r="A613" t="s">
        <v>703</v>
      </c>
      <c r="B613" t="s">
        <v>107</v>
      </c>
      <c r="C613" t="s">
        <v>78</v>
      </c>
      <c r="D613" t="s">
        <v>57</v>
      </c>
      <c r="E613">
        <v>21</v>
      </c>
      <c r="F613" s="3">
        <v>6.47</v>
      </c>
      <c r="G613" s="4">
        <v>59.9</v>
      </c>
      <c r="H613">
        <v>2</v>
      </c>
      <c r="I613">
        <v>4</v>
      </c>
      <c r="J613">
        <v>4</v>
      </c>
      <c r="K613" s="4">
        <v>75</v>
      </c>
      <c r="L613" s="4">
        <v>51.2</v>
      </c>
      <c r="M613" s="4">
        <v>76.5</v>
      </c>
      <c r="N613">
        <v>0</v>
      </c>
      <c r="O613" t="s">
        <v>58</v>
      </c>
      <c r="P613" t="s">
        <v>95</v>
      </c>
      <c r="Q613" t="s">
        <v>93</v>
      </c>
      <c r="R613" t="s">
        <v>109</v>
      </c>
      <c r="S613" s="3">
        <v>3.94</v>
      </c>
      <c r="T613" s="5">
        <v>44484</v>
      </c>
      <c r="U613">
        <v>1</v>
      </c>
      <c r="V613">
        <v>2021</v>
      </c>
      <c r="X613">
        <f t="shared" si="27"/>
        <v>6.4699387000000002</v>
      </c>
      <c r="Y613">
        <f t="shared" si="28"/>
        <v>3.9399386999999999</v>
      </c>
      <c r="Z613">
        <f t="shared" si="29"/>
        <v>51.199938700000004</v>
      </c>
    </row>
    <row r="614" spans="1:26" x14ac:dyDescent="0.3">
      <c r="A614" t="s">
        <v>704</v>
      </c>
      <c r="B614" t="s">
        <v>63</v>
      </c>
      <c r="C614" t="s">
        <v>101</v>
      </c>
      <c r="D614" t="s">
        <v>57</v>
      </c>
      <c r="E614">
        <v>22</v>
      </c>
      <c r="F614" s="3">
        <v>7.47</v>
      </c>
      <c r="G614" s="4">
        <v>86.5</v>
      </c>
      <c r="H614">
        <v>1</v>
      </c>
      <c r="I614">
        <v>2</v>
      </c>
      <c r="J614">
        <v>3</v>
      </c>
      <c r="K614" s="4">
        <v>53</v>
      </c>
      <c r="L614" s="4">
        <v>90.8</v>
      </c>
      <c r="M614" s="4">
        <v>78.3</v>
      </c>
      <c r="N614">
        <v>0</v>
      </c>
      <c r="O614" t="s">
        <v>58</v>
      </c>
      <c r="P614" t="s">
        <v>90</v>
      </c>
      <c r="Q614" t="s">
        <v>60</v>
      </c>
      <c r="R614" t="s">
        <v>85</v>
      </c>
      <c r="S614" s="3">
        <v>9.11</v>
      </c>
      <c r="T614" s="5">
        <v>45893</v>
      </c>
      <c r="U614">
        <v>1</v>
      </c>
      <c r="V614">
        <v>2025</v>
      </c>
      <c r="X614">
        <f t="shared" si="27"/>
        <v>7.4699385999999999</v>
      </c>
      <c r="Y614">
        <f t="shared" si="28"/>
        <v>9.1099385999999996</v>
      </c>
      <c r="Z614">
        <f t="shared" si="29"/>
        <v>90.79993859999999</v>
      </c>
    </row>
    <row r="615" spans="1:26" x14ac:dyDescent="0.3">
      <c r="A615" t="s">
        <v>705</v>
      </c>
      <c r="B615" t="s">
        <v>67</v>
      </c>
      <c r="C615" t="s">
        <v>68</v>
      </c>
      <c r="D615" t="s">
        <v>57</v>
      </c>
      <c r="E615">
        <v>22</v>
      </c>
      <c r="F615" s="3">
        <v>7.9</v>
      </c>
      <c r="G615" s="4">
        <v>88.7</v>
      </c>
      <c r="H615">
        <v>2</v>
      </c>
      <c r="I615">
        <v>3</v>
      </c>
      <c r="J615">
        <v>4</v>
      </c>
      <c r="K615" s="4">
        <v>74.099999999999994</v>
      </c>
      <c r="L615" s="4">
        <v>76.2</v>
      </c>
      <c r="M615" s="4">
        <v>71.400000000000006</v>
      </c>
      <c r="N615">
        <v>0</v>
      </c>
      <c r="O615" t="s">
        <v>58</v>
      </c>
      <c r="P615" t="s">
        <v>92</v>
      </c>
      <c r="Q615" t="s">
        <v>93</v>
      </c>
      <c r="R615" t="s">
        <v>61</v>
      </c>
      <c r="S615" s="3">
        <v>9.3699999999999992</v>
      </c>
      <c r="T615" s="5">
        <v>45183</v>
      </c>
      <c r="U615">
        <v>1</v>
      </c>
      <c r="V615">
        <v>2023</v>
      </c>
      <c r="X615">
        <f t="shared" si="27"/>
        <v>7.8999385000000002</v>
      </c>
      <c r="Y615">
        <f t="shared" si="28"/>
        <v>9.3699384999999999</v>
      </c>
      <c r="Z615">
        <f t="shared" si="29"/>
        <v>76.199938500000002</v>
      </c>
    </row>
    <row r="616" spans="1:26" x14ac:dyDescent="0.3">
      <c r="A616" t="s">
        <v>706</v>
      </c>
      <c r="B616" t="s">
        <v>107</v>
      </c>
      <c r="C616" t="s">
        <v>84</v>
      </c>
      <c r="D616" t="s">
        <v>57</v>
      </c>
      <c r="E616">
        <v>22</v>
      </c>
      <c r="F616" s="3">
        <v>5.12</v>
      </c>
      <c r="G616" s="4">
        <v>95.1</v>
      </c>
      <c r="H616">
        <v>2</v>
      </c>
      <c r="I616">
        <v>5</v>
      </c>
      <c r="J616">
        <v>5</v>
      </c>
      <c r="K616" s="4">
        <v>65</v>
      </c>
      <c r="L616" s="4">
        <v>81</v>
      </c>
      <c r="M616" s="4">
        <v>92.4</v>
      </c>
      <c r="N616">
        <v>2</v>
      </c>
      <c r="O616" t="s">
        <v>58</v>
      </c>
      <c r="P616" t="s">
        <v>59</v>
      </c>
      <c r="Q616" t="s">
        <v>60</v>
      </c>
      <c r="R616" t="s">
        <v>61</v>
      </c>
      <c r="S616" s="3">
        <v>20.440000000000001</v>
      </c>
      <c r="T616" s="5">
        <v>44501</v>
      </c>
      <c r="U616">
        <v>2</v>
      </c>
      <c r="V616">
        <v>2021</v>
      </c>
      <c r="X616">
        <f t="shared" si="27"/>
        <v>5.1199383999999997</v>
      </c>
      <c r="Y616">
        <f t="shared" si="28"/>
        <v>20.439938400000003</v>
      </c>
      <c r="Z616">
        <f t="shared" si="29"/>
        <v>80.999938400000005</v>
      </c>
    </row>
    <row r="617" spans="1:26" x14ac:dyDescent="0.3">
      <c r="A617" t="s">
        <v>707</v>
      </c>
      <c r="B617" t="s">
        <v>67</v>
      </c>
      <c r="C617" t="s">
        <v>101</v>
      </c>
      <c r="D617" t="s">
        <v>57</v>
      </c>
      <c r="E617">
        <v>22</v>
      </c>
      <c r="F617" s="3">
        <v>7.51</v>
      </c>
      <c r="G617" s="4">
        <v>70.900000000000006</v>
      </c>
      <c r="H617">
        <v>2</v>
      </c>
      <c r="I617">
        <v>2</v>
      </c>
      <c r="J617">
        <v>5</v>
      </c>
      <c r="K617" s="4">
        <v>61.6</v>
      </c>
      <c r="L617" s="4">
        <v>62.7</v>
      </c>
      <c r="M617" s="4">
        <v>81.099999999999994</v>
      </c>
      <c r="N617">
        <v>1</v>
      </c>
      <c r="O617" t="s">
        <v>58</v>
      </c>
      <c r="P617" t="s">
        <v>90</v>
      </c>
      <c r="Q617" t="s">
        <v>60</v>
      </c>
      <c r="R617" t="s">
        <v>109</v>
      </c>
      <c r="S617" s="3">
        <v>9.07</v>
      </c>
      <c r="T617" s="5">
        <v>45148</v>
      </c>
      <c r="U617">
        <v>1</v>
      </c>
      <c r="V617">
        <v>2023</v>
      </c>
      <c r="X617">
        <f t="shared" si="27"/>
        <v>7.5099383</v>
      </c>
      <c r="Y617">
        <f t="shared" si="28"/>
        <v>9.0699383000000005</v>
      </c>
      <c r="Z617">
        <f t="shared" si="29"/>
        <v>62.699938299999999</v>
      </c>
    </row>
    <row r="618" spans="1:26" x14ac:dyDescent="0.3">
      <c r="A618" t="s">
        <v>708</v>
      </c>
      <c r="B618" t="s">
        <v>55</v>
      </c>
      <c r="C618" t="s">
        <v>78</v>
      </c>
      <c r="D618" t="s">
        <v>69</v>
      </c>
      <c r="E618">
        <v>20</v>
      </c>
      <c r="F618" s="3">
        <v>6.64</v>
      </c>
      <c r="G618" s="4">
        <v>72.8</v>
      </c>
      <c r="H618">
        <v>0</v>
      </c>
      <c r="I618">
        <v>4</v>
      </c>
      <c r="J618">
        <v>2</v>
      </c>
      <c r="K618" s="4">
        <v>75.7</v>
      </c>
      <c r="L618" s="4">
        <v>68.8</v>
      </c>
      <c r="M618" s="4">
        <v>90.1</v>
      </c>
      <c r="N618">
        <v>0</v>
      </c>
      <c r="O618" t="s">
        <v>64</v>
      </c>
      <c r="P618" t="s">
        <v>65</v>
      </c>
      <c r="S618" s="3">
        <v>0</v>
      </c>
      <c r="T618" s="5"/>
      <c r="U618">
        <v>0</v>
      </c>
      <c r="V618">
        <v>2024</v>
      </c>
      <c r="X618">
        <f t="shared" si="27"/>
        <v>6.6399381999999996</v>
      </c>
      <c r="Y618">
        <f t="shared" si="28"/>
        <v>-6.1799999999999998E-5</v>
      </c>
      <c r="Z618">
        <f t="shared" si="29"/>
        <v>68.7999382</v>
      </c>
    </row>
    <row r="619" spans="1:26" x14ac:dyDescent="0.3">
      <c r="A619" t="s">
        <v>709</v>
      </c>
      <c r="B619" t="s">
        <v>82</v>
      </c>
      <c r="C619" t="s">
        <v>78</v>
      </c>
      <c r="D619" t="s">
        <v>57</v>
      </c>
      <c r="E619">
        <v>20</v>
      </c>
      <c r="F619" s="3">
        <v>6.66</v>
      </c>
      <c r="G619" s="4">
        <v>83.9</v>
      </c>
      <c r="H619">
        <v>0</v>
      </c>
      <c r="I619">
        <v>0</v>
      </c>
      <c r="J619">
        <v>2</v>
      </c>
      <c r="K619" s="4">
        <v>92.7</v>
      </c>
      <c r="L619" s="4">
        <v>93.5</v>
      </c>
      <c r="M619" s="4">
        <v>70.8</v>
      </c>
      <c r="N619">
        <v>1</v>
      </c>
      <c r="O619" t="s">
        <v>58</v>
      </c>
      <c r="P619" t="s">
        <v>79</v>
      </c>
      <c r="Q619" t="s">
        <v>71</v>
      </c>
      <c r="R619" t="s">
        <v>72</v>
      </c>
      <c r="S619" s="3">
        <v>4.4400000000000004</v>
      </c>
      <c r="T619" s="5">
        <v>44809</v>
      </c>
      <c r="U619">
        <v>1</v>
      </c>
      <c r="V619">
        <v>2022</v>
      </c>
      <c r="X619">
        <f t="shared" si="27"/>
        <v>6.6599380999999997</v>
      </c>
      <c r="Y619">
        <f t="shared" si="28"/>
        <v>4.4399381</v>
      </c>
      <c r="Z619">
        <f t="shared" si="29"/>
        <v>93.499938099999994</v>
      </c>
    </row>
    <row r="620" spans="1:26" x14ac:dyDescent="0.3">
      <c r="A620" t="s">
        <v>710</v>
      </c>
      <c r="B620" t="s">
        <v>55</v>
      </c>
      <c r="C620" t="s">
        <v>56</v>
      </c>
      <c r="D620" t="s">
        <v>57</v>
      </c>
      <c r="E620">
        <v>21</v>
      </c>
      <c r="F620" s="3">
        <v>7.4</v>
      </c>
      <c r="G620" s="4">
        <v>75.599999999999994</v>
      </c>
      <c r="H620">
        <v>3</v>
      </c>
      <c r="I620">
        <v>3</v>
      </c>
      <c r="J620">
        <v>4</v>
      </c>
      <c r="K620" s="4">
        <v>57.6</v>
      </c>
      <c r="L620" s="4">
        <v>74.8</v>
      </c>
      <c r="M620" s="4">
        <v>86</v>
      </c>
      <c r="N620">
        <v>0</v>
      </c>
      <c r="O620" t="s">
        <v>58</v>
      </c>
      <c r="P620" t="s">
        <v>104</v>
      </c>
      <c r="Q620" t="s">
        <v>105</v>
      </c>
      <c r="R620" t="s">
        <v>130</v>
      </c>
      <c r="S620" s="3">
        <v>15.62</v>
      </c>
      <c r="T620" s="5">
        <v>45602</v>
      </c>
      <c r="U620">
        <v>3</v>
      </c>
      <c r="V620">
        <v>2024</v>
      </c>
      <c r="X620">
        <f t="shared" si="27"/>
        <v>7.3999380000000006</v>
      </c>
      <c r="Y620">
        <f t="shared" si="28"/>
        <v>15.619937999999999</v>
      </c>
      <c r="Z620">
        <f t="shared" si="29"/>
        <v>74.799937999999997</v>
      </c>
    </row>
    <row r="621" spans="1:26" x14ac:dyDescent="0.3">
      <c r="A621" t="s">
        <v>711</v>
      </c>
      <c r="B621" t="s">
        <v>55</v>
      </c>
      <c r="C621" t="s">
        <v>56</v>
      </c>
      <c r="D621" t="s">
        <v>57</v>
      </c>
      <c r="E621">
        <v>21</v>
      </c>
      <c r="F621" s="3">
        <v>6.01</v>
      </c>
      <c r="G621" s="4">
        <v>71.3</v>
      </c>
      <c r="H621">
        <v>3</v>
      </c>
      <c r="I621">
        <v>1</v>
      </c>
      <c r="J621">
        <v>5</v>
      </c>
      <c r="K621" s="4">
        <v>74.3</v>
      </c>
      <c r="L621" s="4">
        <v>100</v>
      </c>
      <c r="M621" s="4">
        <v>70.2</v>
      </c>
      <c r="N621">
        <v>1</v>
      </c>
      <c r="O621" t="s">
        <v>64</v>
      </c>
      <c r="P621" t="s">
        <v>65</v>
      </c>
      <c r="S621" s="3">
        <v>0</v>
      </c>
      <c r="T621" s="5"/>
      <c r="U621">
        <v>0</v>
      </c>
      <c r="V621">
        <v>2024</v>
      </c>
      <c r="X621">
        <f t="shared" si="27"/>
        <v>6.0099378999999997</v>
      </c>
      <c r="Y621">
        <f t="shared" si="28"/>
        <v>-6.2099999999999992E-5</v>
      </c>
      <c r="Z621">
        <f t="shared" si="29"/>
        <v>99.999937900000006</v>
      </c>
    </row>
    <row r="622" spans="1:26" x14ac:dyDescent="0.3">
      <c r="A622" t="s">
        <v>712</v>
      </c>
      <c r="B622" t="s">
        <v>63</v>
      </c>
      <c r="C622" t="s">
        <v>68</v>
      </c>
      <c r="D622" t="s">
        <v>57</v>
      </c>
      <c r="E622">
        <v>21</v>
      </c>
      <c r="F622" s="3">
        <v>6.92</v>
      </c>
      <c r="G622" s="4">
        <v>78.3</v>
      </c>
      <c r="H622">
        <v>1</v>
      </c>
      <c r="I622">
        <v>2</v>
      </c>
      <c r="J622">
        <v>4</v>
      </c>
      <c r="K622" s="4">
        <v>66.900000000000006</v>
      </c>
      <c r="L622" s="4">
        <v>67.099999999999994</v>
      </c>
      <c r="M622" s="4">
        <v>70</v>
      </c>
      <c r="N622">
        <v>1</v>
      </c>
      <c r="O622" t="s">
        <v>64</v>
      </c>
      <c r="P622" t="s">
        <v>65</v>
      </c>
      <c r="S622" s="3">
        <v>0</v>
      </c>
      <c r="T622" s="5"/>
      <c r="U622">
        <v>0</v>
      </c>
      <c r="V622">
        <v>2025</v>
      </c>
      <c r="X622">
        <f t="shared" si="27"/>
        <v>6.9199377999999996</v>
      </c>
      <c r="Y622">
        <f t="shared" si="28"/>
        <v>-6.2199999999999994E-5</v>
      </c>
      <c r="Z622">
        <f t="shared" si="29"/>
        <v>67.099937799999992</v>
      </c>
    </row>
    <row r="623" spans="1:26" x14ac:dyDescent="0.3">
      <c r="A623" t="s">
        <v>713</v>
      </c>
      <c r="B623" t="s">
        <v>82</v>
      </c>
      <c r="C623" t="s">
        <v>74</v>
      </c>
      <c r="D623" t="s">
        <v>69</v>
      </c>
      <c r="E623">
        <v>21</v>
      </c>
      <c r="F623" s="3">
        <v>6.03</v>
      </c>
      <c r="G623" s="4">
        <v>78.8</v>
      </c>
      <c r="H623">
        <v>3</v>
      </c>
      <c r="I623">
        <v>2</v>
      </c>
      <c r="J623">
        <v>4</v>
      </c>
      <c r="K623" s="4">
        <v>76.5</v>
      </c>
      <c r="L623" s="4">
        <v>84.4</v>
      </c>
      <c r="M623" s="4">
        <v>59.3</v>
      </c>
      <c r="N623">
        <v>0</v>
      </c>
      <c r="O623" t="s">
        <v>58</v>
      </c>
      <c r="P623" t="s">
        <v>112</v>
      </c>
      <c r="Q623" t="s">
        <v>93</v>
      </c>
      <c r="R623" t="s">
        <v>76</v>
      </c>
      <c r="S623" s="3">
        <v>6.27</v>
      </c>
      <c r="T623" s="5">
        <v>44805</v>
      </c>
      <c r="U623">
        <v>1</v>
      </c>
      <c r="V623">
        <v>2022</v>
      </c>
      <c r="X623">
        <f t="shared" si="27"/>
        <v>6.0299377000000005</v>
      </c>
      <c r="Y623">
        <f t="shared" si="28"/>
        <v>6.2699376999999998</v>
      </c>
      <c r="Z623">
        <f t="shared" si="29"/>
        <v>84.399937700000009</v>
      </c>
    </row>
    <row r="624" spans="1:26" x14ac:dyDescent="0.3">
      <c r="A624" t="s">
        <v>714</v>
      </c>
      <c r="B624" t="s">
        <v>55</v>
      </c>
      <c r="C624" t="s">
        <v>68</v>
      </c>
      <c r="D624" t="s">
        <v>57</v>
      </c>
      <c r="E624">
        <v>23</v>
      </c>
      <c r="F624" s="3">
        <v>7.76</v>
      </c>
      <c r="G624" s="4">
        <v>72.900000000000006</v>
      </c>
      <c r="H624">
        <v>2</v>
      </c>
      <c r="I624">
        <v>4</v>
      </c>
      <c r="J624">
        <v>1</v>
      </c>
      <c r="K624" s="4">
        <v>69.5</v>
      </c>
      <c r="L624" s="4">
        <v>86.6</v>
      </c>
      <c r="M624" s="4">
        <v>79.5</v>
      </c>
      <c r="N624">
        <v>2</v>
      </c>
      <c r="O624" t="s">
        <v>64</v>
      </c>
      <c r="P624" t="s">
        <v>65</v>
      </c>
      <c r="S624" s="3">
        <v>0</v>
      </c>
      <c r="T624" s="5"/>
      <c r="U624">
        <v>0</v>
      </c>
      <c r="V624">
        <v>2024</v>
      </c>
      <c r="X624">
        <f t="shared" si="27"/>
        <v>7.7599375999999998</v>
      </c>
      <c r="Y624">
        <f t="shared" si="28"/>
        <v>-6.2399999999999999E-5</v>
      </c>
      <c r="Z624">
        <f t="shared" si="29"/>
        <v>86.59993759999999</v>
      </c>
    </row>
    <row r="625" spans="1:26" x14ac:dyDescent="0.3">
      <c r="A625" t="s">
        <v>715</v>
      </c>
      <c r="B625" t="s">
        <v>55</v>
      </c>
      <c r="C625" t="s">
        <v>84</v>
      </c>
      <c r="D625" t="s">
        <v>69</v>
      </c>
      <c r="E625">
        <v>21</v>
      </c>
      <c r="F625" s="3">
        <v>7.74</v>
      </c>
      <c r="G625" s="4">
        <v>72.8</v>
      </c>
      <c r="H625">
        <v>1</v>
      </c>
      <c r="I625">
        <v>4</v>
      </c>
      <c r="J625">
        <v>4</v>
      </c>
      <c r="K625" s="4">
        <v>59.9</v>
      </c>
      <c r="L625" s="4">
        <v>73</v>
      </c>
      <c r="M625" s="4">
        <v>61.7</v>
      </c>
      <c r="N625">
        <v>0</v>
      </c>
      <c r="O625" t="s">
        <v>58</v>
      </c>
      <c r="P625" t="s">
        <v>75</v>
      </c>
      <c r="Q625" t="s">
        <v>71</v>
      </c>
      <c r="R625" t="s">
        <v>80</v>
      </c>
      <c r="S625" s="3">
        <v>6.45</v>
      </c>
      <c r="T625" s="5">
        <v>45519</v>
      </c>
      <c r="U625">
        <v>1</v>
      </c>
      <c r="V625">
        <v>2024</v>
      </c>
      <c r="X625">
        <f t="shared" si="27"/>
        <v>7.7399374999999999</v>
      </c>
      <c r="Y625">
        <f t="shared" si="28"/>
        <v>6.4499374999999999</v>
      </c>
      <c r="Z625">
        <f t="shared" si="29"/>
        <v>72.999937500000001</v>
      </c>
    </row>
    <row r="626" spans="1:26" x14ac:dyDescent="0.3">
      <c r="A626" t="s">
        <v>716</v>
      </c>
      <c r="B626" t="s">
        <v>82</v>
      </c>
      <c r="C626" t="s">
        <v>101</v>
      </c>
      <c r="D626" t="s">
        <v>57</v>
      </c>
      <c r="E626">
        <v>22</v>
      </c>
      <c r="F626" s="3">
        <v>7.34</v>
      </c>
      <c r="G626" s="4">
        <v>80.900000000000006</v>
      </c>
      <c r="H626">
        <v>1</v>
      </c>
      <c r="I626">
        <v>0</v>
      </c>
      <c r="J626">
        <v>6</v>
      </c>
      <c r="K626" s="4">
        <v>59.4</v>
      </c>
      <c r="L626" s="4">
        <v>90.4</v>
      </c>
      <c r="M626" s="4">
        <v>66.599999999999994</v>
      </c>
      <c r="N626">
        <v>0</v>
      </c>
      <c r="O626" t="s">
        <v>58</v>
      </c>
      <c r="P626" t="s">
        <v>75</v>
      </c>
      <c r="Q626" t="s">
        <v>71</v>
      </c>
      <c r="R626" t="s">
        <v>76</v>
      </c>
      <c r="S626" s="3">
        <v>5.84</v>
      </c>
      <c r="T626" s="5">
        <v>44782</v>
      </c>
      <c r="U626">
        <v>1</v>
      </c>
      <c r="V626">
        <v>2022</v>
      </c>
      <c r="X626">
        <f t="shared" si="27"/>
        <v>7.3399374000000002</v>
      </c>
      <c r="Y626">
        <f t="shared" si="28"/>
        <v>5.8399374000000002</v>
      </c>
      <c r="Z626">
        <f t="shared" si="29"/>
        <v>90.399937399999999</v>
      </c>
    </row>
    <row r="627" spans="1:26" x14ac:dyDescent="0.3">
      <c r="A627" t="s">
        <v>717</v>
      </c>
      <c r="B627" t="s">
        <v>82</v>
      </c>
      <c r="C627" t="s">
        <v>89</v>
      </c>
      <c r="D627" t="s">
        <v>69</v>
      </c>
      <c r="E627">
        <v>22</v>
      </c>
      <c r="F627" s="3">
        <v>8.5500000000000007</v>
      </c>
      <c r="G627" s="4">
        <v>69</v>
      </c>
      <c r="H627">
        <v>1</v>
      </c>
      <c r="I627">
        <v>1</v>
      </c>
      <c r="J627">
        <v>4</v>
      </c>
      <c r="K627" s="4">
        <v>74.5</v>
      </c>
      <c r="L627" s="4">
        <v>62</v>
      </c>
      <c r="M627" s="4">
        <v>57.8</v>
      </c>
      <c r="N627">
        <v>0</v>
      </c>
      <c r="O627" t="s">
        <v>58</v>
      </c>
      <c r="P627" t="s">
        <v>87</v>
      </c>
      <c r="Q627" t="s">
        <v>71</v>
      </c>
      <c r="R627" t="s">
        <v>109</v>
      </c>
      <c r="S627" s="3">
        <v>6.24</v>
      </c>
      <c r="T627" s="5">
        <v>44831</v>
      </c>
      <c r="U627">
        <v>1</v>
      </c>
      <c r="V627">
        <v>2022</v>
      </c>
      <c r="X627">
        <f t="shared" si="27"/>
        <v>8.5499372999999999</v>
      </c>
      <c r="Y627">
        <f t="shared" si="28"/>
        <v>6.2399373000000002</v>
      </c>
      <c r="Z627">
        <f t="shared" si="29"/>
        <v>61.999937299999999</v>
      </c>
    </row>
    <row r="628" spans="1:26" x14ac:dyDescent="0.3">
      <c r="A628" t="s">
        <v>718</v>
      </c>
      <c r="B628" t="s">
        <v>55</v>
      </c>
      <c r="C628" t="s">
        <v>101</v>
      </c>
      <c r="D628" t="s">
        <v>57</v>
      </c>
      <c r="E628">
        <v>22</v>
      </c>
      <c r="F628" s="3">
        <v>7.38</v>
      </c>
      <c r="G628" s="4">
        <v>68.8</v>
      </c>
      <c r="H628">
        <v>1</v>
      </c>
      <c r="I628">
        <v>3</v>
      </c>
      <c r="J628">
        <v>6</v>
      </c>
      <c r="K628" s="4">
        <v>69.8</v>
      </c>
      <c r="L628" s="4">
        <v>82.9</v>
      </c>
      <c r="M628" s="4">
        <v>51.2</v>
      </c>
      <c r="N628">
        <v>2</v>
      </c>
      <c r="O628" t="s">
        <v>64</v>
      </c>
      <c r="P628" t="s">
        <v>65</v>
      </c>
      <c r="S628" s="3">
        <v>0</v>
      </c>
      <c r="T628" s="5"/>
      <c r="U628">
        <v>0</v>
      </c>
      <c r="V628">
        <v>2024</v>
      </c>
      <c r="X628">
        <f t="shared" si="27"/>
        <v>7.3799371999999996</v>
      </c>
      <c r="Y628">
        <f t="shared" si="28"/>
        <v>-6.2799999999999995E-5</v>
      </c>
      <c r="Z628">
        <f t="shared" si="29"/>
        <v>82.899937200000011</v>
      </c>
    </row>
    <row r="629" spans="1:26" x14ac:dyDescent="0.3">
      <c r="A629" t="s">
        <v>719</v>
      </c>
      <c r="B629" t="s">
        <v>82</v>
      </c>
      <c r="C629" t="s">
        <v>101</v>
      </c>
      <c r="D629" t="s">
        <v>69</v>
      </c>
      <c r="E629">
        <v>23</v>
      </c>
      <c r="F629" s="3">
        <v>7.63</v>
      </c>
      <c r="G629" s="4">
        <v>82.6</v>
      </c>
      <c r="H629">
        <v>3</v>
      </c>
      <c r="I629">
        <v>3</v>
      </c>
      <c r="J629">
        <v>4</v>
      </c>
      <c r="K629" s="4">
        <v>76.7</v>
      </c>
      <c r="L629" s="4">
        <v>54.4</v>
      </c>
      <c r="M629" s="4">
        <v>73</v>
      </c>
      <c r="N629">
        <v>1</v>
      </c>
      <c r="O629" t="s">
        <v>58</v>
      </c>
      <c r="P629" t="s">
        <v>104</v>
      </c>
      <c r="Q629" t="s">
        <v>105</v>
      </c>
      <c r="R629" t="s">
        <v>72</v>
      </c>
      <c r="S629" s="3">
        <v>16.7</v>
      </c>
      <c r="T629" s="5">
        <v>44795</v>
      </c>
      <c r="U629">
        <v>1</v>
      </c>
      <c r="V629">
        <v>2022</v>
      </c>
      <c r="X629">
        <f t="shared" si="27"/>
        <v>7.6299371000000002</v>
      </c>
      <c r="Y629">
        <f t="shared" si="28"/>
        <v>16.6999371</v>
      </c>
      <c r="Z629">
        <f t="shared" si="29"/>
        <v>54.399937099999995</v>
      </c>
    </row>
    <row r="630" spans="1:26" x14ac:dyDescent="0.3">
      <c r="A630" t="s">
        <v>720</v>
      </c>
      <c r="B630" t="s">
        <v>55</v>
      </c>
      <c r="C630" t="s">
        <v>68</v>
      </c>
      <c r="D630" t="s">
        <v>57</v>
      </c>
      <c r="E630">
        <v>21</v>
      </c>
      <c r="F630" s="3">
        <v>6.83</v>
      </c>
      <c r="G630" s="4">
        <v>95.6</v>
      </c>
      <c r="H630">
        <v>1</v>
      </c>
      <c r="I630">
        <v>0</v>
      </c>
      <c r="J630">
        <v>5</v>
      </c>
      <c r="K630" s="4">
        <v>45.7</v>
      </c>
      <c r="L630" s="4">
        <v>51</v>
      </c>
      <c r="M630" s="4">
        <v>65.400000000000006</v>
      </c>
      <c r="N630">
        <v>0</v>
      </c>
      <c r="O630" t="s">
        <v>58</v>
      </c>
      <c r="P630" t="s">
        <v>70</v>
      </c>
      <c r="Q630" t="s">
        <v>71</v>
      </c>
      <c r="R630" t="s">
        <v>72</v>
      </c>
      <c r="S630" s="3">
        <v>4.33</v>
      </c>
      <c r="T630" s="5">
        <v>45517</v>
      </c>
      <c r="U630">
        <v>3</v>
      </c>
      <c r="V630">
        <v>2024</v>
      </c>
      <c r="X630">
        <f t="shared" si="27"/>
        <v>6.8299370000000001</v>
      </c>
      <c r="Y630">
        <f t="shared" si="28"/>
        <v>4.3299370000000001</v>
      </c>
      <c r="Z630">
        <f t="shared" si="29"/>
        <v>50.999937000000003</v>
      </c>
    </row>
    <row r="631" spans="1:26" x14ac:dyDescent="0.3">
      <c r="A631" t="s">
        <v>721</v>
      </c>
      <c r="B631" t="s">
        <v>55</v>
      </c>
      <c r="C631" t="s">
        <v>56</v>
      </c>
      <c r="D631" t="s">
        <v>57</v>
      </c>
      <c r="E631">
        <v>22</v>
      </c>
      <c r="F631" s="3">
        <v>5.58</v>
      </c>
      <c r="G631" s="4">
        <v>88.6</v>
      </c>
      <c r="H631">
        <v>2</v>
      </c>
      <c r="I631">
        <v>2</v>
      </c>
      <c r="J631">
        <v>2</v>
      </c>
      <c r="K631" s="4">
        <v>83.3</v>
      </c>
      <c r="L631" s="4">
        <v>70.599999999999994</v>
      </c>
      <c r="M631" s="4">
        <v>78</v>
      </c>
      <c r="N631">
        <v>0</v>
      </c>
      <c r="O631" t="s">
        <v>64</v>
      </c>
      <c r="P631" t="s">
        <v>65</v>
      </c>
      <c r="S631" s="3">
        <v>0</v>
      </c>
      <c r="T631" s="5"/>
      <c r="U631">
        <v>0</v>
      </c>
      <c r="V631">
        <v>2024</v>
      </c>
      <c r="X631">
        <f t="shared" si="27"/>
        <v>5.5799368999999999</v>
      </c>
      <c r="Y631">
        <f t="shared" si="28"/>
        <v>-6.3100000000000002E-5</v>
      </c>
      <c r="Z631">
        <f t="shared" si="29"/>
        <v>70.599936899999989</v>
      </c>
    </row>
    <row r="632" spans="1:26" x14ac:dyDescent="0.3">
      <c r="A632" t="s">
        <v>722</v>
      </c>
      <c r="B632" t="s">
        <v>63</v>
      </c>
      <c r="C632" t="s">
        <v>68</v>
      </c>
      <c r="D632" t="s">
        <v>69</v>
      </c>
      <c r="E632">
        <v>22</v>
      </c>
      <c r="F632" s="3">
        <v>7.52</v>
      </c>
      <c r="G632" s="4">
        <v>93</v>
      </c>
      <c r="H632">
        <v>2</v>
      </c>
      <c r="I632">
        <v>3</v>
      </c>
      <c r="J632">
        <v>2</v>
      </c>
      <c r="K632" s="4">
        <v>87.8</v>
      </c>
      <c r="L632" s="4">
        <v>68.099999999999994</v>
      </c>
      <c r="M632" s="4">
        <v>73.400000000000006</v>
      </c>
      <c r="N632">
        <v>0</v>
      </c>
      <c r="O632" t="s">
        <v>58</v>
      </c>
      <c r="P632" t="s">
        <v>59</v>
      </c>
      <c r="Q632" t="s">
        <v>60</v>
      </c>
      <c r="R632" t="s">
        <v>85</v>
      </c>
      <c r="S632" s="3">
        <v>19.239999999999998</v>
      </c>
      <c r="T632" s="5">
        <v>45977</v>
      </c>
      <c r="U632">
        <v>1</v>
      </c>
      <c r="V632">
        <v>2025</v>
      </c>
      <c r="X632">
        <f t="shared" si="27"/>
        <v>7.5199368</v>
      </c>
      <c r="Y632">
        <f t="shared" si="28"/>
        <v>19.239936799999999</v>
      </c>
      <c r="Z632">
        <f t="shared" si="29"/>
        <v>68.099936799999995</v>
      </c>
    </row>
    <row r="633" spans="1:26" x14ac:dyDescent="0.3">
      <c r="A633" t="s">
        <v>723</v>
      </c>
      <c r="B633" t="s">
        <v>107</v>
      </c>
      <c r="C633" t="s">
        <v>78</v>
      </c>
      <c r="D633" t="s">
        <v>69</v>
      </c>
      <c r="E633">
        <v>22</v>
      </c>
      <c r="F633" s="3">
        <v>7.4</v>
      </c>
      <c r="G633" s="4">
        <v>65.8</v>
      </c>
      <c r="H633">
        <v>0</v>
      </c>
      <c r="I633">
        <v>3</v>
      </c>
      <c r="J633">
        <v>2</v>
      </c>
      <c r="K633" s="4">
        <v>70.099999999999994</v>
      </c>
      <c r="L633" s="4">
        <v>53.4</v>
      </c>
      <c r="M633" s="4">
        <v>86.5</v>
      </c>
      <c r="N633">
        <v>0</v>
      </c>
      <c r="O633" t="s">
        <v>58</v>
      </c>
      <c r="P633" t="s">
        <v>112</v>
      </c>
      <c r="Q633" t="s">
        <v>93</v>
      </c>
      <c r="R633" t="s">
        <v>61</v>
      </c>
      <c r="S633" s="3">
        <v>4.3899999999999997</v>
      </c>
      <c r="T633" s="5">
        <v>44486</v>
      </c>
      <c r="U633">
        <v>2</v>
      </c>
      <c r="V633">
        <v>2021</v>
      </c>
      <c r="X633">
        <f t="shared" si="27"/>
        <v>7.3999367000000005</v>
      </c>
      <c r="Y633">
        <f t="shared" si="28"/>
        <v>4.3899366999999998</v>
      </c>
      <c r="Z633">
        <f t="shared" si="29"/>
        <v>53.399936699999998</v>
      </c>
    </row>
    <row r="634" spans="1:26" x14ac:dyDescent="0.3">
      <c r="A634" t="s">
        <v>724</v>
      </c>
      <c r="B634" t="s">
        <v>55</v>
      </c>
      <c r="C634" t="s">
        <v>68</v>
      </c>
      <c r="D634" t="s">
        <v>57</v>
      </c>
      <c r="E634">
        <v>22</v>
      </c>
      <c r="F634" s="3">
        <v>9.19</v>
      </c>
      <c r="G634" s="4">
        <v>69.3</v>
      </c>
      <c r="H634">
        <v>0</v>
      </c>
      <c r="I634">
        <v>2</v>
      </c>
      <c r="J634">
        <v>4</v>
      </c>
      <c r="K634" s="4">
        <v>77.2</v>
      </c>
      <c r="L634" s="4">
        <v>81.5</v>
      </c>
      <c r="M634" s="4">
        <v>97.1</v>
      </c>
      <c r="N634">
        <v>0</v>
      </c>
      <c r="O634" t="s">
        <v>58</v>
      </c>
      <c r="P634" t="s">
        <v>95</v>
      </c>
      <c r="Q634" t="s">
        <v>93</v>
      </c>
      <c r="R634" t="s">
        <v>109</v>
      </c>
      <c r="S634" s="3">
        <v>7.27</v>
      </c>
      <c r="T634" s="5">
        <v>45530</v>
      </c>
      <c r="U634">
        <v>2</v>
      </c>
      <c r="V634">
        <v>2024</v>
      </c>
      <c r="X634">
        <f t="shared" si="27"/>
        <v>9.1899365999999993</v>
      </c>
      <c r="Y634">
        <f t="shared" si="28"/>
        <v>7.2699365999999994</v>
      </c>
      <c r="Z634">
        <f t="shared" si="29"/>
        <v>81.499936599999998</v>
      </c>
    </row>
    <row r="635" spans="1:26" x14ac:dyDescent="0.3">
      <c r="A635" t="s">
        <v>725</v>
      </c>
      <c r="B635" t="s">
        <v>67</v>
      </c>
      <c r="C635" t="s">
        <v>78</v>
      </c>
      <c r="D635" t="s">
        <v>57</v>
      </c>
      <c r="E635">
        <v>20</v>
      </c>
      <c r="F635" s="3">
        <v>8.25</v>
      </c>
      <c r="G635" s="4">
        <v>82.1</v>
      </c>
      <c r="H635">
        <v>2</v>
      </c>
      <c r="I635">
        <v>3</v>
      </c>
      <c r="J635">
        <v>3</v>
      </c>
      <c r="K635" s="4">
        <v>81.7</v>
      </c>
      <c r="L635" s="4">
        <v>93.4</v>
      </c>
      <c r="M635" s="4">
        <v>87.8</v>
      </c>
      <c r="N635">
        <v>0</v>
      </c>
      <c r="O635" t="s">
        <v>58</v>
      </c>
      <c r="P635" t="s">
        <v>95</v>
      </c>
      <c r="Q635" t="s">
        <v>93</v>
      </c>
      <c r="R635" t="s">
        <v>72</v>
      </c>
      <c r="S635" s="3">
        <v>8.14</v>
      </c>
      <c r="T635" s="5">
        <v>45258</v>
      </c>
      <c r="U635">
        <v>2</v>
      </c>
      <c r="V635">
        <v>2023</v>
      </c>
      <c r="X635">
        <f t="shared" si="27"/>
        <v>8.2499365000000004</v>
      </c>
      <c r="Y635">
        <f t="shared" si="28"/>
        <v>8.139936500000001</v>
      </c>
      <c r="Z635">
        <f t="shared" si="29"/>
        <v>93.39993650000001</v>
      </c>
    </row>
    <row r="636" spans="1:26" x14ac:dyDescent="0.3">
      <c r="A636" t="s">
        <v>726</v>
      </c>
      <c r="B636" t="s">
        <v>107</v>
      </c>
      <c r="C636" t="s">
        <v>56</v>
      </c>
      <c r="D636" t="s">
        <v>57</v>
      </c>
      <c r="E636">
        <v>21</v>
      </c>
      <c r="F636" s="3">
        <v>7.28</v>
      </c>
      <c r="G636" s="4">
        <v>89.5</v>
      </c>
      <c r="H636">
        <v>1</v>
      </c>
      <c r="I636">
        <v>2</v>
      </c>
      <c r="J636">
        <v>4</v>
      </c>
      <c r="K636" s="4">
        <v>65.5</v>
      </c>
      <c r="L636" s="4">
        <v>65.099999999999994</v>
      </c>
      <c r="M636" s="4">
        <v>74.400000000000006</v>
      </c>
      <c r="N636">
        <v>0</v>
      </c>
      <c r="O636" t="s">
        <v>58</v>
      </c>
      <c r="P636" t="s">
        <v>95</v>
      </c>
      <c r="Q636" t="s">
        <v>93</v>
      </c>
      <c r="R636" t="s">
        <v>109</v>
      </c>
      <c r="S636" s="3">
        <v>4.7300000000000004</v>
      </c>
      <c r="T636" s="5">
        <v>44469</v>
      </c>
      <c r="U636">
        <v>1</v>
      </c>
      <c r="V636">
        <v>2021</v>
      </c>
      <c r="X636">
        <f t="shared" si="27"/>
        <v>7.2799364000000004</v>
      </c>
      <c r="Y636">
        <f t="shared" si="28"/>
        <v>4.7299364000000006</v>
      </c>
      <c r="Z636">
        <f t="shared" si="29"/>
        <v>65.09993639999999</v>
      </c>
    </row>
    <row r="637" spans="1:26" x14ac:dyDescent="0.3">
      <c r="A637" t="s">
        <v>727</v>
      </c>
      <c r="B637" t="s">
        <v>107</v>
      </c>
      <c r="C637" t="s">
        <v>78</v>
      </c>
      <c r="D637" t="s">
        <v>69</v>
      </c>
      <c r="E637">
        <v>21</v>
      </c>
      <c r="F637" s="3">
        <v>7.78</v>
      </c>
      <c r="G637" s="4">
        <v>87.7</v>
      </c>
      <c r="H637">
        <v>2</v>
      </c>
      <c r="I637">
        <v>4</v>
      </c>
      <c r="J637">
        <v>6</v>
      </c>
      <c r="K637" s="4">
        <v>71.2</v>
      </c>
      <c r="L637" s="4">
        <v>85.6</v>
      </c>
      <c r="M637" s="4">
        <v>82.1</v>
      </c>
      <c r="N637">
        <v>0</v>
      </c>
      <c r="O637" t="s">
        <v>58</v>
      </c>
      <c r="P637" t="s">
        <v>87</v>
      </c>
      <c r="Q637" t="s">
        <v>71</v>
      </c>
      <c r="R637" t="s">
        <v>72</v>
      </c>
      <c r="S637" s="3">
        <v>6.52</v>
      </c>
      <c r="T637" s="5">
        <v>44452</v>
      </c>
      <c r="U637">
        <v>1</v>
      </c>
      <c r="V637">
        <v>2021</v>
      </c>
      <c r="X637">
        <f t="shared" si="27"/>
        <v>7.7799363000000001</v>
      </c>
      <c r="Y637">
        <f t="shared" si="28"/>
        <v>6.5199362999999995</v>
      </c>
      <c r="Z637">
        <f t="shared" si="29"/>
        <v>85.599936299999996</v>
      </c>
    </row>
    <row r="638" spans="1:26" x14ac:dyDescent="0.3">
      <c r="A638" t="s">
        <v>728</v>
      </c>
      <c r="B638" t="s">
        <v>107</v>
      </c>
      <c r="C638" t="s">
        <v>101</v>
      </c>
      <c r="D638" t="s">
        <v>57</v>
      </c>
      <c r="E638">
        <v>23</v>
      </c>
      <c r="F638" s="3">
        <v>8.4700000000000006</v>
      </c>
      <c r="G638" s="4">
        <v>69.900000000000006</v>
      </c>
      <c r="H638">
        <v>0</v>
      </c>
      <c r="I638">
        <v>2</v>
      </c>
      <c r="J638">
        <v>4</v>
      </c>
      <c r="K638" s="4">
        <v>74.8</v>
      </c>
      <c r="L638" s="4">
        <v>60.5</v>
      </c>
      <c r="M638" s="4">
        <v>89.8</v>
      </c>
      <c r="N638">
        <v>0</v>
      </c>
      <c r="O638" t="s">
        <v>58</v>
      </c>
      <c r="P638" t="s">
        <v>112</v>
      </c>
      <c r="Q638" t="s">
        <v>93</v>
      </c>
      <c r="R638" t="s">
        <v>130</v>
      </c>
      <c r="S638" s="3">
        <v>7.01</v>
      </c>
      <c r="T638" s="5">
        <v>44497</v>
      </c>
      <c r="U638">
        <v>2</v>
      </c>
      <c r="V638">
        <v>2021</v>
      </c>
      <c r="X638">
        <f t="shared" si="27"/>
        <v>8.4699362000000011</v>
      </c>
      <c r="Y638">
        <f t="shared" si="28"/>
        <v>7.0099361999999994</v>
      </c>
      <c r="Z638">
        <f t="shared" si="29"/>
        <v>60.4999362</v>
      </c>
    </row>
    <row r="639" spans="1:26" x14ac:dyDescent="0.3">
      <c r="A639" t="s">
        <v>729</v>
      </c>
      <c r="B639" t="s">
        <v>63</v>
      </c>
      <c r="C639" t="s">
        <v>78</v>
      </c>
      <c r="D639" t="s">
        <v>57</v>
      </c>
      <c r="E639">
        <v>20</v>
      </c>
      <c r="F639" s="3">
        <v>8.1199999999999992</v>
      </c>
      <c r="G639" s="4">
        <v>92.2</v>
      </c>
      <c r="H639">
        <v>1</v>
      </c>
      <c r="I639">
        <v>2</v>
      </c>
      <c r="J639">
        <v>3</v>
      </c>
      <c r="K639" s="4">
        <v>60.7</v>
      </c>
      <c r="L639" s="4">
        <v>67</v>
      </c>
      <c r="M639" s="4">
        <v>68</v>
      </c>
      <c r="N639">
        <v>0</v>
      </c>
      <c r="O639" t="s">
        <v>58</v>
      </c>
      <c r="P639" t="s">
        <v>112</v>
      </c>
      <c r="Q639" t="s">
        <v>93</v>
      </c>
      <c r="R639" t="s">
        <v>61</v>
      </c>
      <c r="S639" s="3">
        <v>6.58</v>
      </c>
      <c r="T639" s="5">
        <v>45955</v>
      </c>
      <c r="U639">
        <v>2</v>
      </c>
      <c r="V639">
        <v>2025</v>
      </c>
      <c r="X639">
        <f t="shared" si="27"/>
        <v>8.1199360999999985</v>
      </c>
      <c r="Y639">
        <f t="shared" si="28"/>
        <v>6.5799361000000003</v>
      </c>
      <c r="Z639">
        <f t="shared" si="29"/>
        <v>66.999936099999999</v>
      </c>
    </row>
    <row r="640" spans="1:26" x14ac:dyDescent="0.3">
      <c r="A640" t="s">
        <v>730</v>
      </c>
      <c r="B640" t="s">
        <v>55</v>
      </c>
      <c r="C640" t="s">
        <v>84</v>
      </c>
      <c r="D640" t="s">
        <v>69</v>
      </c>
      <c r="E640">
        <v>23</v>
      </c>
      <c r="F640" s="3">
        <v>9.15</v>
      </c>
      <c r="G640" s="4">
        <v>81.3</v>
      </c>
      <c r="H640">
        <v>0</v>
      </c>
      <c r="I640">
        <v>4</v>
      </c>
      <c r="J640">
        <v>6</v>
      </c>
      <c r="K640" s="4">
        <v>69.900000000000006</v>
      </c>
      <c r="L640" s="4">
        <v>69.3</v>
      </c>
      <c r="M640" s="4">
        <v>84.7</v>
      </c>
      <c r="N640">
        <v>1</v>
      </c>
      <c r="O640" t="s">
        <v>58</v>
      </c>
      <c r="P640" t="s">
        <v>87</v>
      </c>
      <c r="Q640" t="s">
        <v>71</v>
      </c>
      <c r="R640" t="s">
        <v>80</v>
      </c>
      <c r="S640" s="3">
        <v>7.5</v>
      </c>
      <c r="T640" s="5">
        <v>45534</v>
      </c>
      <c r="U640">
        <v>1</v>
      </c>
      <c r="V640">
        <v>2024</v>
      </c>
      <c r="X640">
        <f t="shared" si="27"/>
        <v>9.1499360000000003</v>
      </c>
      <c r="Y640">
        <f t="shared" si="28"/>
        <v>7.4999359999999999</v>
      </c>
      <c r="Z640">
        <f t="shared" si="29"/>
        <v>69.299936000000002</v>
      </c>
    </row>
    <row r="641" spans="1:26" x14ac:dyDescent="0.3">
      <c r="A641" t="s">
        <v>731</v>
      </c>
      <c r="B641" t="s">
        <v>63</v>
      </c>
      <c r="C641" t="s">
        <v>101</v>
      </c>
      <c r="D641" t="s">
        <v>69</v>
      </c>
      <c r="E641">
        <v>22</v>
      </c>
      <c r="F641" s="3">
        <v>6.94</v>
      </c>
      <c r="G641" s="4">
        <v>89</v>
      </c>
      <c r="H641">
        <v>1</v>
      </c>
      <c r="I641">
        <v>0</v>
      </c>
      <c r="J641">
        <v>4</v>
      </c>
      <c r="K641" s="4">
        <v>39.700000000000003</v>
      </c>
      <c r="L641" s="4">
        <v>82.5</v>
      </c>
      <c r="M641" s="4">
        <v>89.7</v>
      </c>
      <c r="N641">
        <v>0</v>
      </c>
      <c r="O641" t="s">
        <v>64</v>
      </c>
      <c r="P641" t="s">
        <v>65</v>
      </c>
      <c r="S641" s="3">
        <v>0</v>
      </c>
      <c r="T641" s="5"/>
      <c r="U641">
        <v>0</v>
      </c>
      <c r="V641">
        <v>2025</v>
      </c>
      <c r="X641">
        <f t="shared" si="27"/>
        <v>6.9399359</v>
      </c>
      <c r="Y641">
        <f t="shared" si="28"/>
        <v>-6.41E-5</v>
      </c>
      <c r="Z641">
        <f t="shared" si="29"/>
        <v>82.499935899999997</v>
      </c>
    </row>
    <row r="642" spans="1:26" x14ac:dyDescent="0.3">
      <c r="A642" t="s">
        <v>732</v>
      </c>
      <c r="B642" t="s">
        <v>55</v>
      </c>
      <c r="C642" t="s">
        <v>84</v>
      </c>
      <c r="D642" t="s">
        <v>69</v>
      </c>
      <c r="E642">
        <v>23</v>
      </c>
      <c r="F642" s="3">
        <v>8.5299999999999994</v>
      </c>
      <c r="G642" s="4">
        <v>76.599999999999994</v>
      </c>
      <c r="H642">
        <v>0</v>
      </c>
      <c r="I642">
        <v>4</v>
      </c>
      <c r="J642">
        <v>4</v>
      </c>
      <c r="K642" s="4">
        <v>59.3</v>
      </c>
      <c r="L642" s="4">
        <v>68.8</v>
      </c>
      <c r="M642" s="4">
        <v>75</v>
      </c>
      <c r="N642">
        <v>0</v>
      </c>
      <c r="O642" t="s">
        <v>64</v>
      </c>
      <c r="P642" t="s">
        <v>65</v>
      </c>
      <c r="S642" s="3">
        <v>0</v>
      </c>
      <c r="T642" s="5"/>
      <c r="U642">
        <v>0</v>
      </c>
      <c r="V642">
        <v>2024</v>
      </c>
      <c r="X642">
        <f t="shared" ref="X642:X705" si="30">F642-ROW()*0.0000001</f>
        <v>8.5299357999999987</v>
      </c>
      <c r="Y642">
        <f t="shared" ref="Y642:Y705" si="31">S642-ROW()*0.0000001</f>
        <v>-6.4200000000000002E-5</v>
      </c>
      <c r="Z642">
        <f t="shared" ref="Z642:Z705" si="32">L642-ROW()*0.0000001</f>
        <v>68.7999358</v>
      </c>
    </row>
    <row r="643" spans="1:26" x14ac:dyDescent="0.3">
      <c r="A643" t="s">
        <v>733</v>
      </c>
      <c r="B643" t="s">
        <v>63</v>
      </c>
      <c r="C643" t="s">
        <v>84</v>
      </c>
      <c r="D643" t="s">
        <v>69</v>
      </c>
      <c r="E643">
        <v>22</v>
      </c>
      <c r="F643" s="3">
        <v>7.27</v>
      </c>
      <c r="G643" s="4">
        <v>68.099999999999994</v>
      </c>
      <c r="H643">
        <v>3</v>
      </c>
      <c r="I643">
        <v>3</v>
      </c>
      <c r="J643">
        <v>5</v>
      </c>
      <c r="K643" s="4">
        <v>88.5</v>
      </c>
      <c r="L643" s="4">
        <v>40</v>
      </c>
      <c r="M643" s="4">
        <v>79.599999999999994</v>
      </c>
      <c r="N643">
        <v>0</v>
      </c>
      <c r="O643" t="s">
        <v>58</v>
      </c>
      <c r="P643" t="s">
        <v>90</v>
      </c>
      <c r="Q643" t="s">
        <v>60</v>
      </c>
      <c r="R643" t="s">
        <v>76</v>
      </c>
      <c r="S643" s="3">
        <v>8.42</v>
      </c>
      <c r="T643" s="5">
        <v>45965</v>
      </c>
      <c r="U643">
        <v>1</v>
      </c>
      <c r="V643">
        <v>2025</v>
      </c>
      <c r="X643">
        <f t="shared" si="30"/>
        <v>7.2699356999999996</v>
      </c>
      <c r="Y643">
        <f t="shared" si="31"/>
        <v>8.4199356999999999</v>
      </c>
      <c r="Z643">
        <f t="shared" si="32"/>
        <v>39.999935700000002</v>
      </c>
    </row>
    <row r="644" spans="1:26" x14ac:dyDescent="0.3">
      <c r="A644" t="s">
        <v>734</v>
      </c>
      <c r="B644" t="s">
        <v>63</v>
      </c>
      <c r="C644" t="s">
        <v>101</v>
      </c>
      <c r="D644" t="s">
        <v>69</v>
      </c>
      <c r="E644">
        <v>22</v>
      </c>
      <c r="F644" s="3">
        <v>7.82</v>
      </c>
      <c r="G644" s="4">
        <v>89.6</v>
      </c>
      <c r="H644">
        <v>1</v>
      </c>
      <c r="I644">
        <v>4</v>
      </c>
      <c r="J644">
        <v>6</v>
      </c>
      <c r="K644" s="4">
        <v>73.400000000000006</v>
      </c>
      <c r="L644" s="4">
        <v>88</v>
      </c>
      <c r="M644" s="4">
        <v>98.5</v>
      </c>
      <c r="N644">
        <v>0</v>
      </c>
      <c r="O644" t="s">
        <v>58</v>
      </c>
      <c r="P644" t="s">
        <v>104</v>
      </c>
      <c r="Q644" t="s">
        <v>105</v>
      </c>
      <c r="R644" t="s">
        <v>76</v>
      </c>
      <c r="S644" s="3">
        <v>16.09</v>
      </c>
      <c r="T644" s="5">
        <v>45906</v>
      </c>
      <c r="U644">
        <v>1</v>
      </c>
      <c r="V644">
        <v>2025</v>
      </c>
      <c r="X644">
        <f t="shared" si="30"/>
        <v>7.8199356</v>
      </c>
      <c r="Y644">
        <f t="shared" si="31"/>
        <v>16.0899356</v>
      </c>
      <c r="Z644">
        <f t="shared" si="32"/>
        <v>87.999935600000001</v>
      </c>
    </row>
    <row r="645" spans="1:26" x14ac:dyDescent="0.3">
      <c r="A645" t="s">
        <v>735</v>
      </c>
      <c r="B645" t="s">
        <v>67</v>
      </c>
      <c r="C645" t="s">
        <v>78</v>
      </c>
      <c r="D645" t="s">
        <v>57</v>
      </c>
      <c r="E645">
        <v>21</v>
      </c>
      <c r="F645" s="3">
        <v>7.15</v>
      </c>
      <c r="G645" s="4">
        <v>86.2</v>
      </c>
      <c r="H645">
        <v>3</v>
      </c>
      <c r="I645">
        <v>1</v>
      </c>
      <c r="J645">
        <v>4</v>
      </c>
      <c r="K645" s="4">
        <v>56.9</v>
      </c>
      <c r="L645" s="4">
        <v>71.7</v>
      </c>
      <c r="M645" s="4">
        <v>66.5</v>
      </c>
      <c r="N645">
        <v>1</v>
      </c>
      <c r="O645" t="s">
        <v>64</v>
      </c>
      <c r="P645" t="s">
        <v>65</v>
      </c>
      <c r="S645" s="3">
        <v>0</v>
      </c>
      <c r="T645" s="5"/>
      <c r="U645">
        <v>0</v>
      </c>
      <c r="V645">
        <v>2023</v>
      </c>
      <c r="X645">
        <f t="shared" si="30"/>
        <v>7.1499355000000007</v>
      </c>
      <c r="Y645">
        <f t="shared" si="31"/>
        <v>-6.4499999999999996E-5</v>
      </c>
      <c r="Z645">
        <f t="shared" si="32"/>
        <v>71.699935500000009</v>
      </c>
    </row>
    <row r="646" spans="1:26" x14ac:dyDescent="0.3">
      <c r="A646" t="s">
        <v>736</v>
      </c>
      <c r="B646" t="s">
        <v>63</v>
      </c>
      <c r="C646" t="s">
        <v>56</v>
      </c>
      <c r="D646" t="s">
        <v>57</v>
      </c>
      <c r="E646">
        <v>21</v>
      </c>
      <c r="F646" s="3">
        <v>7.52</v>
      </c>
      <c r="G646" s="4">
        <v>70.8</v>
      </c>
      <c r="H646">
        <v>3</v>
      </c>
      <c r="I646">
        <v>3</v>
      </c>
      <c r="J646">
        <v>5</v>
      </c>
      <c r="K646" s="4">
        <v>50.7</v>
      </c>
      <c r="L646" s="4">
        <v>35.5</v>
      </c>
      <c r="M646" s="4">
        <v>70.8</v>
      </c>
      <c r="N646">
        <v>0</v>
      </c>
      <c r="O646" t="s">
        <v>58</v>
      </c>
      <c r="P646" t="s">
        <v>95</v>
      </c>
      <c r="Q646" t="s">
        <v>93</v>
      </c>
      <c r="R646" t="s">
        <v>85</v>
      </c>
      <c r="S646" s="3">
        <v>6.27</v>
      </c>
      <c r="T646" s="5">
        <v>45952</v>
      </c>
      <c r="U646">
        <v>1</v>
      </c>
      <c r="V646">
        <v>2025</v>
      </c>
      <c r="X646">
        <f t="shared" si="30"/>
        <v>7.5199353999999996</v>
      </c>
      <c r="Y646">
        <f t="shared" si="31"/>
        <v>6.2699353999999996</v>
      </c>
      <c r="Z646">
        <f t="shared" si="32"/>
        <v>35.499935399999998</v>
      </c>
    </row>
    <row r="647" spans="1:26" x14ac:dyDescent="0.3">
      <c r="A647" t="s">
        <v>737</v>
      </c>
      <c r="B647" t="s">
        <v>82</v>
      </c>
      <c r="C647" t="s">
        <v>68</v>
      </c>
      <c r="D647" t="s">
        <v>69</v>
      </c>
      <c r="E647">
        <v>21</v>
      </c>
      <c r="F647" s="3">
        <v>7.84</v>
      </c>
      <c r="G647" s="4">
        <v>76</v>
      </c>
      <c r="H647">
        <v>3</v>
      </c>
      <c r="I647">
        <v>3</v>
      </c>
      <c r="J647">
        <v>4</v>
      </c>
      <c r="K647" s="4">
        <v>100</v>
      </c>
      <c r="L647" s="4">
        <v>91.3</v>
      </c>
      <c r="M647" s="4">
        <v>80.7</v>
      </c>
      <c r="N647">
        <v>0</v>
      </c>
      <c r="O647" t="s">
        <v>64</v>
      </c>
      <c r="P647" t="s">
        <v>65</v>
      </c>
      <c r="S647" s="3">
        <v>0</v>
      </c>
      <c r="T647" s="5"/>
      <c r="U647">
        <v>0</v>
      </c>
      <c r="V647">
        <v>2022</v>
      </c>
      <c r="X647">
        <f t="shared" si="30"/>
        <v>7.8399352999999996</v>
      </c>
      <c r="Y647">
        <f t="shared" si="31"/>
        <v>-6.4700000000000001E-5</v>
      </c>
      <c r="Z647">
        <f t="shared" si="32"/>
        <v>91.299935300000001</v>
      </c>
    </row>
    <row r="648" spans="1:26" x14ac:dyDescent="0.3">
      <c r="A648" t="s">
        <v>738</v>
      </c>
      <c r="B648" t="s">
        <v>67</v>
      </c>
      <c r="C648" t="s">
        <v>89</v>
      </c>
      <c r="D648" t="s">
        <v>57</v>
      </c>
      <c r="E648">
        <v>21</v>
      </c>
      <c r="F648" s="3">
        <v>8.18</v>
      </c>
      <c r="G648" s="4">
        <v>88.2</v>
      </c>
      <c r="H648">
        <v>1</v>
      </c>
      <c r="I648">
        <v>3</v>
      </c>
      <c r="J648">
        <v>4</v>
      </c>
      <c r="K648" s="4">
        <v>58.2</v>
      </c>
      <c r="L648" s="4">
        <v>92.1</v>
      </c>
      <c r="M648" s="4">
        <v>63.4</v>
      </c>
      <c r="N648">
        <v>2</v>
      </c>
      <c r="O648" t="s">
        <v>64</v>
      </c>
      <c r="P648" t="s">
        <v>65</v>
      </c>
      <c r="S648" s="3">
        <v>0</v>
      </c>
      <c r="T648" s="5"/>
      <c r="U648">
        <v>0</v>
      </c>
      <c r="V648">
        <v>2023</v>
      </c>
      <c r="X648">
        <f t="shared" si="30"/>
        <v>8.1799351999999992</v>
      </c>
      <c r="Y648">
        <f t="shared" si="31"/>
        <v>-6.4800000000000003E-5</v>
      </c>
      <c r="Z648">
        <f t="shared" si="32"/>
        <v>92.09993519999999</v>
      </c>
    </row>
    <row r="649" spans="1:26" x14ac:dyDescent="0.3">
      <c r="A649" t="s">
        <v>739</v>
      </c>
      <c r="B649" t="s">
        <v>63</v>
      </c>
      <c r="C649" t="s">
        <v>74</v>
      </c>
      <c r="D649" t="s">
        <v>69</v>
      </c>
      <c r="E649">
        <v>21</v>
      </c>
      <c r="F649" s="3">
        <v>7.71</v>
      </c>
      <c r="G649" s="4">
        <v>83.9</v>
      </c>
      <c r="H649">
        <v>2</v>
      </c>
      <c r="I649">
        <v>1</v>
      </c>
      <c r="J649">
        <v>4</v>
      </c>
      <c r="K649" s="4">
        <v>61</v>
      </c>
      <c r="L649" s="4">
        <v>53.8</v>
      </c>
      <c r="M649" s="4">
        <v>73.099999999999994</v>
      </c>
      <c r="N649">
        <v>1</v>
      </c>
      <c r="O649" t="s">
        <v>58</v>
      </c>
      <c r="P649" t="s">
        <v>87</v>
      </c>
      <c r="Q649" t="s">
        <v>71</v>
      </c>
      <c r="R649" t="s">
        <v>130</v>
      </c>
      <c r="S649" s="3">
        <v>5.73</v>
      </c>
      <c r="T649" s="5">
        <v>45928</v>
      </c>
      <c r="U649">
        <v>1</v>
      </c>
      <c r="V649">
        <v>2025</v>
      </c>
      <c r="X649">
        <f t="shared" si="30"/>
        <v>7.7099351</v>
      </c>
      <c r="Y649">
        <f t="shared" si="31"/>
        <v>5.7299351000000005</v>
      </c>
      <c r="Z649">
        <f t="shared" si="32"/>
        <v>53.799935099999999</v>
      </c>
    </row>
    <row r="650" spans="1:26" x14ac:dyDescent="0.3">
      <c r="A650" t="s">
        <v>740</v>
      </c>
      <c r="B650" t="s">
        <v>107</v>
      </c>
      <c r="C650" t="s">
        <v>74</v>
      </c>
      <c r="D650" t="s">
        <v>57</v>
      </c>
      <c r="E650">
        <v>20</v>
      </c>
      <c r="F650" s="3">
        <v>5.41</v>
      </c>
      <c r="G650" s="4">
        <v>86.5</v>
      </c>
      <c r="H650">
        <v>0</v>
      </c>
      <c r="I650">
        <v>1</v>
      </c>
      <c r="J650">
        <v>4</v>
      </c>
      <c r="K650" s="4">
        <v>76.400000000000006</v>
      </c>
      <c r="L650" s="4">
        <v>48.7</v>
      </c>
      <c r="M650" s="4">
        <v>59.4</v>
      </c>
      <c r="N650">
        <v>0</v>
      </c>
      <c r="O650" t="s">
        <v>64</v>
      </c>
      <c r="P650" t="s">
        <v>65</v>
      </c>
      <c r="S650" s="3">
        <v>0</v>
      </c>
      <c r="T650" s="5"/>
      <c r="U650">
        <v>0</v>
      </c>
      <c r="V650">
        <v>2021</v>
      </c>
      <c r="X650">
        <f t="shared" si="30"/>
        <v>5.4099349999999999</v>
      </c>
      <c r="Y650">
        <f t="shared" si="31"/>
        <v>-6.4999999999999994E-5</v>
      </c>
      <c r="Z650">
        <f t="shared" si="32"/>
        <v>48.699935000000004</v>
      </c>
    </row>
    <row r="651" spans="1:26" x14ac:dyDescent="0.3">
      <c r="A651" t="s">
        <v>741</v>
      </c>
      <c r="B651" t="s">
        <v>82</v>
      </c>
      <c r="C651" t="s">
        <v>84</v>
      </c>
      <c r="D651" t="s">
        <v>57</v>
      </c>
      <c r="E651">
        <v>21</v>
      </c>
      <c r="F651" s="3">
        <v>7.58</v>
      </c>
      <c r="G651" s="4">
        <v>77.3</v>
      </c>
      <c r="H651">
        <v>0</v>
      </c>
      <c r="I651">
        <v>2</v>
      </c>
      <c r="J651">
        <v>3</v>
      </c>
      <c r="K651" s="4">
        <v>56.4</v>
      </c>
      <c r="L651" s="4">
        <v>87.1</v>
      </c>
      <c r="M651" s="4">
        <v>51.3</v>
      </c>
      <c r="N651">
        <v>0</v>
      </c>
      <c r="O651" t="s">
        <v>58</v>
      </c>
      <c r="P651" t="s">
        <v>59</v>
      </c>
      <c r="Q651" t="s">
        <v>60</v>
      </c>
      <c r="R651" t="s">
        <v>80</v>
      </c>
      <c r="S651" s="3">
        <v>18.899999999999999</v>
      </c>
      <c r="T651" s="5">
        <v>44866</v>
      </c>
      <c r="U651">
        <v>2</v>
      </c>
      <c r="V651">
        <v>2022</v>
      </c>
      <c r="X651">
        <f t="shared" si="30"/>
        <v>7.5799349000000005</v>
      </c>
      <c r="Y651">
        <f t="shared" si="31"/>
        <v>18.899934899999998</v>
      </c>
      <c r="Z651">
        <f t="shared" si="32"/>
        <v>87.099934899999994</v>
      </c>
    </row>
    <row r="652" spans="1:26" x14ac:dyDescent="0.3">
      <c r="A652" t="s">
        <v>742</v>
      </c>
      <c r="B652" t="s">
        <v>82</v>
      </c>
      <c r="C652" t="s">
        <v>84</v>
      </c>
      <c r="D652" t="s">
        <v>69</v>
      </c>
      <c r="E652">
        <v>23</v>
      </c>
      <c r="F652" s="3">
        <v>8.9700000000000006</v>
      </c>
      <c r="G652" s="4">
        <v>94.8</v>
      </c>
      <c r="H652">
        <v>2</v>
      </c>
      <c r="I652">
        <v>2</v>
      </c>
      <c r="J652">
        <v>4</v>
      </c>
      <c r="K652" s="4">
        <v>73.3</v>
      </c>
      <c r="L652" s="4">
        <v>87.2</v>
      </c>
      <c r="M652" s="4">
        <v>76.900000000000006</v>
      </c>
      <c r="N652">
        <v>0</v>
      </c>
      <c r="O652" t="s">
        <v>58</v>
      </c>
      <c r="P652" t="s">
        <v>59</v>
      </c>
      <c r="Q652" t="s">
        <v>60</v>
      </c>
      <c r="R652" t="s">
        <v>72</v>
      </c>
      <c r="S652" s="3">
        <v>21.68</v>
      </c>
      <c r="T652" s="5">
        <v>44780</v>
      </c>
      <c r="U652">
        <v>2</v>
      </c>
      <c r="V652">
        <v>2022</v>
      </c>
      <c r="X652">
        <f t="shared" si="30"/>
        <v>8.9699348000000008</v>
      </c>
      <c r="Y652">
        <f t="shared" si="31"/>
        <v>21.679934799999998</v>
      </c>
      <c r="Z652">
        <f t="shared" si="32"/>
        <v>87.199934800000008</v>
      </c>
    </row>
    <row r="653" spans="1:26" x14ac:dyDescent="0.3">
      <c r="A653" t="s">
        <v>743</v>
      </c>
      <c r="B653" t="s">
        <v>82</v>
      </c>
      <c r="C653" t="s">
        <v>101</v>
      </c>
      <c r="D653" t="s">
        <v>69</v>
      </c>
      <c r="E653">
        <v>22</v>
      </c>
      <c r="F653" s="3">
        <v>7.57</v>
      </c>
      <c r="G653" s="4">
        <v>81</v>
      </c>
      <c r="H653">
        <v>0</v>
      </c>
      <c r="I653">
        <v>3</v>
      </c>
      <c r="J653">
        <v>3</v>
      </c>
      <c r="K653" s="4">
        <v>68.400000000000006</v>
      </c>
      <c r="L653" s="4">
        <v>77.2</v>
      </c>
      <c r="M653" s="4">
        <v>58</v>
      </c>
      <c r="N653">
        <v>0</v>
      </c>
      <c r="O653" t="s">
        <v>64</v>
      </c>
      <c r="P653" t="s">
        <v>65</v>
      </c>
      <c r="S653" s="3">
        <v>0</v>
      </c>
      <c r="T653" s="5"/>
      <c r="U653">
        <v>0</v>
      </c>
      <c r="V653">
        <v>2022</v>
      </c>
      <c r="X653">
        <f t="shared" si="30"/>
        <v>7.5699347000000001</v>
      </c>
      <c r="Y653">
        <f t="shared" si="31"/>
        <v>-6.5300000000000002E-5</v>
      </c>
      <c r="Z653">
        <f t="shared" si="32"/>
        <v>77.1999347</v>
      </c>
    </row>
    <row r="654" spans="1:26" x14ac:dyDescent="0.3">
      <c r="A654" t="s">
        <v>744</v>
      </c>
      <c r="B654" t="s">
        <v>67</v>
      </c>
      <c r="C654" t="s">
        <v>74</v>
      </c>
      <c r="D654" t="s">
        <v>57</v>
      </c>
      <c r="E654">
        <v>21</v>
      </c>
      <c r="F654" s="3">
        <v>9</v>
      </c>
      <c r="G654" s="4">
        <v>60.7</v>
      </c>
      <c r="H654">
        <v>3</v>
      </c>
      <c r="I654">
        <v>1</v>
      </c>
      <c r="J654">
        <v>4</v>
      </c>
      <c r="K654" s="4">
        <v>51.6</v>
      </c>
      <c r="L654" s="4">
        <v>63.3</v>
      </c>
      <c r="M654" s="4">
        <v>62.9</v>
      </c>
      <c r="N654">
        <v>0</v>
      </c>
      <c r="O654" t="s">
        <v>58</v>
      </c>
      <c r="P654" t="s">
        <v>70</v>
      </c>
      <c r="Q654" t="s">
        <v>71</v>
      </c>
      <c r="R654" t="s">
        <v>109</v>
      </c>
      <c r="S654" s="3">
        <v>6.52</v>
      </c>
      <c r="T654" s="5">
        <v>45177</v>
      </c>
      <c r="U654">
        <v>2</v>
      </c>
      <c r="V654">
        <v>2023</v>
      </c>
      <c r="X654">
        <f t="shared" si="30"/>
        <v>8.9999345999999996</v>
      </c>
      <c r="Y654">
        <f t="shared" si="31"/>
        <v>6.5199345999999991</v>
      </c>
      <c r="Z654">
        <f t="shared" si="32"/>
        <v>63.2999346</v>
      </c>
    </row>
    <row r="655" spans="1:26" x14ac:dyDescent="0.3">
      <c r="A655" t="s">
        <v>745</v>
      </c>
      <c r="B655" t="s">
        <v>63</v>
      </c>
      <c r="C655" t="s">
        <v>56</v>
      </c>
      <c r="D655" t="s">
        <v>69</v>
      </c>
      <c r="E655">
        <v>20</v>
      </c>
      <c r="F655" s="3">
        <v>7.54</v>
      </c>
      <c r="G655" s="4">
        <v>83</v>
      </c>
      <c r="H655">
        <v>2</v>
      </c>
      <c r="I655">
        <v>3</v>
      </c>
      <c r="J655">
        <v>4</v>
      </c>
      <c r="K655" s="4">
        <v>68.7</v>
      </c>
      <c r="L655" s="4">
        <v>58.1</v>
      </c>
      <c r="M655" s="4">
        <v>86.3</v>
      </c>
      <c r="N655">
        <v>0</v>
      </c>
      <c r="O655" t="s">
        <v>58</v>
      </c>
      <c r="P655" t="s">
        <v>87</v>
      </c>
      <c r="Q655" t="s">
        <v>71</v>
      </c>
      <c r="R655" t="s">
        <v>80</v>
      </c>
      <c r="S655" s="3">
        <v>5.75</v>
      </c>
      <c r="T655" s="5">
        <v>45875</v>
      </c>
      <c r="U655">
        <v>1</v>
      </c>
      <c r="V655">
        <v>2025</v>
      </c>
      <c r="X655">
        <f t="shared" si="30"/>
        <v>7.5399345000000002</v>
      </c>
      <c r="Y655">
        <f t="shared" si="31"/>
        <v>5.7499345000000002</v>
      </c>
      <c r="Z655">
        <f t="shared" si="32"/>
        <v>58.099934500000003</v>
      </c>
    </row>
    <row r="656" spans="1:26" x14ac:dyDescent="0.3">
      <c r="A656" t="s">
        <v>746</v>
      </c>
      <c r="B656" t="s">
        <v>63</v>
      </c>
      <c r="C656" t="s">
        <v>56</v>
      </c>
      <c r="D656" t="s">
        <v>69</v>
      </c>
      <c r="E656">
        <v>23</v>
      </c>
      <c r="F656" s="3">
        <v>6.24</v>
      </c>
      <c r="G656" s="4">
        <v>87.4</v>
      </c>
      <c r="H656">
        <v>1</v>
      </c>
      <c r="I656">
        <v>2</v>
      </c>
      <c r="J656">
        <v>5</v>
      </c>
      <c r="K656" s="4">
        <v>72.599999999999994</v>
      </c>
      <c r="L656" s="4">
        <v>79</v>
      </c>
      <c r="M656" s="4">
        <v>76</v>
      </c>
      <c r="N656">
        <v>1</v>
      </c>
      <c r="O656" t="s">
        <v>58</v>
      </c>
      <c r="P656" t="s">
        <v>79</v>
      </c>
      <c r="Q656" t="s">
        <v>71</v>
      </c>
      <c r="R656" t="s">
        <v>130</v>
      </c>
      <c r="S656" s="3">
        <v>3.58</v>
      </c>
      <c r="T656" s="5">
        <v>45947</v>
      </c>
      <c r="U656">
        <v>1</v>
      </c>
      <c r="V656">
        <v>2025</v>
      </c>
      <c r="X656">
        <f t="shared" si="30"/>
        <v>6.2399344000000001</v>
      </c>
      <c r="Y656">
        <f t="shared" si="31"/>
        <v>3.5799344</v>
      </c>
      <c r="Z656">
        <f t="shared" si="32"/>
        <v>78.999934400000001</v>
      </c>
    </row>
    <row r="657" spans="1:26" x14ac:dyDescent="0.3">
      <c r="A657" t="s">
        <v>747</v>
      </c>
      <c r="B657" t="s">
        <v>107</v>
      </c>
      <c r="C657" t="s">
        <v>74</v>
      </c>
      <c r="D657" t="s">
        <v>57</v>
      </c>
      <c r="E657">
        <v>23</v>
      </c>
      <c r="F657" s="3">
        <v>7.26</v>
      </c>
      <c r="G657" s="4">
        <v>84.7</v>
      </c>
      <c r="H657">
        <v>0</v>
      </c>
      <c r="I657">
        <v>0</v>
      </c>
      <c r="J657">
        <v>3</v>
      </c>
      <c r="K657" s="4">
        <v>53.2</v>
      </c>
      <c r="L657" s="4">
        <v>60.4</v>
      </c>
      <c r="M657" s="4">
        <v>73.599999999999994</v>
      </c>
      <c r="N657">
        <v>0</v>
      </c>
      <c r="O657" t="s">
        <v>58</v>
      </c>
      <c r="P657" t="s">
        <v>112</v>
      </c>
      <c r="Q657" t="s">
        <v>93</v>
      </c>
      <c r="R657" t="s">
        <v>72</v>
      </c>
      <c r="S657" s="3">
        <v>6.33</v>
      </c>
      <c r="T657" s="5">
        <v>44500</v>
      </c>
      <c r="U657">
        <v>1</v>
      </c>
      <c r="V657">
        <v>2021</v>
      </c>
      <c r="X657">
        <f t="shared" si="30"/>
        <v>7.2599342999999994</v>
      </c>
      <c r="Y657">
        <f t="shared" si="31"/>
        <v>6.3299342999999997</v>
      </c>
      <c r="Z657">
        <f t="shared" si="32"/>
        <v>60.399934299999998</v>
      </c>
    </row>
    <row r="658" spans="1:26" x14ac:dyDescent="0.3">
      <c r="A658" t="s">
        <v>748</v>
      </c>
      <c r="B658" t="s">
        <v>107</v>
      </c>
      <c r="C658" t="s">
        <v>56</v>
      </c>
      <c r="D658" t="s">
        <v>57</v>
      </c>
      <c r="E658">
        <v>22</v>
      </c>
      <c r="F658" s="3">
        <v>7.15</v>
      </c>
      <c r="G658" s="4">
        <v>78.2</v>
      </c>
      <c r="H658">
        <v>2</v>
      </c>
      <c r="I658">
        <v>0</v>
      </c>
      <c r="J658">
        <v>5</v>
      </c>
      <c r="K658" s="4">
        <v>75.3</v>
      </c>
      <c r="L658" s="4">
        <v>60.5</v>
      </c>
      <c r="M658" s="4">
        <v>69.5</v>
      </c>
      <c r="N658">
        <v>0</v>
      </c>
      <c r="O658" t="s">
        <v>58</v>
      </c>
      <c r="P658" t="s">
        <v>95</v>
      </c>
      <c r="Q658" t="s">
        <v>93</v>
      </c>
      <c r="R658" t="s">
        <v>85</v>
      </c>
      <c r="S658" s="3">
        <v>6.76</v>
      </c>
      <c r="T658" s="5">
        <v>44473</v>
      </c>
      <c r="U658">
        <v>2</v>
      </c>
      <c r="V658">
        <v>2021</v>
      </c>
      <c r="X658">
        <f t="shared" si="30"/>
        <v>7.1499342000000006</v>
      </c>
      <c r="Y658">
        <f t="shared" si="31"/>
        <v>6.7599342</v>
      </c>
      <c r="Z658">
        <f t="shared" si="32"/>
        <v>60.499934199999998</v>
      </c>
    </row>
    <row r="659" spans="1:26" x14ac:dyDescent="0.3">
      <c r="A659" t="s">
        <v>749</v>
      </c>
      <c r="B659" t="s">
        <v>82</v>
      </c>
      <c r="C659" t="s">
        <v>56</v>
      </c>
      <c r="D659" t="s">
        <v>69</v>
      </c>
      <c r="E659">
        <v>23</v>
      </c>
      <c r="F659" s="3">
        <v>7.44</v>
      </c>
      <c r="G659" s="4">
        <v>64.400000000000006</v>
      </c>
      <c r="H659">
        <v>1</v>
      </c>
      <c r="I659">
        <v>2</v>
      </c>
      <c r="J659">
        <v>6</v>
      </c>
      <c r="K659" s="4">
        <v>77.8</v>
      </c>
      <c r="L659" s="4">
        <v>81.8</v>
      </c>
      <c r="M659" s="4">
        <v>92.5</v>
      </c>
      <c r="N659">
        <v>1</v>
      </c>
      <c r="O659" t="s">
        <v>58</v>
      </c>
      <c r="P659" t="s">
        <v>104</v>
      </c>
      <c r="Q659" t="s">
        <v>105</v>
      </c>
      <c r="R659" t="s">
        <v>109</v>
      </c>
      <c r="S659" s="3">
        <v>15.71</v>
      </c>
      <c r="T659" s="5">
        <v>44883</v>
      </c>
      <c r="U659">
        <v>1</v>
      </c>
      <c r="V659">
        <v>2022</v>
      </c>
      <c r="X659">
        <f t="shared" si="30"/>
        <v>7.4399341000000003</v>
      </c>
      <c r="Y659">
        <f t="shared" si="31"/>
        <v>15.709934100000002</v>
      </c>
      <c r="Z659">
        <f t="shared" si="32"/>
        <v>81.799934100000002</v>
      </c>
    </row>
    <row r="660" spans="1:26" x14ac:dyDescent="0.3">
      <c r="A660" t="s">
        <v>750</v>
      </c>
      <c r="B660" t="s">
        <v>107</v>
      </c>
      <c r="C660" t="s">
        <v>84</v>
      </c>
      <c r="D660" t="s">
        <v>69</v>
      </c>
      <c r="E660">
        <v>23</v>
      </c>
      <c r="F660" s="3">
        <v>6.58</v>
      </c>
      <c r="G660" s="4">
        <v>76.2</v>
      </c>
      <c r="H660">
        <v>2</v>
      </c>
      <c r="I660">
        <v>2</v>
      </c>
      <c r="J660">
        <v>4</v>
      </c>
      <c r="K660" s="4">
        <v>53.7</v>
      </c>
      <c r="L660" s="4">
        <v>84.7</v>
      </c>
      <c r="M660" s="4">
        <v>100</v>
      </c>
      <c r="N660">
        <v>2</v>
      </c>
      <c r="O660" t="s">
        <v>64</v>
      </c>
      <c r="P660" t="s">
        <v>65</v>
      </c>
      <c r="S660" s="3">
        <v>0</v>
      </c>
      <c r="T660" s="5"/>
      <c r="U660">
        <v>0</v>
      </c>
      <c r="V660">
        <v>2021</v>
      </c>
      <c r="X660">
        <f t="shared" si="30"/>
        <v>6.5799339999999997</v>
      </c>
      <c r="Y660">
        <f t="shared" si="31"/>
        <v>-6.5999999999999992E-5</v>
      </c>
      <c r="Z660">
        <f t="shared" si="32"/>
        <v>84.699933999999999</v>
      </c>
    </row>
    <row r="661" spans="1:26" x14ac:dyDescent="0.3">
      <c r="A661" t="s">
        <v>751</v>
      </c>
      <c r="B661" t="s">
        <v>67</v>
      </c>
      <c r="C661" t="s">
        <v>78</v>
      </c>
      <c r="D661" t="s">
        <v>57</v>
      </c>
      <c r="E661">
        <v>23</v>
      </c>
      <c r="F661" s="3">
        <v>7.64</v>
      </c>
      <c r="G661" s="4">
        <v>77</v>
      </c>
      <c r="H661">
        <v>1</v>
      </c>
      <c r="I661">
        <v>2</v>
      </c>
      <c r="J661">
        <v>5</v>
      </c>
      <c r="K661" s="4">
        <v>74.8</v>
      </c>
      <c r="L661" s="4">
        <v>92.5</v>
      </c>
      <c r="M661" s="4">
        <v>81.3</v>
      </c>
      <c r="N661">
        <v>0</v>
      </c>
      <c r="O661" t="s">
        <v>58</v>
      </c>
      <c r="P661" t="s">
        <v>90</v>
      </c>
      <c r="Q661" t="s">
        <v>60</v>
      </c>
      <c r="R661" t="s">
        <v>80</v>
      </c>
      <c r="S661" s="3">
        <v>9.66</v>
      </c>
      <c r="T661" s="5">
        <v>45165</v>
      </c>
      <c r="U661">
        <v>2</v>
      </c>
      <c r="V661">
        <v>2023</v>
      </c>
      <c r="X661">
        <f t="shared" si="30"/>
        <v>7.6399338999999999</v>
      </c>
      <c r="Y661">
        <f t="shared" si="31"/>
        <v>9.6599339000000004</v>
      </c>
      <c r="Z661">
        <f t="shared" si="32"/>
        <v>92.499933900000002</v>
      </c>
    </row>
    <row r="662" spans="1:26" x14ac:dyDescent="0.3">
      <c r="A662" t="s">
        <v>752</v>
      </c>
      <c r="B662" t="s">
        <v>63</v>
      </c>
      <c r="C662" t="s">
        <v>74</v>
      </c>
      <c r="D662" t="s">
        <v>69</v>
      </c>
      <c r="E662">
        <v>23</v>
      </c>
      <c r="F662" s="3">
        <v>7.35</v>
      </c>
      <c r="G662" s="4">
        <v>76.099999999999994</v>
      </c>
      <c r="H662">
        <v>0</v>
      </c>
      <c r="I662">
        <v>3</v>
      </c>
      <c r="J662">
        <v>3</v>
      </c>
      <c r="K662" s="4">
        <v>71.2</v>
      </c>
      <c r="L662" s="4">
        <v>42.7</v>
      </c>
      <c r="M662" s="4">
        <v>42.4</v>
      </c>
      <c r="N662">
        <v>0</v>
      </c>
      <c r="O662" t="s">
        <v>64</v>
      </c>
      <c r="P662" t="s">
        <v>65</v>
      </c>
      <c r="S662" s="3">
        <v>0</v>
      </c>
      <c r="T662" s="5"/>
      <c r="U662">
        <v>0</v>
      </c>
      <c r="V662">
        <v>2025</v>
      </c>
      <c r="X662">
        <f t="shared" si="30"/>
        <v>7.3499337999999996</v>
      </c>
      <c r="Y662">
        <f t="shared" si="31"/>
        <v>-6.6199999999999996E-5</v>
      </c>
      <c r="Z662">
        <f t="shared" si="32"/>
        <v>42.699933800000004</v>
      </c>
    </row>
    <row r="663" spans="1:26" x14ac:dyDescent="0.3">
      <c r="A663" t="s">
        <v>753</v>
      </c>
      <c r="B663" t="s">
        <v>82</v>
      </c>
      <c r="C663" t="s">
        <v>56</v>
      </c>
      <c r="D663" t="s">
        <v>69</v>
      </c>
      <c r="E663">
        <v>20</v>
      </c>
      <c r="F663" s="3">
        <v>8.81</v>
      </c>
      <c r="G663" s="4">
        <v>87.5</v>
      </c>
      <c r="H663">
        <v>1</v>
      </c>
      <c r="I663">
        <v>1</v>
      </c>
      <c r="J663">
        <v>6</v>
      </c>
      <c r="K663" s="4">
        <v>63.2</v>
      </c>
      <c r="L663" s="4">
        <v>62.5</v>
      </c>
      <c r="M663" s="4">
        <v>73.599999999999994</v>
      </c>
      <c r="N663">
        <v>1</v>
      </c>
      <c r="O663" t="s">
        <v>58</v>
      </c>
      <c r="P663" t="s">
        <v>95</v>
      </c>
      <c r="Q663" t="s">
        <v>93</v>
      </c>
      <c r="R663" t="s">
        <v>85</v>
      </c>
      <c r="S663" s="3">
        <v>7.63</v>
      </c>
      <c r="T663" s="5">
        <v>44784</v>
      </c>
      <c r="U663">
        <v>2</v>
      </c>
      <c r="V663">
        <v>2022</v>
      </c>
      <c r="X663">
        <f t="shared" si="30"/>
        <v>8.8099337000000002</v>
      </c>
      <c r="Y663">
        <f t="shared" si="31"/>
        <v>7.6299336999999996</v>
      </c>
      <c r="Z663">
        <f t="shared" si="32"/>
        <v>62.4999337</v>
      </c>
    </row>
    <row r="664" spans="1:26" x14ac:dyDescent="0.3">
      <c r="A664" t="s">
        <v>754</v>
      </c>
      <c r="B664" t="s">
        <v>107</v>
      </c>
      <c r="C664" t="s">
        <v>68</v>
      </c>
      <c r="D664" t="s">
        <v>57</v>
      </c>
      <c r="E664">
        <v>22</v>
      </c>
      <c r="F664" s="3">
        <v>6.56</v>
      </c>
      <c r="G664" s="4">
        <v>79</v>
      </c>
      <c r="H664">
        <v>1</v>
      </c>
      <c r="I664">
        <v>5</v>
      </c>
      <c r="J664">
        <v>4</v>
      </c>
      <c r="K664" s="4">
        <v>64.400000000000006</v>
      </c>
      <c r="L664" s="4">
        <v>64.900000000000006</v>
      </c>
      <c r="M664" s="4">
        <v>61.3</v>
      </c>
      <c r="N664">
        <v>0</v>
      </c>
      <c r="O664" t="s">
        <v>58</v>
      </c>
      <c r="P664" t="s">
        <v>75</v>
      </c>
      <c r="Q664" t="s">
        <v>71</v>
      </c>
      <c r="R664" t="s">
        <v>72</v>
      </c>
      <c r="S664" s="3">
        <v>5.22</v>
      </c>
      <c r="T664" s="5">
        <v>44417</v>
      </c>
      <c r="U664">
        <v>1</v>
      </c>
      <c r="V664">
        <v>2021</v>
      </c>
      <c r="X664">
        <f t="shared" si="30"/>
        <v>6.5599335999999999</v>
      </c>
      <c r="Y664">
        <f t="shared" si="31"/>
        <v>5.2199336000000001</v>
      </c>
      <c r="Z664">
        <f t="shared" si="32"/>
        <v>64.899933600000011</v>
      </c>
    </row>
    <row r="665" spans="1:26" x14ac:dyDescent="0.3">
      <c r="A665" t="s">
        <v>755</v>
      </c>
      <c r="B665" t="s">
        <v>67</v>
      </c>
      <c r="C665" t="s">
        <v>56</v>
      </c>
      <c r="D665" t="s">
        <v>69</v>
      </c>
      <c r="E665">
        <v>21</v>
      </c>
      <c r="F665" s="3">
        <v>7.87</v>
      </c>
      <c r="G665" s="4">
        <v>94.4</v>
      </c>
      <c r="H665">
        <v>0</v>
      </c>
      <c r="I665">
        <v>4</v>
      </c>
      <c r="J665">
        <v>3</v>
      </c>
      <c r="K665" s="4">
        <v>73.5</v>
      </c>
      <c r="L665" s="4">
        <v>69.7</v>
      </c>
      <c r="M665" s="4">
        <v>68.599999999999994</v>
      </c>
      <c r="N665">
        <v>0</v>
      </c>
      <c r="O665" t="s">
        <v>58</v>
      </c>
      <c r="P665" t="s">
        <v>87</v>
      </c>
      <c r="Q665" t="s">
        <v>71</v>
      </c>
      <c r="R665" t="s">
        <v>130</v>
      </c>
      <c r="S665" s="3">
        <v>5.76</v>
      </c>
      <c r="T665" s="5">
        <v>45148</v>
      </c>
      <c r="U665">
        <v>1</v>
      </c>
      <c r="V665">
        <v>2023</v>
      </c>
      <c r="X665">
        <f t="shared" si="30"/>
        <v>7.8699335000000001</v>
      </c>
      <c r="Y665">
        <f t="shared" si="31"/>
        <v>5.7599334999999998</v>
      </c>
      <c r="Z665">
        <f t="shared" si="32"/>
        <v>69.6999335</v>
      </c>
    </row>
    <row r="666" spans="1:26" x14ac:dyDescent="0.3">
      <c r="A666" t="s">
        <v>756</v>
      </c>
      <c r="B666" t="s">
        <v>67</v>
      </c>
      <c r="C666" t="s">
        <v>84</v>
      </c>
      <c r="D666" t="s">
        <v>57</v>
      </c>
      <c r="E666">
        <v>23</v>
      </c>
      <c r="F666" s="3">
        <v>8.02</v>
      </c>
      <c r="G666" s="4">
        <v>80</v>
      </c>
      <c r="H666">
        <v>0</v>
      </c>
      <c r="I666">
        <v>0</v>
      </c>
      <c r="J666">
        <v>3</v>
      </c>
      <c r="K666" s="4">
        <v>59.7</v>
      </c>
      <c r="L666" s="4">
        <v>50.9</v>
      </c>
      <c r="M666" s="4">
        <v>79.8</v>
      </c>
      <c r="N666">
        <v>0</v>
      </c>
      <c r="O666" t="s">
        <v>58</v>
      </c>
      <c r="P666" t="s">
        <v>90</v>
      </c>
      <c r="Q666" t="s">
        <v>60</v>
      </c>
      <c r="R666" t="s">
        <v>130</v>
      </c>
      <c r="S666" s="3">
        <v>7.22</v>
      </c>
      <c r="T666" s="5">
        <v>45192</v>
      </c>
      <c r="U666">
        <v>1</v>
      </c>
      <c r="V666">
        <v>2023</v>
      </c>
      <c r="X666">
        <f t="shared" si="30"/>
        <v>8.0199333999999993</v>
      </c>
      <c r="Y666">
        <f t="shared" si="31"/>
        <v>7.2199333999999995</v>
      </c>
      <c r="Z666">
        <f t="shared" si="32"/>
        <v>50.899933400000002</v>
      </c>
    </row>
    <row r="667" spans="1:26" x14ac:dyDescent="0.3">
      <c r="A667" t="s">
        <v>757</v>
      </c>
      <c r="B667" t="s">
        <v>107</v>
      </c>
      <c r="C667" t="s">
        <v>68</v>
      </c>
      <c r="D667" t="s">
        <v>57</v>
      </c>
      <c r="E667">
        <v>20</v>
      </c>
      <c r="F667" s="3">
        <v>8.35</v>
      </c>
      <c r="G667" s="4">
        <v>92.9</v>
      </c>
      <c r="H667">
        <v>1</v>
      </c>
      <c r="I667">
        <v>4</v>
      </c>
      <c r="J667">
        <v>4</v>
      </c>
      <c r="K667" s="4">
        <v>76.099999999999994</v>
      </c>
      <c r="L667" s="4">
        <v>78.5</v>
      </c>
      <c r="M667" s="4">
        <v>75.3</v>
      </c>
      <c r="N667">
        <v>1</v>
      </c>
      <c r="O667" t="s">
        <v>58</v>
      </c>
      <c r="P667" t="s">
        <v>90</v>
      </c>
      <c r="Q667" t="s">
        <v>60</v>
      </c>
      <c r="R667" t="s">
        <v>130</v>
      </c>
      <c r="S667" s="3">
        <v>7.43</v>
      </c>
      <c r="T667" s="5">
        <v>44451</v>
      </c>
      <c r="U667">
        <v>2</v>
      </c>
      <c r="V667">
        <v>2021</v>
      </c>
      <c r="X667">
        <f t="shared" si="30"/>
        <v>8.3499333</v>
      </c>
      <c r="Y667">
        <f t="shared" si="31"/>
        <v>7.4299333000000001</v>
      </c>
      <c r="Z667">
        <f t="shared" si="32"/>
        <v>78.499933299999995</v>
      </c>
    </row>
    <row r="668" spans="1:26" x14ac:dyDescent="0.3">
      <c r="A668" t="s">
        <v>758</v>
      </c>
      <c r="B668" t="s">
        <v>63</v>
      </c>
      <c r="C668" t="s">
        <v>74</v>
      </c>
      <c r="D668" t="s">
        <v>69</v>
      </c>
      <c r="E668">
        <v>22</v>
      </c>
      <c r="F668" s="3">
        <v>7.32</v>
      </c>
      <c r="G668" s="4">
        <v>83.9</v>
      </c>
      <c r="H668">
        <v>2</v>
      </c>
      <c r="I668">
        <v>3</v>
      </c>
      <c r="J668">
        <v>3</v>
      </c>
      <c r="K668" s="4">
        <v>56.8</v>
      </c>
      <c r="L668" s="4">
        <v>98.3</v>
      </c>
      <c r="M668" s="4">
        <v>57.6</v>
      </c>
      <c r="N668">
        <v>0</v>
      </c>
      <c r="O668" t="s">
        <v>58</v>
      </c>
      <c r="P668" t="s">
        <v>90</v>
      </c>
      <c r="Q668" t="s">
        <v>60</v>
      </c>
      <c r="R668" t="s">
        <v>80</v>
      </c>
      <c r="S668" s="3">
        <v>8.48</v>
      </c>
      <c r="T668" s="5">
        <v>45989</v>
      </c>
      <c r="U668">
        <v>3</v>
      </c>
      <c r="V668">
        <v>2025</v>
      </c>
      <c r="X668">
        <f t="shared" si="30"/>
        <v>7.3199332000000004</v>
      </c>
      <c r="Y668">
        <f t="shared" si="31"/>
        <v>8.4799331999999996</v>
      </c>
      <c r="Z668">
        <f t="shared" si="32"/>
        <v>98.299933199999998</v>
      </c>
    </row>
    <row r="669" spans="1:26" x14ac:dyDescent="0.3">
      <c r="A669" t="s">
        <v>759</v>
      </c>
      <c r="B669" t="s">
        <v>107</v>
      </c>
      <c r="C669" t="s">
        <v>74</v>
      </c>
      <c r="D669" t="s">
        <v>69</v>
      </c>
      <c r="E669">
        <v>21</v>
      </c>
      <c r="F669" s="3">
        <v>7.85</v>
      </c>
      <c r="G669" s="4">
        <v>84.4</v>
      </c>
      <c r="H669">
        <v>2</v>
      </c>
      <c r="I669">
        <v>2</v>
      </c>
      <c r="J669">
        <v>5</v>
      </c>
      <c r="K669" s="4">
        <v>57.8</v>
      </c>
      <c r="L669" s="4">
        <v>52.1</v>
      </c>
      <c r="M669" s="4">
        <v>65.7</v>
      </c>
      <c r="N669">
        <v>0</v>
      </c>
      <c r="O669" t="s">
        <v>58</v>
      </c>
      <c r="P669" t="s">
        <v>59</v>
      </c>
      <c r="Q669" t="s">
        <v>60</v>
      </c>
      <c r="R669" t="s">
        <v>130</v>
      </c>
      <c r="S669" s="3">
        <v>19.57</v>
      </c>
      <c r="T669" s="5">
        <v>44458</v>
      </c>
      <c r="U669">
        <v>1</v>
      </c>
      <c r="V669">
        <v>2021</v>
      </c>
      <c r="X669">
        <f t="shared" si="30"/>
        <v>7.8499330999999994</v>
      </c>
      <c r="Y669">
        <f t="shared" si="31"/>
        <v>19.5699331</v>
      </c>
      <c r="Z669">
        <f t="shared" si="32"/>
        <v>52.099933100000001</v>
      </c>
    </row>
    <row r="670" spans="1:26" x14ac:dyDescent="0.3">
      <c r="A670" t="s">
        <v>760</v>
      </c>
      <c r="B670" t="s">
        <v>82</v>
      </c>
      <c r="C670" t="s">
        <v>56</v>
      </c>
      <c r="D670" t="s">
        <v>69</v>
      </c>
      <c r="E670">
        <v>22</v>
      </c>
      <c r="F670" s="3">
        <v>7.97</v>
      </c>
      <c r="G670" s="4">
        <v>75.900000000000006</v>
      </c>
      <c r="H670">
        <v>1</v>
      </c>
      <c r="I670">
        <v>2</v>
      </c>
      <c r="J670">
        <v>3</v>
      </c>
      <c r="K670" s="4">
        <v>50</v>
      </c>
      <c r="L670" s="4">
        <v>72.8</v>
      </c>
      <c r="M670" s="4">
        <v>87.8</v>
      </c>
      <c r="N670">
        <v>2</v>
      </c>
      <c r="O670" t="s">
        <v>58</v>
      </c>
      <c r="P670" t="s">
        <v>90</v>
      </c>
      <c r="Q670" t="s">
        <v>60</v>
      </c>
      <c r="R670" t="s">
        <v>80</v>
      </c>
      <c r="S670" s="3">
        <v>9.8000000000000007</v>
      </c>
      <c r="T670" s="5">
        <v>44886</v>
      </c>
      <c r="U670">
        <v>1</v>
      </c>
      <c r="V670">
        <v>2022</v>
      </c>
      <c r="X670">
        <f t="shared" si="30"/>
        <v>7.9699330000000002</v>
      </c>
      <c r="Y670">
        <f t="shared" si="31"/>
        <v>9.7999330000000011</v>
      </c>
      <c r="Z670">
        <f t="shared" si="32"/>
        <v>72.799932999999996</v>
      </c>
    </row>
    <row r="671" spans="1:26" x14ac:dyDescent="0.3">
      <c r="A671" t="s">
        <v>761</v>
      </c>
      <c r="B671" t="s">
        <v>107</v>
      </c>
      <c r="C671" t="s">
        <v>89</v>
      </c>
      <c r="D671" t="s">
        <v>57</v>
      </c>
      <c r="E671">
        <v>20</v>
      </c>
      <c r="F671" s="3">
        <v>6.17</v>
      </c>
      <c r="G671" s="4">
        <v>69.8</v>
      </c>
      <c r="H671">
        <v>2</v>
      </c>
      <c r="I671">
        <v>3</v>
      </c>
      <c r="J671">
        <v>4</v>
      </c>
      <c r="K671" s="4">
        <v>43.9</v>
      </c>
      <c r="L671" s="4">
        <v>88.8</v>
      </c>
      <c r="M671" s="4">
        <v>93.1</v>
      </c>
      <c r="N671">
        <v>1</v>
      </c>
      <c r="O671" t="s">
        <v>58</v>
      </c>
      <c r="P671" t="s">
        <v>79</v>
      </c>
      <c r="Q671" t="s">
        <v>71</v>
      </c>
      <c r="R671" t="s">
        <v>85</v>
      </c>
      <c r="S671" s="3">
        <v>6.79</v>
      </c>
      <c r="T671" s="5">
        <v>44454</v>
      </c>
      <c r="U671">
        <v>2</v>
      </c>
      <c r="V671">
        <v>2021</v>
      </c>
      <c r="X671">
        <f t="shared" si="30"/>
        <v>6.1699329000000001</v>
      </c>
      <c r="Y671">
        <f t="shared" si="31"/>
        <v>6.7899329000000002</v>
      </c>
      <c r="Z671">
        <f t="shared" si="32"/>
        <v>88.799932900000002</v>
      </c>
    </row>
    <row r="672" spans="1:26" x14ac:dyDescent="0.3">
      <c r="A672" t="s">
        <v>762</v>
      </c>
      <c r="B672" t="s">
        <v>67</v>
      </c>
      <c r="C672" t="s">
        <v>78</v>
      </c>
      <c r="D672" t="s">
        <v>57</v>
      </c>
      <c r="E672">
        <v>20</v>
      </c>
      <c r="F672" s="3">
        <v>7.36</v>
      </c>
      <c r="G672" s="4">
        <v>81.3</v>
      </c>
      <c r="H672">
        <v>2</v>
      </c>
      <c r="I672">
        <v>4</v>
      </c>
      <c r="J672">
        <v>4</v>
      </c>
      <c r="K672" s="4">
        <v>70.099999999999994</v>
      </c>
      <c r="L672" s="4">
        <v>66.400000000000006</v>
      </c>
      <c r="M672" s="4">
        <v>90.4</v>
      </c>
      <c r="N672">
        <v>0</v>
      </c>
      <c r="O672" t="s">
        <v>58</v>
      </c>
      <c r="P672" t="s">
        <v>59</v>
      </c>
      <c r="Q672" t="s">
        <v>60</v>
      </c>
      <c r="R672" t="s">
        <v>61</v>
      </c>
      <c r="S672" s="3">
        <v>19.18</v>
      </c>
      <c r="T672" s="5">
        <v>45201</v>
      </c>
      <c r="U672">
        <v>1</v>
      </c>
      <c r="V672">
        <v>2023</v>
      </c>
      <c r="X672">
        <f t="shared" si="30"/>
        <v>7.3599328000000002</v>
      </c>
      <c r="Y672">
        <f t="shared" si="31"/>
        <v>19.1799328</v>
      </c>
      <c r="Z672">
        <f t="shared" si="32"/>
        <v>66.399932800000002</v>
      </c>
    </row>
    <row r="673" spans="1:26" x14ac:dyDescent="0.3">
      <c r="A673" t="s">
        <v>763</v>
      </c>
      <c r="B673" t="s">
        <v>107</v>
      </c>
      <c r="C673" t="s">
        <v>78</v>
      </c>
      <c r="D673" t="s">
        <v>57</v>
      </c>
      <c r="E673">
        <v>20</v>
      </c>
      <c r="F673" s="3">
        <v>7.62</v>
      </c>
      <c r="G673" s="4">
        <v>97.2</v>
      </c>
      <c r="H673">
        <v>1</v>
      </c>
      <c r="I673">
        <v>2</v>
      </c>
      <c r="J673">
        <v>5</v>
      </c>
      <c r="K673" s="4">
        <v>40.6</v>
      </c>
      <c r="L673" s="4">
        <v>59</v>
      </c>
      <c r="M673" s="4">
        <v>57.8</v>
      </c>
      <c r="N673">
        <v>0</v>
      </c>
      <c r="O673" t="s">
        <v>58</v>
      </c>
      <c r="P673" t="s">
        <v>112</v>
      </c>
      <c r="Q673" t="s">
        <v>93</v>
      </c>
      <c r="R673" t="s">
        <v>85</v>
      </c>
      <c r="S673" s="3">
        <v>5.69</v>
      </c>
      <c r="T673" s="5">
        <v>44457</v>
      </c>
      <c r="U673">
        <v>2</v>
      </c>
      <c r="V673">
        <v>2021</v>
      </c>
      <c r="X673">
        <f t="shared" si="30"/>
        <v>7.6199326999999997</v>
      </c>
      <c r="Y673">
        <f t="shared" si="31"/>
        <v>5.6899327</v>
      </c>
      <c r="Z673">
        <f t="shared" si="32"/>
        <v>58.999932700000002</v>
      </c>
    </row>
    <row r="674" spans="1:26" x14ac:dyDescent="0.3">
      <c r="A674" t="s">
        <v>764</v>
      </c>
      <c r="B674" t="s">
        <v>63</v>
      </c>
      <c r="C674" t="s">
        <v>56</v>
      </c>
      <c r="D674" t="s">
        <v>57</v>
      </c>
      <c r="E674">
        <v>23</v>
      </c>
      <c r="F674" s="3">
        <v>7.73</v>
      </c>
      <c r="G674" s="4">
        <v>77.900000000000006</v>
      </c>
      <c r="H674">
        <v>1</v>
      </c>
      <c r="I674">
        <v>1</v>
      </c>
      <c r="J674">
        <v>5</v>
      </c>
      <c r="K674" s="4">
        <v>72.599999999999994</v>
      </c>
      <c r="L674" s="4">
        <v>72.7</v>
      </c>
      <c r="M674" s="4">
        <v>69.8</v>
      </c>
      <c r="N674">
        <v>0</v>
      </c>
      <c r="O674" t="s">
        <v>58</v>
      </c>
      <c r="P674" t="s">
        <v>95</v>
      </c>
      <c r="Q674" t="s">
        <v>93</v>
      </c>
      <c r="R674" t="s">
        <v>72</v>
      </c>
      <c r="S674" s="3">
        <v>7.16</v>
      </c>
      <c r="T674" s="5">
        <v>45972</v>
      </c>
      <c r="U674">
        <v>2</v>
      </c>
      <c r="V674">
        <v>2025</v>
      </c>
      <c r="X674">
        <f t="shared" si="30"/>
        <v>7.7299326000000006</v>
      </c>
      <c r="Y674">
        <f t="shared" si="31"/>
        <v>7.1599326000000003</v>
      </c>
      <c r="Z674">
        <f t="shared" si="32"/>
        <v>72.699932599999997</v>
      </c>
    </row>
    <row r="675" spans="1:26" x14ac:dyDescent="0.3">
      <c r="A675" t="s">
        <v>765</v>
      </c>
      <c r="B675" t="s">
        <v>55</v>
      </c>
      <c r="C675" t="s">
        <v>89</v>
      </c>
      <c r="D675" t="s">
        <v>57</v>
      </c>
      <c r="E675">
        <v>20</v>
      </c>
      <c r="F675" s="3">
        <v>7.72</v>
      </c>
      <c r="G675" s="4">
        <v>76.400000000000006</v>
      </c>
      <c r="H675">
        <v>1</v>
      </c>
      <c r="I675">
        <v>2</v>
      </c>
      <c r="J675">
        <v>5</v>
      </c>
      <c r="K675" s="4">
        <v>66.8</v>
      </c>
      <c r="L675" s="4">
        <v>81</v>
      </c>
      <c r="M675" s="4">
        <v>65.3</v>
      </c>
      <c r="N675">
        <v>0</v>
      </c>
      <c r="O675" t="s">
        <v>58</v>
      </c>
      <c r="P675" t="s">
        <v>90</v>
      </c>
      <c r="Q675" t="s">
        <v>60</v>
      </c>
      <c r="R675" t="s">
        <v>80</v>
      </c>
      <c r="S675" s="3">
        <v>8.83</v>
      </c>
      <c r="T675" s="5">
        <v>45599</v>
      </c>
      <c r="U675">
        <v>1</v>
      </c>
      <c r="V675">
        <v>2024</v>
      </c>
      <c r="X675">
        <f t="shared" si="30"/>
        <v>7.7199324999999996</v>
      </c>
      <c r="Y675">
        <f t="shared" si="31"/>
        <v>8.8299325</v>
      </c>
      <c r="Z675">
        <f t="shared" si="32"/>
        <v>80.9999325</v>
      </c>
    </row>
    <row r="676" spans="1:26" x14ac:dyDescent="0.3">
      <c r="A676" t="s">
        <v>766</v>
      </c>
      <c r="B676" t="s">
        <v>107</v>
      </c>
      <c r="C676" t="s">
        <v>89</v>
      </c>
      <c r="D676" t="s">
        <v>57</v>
      </c>
      <c r="E676">
        <v>21</v>
      </c>
      <c r="F676" s="3">
        <v>8.0399999999999991</v>
      </c>
      <c r="G676" s="4">
        <v>80.5</v>
      </c>
      <c r="H676">
        <v>0</v>
      </c>
      <c r="I676">
        <v>0</v>
      </c>
      <c r="J676">
        <v>6</v>
      </c>
      <c r="K676" s="4">
        <v>94.4</v>
      </c>
      <c r="L676" s="4">
        <v>51</v>
      </c>
      <c r="M676" s="4">
        <v>82</v>
      </c>
      <c r="N676">
        <v>1</v>
      </c>
      <c r="O676" t="s">
        <v>58</v>
      </c>
      <c r="P676" t="s">
        <v>59</v>
      </c>
      <c r="Q676" t="s">
        <v>60</v>
      </c>
      <c r="R676" t="s">
        <v>72</v>
      </c>
      <c r="S676" s="3">
        <v>17.760000000000002</v>
      </c>
      <c r="T676" s="5">
        <v>44504</v>
      </c>
      <c r="U676">
        <v>2</v>
      </c>
      <c r="V676">
        <v>2021</v>
      </c>
      <c r="X676">
        <f t="shared" si="30"/>
        <v>8.0399323999999996</v>
      </c>
      <c r="Y676">
        <f t="shared" si="31"/>
        <v>17.7599324</v>
      </c>
      <c r="Z676">
        <f t="shared" si="32"/>
        <v>50.999932399999999</v>
      </c>
    </row>
    <row r="677" spans="1:26" x14ac:dyDescent="0.3">
      <c r="A677" t="s">
        <v>767</v>
      </c>
      <c r="B677" t="s">
        <v>63</v>
      </c>
      <c r="C677" t="s">
        <v>101</v>
      </c>
      <c r="D677" t="s">
        <v>57</v>
      </c>
      <c r="E677">
        <v>23</v>
      </c>
      <c r="F677" s="3">
        <v>9.39</v>
      </c>
      <c r="G677" s="4">
        <v>97.9</v>
      </c>
      <c r="H677">
        <v>1</v>
      </c>
      <c r="I677">
        <v>2</v>
      </c>
      <c r="J677">
        <v>4</v>
      </c>
      <c r="K677" s="4">
        <v>76.5</v>
      </c>
      <c r="L677" s="4">
        <v>85.5</v>
      </c>
      <c r="M677" s="4">
        <v>70.5</v>
      </c>
      <c r="N677">
        <v>1</v>
      </c>
      <c r="O677" t="s">
        <v>64</v>
      </c>
      <c r="P677" t="s">
        <v>65</v>
      </c>
      <c r="S677" s="3">
        <v>0</v>
      </c>
      <c r="T677" s="5"/>
      <c r="U677">
        <v>0</v>
      </c>
      <c r="V677">
        <v>2025</v>
      </c>
      <c r="X677">
        <f t="shared" si="30"/>
        <v>9.3899322999999999</v>
      </c>
      <c r="Y677">
        <f t="shared" si="31"/>
        <v>-6.7699999999999992E-5</v>
      </c>
      <c r="Z677">
        <f t="shared" si="32"/>
        <v>85.499932299999998</v>
      </c>
    </row>
    <row r="678" spans="1:26" x14ac:dyDescent="0.3">
      <c r="A678" t="s">
        <v>768</v>
      </c>
      <c r="B678" t="s">
        <v>63</v>
      </c>
      <c r="C678" t="s">
        <v>74</v>
      </c>
      <c r="D678" t="s">
        <v>69</v>
      </c>
      <c r="E678">
        <v>22</v>
      </c>
      <c r="F678" s="3">
        <v>7.11</v>
      </c>
      <c r="G678" s="4">
        <v>89.1</v>
      </c>
      <c r="H678">
        <v>1</v>
      </c>
      <c r="I678">
        <v>3</v>
      </c>
      <c r="J678">
        <v>5</v>
      </c>
      <c r="K678" s="4">
        <v>75.099999999999994</v>
      </c>
      <c r="L678" s="4">
        <v>66.8</v>
      </c>
      <c r="M678" s="4">
        <v>61.8</v>
      </c>
      <c r="N678">
        <v>1</v>
      </c>
      <c r="O678" t="s">
        <v>58</v>
      </c>
      <c r="P678" t="s">
        <v>104</v>
      </c>
      <c r="Q678" t="s">
        <v>105</v>
      </c>
      <c r="R678" t="s">
        <v>76</v>
      </c>
      <c r="S678" s="3">
        <v>15.37</v>
      </c>
      <c r="T678" s="5">
        <v>45932</v>
      </c>
      <c r="U678">
        <v>1</v>
      </c>
      <c r="V678">
        <v>2025</v>
      </c>
      <c r="X678">
        <f t="shared" si="30"/>
        <v>7.1099322000000003</v>
      </c>
      <c r="Y678">
        <f t="shared" si="31"/>
        <v>15.369932199999999</v>
      </c>
      <c r="Z678">
        <f t="shared" si="32"/>
        <v>66.799932200000001</v>
      </c>
    </row>
    <row r="679" spans="1:26" x14ac:dyDescent="0.3">
      <c r="A679" t="s">
        <v>769</v>
      </c>
      <c r="B679" t="s">
        <v>67</v>
      </c>
      <c r="C679" t="s">
        <v>74</v>
      </c>
      <c r="D679" t="s">
        <v>57</v>
      </c>
      <c r="E679">
        <v>21</v>
      </c>
      <c r="F679" s="3">
        <v>7.99</v>
      </c>
      <c r="G679" s="4">
        <v>92.9</v>
      </c>
      <c r="H679">
        <v>1</v>
      </c>
      <c r="I679">
        <v>1</v>
      </c>
      <c r="J679">
        <v>3</v>
      </c>
      <c r="K679" s="4">
        <v>58.6</v>
      </c>
      <c r="L679" s="4">
        <v>60</v>
      </c>
      <c r="M679" s="4">
        <v>91.8</v>
      </c>
      <c r="N679">
        <v>0</v>
      </c>
      <c r="O679" t="s">
        <v>58</v>
      </c>
      <c r="P679" t="s">
        <v>75</v>
      </c>
      <c r="Q679" t="s">
        <v>71</v>
      </c>
      <c r="R679" t="s">
        <v>76</v>
      </c>
      <c r="S679" s="3">
        <v>4.46</v>
      </c>
      <c r="T679" s="5">
        <v>45146</v>
      </c>
      <c r="U679">
        <v>1</v>
      </c>
      <c r="V679">
        <v>2023</v>
      </c>
      <c r="X679">
        <f t="shared" si="30"/>
        <v>7.9899320999999999</v>
      </c>
      <c r="Y679">
        <f t="shared" si="31"/>
        <v>4.4599320999999996</v>
      </c>
      <c r="Z679">
        <f t="shared" si="32"/>
        <v>59.999932100000002</v>
      </c>
    </row>
    <row r="680" spans="1:26" x14ac:dyDescent="0.3">
      <c r="A680" t="s">
        <v>770</v>
      </c>
      <c r="B680" t="s">
        <v>63</v>
      </c>
      <c r="C680" t="s">
        <v>89</v>
      </c>
      <c r="D680" t="s">
        <v>69</v>
      </c>
      <c r="E680">
        <v>23</v>
      </c>
      <c r="F680" s="3">
        <v>8.82</v>
      </c>
      <c r="G680" s="4">
        <v>64.2</v>
      </c>
      <c r="H680">
        <v>2</v>
      </c>
      <c r="I680">
        <v>0</v>
      </c>
      <c r="J680">
        <v>5</v>
      </c>
      <c r="K680" s="4">
        <v>60.1</v>
      </c>
      <c r="L680" s="4">
        <v>47</v>
      </c>
      <c r="M680" s="4">
        <v>67.099999999999994</v>
      </c>
      <c r="N680">
        <v>1</v>
      </c>
      <c r="O680" t="s">
        <v>58</v>
      </c>
      <c r="P680" t="s">
        <v>92</v>
      </c>
      <c r="Q680" t="s">
        <v>93</v>
      </c>
      <c r="R680" t="s">
        <v>109</v>
      </c>
      <c r="S680" s="3">
        <v>9.14</v>
      </c>
      <c r="T680" s="5">
        <v>45909</v>
      </c>
      <c r="U680">
        <v>2</v>
      </c>
      <c r="V680">
        <v>2025</v>
      </c>
      <c r="X680">
        <f t="shared" si="30"/>
        <v>8.8199319999999997</v>
      </c>
      <c r="Y680">
        <f t="shared" si="31"/>
        <v>9.1399319999999999</v>
      </c>
      <c r="Z680">
        <f t="shared" si="32"/>
        <v>46.999932000000001</v>
      </c>
    </row>
    <row r="681" spans="1:26" x14ac:dyDescent="0.3">
      <c r="A681" t="s">
        <v>771</v>
      </c>
      <c r="B681" t="s">
        <v>63</v>
      </c>
      <c r="C681" t="s">
        <v>89</v>
      </c>
      <c r="D681" t="s">
        <v>57</v>
      </c>
      <c r="E681">
        <v>20</v>
      </c>
      <c r="F681" s="3">
        <v>6.03</v>
      </c>
      <c r="G681" s="4">
        <v>74.599999999999994</v>
      </c>
      <c r="H681">
        <v>1</v>
      </c>
      <c r="I681">
        <v>3</v>
      </c>
      <c r="J681">
        <v>3</v>
      </c>
      <c r="K681" s="4">
        <v>62.1</v>
      </c>
      <c r="L681" s="4">
        <v>60.2</v>
      </c>
      <c r="M681" s="4">
        <v>86.1</v>
      </c>
      <c r="N681">
        <v>1</v>
      </c>
      <c r="O681" t="s">
        <v>58</v>
      </c>
      <c r="P681" t="s">
        <v>87</v>
      </c>
      <c r="Q681" t="s">
        <v>71</v>
      </c>
      <c r="R681" t="s">
        <v>61</v>
      </c>
      <c r="S681" s="3">
        <v>5.81</v>
      </c>
      <c r="T681" s="5">
        <v>45929</v>
      </c>
      <c r="U681">
        <v>3</v>
      </c>
      <c r="V681">
        <v>2025</v>
      </c>
      <c r="X681">
        <f t="shared" si="30"/>
        <v>6.0299319000000002</v>
      </c>
      <c r="Y681">
        <f t="shared" si="31"/>
        <v>5.8099318999999996</v>
      </c>
      <c r="Z681">
        <f t="shared" si="32"/>
        <v>60.199931900000003</v>
      </c>
    </row>
    <row r="682" spans="1:26" x14ac:dyDescent="0.3">
      <c r="A682" t="s">
        <v>772</v>
      </c>
      <c r="B682" t="s">
        <v>63</v>
      </c>
      <c r="C682" t="s">
        <v>68</v>
      </c>
      <c r="D682" t="s">
        <v>57</v>
      </c>
      <c r="E682">
        <v>22</v>
      </c>
      <c r="F682" s="3">
        <v>7.89</v>
      </c>
      <c r="G682" s="4">
        <v>74.900000000000006</v>
      </c>
      <c r="H682">
        <v>2</v>
      </c>
      <c r="I682">
        <v>1</v>
      </c>
      <c r="J682">
        <v>6</v>
      </c>
      <c r="K682" s="4">
        <v>67.5</v>
      </c>
      <c r="L682" s="4">
        <v>60.9</v>
      </c>
      <c r="M682" s="4">
        <v>66.7</v>
      </c>
      <c r="N682">
        <v>1</v>
      </c>
      <c r="O682" t="s">
        <v>58</v>
      </c>
      <c r="P682" t="s">
        <v>90</v>
      </c>
      <c r="Q682" t="s">
        <v>60</v>
      </c>
      <c r="R682" t="s">
        <v>130</v>
      </c>
      <c r="S682" s="3">
        <v>9.39</v>
      </c>
      <c r="T682" s="5">
        <v>45920</v>
      </c>
      <c r="U682">
        <v>1</v>
      </c>
      <c r="V682">
        <v>2025</v>
      </c>
      <c r="X682">
        <f t="shared" si="30"/>
        <v>7.8899317999999994</v>
      </c>
      <c r="Y682">
        <f t="shared" si="31"/>
        <v>9.3899318000000012</v>
      </c>
      <c r="Z682">
        <f t="shared" si="32"/>
        <v>60.899931799999997</v>
      </c>
    </row>
    <row r="683" spans="1:26" x14ac:dyDescent="0.3">
      <c r="A683" t="s">
        <v>773</v>
      </c>
      <c r="B683" t="s">
        <v>63</v>
      </c>
      <c r="C683" t="s">
        <v>68</v>
      </c>
      <c r="D683" t="s">
        <v>57</v>
      </c>
      <c r="E683">
        <v>20</v>
      </c>
      <c r="F683" s="3">
        <v>6.14</v>
      </c>
      <c r="G683" s="4">
        <v>92.2</v>
      </c>
      <c r="H683">
        <v>2</v>
      </c>
      <c r="I683">
        <v>1</v>
      </c>
      <c r="J683">
        <v>3</v>
      </c>
      <c r="K683" s="4">
        <v>59.8</v>
      </c>
      <c r="L683" s="4">
        <v>52.1</v>
      </c>
      <c r="M683" s="4">
        <v>83.4</v>
      </c>
      <c r="N683">
        <v>3</v>
      </c>
      <c r="O683" t="s">
        <v>64</v>
      </c>
      <c r="P683" t="s">
        <v>65</v>
      </c>
      <c r="S683" s="3">
        <v>0</v>
      </c>
      <c r="T683" s="5"/>
      <c r="U683">
        <v>0</v>
      </c>
      <c r="V683">
        <v>2025</v>
      </c>
      <c r="X683">
        <f t="shared" si="30"/>
        <v>6.1399317</v>
      </c>
      <c r="Y683">
        <f t="shared" si="31"/>
        <v>-6.8299999999999993E-5</v>
      </c>
      <c r="Z683">
        <f t="shared" si="32"/>
        <v>52.099931699999999</v>
      </c>
    </row>
    <row r="684" spans="1:26" x14ac:dyDescent="0.3">
      <c r="A684" t="s">
        <v>774</v>
      </c>
      <c r="B684" t="s">
        <v>82</v>
      </c>
      <c r="C684" t="s">
        <v>68</v>
      </c>
      <c r="D684" t="s">
        <v>57</v>
      </c>
      <c r="E684">
        <v>21</v>
      </c>
      <c r="F684" s="3">
        <v>9.6199999999999992</v>
      </c>
      <c r="G684" s="4">
        <v>87.9</v>
      </c>
      <c r="H684">
        <v>1</v>
      </c>
      <c r="I684">
        <v>3</v>
      </c>
      <c r="J684">
        <v>2</v>
      </c>
      <c r="K684" s="4">
        <v>76</v>
      </c>
      <c r="L684" s="4">
        <v>77.099999999999994</v>
      </c>
      <c r="M684" s="4">
        <v>70.099999999999994</v>
      </c>
      <c r="N684">
        <v>1</v>
      </c>
      <c r="O684" t="s">
        <v>58</v>
      </c>
      <c r="P684" t="s">
        <v>75</v>
      </c>
      <c r="Q684" t="s">
        <v>71</v>
      </c>
      <c r="R684" t="s">
        <v>85</v>
      </c>
      <c r="S684" s="3">
        <v>6.68</v>
      </c>
      <c r="T684" s="5">
        <v>44804</v>
      </c>
      <c r="U684">
        <v>1</v>
      </c>
      <c r="V684">
        <v>2022</v>
      </c>
      <c r="X684">
        <f t="shared" si="30"/>
        <v>9.6199315999999992</v>
      </c>
      <c r="Y684">
        <f t="shared" si="31"/>
        <v>6.6799315999999997</v>
      </c>
      <c r="Z684">
        <f t="shared" si="32"/>
        <v>77.099931599999991</v>
      </c>
    </row>
    <row r="685" spans="1:26" x14ac:dyDescent="0.3">
      <c r="A685" t="s">
        <v>775</v>
      </c>
      <c r="B685" t="s">
        <v>82</v>
      </c>
      <c r="C685" t="s">
        <v>101</v>
      </c>
      <c r="D685" t="s">
        <v>69</v>
      </c>
      <c r="E685">
        <v>21</v>
      </c>
      <c r="F685" s="3">
        <v>8.1199999999999992</v>
      </c>
      <c r="G685" s="4">
        <v>91.5</v>
      </c>
      <c r="H685">
        <v>3</v>
      </c>
      <c r="I685">
        <v>5</v>
      </c>
      <c r="J685">
        <v>2</v>
      </c>
      <c r="K685" s="4">
        <v>62.5</v>
      </c>
      <c r="L685" s="4">
        <v>72.2</v>
      </c>
      <c r="M685" s="4">
        <v>61.5</v>
      </c>
      <c r="N685">
        <v>0</v>
      </c>
      <c r="O685" t="s">
        <v>58</v>
      </c>
      <c r="P685" t="s">
        <v>75</v>
      </c>
      <c r="Q685" t="s">
        <v>71</v>
      </c>
      <c r="R685" t="s">
        <v>85</v>
      </c>
      <c r="S685" s="3">
        <v>6.03</v>
      </c>
      <c r="T685" s="5">
        <v>44780</v>
      </c>
      <c r="U685">
        <v>1</v>
      </c>
      <c r="V685">
        <v>2022</v>
      </c>
      <c r="X685">
        <f t="shared" si="30"/>
        <v>8.1199314999999999</v>
      </c>
      <c r="Y685">
        <f t="shared" si="31"/>
        <v>6.0299315</v>
      </c>
      <c r="Z685">
        <f t="shared" si="32"/>
        <v>72.199931500000005</v>
      </c>
    </row>
    <row r="686" spans="1:26" x14ac:dyDescent="0.3">
      <c r="A686" t="s">
        <v>776</v>
      </c>
      <c r="B686" t="s">
        <v>67</v>
      </c>
      <c r="C686" t="s">
        <v>68</v>
      </c>
      <c r="D686" t="s">
        <v>57</v>
      </c>
      <c r="E686">
        <v>23</v>
      </c>
      <c r="F686" s="3">
        <v>8</v>
      </c>
      <c r="G686" s="4">
        <v>65.099999999999994</v>
      </c>
      <c r="H686">
        <v>0</v>
      </c>
      <c r="I686">
        <v>3</v>
      </c>
      <c r="J686">
        <v>2</v>
      </c>
      <c r="K686" s="4">
        <v>83.6</v>
      </c>
      <c r="L686" s="4">
        <v>84.7</v>
      </c>
      <c r="M686" s="4">
        <v>87.8</v>
      </c>
      <c r="N686">
        <v>1</v>
      </c>
      <c r="O686" t="s">
        <v>58</v>
      </c>
      <c r="P686" t="s">
        <v>95</v>
      </c>
      <c r="Q686" t="s">
        <v>93</v>
      </c>
      <c r="R686" t="s">
        <v>80</v>
      </c>
      <c r="S686" s="3">
        <v>7.47</v>
      </c>
      <c r="T686" s="5">
        <v>45183</v>
      </c>
      <c r="U686">
        <v>1</v>
      </c>
      <c r="V686">
        <v>2023</v>
      </c>
      <c r="X686">
        <f t="shared" si="30"/>
        <v>7.9999314000000004</v>
      </c>
      <c r="Y686">
        <f t="shared" si="31"/>
        <v>7.4699314000000001</v>
      </c>
      <c r="Z686">
        <f t="shared" si="32"/>
        <v>84.699931399999997</v>
      </c>
    </row>
    <row r="687" spans="1:26" x14ac:dyDescent="0.3">
      <c r="A687" t="s">
        <v>777</v>
      </c>
      <c r="B687" t="s">
        <v>107</v>
      </c>
      <c r="C687" t="s">
        <v>84</v>
      </c>
      <c r="D687" t="s">
        <v>69</v>
      </c>
      <c r="E687">
        <v>21</v>
      </c>
      <c r="F687" s="3">
        <v>5.96</v>
      </c>
      <c r="G687" s="4">
        <v>92</v>
      </c>
      <c r="H687">
        <v>3</v>
      </c>
      <c r="I687">
        <v>2</v>
      </c>
      <c r="J687">
        <v>3</v>
      </c>
      <c r="K687" s="4">
        <v>56.5</v>
      </c>
      <c r="L687" s="4">
        <v>80.7</v>
      </c>
      <c r="M687" s="4">
        <v>65.5</v>
      </c>
      <c r="N687">
        <v>0</v>
      </c>
      <c r="O687" t="s">
        <v>58</v>
      </c>
      <c r="P687" t="s">
        <v>90</v>
      </c>
      <c r="Q687" t="s">
        <v>60</v>
      </c>
      <c r="R687" t="s">
        <v>109</v>
      </c>
      <c r="S687" s="3">
        <v>7.92</v>
      </c>
      <c r="T687" s="5">
        <v>44455</v>
      </c>
      <c r="U687">
        <v>2</v>
      </c>
      <c r="V687">
        <v>2021</v>
      </c>
      <c r="X687">
        <f t="shared" si="30"/>
        <v>5.9599313</v>
      </c>
      <c r="Y687">
        <f t="shared" si="31"/>
        <v>7.9199313</v>
      </c>
      <c r="Z687">
        <f t="shared" si="32"/>
        <v>80.699931300000003</v>
      </c>
    </row>
    <row r="688" spans="1:26" x14ac:dyDescent="0.3">
      <c r="A688" t="s">
        <v>778</v>
      </c>
      <c r="B688" t="s">
        <v>63</v>
      </c>
      <c r="C688" t="s">
        <v>68</v>
      </c>
      <c r="D688" t="s">
        <v>69</v>
      </c>
      <c r="E688">
        <v>22</v>
      </c>
      <c r="F688" s="3">
        <v>7.2</v>
      </c>
      <c r="G688" s="4">
        <v>87.9</v>
      </c>
      <c r="H688">
        <v>0</v>
      </c>
      <c r="I688">
        <v>2</v>
      </c>
      <c r="J688">
        <v>4</v>
      </c>
      <c r="K688" s="4">
        <v>78.400000000000006</v>
      </c>
      <c r="L688" s="4">
        <v>60.4</v>
      </c>
      <c r="M688" s="4">
        <v>75.3</v>
      </c>
      <c r="N688">
        <v>0</v>
      </c>
      <c r="O688" t="s">
        <v>58</v>
      </c>
      <c r="P688" t="s">
        <v>79</v>
      </c>
      <c r="Q688" t="s">
        <v>71</v>
      </c>
      <c r="R688" t="s">
        <v>61</v>
      </c>
      <c r="S688" s="3">
        <v>5.46</v>
      </c>
      <c r="T688" s="5">
        <v>45883</v>
      </c>
      <c r="U688">
        <v>1</v>
      </c>
      <c r="V688">
        <v>2025</v>
      </c>
      <c r="X688">
        <f t="shared" si="30"/>
        <v>7.1999312</v>
      </c>
      <c r="Y688">
        <f t="shared" si="31"/>
        <v>5.4599311999999998</v>
      </c>
      <c r="Z688">
        <f t="shared" si="32"/>
        <v>60.399931199999997</v>
      </c>
    </row>
    <row r="689" spans="1:26" x14ac:dyDescent="0.3">
      <c r="A689" t="s">
        <v>779</v>
      </c>
      <c r="B689" t="s">
        <v>107</v>
      </c>
      <c r="C689" t="s">
        <v>84</v>
      </c>
      <c r="D689" t="s">
        <v>69</v>
      </c>
      <c r="E689">
        <v>23</v>
      </c>
      <c r="F689" s="3">
        <v>7.2</v>
      </c>
      <c r="G689" s="4">
        <v>73.7</v>
      </c>
      <c r="H689">
        <v>1</v>
      </c>
      <c r="I689">
        <v>0</v>
      </c>
      <c r="J689">
        <v>6</v>
      </c>
      <c r="K689" s="4">
        <v>95</v>
      </c>
      <c r="L689" s="4">
        <v>65.3</v>
      </c>
      <c r="M689" s="4">
        <v>58.4</v>
      </c>
      <c r="N689">
        <v>1</v>
      </c>
      <c r="O689" t="s">
        <v>58</v>
      </c>
      <c r="P689" t="s">
        <v>104</v>
      </c>
      <c r="Q689" t="s">
        <v>105</v>
      </c>
      <c r="R689" t="s">
        <v>130</v>
      </c>
      <c r="S689" s="3">
        <v>15.7</v>
      </c>
      <c r="T689" s="5">
        <v>44433</v>
      </c>
      <c r="U689">
        <v>1</v>
      </c>
      <c r="V689">
        <v>2021</v>
      </c>
      <c r="X689">
        <f t="shared" si="30"/>
        <v>7.1999311000000006</v>
      </c>
      <c r="Y689">
        <f t="shared" si="31"/>
        <v>15.699931099999999</v>
      </c>
      <c r="Z689">
        <f t="shared" si="32"/>
        <v>65.299931099999995</v>
      </c>
    </row>
    <row r="690" spans="1:26" x14ac:dyDescent="0.3">
      <c r="A690" t="s">
        <v>780</v>
      </c>
      <c r="B690" t="s">
        <v>107</v>
      </c>
      <c r="C690" t="s">
        <v>101</v>
      </c>
      <c r="D690" t="s">
        <v>57</v>
      </c>
      <c r="E690">
        <v>22</v>
      </c>
      <c r="F690" s="3">
        <v>9.24</v>
      </c>
      <c r="G690" s="4">
        <v>80.2</v>
      </c>
      <c r="H690">
        <v>2</v>
      </c>
      <c r="I690">
        <v>3</v>
      </c>
      <c r="J690">
        <v>3</v>
      </c>
      <c r="K690" s="4">
        <v>92.8</v>
      </c>
      <c r="L690" s="4">
        <v>58.8</v>
      </c>
      <c r="M690" s="4">
        <v>57.5</v>
      </c>
      <c r="N690">
        <v>0</v>
      </c>
      <c r="O690" t="s">
        <v>58</v>
      </c>
      <c r="P690" t="s">
        <v>92</v>
      </c>
      <c r="Q690" t="s">
        <v>93</v>
      </c>
      <c r="R690" t="s">
        <v>61</v>
      </c>
      <c r="S690" s="3">
        <v>9.31</v>
      </c>
      <c r="T690" s="5">
        <v>44493</v>
      </c>
      <c r="U690">
        <v>2</v>
      </c>
      <c r="V690">
        <v>2021</v>
      </c>
      <c r="X690">
        <f t="shared" si="30"/>
        <v>9.2399310000000003</v>
      </c>
      <c r="Y690">
        <f t="shared" si="31"/>
        <v>9.3099310000000006</v>
      </c>
      <c r="Z690">
        <f t="shared" si="32"/>
        <v>58.799930999999994</v>
      </c>
    </row>
    <row r="691" spans="1:26" x14ac:dyDescent="0.3">
      <c r="A691" t="s">
        <v>781</v>
      </c>
      <c r="B691" t="s">
        <v>67</v>
      </c>
      <c r="C691" t="s">
        <v>74</v>
      </c>
      <c r="D691" t="s">
        <v>69</v>
      </c>
      <c r="E691">
        <v>20</v>
      </c>
      <c r="F691" s="3">
        <v>8.31</v>
      </c>
      <c r="G691" s="4">
        <v>74</v>
      </c>
      <c r="H691">
        <v>3</v>
      </c>
      <c r="I691">
        <v>2</v>
      </c>
      <c r="J691">
        <v>3</v>
      </c>
      <c r="K691" s="4">
        <v>56</v>
      </c>
      <c r="L691" s="4">
        <v>46.1</v>
      </c>
      <c r="M691" s="4">
        <v>92.5</v>
      </c>
      <c r="N691">
        <v>0</v>
      </c>
      <c r="O691" t="s">
        <v>58</v>
      </c>
      <c r="P691" t="s">
        <v>87</v>
      </c>
      <c r="Q691" t="s">
        <v>71</v>
      </c>
      <c r="R691" t="s">
        <v>72</v>
      </c>
      <c r="S691" s="3">
        <v>6.51</v>
      </c>
      <c r="T691" s="5">
        <v>45185</v>
      </c>
      <c r="U691">
        <v>2</v>
      </c>
      <c r="V691">
        <v>2023</v>
      </c>
      <c r="X691">
        <f t="shared" si="30"/>
        <v>8.3099309000000012</v>
      </c>
      <c r="Y691">
        <f t="shared" si="31"/>
        <v>6.5099308999999996</v>
      </c>
      <c r="Z691">
        <f t="shared" si="32"/>
        <v>46.099930900000004</v>
      </c>
    </row>
    <row r="692" spans="1:26" x14ac:dyDescent="0.3">
      <c r="A692" t="s">
        <v>782</v>
      </c>
      <c r="B692" t="s">
        <v>63</v>
      </c>
      <c r="C692" t="s">
        <v>101</v>
      </c>
      <c r="D692" t="s">
        <v>57</v>
      </c>
      <c r="E692">
        <v>22</v>
      </c>
      <c r="F692" s="3">
        <v>6.16</v>
      </c>
      <c r="G692" s="4">
        <v>81.099999999999994</v>
      </c>
      <c r="H692">
        <v>1</v>
      </c>
      <c r="I692">
        <v>5</v>
      </c>
      <c r="J692">
        <v>5</v>
      </c>
      <c r="K692" s="4">
        <v>84.1</v>
      </c>
      <c r="L692" s="4">
        <v>75.8</v>
      </c>
      <c r="M692" s="4">
        <v>75.7</v>
      </c>
      <c r="N692">
        <v>0</v>
      </c>
      <c r="O692" t="s">
        <v>58</v>
      </c>
      <c r="P692" t="s">
        <v>95</v>
      </c>
      <c r="Q692" t="s">
        <v>93</v>
      </c>
      <c r="R692" t="s">
        <v>76</v>
      </c>
      <c r="S692" s="3">
        <v>6.54</v>
      </c>
      <c r="T692" s="5">
        <v>45962</v>
      </c>
      <c r="U692">
        <v>2</v>
      </c>
      <c r="V692">
        <v>2025</v>
      </c>
      <c r="X692">
        <f t="shared" si="30"/>
        <v>6.1599307999999997</v>
      </c>
      <c r="Y692">
        <f t="shared" si="31"/>
        <v>6.5399307999999996</v>
      </c>
      <c r="Z692">
        <f t="shared" si="32"/>
        <v>75.799930799999998</v>
      </c>
    </row>
    <row r="693" spans="1:26" x14ac:dyDescent="0.3">
      <c r="A693" t="s">
        <v>783</v>
      </c>
      <c r="B693" t="s">
        <v>63</v>
      </c>
      <c r="C693" t="s">
        <v>56</v>
      </c>
      <c r="D693" t="s">
        <v>57</v>
      </c>
      <c r="E693">
        <v>22</v>
      </c>
      <c r="F693" s="3">
        <v>8.07</v>
      </c>
      <c r="G693" s="4">
        <v>86</v>
      </c>
      <c r="H693">
        <v>2</v>
      </c>
      <c r="I693">
        <v>5</v>
      </c>
      <c r="J693">
        <v>2</v>
      </c>
      <c r="K693" s="4">
        <v>36.9</v>
      </c>
      <c r="L693" s="4">
        <v>72.5</v>
      </c>
      <c r="M693" s="4">
        <v>72.7</v>
      </c>
      <c r="N693">
        <v>2</v>
      </c>
      <c r="O693" t="s">
        <v>58</v>
      </c>
      <c r="P693" t="s">
        <v>75</v>
      </c>
      <c r="Q693" t="s">
        <v>71</v>
      </c>
      <c r="R693" t="s">
        <v>109</v>
      </c>
      <c r="S693" s="3">
        <v>6.53</v>
      </c>
      <c r="T693" s="5">
        <v>45915</v>
      </c>
      <c r="U693">
        <v>2</v>
      </c>
      <c r="V693">
        <v>2025</v>
      </c>
      <c r="X693">
        <f t="shared" si="30"/>
        <v>8.0699307000000005</v>
      </c>
      <c r="Y693">
        <f t="shared" si="31"/>
        <v>6.5299307000000004</v>
      </c>
      <c r="Z693">
        <f t="shared" si="32"/>
        <v>72.499930699999993</v>
      </c>
    </row>
    <row r="694" spans="1:26" x14ac:dyDescent="0.3">
      <c r="A694" t="s">
        <v>784</v>
      </c>
      <c r="B694" t="s">
        <v>55</v>
      </c>
      <c r="C694" t="s">
        <v>84</v>
      </c>
      <c r="D694" t="s">
        <v>69</v>
      </c>
      <c r="E694">
        <v>21</v>
      </c>
      <c r="F694" s="3">
        <v>6.3</v>
      </c>
      <c r="G694" s="4">
        <v>94.6</v>
      </c>
      <c r="H694">
        <v>2</v>
      </c>
      <c r="I694">
        <v>1</v>
      </c>
      <c r="J694">
        <v>5</v>
      </c>
      <c r="K694" s="4">
        <v>46.2</v>
      </c>
      <c r="L694" s="4">
        <v>60.9</v>
      </c>
      <c r="M694" s="4">
        <v>68.900000000000006</v>
      </c>
      <c r="N694">
        <v>2</v>
      </c>
      <c r="O694" t="s">
        <v>58</v>
      </c>
      <c r="P694" t="s">
        <v>104</v>
      </c>
      <c r="Q694" t="s">
        <v>105</v>
      </c>
      <c r="R694" t="s">
        <v>61</v>
      </c>
      <c r="S694" s="3">
        <v>14.9</v>
      </c>
      <c r="T694" s="5">
        <v>45549</v>
      </c>
      <c r="U694">
        <v>2</v>
      </c>
      <c r="V694">
        <v>2024</v>
      </c>
      <c r="X694">
        <f t="shared" si="30"/>
        <v>6.2999305999999997</v>
      </c>
      <c r="Y694">
        <f t="shared" si="31"/>
        <v>14.899930600000001</v>
      </c>
      <c r="Z694">
        <f t="shared" si="32"/>
        <v>60.899930599999998</v>
      </c>
    </row>
    <row r="695" spans="1:26" x14ac:dyDescent="0.3">
      <c r="A695" t="s">
        <v>785</v>
      </c>
      <c r="B695" t="s">
        <v>107</v>
      </c>
      <c r="C695" t="s">
        <v>89</v>
      </c>
      <c r="D695" t="s">
        <v>69</v>
      </c>
      <c r="E695">
        <v>20</v>
      </c>
      <c r="F695" s="3">
        <v>6.18</v>
      </c>
      <c r="G695" s="4">
        <v>73.5</v>
      </c>
      <c r="H695">
        <v>0</v>
      </c>
      <c r="I695">
        <v>5</v>
      </c>
      <c r="J695">
        <v>3</v>
      </c>
      <c r="K695" s="4">
        <v>76.400000000000006</v>
      </c>
      <c r="L695" s="4">
        <v>82.1</v>
      </c>
      <c r="M695" s="4">
        <v>64.7</v>
      </c>
      <c r="N695">
        <v>1</v>
      </c>
      <c r="O695" t="s">
        <v>58</v>
      </c>
      <c r="P695" t="s">
        <v>87</v>
      </c>
      <c r="Q695" t="s">
        <v>71</v>
      </c>
      <c r="R695" t="s">
        <v>72</v>
      </c>
      <c r="S695" s="3">
        <v>4.9400000000000004</v>
      </c>
      <c r="T695" s="5">
        <v>44439</v>
      </c>
      <c r="U695">
        <v>2</v>
      </c>
      <c r="V695">
        <v>2021</v>
      </c>
      <c r="X695">
        <f t="shared" si="30"/>
        <v>6.1799304999999993</v>
      </c>
      <c r="Y695">
        <f t="shared" si="31"/>
        <v>4.9399305</v>
      </c>
      <c r="Z695">
        <f t="shared" si="32"/>
        <v>82.099930499999999</v>
      </c>
    </row>
    <row r="696" spans="1:26" x14ac:dyDescent="0.3">
      <c r="A696" t="s">
        <v>786</v>
      </c>
      <c r="B696" t="s">
        <v>107</v>
      </c>
      <c r="C696" t="s">
        <v>56</v>
      </c>
      <c r="D696" t="s">
        <v>57</v>
      </c>
      <c r="E696">
        <v>21</v>
      </c>
      <c r="F696" s="3">
        <v>8.06</v>
      </c>
      <c r="G696" s="4">
        <v>77.8</v>
      </c>
      <c r="H696">
        <v>1</v>
      </c>
      <c r="I696">
        <v>4</v>
      </c>
      <c r="J696">
        <v>4</v>
      </c>
      <c r="K696" s="4">
        <v>74.099999999999994</v>
      </c>
      <c r="L696" s="4">
        <v>64.900000000000006</v>
      </c>
      <c r="M696" s="4">
        <v>81</v>
      </c>
      <c r="N696">
        <v>2</v>
      </c>
      <c r="O696" t="s">
        <v>58</v>
      </c>
      <c r="P696" t="s">
        <v>75</v>
      </c>
      <c r="Q696" t="s">
        <v>71</v>
      </c>
      <c r="R696" t="s">
        <v>130</v>
      </c>
      <c r="S696" s="3">
        <v>5.04</v>
      </c>
      <c r="T696" s="5">
        <v>44460</v>
      </c>
      <c r="U696">
        <v>1</v>
      </c>
      <c r="V696">
        <v>2021</v>
      </c>
      <c r="X696">
        <f t="shared" si="30"/>
        <v>8.0599304000000007</v>
      </c>
      <c r="Y696">
        <f t="shared" si="31"/>
        <v>5.0399304000000003</v>
      </c>
      <c r="Z696">
        <f t="shared" si="32"/>
        <v>64.899930400000002</v>
      </c>
    </row>
    <row r="697" spans="1:26" x14ac:dyDescent="0.3">
      <c r="A697" t="s">
        <v>787</v>
      </c>
      <c r="B697" t="s">
        <v>82</v>
      </c>
      <c r="C697" t="s">
        <v>89</v>
      </c>
      <c r="D697" t="s">
        <v>57</v>
      </c>
      <c r="E697">
        <v>20</v>
      </c>
      <c r="F697" s="3">
        <v>8.32</v>
      </c>
      <c r="G697" s="4">
        <v>72.099999999999994</v>
      </c>
      <c r="H697">
        <v>1</v>
      </c>
      <c r="I697">
        <v>2</v>
      </c>
      <c r="J697">
        <v>2</v>
      </c>
      <c r="K697" s="4">
        <v>76.400000000000006</v>
      </c>
      <c r="L697" s="4">
        <v>88.5</v>
      </c>
      <c r="M697" s="4">
        <v>91</v>
      </c>
      <c r="N697">
        <v>1</v>
      </c>
      <c r="O697" t="s">
        <v>58</v>
      </c>
      <c r="P697" t="s">
        <v>75</v>
      </c>
      <c r="Q697" t="s">
        <v>71</v>
      </c>
      <c r="R697" t="s">
        <v>109</v>
      </c>
      <c r="S697" s="3">
        <v>7.38</v>
      </c>
      <c r="T697" s="5">
        <v>44777</v>
      </c>
      <c r="U697">
        <v>2</v>
      </c>
      <c r="V697">
        <v>2022</v>
      </c>
      <c r="X697">
        <f t="shared" si="30"/>
        <v>8.3199303000000011</v>
      </c>
      <c r="Y697">
        <f t="shared" si="31"/>
        <v>7.3799302999999998</v>
      </c>
      <c r="Z697">
        <f t="shared" si="32"/>
        <v>88.499930300000003</v>
      </c>
    </row>
    <row r="698" spans="1:26" x14ac:dyDescent="0.3">
      <c r="A698" t="s">
        <v>788</v>
      </c>
      <c r="B698" t="s">
        <v>55</v>
      </c>
      <c r="C698" t="s">
        <v>84</v>
      </c>
      <c r="D698" t="s">
        <v>57</v>
      </c>
      <c r="E698">
        <v>20</v>
      </c>
      <c r="F698" s="3">
        <v>8.06</v>
      </c>
      <c r="G698" s="4">
        <v>88.9</v>
      </c>
      <c r="H698">
        <v>1</v>
      </c>
      <c r="I698">
        <v>1</v>
      </c>
      <c r="J698">
        <v>2</v>
      </c>
      <c r="K698" s="4">
        <v>61.2</v>
      </c>
      <c r="L698" s="4">
        <v>67.7</v>
      </c>
      <c r="M698" s="4">
        <v>83.8</v>
      </c>
      <c r="N698">
        <v>0</v>
      </c>
      <c r="O698" t="s">
        <v>58</v>
      </c>
      <c r="P698" t="s">
        <v>70</v>
      </c>
      <c r="Q698" t="s">
        <v>71</v>
      </c>
      <c r="R698" t="s">
        <v>130</v>
      </c>
      <c r="S698" s="3">
        <v>7.17</v>
      </c>
      <c r="T698" s="5">
        <v>45622</v>
      </c>
      <c r="U698">
        <v>3</v>
      </c>
      <c r="V698">
        <v>2024</v>
      </c>
      <c r="X698">
        <f t="shared" si="30"/>
        <v>8.0599302000000002</v>
      </c>
      <c r="Y698">
        <f t="shared" si="31"/>
        <v>7.1699301999999996</v>
      </c>
      <c r="Z698">
        <f t="shared" si="32"/>
        <v>67.699930199999997</v>
      </c>
    </row>
    <row r="699" spans="1:26" x14ac:dyDescent="0.3">
      <c r="A699" t="s">
        <v>789</v>
      </c>
      <c r="B699" t="s">
        <v>82</v>
      </c>
      <c r="C699" t="s">
        <v>56</v>
      </c>
      <c r="D699" t="s">
        <v>57</v>
      </c>
      <c r="E699">
        <v>22</v>
      </c>
      <c r="F699" s="3">
        <v>9.34</v>
      </c>
      <c r="G699" s="4">
        <v>67.8</v>
      </c>
      <c r="H699">
        <v>2</v>
      </c>
      <c r="I699">
        <v>3</v>
      </c>
      <c r="J699">
        <v>5</v>
      </c>
      <c r="K699" s="4">
        <v>52.4</v>
      </c>
      <c r="L699" s="4">
        <v>50.6</v>
      </c>
      <c r="M699" s="4">
        <v>81.3</v>
      </c>
      <c r="N699">
        <v>0</v>
      </c>
      <c r="O699" t="s">
        <v>58</v>
      </c>
      <c r="P699" t="s">
        <v>75</v>
      </c>
      <c r="Q699" t="s">
        <v>71</v>
      </c>
      <c r="R699" t="s">
        <v>85</v>
      </c>
      <c r="S699" s="3">
        <v>7.14</v>
      </c>
      <c r="T699" s="5">
        <v>44878</v>
      </c>
      <c r="U699">
        <v>2</v>
      </c>
      <c r="V699">
        <v>2022</v>
      </c>
      <c r="X699">
        <f t="shared" si="30"/>
        <v>9.3399301000000001</v>
      </c>
      <c r="Y699">
        <f t="shared" si="31"/>
        <v>7.1399300999999999</v>
      </c>
      <c r="Z699">
        <f t="shared" si="32"/>
        <v>50.599930100000002</v>
      </c>
    </row>
    <row r="700" spans="1:26" x14ac:dyDescent="0.3">
      <c r="A700" t="s">
        <v>790</v>
      </c>
      <c r="B700" t="s">
        <v>82</v>
      </c>
      <c r="C700" t="s">
        <v>68</v>
      </c>
      <c r="D700" t="s">
        <v>57</v>
      </c>
      <c r="E700">
        <v>21</v>
      </c>
      <c r="F700" s="3">
        <v>7.98</v>
      </c>
      <c r="G700" s="4">
        <v>83.6</v>
      </c>
      <c r="H700">
        <v>3</v>
      </c>
      <c r="I700">
        <v>1</v>
      </c>
      <c r="J700">
        <v>3</v>
      </c>
      <c r="K700" s="4">
        <v>42.7</v>
      </c>
      <c r="L700" s="4">
        <v>92.8</v>
      </c>
      <c r="M700" s="4">
        <v>70.2</v>
      </c>
      <c r="N700">
        <v>0</v>
      </c>
      <c r="O700" t="s">
        <v>58</v>
      </c>
      <c r="P700" t="s">
        <v>95</v>
      </c>
      <c r="Q700" t="s">
        <v>93</v>
      </c>
      <c r="R700" t="s">
        <v>85</v>
      </c>
      <c r="S700" s="3">
        <v>8.8800000000000008</v>
      </c>
      <c r="T700" s="5">
        <v>44819</v>
      </c>
      <c r="U700">
        <v>1</v>
      </c>
      <c r="V700">
        <v>2022</v>
      </c>
      <c r="X700">
        <f t="shared" si="30"/>
        <v>7.9799300000000004</v>
      </c>
      <c r="Y700">
        <f t="shared" si="31"/>
        <v>8.8799300000000017</v>
      </c>
      <c r="Z700">
        <f t="shared" si="32"/>
        <v>92.799930000000003</v>
      </c>
    </row>
    <row r="701" spans="1:26" x14ac:dyDescent="0.3">
      <c r="A701" t="s">
        <v>791</v>
      </c>
      <c r="B701" t="s">
        <v>82</v>
      </c>
      <c r="C701" t="s">
        <v>78</v>
      </c>
      <c r="D701" t="s">
        <v>69</v>
      </c>
      <c r="E701">
        <v>22</v>
      </c>
      <c r="F701" s="3">
        <v>7.8</v>
      </c>
      <c r="G701" s="4">
        <v>71</v>
      </c>
      <c r="H701">
        <v>2</v>
      </c>
      <c r="I701">
        <v>2</v>
      </c>
      <c r="J701">
        <v>6</v>
      </c>
      <c r="K701" s="4">
        <v>55.9</v>
      </c>
      <c r="L701" s="4">
        <v>75.5</v>
      </c>
      <c r="M701" s="4">
        <v>81.599999999999994</v>
      </c>
      <c r="N701">
        <v>0</v>
      </c>
      <c r="O701" t="s">
        <v>64</v>
      </c>
      <c r="P701" t="s">
        <v>65</v>
      </c>
      <c r="S701" s="3">
        <v>0</v>
      </c>
      <c r="T701" s="5"/>
      <c r="U701">
        <v>0</v>
      </c>
      <c r="V701">
        <v>2022</v>
      </c>
      <c r="X701">
        <f t="shared" si="30"/>
        <v>7.7999298999999995</v>
      </c>
      <c r="Y701">
        <f t="shared" si="31"/>
        <v>-7.0099999999999996E-5</v>
      </c>
      <c r="Z701">
        <f t="shared" si="32"/>
        <v>75.499929899999998</v>
      </c>
    </row>
    <row r="702" spans="1:26" x14ac:dyDescent="0.3">
      <c r="A702" t="s">
        <v>792</v>
      </c>
      <c r="B702" t="s">
        <v>67</v>
      </c>
      <c r="C702" t="s">
        <v>101</v>
      </c>
      <c r="D702" t="s">
        <v>69</v>
      </c>
      <c r="E702">
        <v>22</v>
      </c>
      <c r="F702" s="3">
        <v>6.56</v>
      </c>
      <c r="G702" s="4">
        <v>82.4</v>
      </c>
      <c r="H702">
        <v>3</v>
      </c>
      <c r="I702">
        <v>0</v>
      </c>
      <c r="J702">
        <v>4</v>
      </c>
      <c r="K702" s="4">
        <v>77.099999999999994</v>
      </c>
      <c r="L702" s="4">
        <v>55.8</v>
      </c>
      <c r="M702" s="4">
        <v>97.4</v>
      </c>
      <c r="N702">
        <v>1</v>
      </c>
      <c r="O702" t="s">
        <v>58</v>
      </c>
      <c r="P702" t="s">
        <v>59</v>
      </c>
      <c r="Q702" t="s">
        <v>60</v>
      </c>
      <c r="R702" t="s">
        <v>130</v>
      </c>
      <c r="S702" s="3">
        <v>20.23</v>
      </c>
      <c r="T702" s="5">
        <v>45187</v>
      </c>
      <c r="U702">
        <v>2</v>
      </c>
      <c r="V702">
        <v>2023</v>
      </c>
      <c r="X702">
        <f t="shared" si="30"/>
        <v>6.5599297999999999</v>
      </c>
      <c r="Y702">
        <f t="shared" si="31"/>
        <v>20.229929800000001</v>
      </c>
      <c r="Z702">
        <f t="shared" si="32"/>
        <v>55.799929799999994</v>
      </c>
    </row>
    <row r="703" spans="1:26" x14ac:dyDescent="0.3">
      <c r="A703" t="s">
        <v>793</v>
      </c>
      <c r="B703" t="s">
        <v>67</v>
      </c>
      <c r="C703" t="s">
        <v>68</v>
      </c>
      <c r="D703" t="s">
        <v>69</v>
      </c>
      <c r="E703">
        <v>22</v>
      </c>
      <c r="F703" s="3">
        <v>8.42</v>
      </c>
      <c r="G703" s="4">
        <v>92.4</v>
      </c>
      <c r="H703">
        <v>0</v>
      </c>
      <c r="I703">
        <v>2</v>
      </c>
      <c r="J703">
        <v>5</v>
      </c>
      <c r="K703" s="4">
        <v>80</v>
      </c>
      <c r="L703" s="4">
        <v>64</v>
      </c>
      <c r="M703" s="4">
        <v>70.8</v>
      </c>
      <c r="N703">
        <v>0</v>
      </c>
      <c r="O703" t="s">
        <v>58</v>
      </c>
      <c r="P703" t="s">
        <v>70</v>
      </c>
      <c r="Q703" t="s">
        <v>71</v>
      </c>
      <c r="R703" t="s">
        <v>85</v>
      </c>
      <c r="S703" s="3">
        <v>5.38</v>
      </c>
      <c r="T703" s="5">
        <v>45203</v>
      </c>
      <c r="U703">
        <v>1</v>
      </c>
      <c r="V703">
        <v>2023</v>
      </c>
      <c r="X703">
        <f t="shared" si="30"/>
        <v>8.4199296999999991</v>
      </c>
      <c r="Y703">
        <f t="shared" si="31"/>
        <v>5.3799296999999999</v>
      </c>
      <c r="Z703">
        <f t="shared" si="32"/>
        <v>63.999929700000003</v>
      </c>
    </row>
    <row r="704" spans="1:26" x14ac:dyDescent="0.3">
      <c r="A704" t="s">
        <v>794</v>
      </c>
      <c r="B704" t="s">
        <v>82</v>
      </c>
      <c r="C704" t="s">
        <v>56</v>
      </c>
      <c r="D704" t="s">
        <v>57</v>
      </c>
      <c r="E704">
        <v>20</v>
      </c>
      <c r="F704" s="3">
        <v>6.16</v>
      </c>
      <c r="G704" s="4">
        <v>77.400000000000006</v>
      </c>
      <c r="H704">
        <v>0</v>
      </c>
      <c r="I704">
        <v>4</v>
      </c>
      <c r="J704">
        <v>6</v>
      </c>
      <c r="K704" s="4">
        <v>72.2</v>
      </c>
      <c r="L704" s="4">
        <v>57.6</v>
      </c>
      <c r="M704" s="4">
        <v>78.3</v>
      </c>
      <c r="N704">
        <v>1</v>
      </c>
      <c r="O704" t="s">
        <v>58</v>
      </c>
      <c r="P704" t="s">
        <v>112</v>
      </c>
      <c r="Q704" t="s">
        <v>93</v>
      </c>
      <c r="R704" t="s">
        <v>85</v>
      </c>
      <c r="S704" s="3">
        <v>3.05</v>
      </c>
      <c r="T704" s="5">
        <v>44869</v>
      </c>
      <c r="U704">
        <v>1</v>
      </c>
      <c r="V704">
        <v>2022</v>
      </c>
      <c r="X704">
        <f t="shared" si="30"/>
        <v>6.1599295999999999</v>
      </c>
      <c r="Y704">
        <f t="shared" si="31"/>
        <v>3.0499296</v>
      </c>
      <c r="Z704">
        <f t="shared" si="32"/>
        <v>57.599929600000003</v>
      </c>
    </row>
    <row r="705" spans="1:26" x14ac:dyDescent="0.3">
      <c r="A705" t="s">
        <v>795</v>
      </c>
      <c r="B705" t="s">
        <v>55</v>
      </c>
      <c r="C705" t="s">
        <v>56</v>
      </c>
      <c r="D705" t="s">
        <v>69</v>
      </c>
      <c r="E705">
        <v>21</v>
      </c>
      <c r="F705" s="3">
        <v>9.4700000000000006</v>
      </c>
      <c r="G705" s="4">
        <v>84</v>
      </c>
      <c r="H705">
        <v>2</v>
      </c>
      <c r="I705">
        <v>1</v>
      </c>
      <c r="J705">
        <v>3</v>
      </c>
      <c r="K705" s="4">
        <v>70.7</v>
      </c>
      <c r="L705" s="4">
        <v>84.9</v>
      </c>
      <c r="M705" s="4">
        <v>90.3</v>
      </c>
      <c r="N705">
        <v>0</v>
      </c>
      <c r="O705" t="s">
        <v>58</v>
      </c>
      <c r="P705" t="s">
        <v>104</v>
      </c>
      <c r="Q705" t="s">
        <v>105</v>
      </c>
      <c r="R705" t="s">
        <v>85</v>
      </c>
      <c r="S705" s="3">
        <v>18.510000000000002</v>
      </c>
      <c r="T705" s="5">
        <v>45505</v>
      </c>
      <c r="U705">
        <v>1</v>
      </c>
      <c r="V705">
        <v>2024</v>
      </c>
      <c r="X705">
        <f t="shared" si="30"/>
        <v>9.469929500000001</v>
      </c>
      <c r="Y705">
        <f t="shared" si="31"/>
        <v>18.509929500000002</v>
      </c>
      <c r="Z705">
        <f t="shared" si="32"/>
        <v>84.899929499999999</v>
      </c>
    </row>
    <row r="706" spans="1:26" x14ac:dyDescent="0.3">
      <c r="A706" t="s">
        <v>796</v>
      </c>
      <c r="B706" t="s">
        <v>107</v>
      </c>
      <c r="C706" t="s">
        <v>89</v>
      </c>
      <c r="D706" t="s">
        <v>69</v>
      </c>
      <c r="E706">
        <v>21</v>
      </c>
      <c r="F706" s="3">
        <v>8.43</v>
      </c>
      <c r="G706" s="4">
        <v>74</v>
      </c>
      <c r="H706">
        <v>2</v>
      </c>
      <c r="I706">
        <v>3</v>
      </c>
      <c r="J706">
        <v>5</v>
      </c>
      <c r="K706" s="4">
        <v>91.7</v>
      </c>
      <c r="L706" s="4">
        <v>38.799999999999997</v>
      </c>
      <c r="M706" s="4">
        <v>97.4</v>
      </c>
      <c r="N706">
        <v>0</v>
      </c>
      <c r="O706" t="s">
        <v>58</v>
      </c>
      <c r="P706" t="s">
        <v>95</v>
      </c>
      <c r="Q706" t="s">
        <v>93</v>
      </c>
      <c r="R706" t="s">
        <v>72</v>
      </c>
      <c r="S706" s="3">
        <v>5.18</v>
      </c>
      <c r="T706" s="5">
        <v>44476</v>
      </c>
      <c r="U706">
        <v>2</v>
      </c>
      <c r="V706">
        <v>2021</v>
      </c>
      <c r="X706">
        <f t="shared" ref="X706:X769" si="33">F706-ROW()*0.0000001</f>
        <v>8.4299293999999989</v>
      </c>
      <c r="Y706">
        <f t="shared" ref="Y706:Y769" si="34">S706-ROW()*0.0000001</f>
        <v>5.1799293999999998</v>
      </c>
      <c r="Z706">
        <f t="shared" ref="Z706:Z769" si="35">L706-ROW()*0.0000001</f>
        <v>38.799929399999996</v>
      </c>
    </row>
    <row r="707" spans="1:26" x14ac:dyDescent="0.3">
      <c r="A707" t="s">
        <v>797</v>
      </c>
      <c r="B707" t="s">
        <v>55</v>
      </c>
      <c r="C707" t="s">
        <v>68</v>
      </c>
      <c r="D707" t="s">
        <v>69</v>
      </c>
      <c r="E707">
        <v>22</v>
      </c>
      <c r="F707" s="3">
        <v>10</v>
      </c>
      <c r="G707" s="4">
        <v>81</v>
      </c>
      <c r="H707">
        <v>0</v>
      </c>
      <c r="I707">
        <v>1</v>
      </c>
      <c r="J707">
        <v>1</v>
      </c>
      <c r="K707" s="4">
        <v>87.7</v>
      </c>
      <c r="L707" s="4">
        <v>74.2</v>
      </c>
      <c r="M707" s="4">
        <v>75.7</v>
      </c>
      <c r="N707">
        <v>0</v>
      </c>
      <c r="O707" t="s">
        <v>58</v>
      </c>
      <c r="P707" t="s">
        <v>90</v>
      </c>
      <c r="Q707" t="s">
        <v>60</v>
      </c>
      <c r="R707" t="s">
        <v>130</v>
      </c>
      <c r="S707" s="3">
        <v>9.2100000000000009</v>
      </c>
      <c r="T707" s="5">
        <v>45588</v>
      </c>
      <c r="U707">
        <v>1</v>
      </c>
      <c r="V707">
        <v>2024</v>
      </c>
      <c r="X707">
        <f t="shared" si="33"/>
        <v>9.9999292999999998</v>
      </c>
      <c r="Y707">
        <f t="shared" si="34"/>
        <v>9.2099293000000007</v>
      </c>
      <c r="Z707">
        <f t="shared" si="35"/>
        <v>74.199929300000008</v>
      </c>
    </row>
    <row r="708" spans="1:26" x14ac:dyDescent="0.3">
      <c r="A708" t="s">
        <v>798</v>
      </c>
      <c r="B708" t="s">
        <v>63</v>
      </c>
      <c r="C708" t="s">
        <v>84</v>
      </c>
      <c r="D708" t="s">
        <v>57</v>
      </c>
      <c r="E708">
        <v>20</v>
      </c>
      <c r="F708" s="3">
        <v>8</v>
      </c>
      <c r="G708" s="4">
        <v>68</v>
      </c>
      <c r="H708">
        <v>1</v>
      </c>
      <c r="I708">
        <v>3</v>
      </c>
      <c r="J708">
        <v>4</v>
      </c>
      <c r="K708" s="4">
        <v>81.2</v>
      </c>
      <c r="L708" s="4">
        <v>44.2</v>
      </c>
      <c r="M708" s="4">
        <v>84.2</v>
      </c>
      <c r="N708">
        <v>1</v>
      </c>
      <c r="O708" t="s">
        <v>58</v>
      </c>
      <c r="P708" t="s">
        <v>112</v>
      </c>
      <c r="Q708" t="s">
        <v>93</v>
      </c>
      <c r="R708" t="s">
        <v>85</v>
      </c>
      <c r="S708" s="3">
        <v>5.46</v>
      </c>
      <c r="T708" s="5">
        <v>45928</v>
      </c>
      <c r="U708">
        <v>1</v>
      </c>
      <c r="V708">
        <v>2025</v>
      </c>
      <c r="X708">
        <f t="shared" si="33"/>
        <v>7.9999292000000004</v>
      </c>
      <c r="Y708">
        <f t="shared" si="34"/>
        <v>5.4599292000000004</v>
      </c>
      <c r="Z708">
        <f t="shared" si="35"/>
        <v>44.1999292</v>
      </c>
    </row>
    <row r="709" spans="1:26" x14ac:dyDescent="0.3">
      <c r="A709" t="s">
        <v>799</v>
      </c>
      <c r="B709" t="s">
        <v>67</v>
      </c>
      <c r="C709" t="s">
        <v>56</v>
      </c>
      <c r="D709" t="s">
        <v>57</v>
      </c>
      <c r="E709">
        <v>21</v>
      </c>
      <c r="F709" s="3">
        <v>8.48</v>
      </c>
      <c r="G709" s="4">
        <v>88.4</v>
      </c>
      <c r="H709">
        <v>2</v>
      </c>
      <c r="I709">
        <v>3</v>
      </c>
      <c r="J709">
        <v>5</v>
      </c>
      <c r="K709" s="4">
        <v>84.2</v>
      </c>
      <c r="L709" s="4">
        <v>41.7</v>
      </c>
      <c r="M709" s="4">
        <v>71</v>
      </c>
      <c r="N709">
        <v>0</v>
      </c>
      <c r="O709" t="s">
        <v>58</v>
      </c>
      <c r="P709" t="s">
        <v>75</v>
      </c>
      <c r="Q709" t="s">
        <v>71</v>
      </c>
      <c r="R709" t="s">
        <v>76</v>
      </c>
      <c r="S709" s="3">
        <v>5.26</v>
      </c>
      <c r="T709" s="5">
        <v>45242</v>
      </c>
      <c r="U709">
        <v>1</v>
      </c>
      <c r="V709">
        <v>2023</v>
      </c>
      <c r="X709">
        <f t="shared" si="33"/>
        <v>8.4799290999999997</v>
      </c>
      <c r="Y709">
        <f t="shared" si="34"/>
        <v>5.2599290999999999</v>
      </c>
      <c r="Z709">
        <f t="shared" si="35"/>
        <v>41.699929100000006</v>
      </c>
    </row>
    <row r="710" spans="1:26" x14ac:dyDescent="0.3">
      <c r="A710" t="s">
        <v>800</v>
      </c>
      <c r="B710" t="s">
        <v>107</v>
      </c>
      <c r="C710" t="s">
        <v>78</v>
      </c>
      <c r="D710" t="s">
        <v>57</v>
      </c>
      <c r="E710">
        <v>23</v>
      </c>
      <c r="F710" s="3">
        <v>7.4</v>
      </c>
      <c r="G710" s="4">
        <v>78.3</v>
      </c>
      <c r="H710">
        <v>0</v>
      </c>
      <c r="I710">
        <v>1</v>
      </c>
      <c r="J710">
        <v>3</v>
      </c>
      <c r="K710" s="4">
        <v>72.900000000000006</v>
      </c>
      <c r="L710" s="4">
        <v>76.2</v>
      </c>
      <c r="M710" s="4">
        <v>77.900000000000006</v>
      </c>
      <c r="N710">
        <v>0</v>
      </c>
      <c r="O710" t="s">
        <v>58</v>
      </c>
      <c r="P710" t="s">
        <v>90</v>
      </c>
      <c r="Q710" t="s">
        <v>60</v>
      </c>
      <c r="R710" t="s">
        <v>109</v>
      </c>
      <c r="S710" s="3">
        <v>8.58</v>
      </c>
      <c r="T710" s="5">
        <v>44445</v>
      </c>
      <c r="U710">
        <v>1</v>
      </c>
      <c r="V710">
        <v>2021</v>
      </c>
      <c r="X710">
        <f t="shared" si="33"/>
        <v>7.3999290000000002</v>
      </c>
      <c r="Y710">
        <f t="shared" si="34"/>
        <v>8.5799289999999999</v>
      </c>
      <c r="Z710">
        <f t="shared" si="35"/>
        <v>76.199928999999997</v>
      </c>
    </row>
    <row r="711" spans="1:26" x14ac:dyDescent="0.3">
      <c r="A711" t="s">
        <v>801</v>
      </c>
      <c r="B711" t="s">
        <v>107</v>
      </c>
      <c r="C711" t="s">
        <v>56</v>
      </c>
      <c r="D711" t="s">
        <v>57</v>
      </c>
      <c r="E711">
        <v>21</v>
      </c>
      <c r="F711" s="3">
        <v>7.61</v>
      </c>
      <c r="G711" s="4">
        <v>80.099999999999994</v>
      </c>
      <c r="H711">
        <v>1</v>
      </c>
      <c r="I711">
        <v>2</v>
      </c>
      <c r="J711">
        <v>2</v>
      </c>
      <c r="K711" s="4">
        <v>74.7</v>
      </c>
      <c r="L711" s="4">
        <v>51.8</v>
      </c>
      <c r="M711" s="4">
        <v>71.099999999999994</v>
      </c>
      <c r="N711">
        <v>3</v>
      </c>
      <c r="O711" t="s">
        <v>58</v>
      </c>
      <c r="P711" t="s">
        <v>112</v>
      </c>
      <c r="Q711" t="s">
        <v>93</v>
      </c>
      <c r="R711" t="s">
        <v>130</v>
      </c>
      <c r="S711" s="3">
        <v>6.65</v>
      </c>
      <c r="T711" s="5">
        <v>44486</v>
      </c>
      <c r="U711">
        <v>1</v>
      </c>
      <c r="V711">
        <v>2021</v>
      </c>
      <c r="X711">
        <f t="shared" si="33"/>
        <v>7.6099288999999999</v>
      </c>
      <c r="Y711">
        <f t="shared" si="34"/>
        <v>6.6499288999999999</v>
      </c>
      <c r="Z711">
        <f t="shared" si="35"/>
        <v>51.799928899999998</v>
      </c>
    </row>
    <row r="712" spans="1:26" x14ac:dyDescent="0.3">
      <c r="A712" t="s">
        <v>802</v>
      </c>
      <c r="B712" t="s">
        <v>63</v>
      </c>
      <c r="C712" t="s">
        <v>56</v>
      </c>
      <c r="D712" t="s">
        <v>69</v>
      </c>
      <c r="E712">
        <v>22</v>
      </c>
      <c r="F712" s="3">
        <v>6.7</v>
      </c>
      <c r="G712" s="4">
        <v>82.6</v>
      </c>
      <c r="H712">
        <v>2</v>
      </c>
      <c r="I712">
        <v>3</v>
      </c>
      <c r="J712">
        <v>4</v>
      </c>
      <c r="K712" s="4">
        <v>57.2</v>
      </c>
      <c r="L712" s="4">
        <v>80.5</v>
      </c>
      <c r="M712" s="4">
        <v>88.1</v>
      </c>
      <c r="N712">
        <v>0</v>
      </c>
      <c r="O712" t="s">
        <v>58</v>
      </c>
      <c r="P712" t="s">
        <v>87</v>
      </c>
      <c r="Q712" t="s">
        <v>71</v>
      </c>
      <c r="R712" t="s">
        <v>61</v>
      </c>
      <c r="S712" s="3">
        <v>5.73</v>
      </c>
      <c r="T712" s="5">
        <v>45921</v>
      </c>
      <c r="U712">
        <v>1</v>
      </c>
      <c r="V712">
        <v>2025</v>
      </c>
      <c r="X712">
        <f t="shared" si="33"/>
        <v>6.6999288000000004</v>
      </c>
      <c r="Y712">
        <f t="shared" si="34"/>
        <v>5.7299288000000006</v>
      </c>
      <c r="Z712">
        <f t="shared" si="35"/>
        <v>80.499928800000006</v>
      </c>
    </row>
    <row r="713" spans="1:26" x14ac:dyDescent="0.3">
      <c r="A713" t="s">
        <v>803</v>
      </c>
      <c r="B713" t="s">
        <v>63</v>
      </c>
      <c r="C713" t="s">
        <v>68</v>
      </c>
      <c r="D713" t="s">
        <v>69</v>
      </c>
      <c r="E713">
        <v>23</v>
      </c>
      <c r="F713" s="3">
        <v>6.35</v>
      </c>
      <c r="G713" s="4">
        <v>64.3</v>
      </c>
      <c r="H713">
        <v>3</v>
      </c>
      <c r="I713">
        <v>1</v>
      </c>
      <c r="J713">
        <v>5</v>
      </c>
      <c r="K713" s="4">
        <v>73.3</v>
      </c>
      <c r="L713" s="4">
        <v>84.5</v>
      </c>
      <c r="M713" s="4">
        <v>94.1</v>
      </c>
      <c r="N713">
        <v>0</v>
      </c>
      <c r="O713" t="s">
        <v>58</v>
      </c>
      <c r="P713" t="s">
        <v>79</v>
      </c>
      <c r="Q713" t="s">
        <v>71</v>
      </c>
      <c r="R713" t="s">
        <v>109</v>
      </c>
      <c r="S713" s="3">
        <v>7.54</v>
      </c>
      <c r="T713" s="5">
        <v>45989</v>
      </c>
      <c r="U713">
        <v>1</v>
      </c>
      <c r="V713">
        <v>2025</v>
      </c>
      <c r="X713">
        <f t="shared" si="33"/>
        <v>6.3499286999999995</v>
      </c>
      <c r="Y713">
        <f t="shared" si="34"/>
        <v>7.5399286999999999</v>
      </c>
      <c r="Z713">
        <f t="shared" si="35"/>
        <v>84.499928699999998</v>
      </c>
    </row>
    <row r="714" spans="1:26" x14ac:dyDescent="0.3">
      <c r="A714" t="s">
        <v>804</v>
      </c>
      <c r="B714" t="s">
        <v>82</v>
      </c>
      <c r="C714" t="s">
        <v>68</v>
      </c>
      <c r="D714" t="s">
        <v>57</v>
      </c>
      <c r="E714">
        <v>20</v>
      </c>
      <c r="F714" s="3">
        <v>7.82</v>
      </c>
      <c r="G714" s="4">
        <v>75.8</v>
      </c>
      <c r="H714">
        <v>2</v>
      </c>
      <c r="I714">
        <v>3</v>
      </c>
      <c r="J714">
        <v>6</v>
      </c>
      <c r="K714" s="4">
        <v>59</v>
      </c>
      <c r="L714" s="4">
        <v>63.3</v>
      </c>
      <c r="M714" s="4">
        <v>59.5</v>
      </c>
      <c r="N714">
        <v>0</v>
      </c>
      <c r="O714" t="s">
        <v>58</v>
      </c>
      <c r="P714" t="s">
        <v>59</v>
      </c>
      <c r="Q714" t="s">
        <v>60</v>
      </c>
      <c r="R714" t="s">
        <v>72</v>
      </c>
      <c r="S714" s="3">
        <v>19.39</v>
      </c>
      <c r="T714" s="5">
        <v>44892</v>
      </c>
      <c r="U714">
        <v>2</v>
      </c>
      <c r="V714">
        <v>2022</v>
      </c>
      <c r="X714">
        <f t="shared" si="33"/>
        <v>7.8199285999999999</v>
      </c>
      <c r="Y714">
        <f t="shared" si="34"/>
        <v>19.389928600000001</v>
      </c>
      <c r="Z714">
        <f t="shared" si="35"/>
        <v>63.299928599999994</v>
      </c>
    </row>
    <row r="715" spans="1:26" x14ac:dyDescent="0.3">
      <c r="A715" t="s">
        <v>805</v>
      </c>
      <c r="B715" t="s">
        <v>67</v>
      </c>
      <c r="C715" t="s">
        <v>78</v>
      </c>
      <c r="D715" t="s">
        <v>57</v>
      </c>
      <c r="E715">
        <v>23</v>
      </c>
      <c r="F715" s="3">
        <v>7.61</v>
      </c>
      <c r="G715" s="4">
        <v>83.2</v>
      </c>
      <c r="H715">
        <v>2</v>
      </c>
      <c r="I715">
        <v>2</v>
      </c>
      <c r="J715">
        <v>5</v>
      </c>
      <c r="K715" s="4">
        <v>85.4</v>
      </c>
      <c r="L715" s="4">
        <v>77.3</v>
      </c>
      <c r="M715" s="4">
        <v>72.7</v>
      </c>
      <c r="N715">
        <v>0</v>
      </c>
      <c r="O715" t="s">
        <v>64</v>
      </c>
      <c r="P715" t="s">
        <v>65</v>
      </c>
      <c r="S715" s="3">
        <v>0</v>
      </c>
      <c r="T715" s="5"/>
      <c r="U715">
        <v>0</v>
      </c>
      <c r="V715">
        <v>2023</v>
      </c>
      <c r="X715">
        <f t="shared" si="33"/>
        <v>7.6099285000000005</v>
      </c>
      <c r="Y715">
        <f t="shared" si="34"/>
        <v>-7.1500000000000003E-5</v>
      </c>
      <c r="Z715">
        <f t="shared" si="35"/>
        <v>77.299928499999993</v>
      </c>
    </row>
    <row r="716" spans="1:26" x14ac:dyDescent="0.3">
      <c r="A716" t="s">
        <v>806</v>
      </c>
      <c r="B716" t="s">
        <v>67</v>
      </c>
      <c r="C716" t="s">
        <v>84</v>
      </c>
      <c r="D716" t="s">
        <v>57</v>
      </c>
      <c r="E716">
        <v>23</v>
      </c>
      <c r="F716" s="3">
        <v>6.68</v>
      </c>
      <c r="G716" s="4">
        <v>80.599999999999994</v>
      </c>
      <c r="H716">
        <v>1</v>
      </c>
      <c r="I716">
        <v>1</v>
      </c>
      <c r="J716">
        <v>3</v>
      </c>
      <c r="K716" s="4">
        <v>76.7</v>
      </c>
      <c r="L716" s="4">
        <v>92.1</v>
      </c>
      <c r="M716" s="4">
        <v>67.5</v>
      </c>
      <c r="N716">
        <v>1</v>
      </c>
      <c r="O716" t="s">
        <v>58</v>
      </c>
      <c r="P716" t="s">
        <v>79</v>
      </c>
      <c r="Q716" t="s">
        <v>71</v>
      </c>
      <c r="R716" t="s">
        <v>72</v>
      </c>
      <c r="S716" s="3">
        <v>5.84</v>
      </c>
      <c r="T716" s="5">
        <v>45256</v>
      </c>
      <c r="U716">
        <v>3</v>
      </c>
      <c r="V716">
        <v>2023</v>
      </c>
      <c r="X716">
        <f t="shared" si="33"/>
        <v>6.6799283999999997</v>
      </c>
      <c r="Y716">
        <f t="shared" si="34"/>
        <v>5.8399283999999998</v>
      </c>
      <c r="Z716">
        <f t="shared" si="35"/>
        <v>92.099928399999996</v>
      </c>
    </row>
    <row r="717" spans="1:26" x14ac:dyDescent="0.3">
      <c r="A717" t="s">
        <v>807</v>
      </c>
      <c r="B717" t="s">
        <v>55</v>
      </c>
      <c r="C717" t="s">
        <v>89</v>
      </c>
      <c r="D717" t="s">
        <v>57</v>
      </c>
      <c r="E717">
        <v>22</v>
      </c>
      <c r="F717" s="3">
        <v>6.84</v>
      </c>
      <c r="G717" s="4">
        <v>100</v>
      </c>
      <c r="H717">
        <v>2</v>
      </c>
      <c r="I717">
        <v>4</v>
      </c>
      <c r="J717">
        <v>5</v>
      </c>
      <c r="K717" s="4">
        <v>62</v>
      </c>
      <c r="L717" s="4">
        <v>55.6</v>
      </c>
      <c r="M717" s="4">
        <v>70.2</v>
      </c>
      <c r="N717">
        <v>0</v>
      </c>
      <c r="O717" t="s">
        <v>58</v>
      </c>
      <c r="P717" t="s">
        <v>112</v>
      </c>
      <c r="Q717" t="s">
        <v>93</v>
      </c>
      <c r="R717" t="s">
        <v>80</v>
      </c>
      <c r="S717" s="3">
        <v>5.78</v>
      </c>
      <c r="T717" s="5">
        <v>45506</v>
      </c>
      <c r="U717">
        <v>2</v>
      </c>
      <c r="V717">
        <v>2024</v>
      </c>
      <c r="X717">
        <f t="shared" si="33"/>
        <v>6.8399282999999995</v>
      </c>
      <c r="Y717">
        <f t="shared" si="34"/>
        <v>5.7799282999999999</v>
      </c>
      <c r="Z717">
        <f t="shared" si="35"/>
        <v>55.599928300000002</v>
      </c>
    </row>
    <row r="718" spans="1:26" x14ac:dyDescent="0.3">
      <c r="A718" t="s">
        <v>808</v>
      </c>
      <c r="B718" t="s">
        <v>82</v>
      </c>
      <c r="C718" t="s">
        <v>84</v>
      </c>
      <c r="D718" t="s">
        <v>57</v>
      </c>
      <c r="E718">
        <v>21</v>
      </c>
      <c r="F718" s="3">
        <v>7.68</v>
      </c>
      <c r="G718" s="4">
        <v>93.3</v>
      </c>
      <c r="H718">
        <v>0</v>
      </c>
      <c r="I718">
        <v>2</v>
      </c>
      <c r="J718">
        <v>5</v>
      </c>
      <c r="K718" s="4">
        <v>77.8</v>
      </c>
      <c r="L718" s="4">
        <v>82.9</v>
      </c>
      <c r="M718" s="4">
        <v>71.099999999999994</v>
      </c>
      <c r="N718">
        <v>1</v>
      </c>
      <c r="O718" t="s">
        <v>58</v>
      </c>
      <c r="P718" t="s">
        <v>92</v>
      </c>
      <c r="Q718" t="s">
        <v>93</v>
      </c>
      <c r="R718" t="s">
        <v>109</v>
      </c>
      <c r="S718" s="3">
        <v>8.49</v>
      </c>
      <c r="T718" s="5">
        <v>44794</v>
      </c>
      <c r="U718">
        <v>1</v>
      </c>
      <c r="V718">
        <v>2022</v>
      </c>
      <c r="X718">
        <f t="shared" si="33"/>
        <v>7.6799282</v>
      </c>
      <c r="Y718">
        <f t="shared" si="34"/>
        <v>8.4899281999999996</v>
      </c>
      <c r="Z718">
        <f t="shared" si="35"/>
        <v>82.899928200000005</v>
      </c>
    </row>
    <row r="719" spans="1:26" x14ac:dyDescent="0.3">
      <c r="A719" t="s">
        <v>809</v>
      </c>
      <c r="B719" t="s">
        <v>82</v>
      </c>
      <c r="C719" t="s">
        <v>84</v>
      </c>
      <c r="D719" t="s">
        <v>69</v>
      </c>
      <c r="E719">
        <v>20</v>
      </c>
      <c r="F719" s="3">
        <v>6.67</v>
      </c>
      <c r="G719" s="4">
        <v>83.3</v>
      </c>
      <c r="H719">
        <v>3</v>
      </c>
      <c r="I719">
        <v>1</v>
      </c>
      <c r="J719">
        <v>3</v>
      </c>
      <c r="K719" s="4">
        <v>83.7</v>
      </c>
      <c r="L719" s="4">
        <v>58.3</v>
      </c>
      <c r="M719" s="4">
        <v>63.6</v>
      </c>
      <c r="N719">
        <v>0</v>
      </c>
      <c r="O719" t="s">
        <v>64</v>
      </c>
      <c r="P719" t="s">
        <v>65</v>
      </c>
      <c r="S719" s="3">
        <v>0</v>
      </c>
      <c r="T719" s="5"/>
      <c r="U719">
        <v>0</v>
      </c>
      <c r="V719">
        <v>2022</v>
      </c>
      <c r="X719">
        <f t="shared" si="33"/>
        <v>6.6699280999999999</v>
      </c>
      <c r="Y719">
        <f t="shared" si="34"/>
        <v>-7.1899999999999999E-5</v>
      </c>
      <c r="Z719">
        <f t="shared" si="35"/>
        <v>58.299928099999995</v>
      </c>
    </row>
    <row r="720" spans="1:26" x14ac:dyDescent="0.3">
      <c r="A720" t="s">
        <v>810</v>
      </c>
      <c r="B720" t="s">
        <v>82</v>
      </c>
      <c r="C720" t="s">
        <v>89</v>
      </c>
      <c r="D720" t="s">
        <v>57</v>
      </c>
      <c r="E720">
        <v>23</v>
      </c>
      <c r="F720" s="3">
        <v>7.97</v>
      </c>
      <c r="G720" s="4">
        <v>72.8</v>
      </c>
      <c r="H720">
        <v>1</v>
      </c>
      <c r="I720">
        <v>1</v>
      </c>
      <c r="J720">
        <v>2</v>
      </c>
      <c r="K720" s="4">
        <v>55.8</v>
      </c>
      <c r="L720" s="4">
        <v>70.099999999999994</v>
      </c>
      <c r="M720" s="4">
        <v>77.400000000000006</v>
      </c>
      <c r="N720">
        <v>1</v>
      </c>
      <c r="O720" t="s">
        <v>58</v>
      </c>
      <c r="P720" t="s">
        <v>95</v>
      </c>
      <c r="Q720" t="s">
        <v>93</v>
      </c>
      <c r="R720" t="s">
        <v>72</v>
      </c>
      <c r="S720" s="3">
        <v>7.13</v>
      </c>
      <c r="T720" s="5">
        <v>44849</v>
      </c>
      <c r="U720">
        <v>2</v>
      </c>
      <c r="V720">
        <v>2022</v>
      </c>
      <c r="X720">
        <f t="shared" si="33"/>
        <v>7.9699279999999995</v>
      </c>
      <c r="Y720">
        <f t="shared" si="34"/>
        <v>7.1299279999999996</v>
      </c>
      <c r="Z720">
        <f t="shared" si="35"/>
        <v>70.099927999999991</v>
      </c>
    </row>
    <row r="721" spans="1:26" x14ac:dyDescent="0.3">
      <c r="A721" t="s">
        <v>811</v>
      </c>
      <c r="B721" t="s">
        <v>82</v>
      </c>
      <c r="C721" t="s">
        <v>101</v>
      </c>
      <c r="D721" t="s">
        <v>69</v>
      </c>
      <c r="E721">
        <v>22</v>
      </c>
      <c r="F721" s="3">
        <v>6.69</v>
      </c>
      <c r="G721" s="4">
        <v>77.5</v>
      </c>
      <c r="H721">
        <v>2</v>
      </c>
      <c r="I721">
        <v>2</v>
      </c>
      <c r="J721">
        <v>5</v>
      </c>
      <c r="K721" s="4">
        <v>64.400000000000006</v>
      </c>
      <c r="L721" s="4">
        <v>60.7</v>
      </c>
      <c r="M721" s="4">
        <v>60</v>
      </c>
      <c r="N721">
        <v>0</v>
      </c>
      <c r="O721" t="s">
        <v>58</v>
      </c>
      <c r="P721" t="s">
        <v>112</v>
      </c>
      <c r="Q721" t="s">
        <v>93</v>
      </c>
      <c r="R721" t="s">
        <v>80</v>
      </c>
      <c r="S721" s="3">
        <v>5.66</v>
      </c>
      <c r="T721" s="5">
        <v>44855</v>
      </c>
      <c r="U721">
        <v>1</v>
      </c>
      <c r="V721">
        <v>2022</v>
      </c>
      <c r="X721">
        <f t="shared" si="33"/>
        <v>6.6899279000000007</v>
      </c>
      <c r="Y721">
        <f t="shared" si="34"/>
        <v>5.6599279000000005</v>
      </c>
      <c r="Z721">
        <f t="shared" si="35"/>
        <v>60.699927900000006</v>
      </c>
    </row>
    <row r="722" spans="1:26" x14ac:dyDescent="0.3">
      <c r="A722" t="s">
        <v>812</v>
      </c>
      <c r="B722" t="s">
        <v>67</v>
      </c>
      <c r="C722" t="s">
        <v>89</v>
      </c>
      <c r="D722" t="s">
        <v>57</v>
      </c>
      <c r="E722">
        <v>21</v>
      </c>
      <c r="F722" s="3">
        <v>7.88</v>
      </c>
      <c r="G722" s="4">
        <v>87.9</v>
      </c>
      <c r="H722">
        <v>2</v>
      </c>
      <c r="I722">
        <v>3</v>
      </c>
      <c r="J722">
        <v>5</v>
      </c>
      <c r="K722" s="4">
        <v>54.4</v>
      </c>
      <c r="L722" s="4">
        <v>61.2</v>
      </c>
      <c r="M722" s="4">
        <v>84.6</v>
      </c>
      <c r="N722">
        <v>0</v>
      </c>
      <c r="O722" t="s">
        <v>58</v>
      </c>
      <c r="P722" t="s">
        <v>92</v>
      </c>
      <c r="Q722" t="s">
        <v>93</v>
      </c>
      <c r="R722" t="s">
        <v>76</v>
      </c>
      <c r="S722" s="3">
        <v>8.84</v>
      </c>
      <c r="T722" s="5">
        <v>45176</v>
      </c>
      <c r="U722">
        <v>1</v>
      </c>
      <c r="V722">
        <v>2023</v>
      </c>
      <c r="X722">
        <f t="shared" si="33"/>
        <v>7.8799277999999999</v>
      </c>
      <c r="Y722">
        <f t="shared" si="34"/>
        <v>8.8399277999999999</v>
      </c>
      <c r="Z722">
        <f t="shared" si="35"/>
        <v>61.199927800000005</v>
      </c>
    </row>
    <row r="723" spans="1:26" x14ac:dyDescent="0.3">
      <c r="A723" t="s">
        <v>813</v>
      </c>
      <c r="B723" t="s">
        <v>67</v>
      </c>
      <c r="C723" t="s">
        <v>56</v>
      </c>
      <c r="D723" t="s">
        <v>57</v>
      </c>
      <c r="E723">
        <v>23</v>
      </c>
      <c r="F723" s="3">
        <v>6.61</v>
      </c>
      <c r="G723" s="4">
        <v>82.7</v>
      </c>
      <c r="H723">
        <v>0</v>
      </c>
      <c r="I723">
        <v>2</v>
      </c>
      <c r="J723">
        <v>2</v>
      </c>
      <c r="K723" s="4">
        <v>67.400000000000006</v>
      </c>
      <c r="L723" s="4">
        <v>64.599999999999994</v>
      </c>
      <c r="M723" s="4">
        <v>77.5</v>
      </c>
      <c r="N723">
        <v>0</v>
      </c>
      <c r="O723" t="s">
        <v>64</v>
      </c>
      <c r="P723" t="s">
        <v>65</v>
      </c>
      <c r="S723" s="3">
        <v>0</v>
      </c>
      <c r="T723" s="5"/>
      <c r="U723">
        <v>0</v>
      </c>
      <c r="V723">
        <v>2023</v>
      </c>
      <c r="X723">
        <f t="shared" si="33"/>
        <v>6.6099277000000001</v>
      </c>
      <c r="Y723">
        <f t="shared" si="34"/>
        <v>-7.2299999999999996E-5</v>
      </c>
      <c r="Z723">
        <f t="shared" si="35"/>
        <v>64.599927699999995</v>
      </c>
    </row>
    <row r="724" spans="1:26" x14ac:dyDescent="0.3">
      <c r="A724" t="s">
        <v>814</v>
      </c>
      <c r="B724" t="s">
        <v>82</v>
      </c>
      <c r="C724" t="s">
        <v>78</v>
      </c>
      <c r="D724" t="s">
        <v>57</v>
      </c>
      <c r="E724">
        <v>22</v>
      </c>
      <c r="F724" s="3">
        <v>6.62</v>
      </c>
      <c r="G724" s="4">
        <v>93.5</v>
      </c>
      <c r="H724">
        <v>3</v>
      </c>
      <c r="I724">
        <v>3</v>
      </c>
      <c r="J724">
        <v>6</v>
      </c>
      <c r="K724" s="4">
        <v>86.7</v>
      </c>
      <c r="L724" s="4">
        <v>61</v>
      </c>
      <c r="M724" s="4">
        <v>61.3</v>
      </c>
      <c r="N724">
        <v>0</v>
      </c>
      <c r="O724" t="s">
        <v>58</v>
      </c>
      <c r="P724" t="s">
        <v>90</v>
      </c>
      <c r="Q724" t="s">
        <v>60</v>
      </c>
      <c r="R724" t="s">
        <v>130</v>
      </c>
      <c r="S724" s="3">
        <v>9.6999999999999993</v>
      </c>
      <c r="T724" s="5">
        <v>44805</v>
      </c>
      <c r="U724">
        <v>1</v>
      </c>
      <c r="V724">
        <v>2022</v>
      </c>
      <c r="X724">
        <f t="shared" si="33"/>
        <v>6.6199276000000005</v>
      </c>
      <c r="Y724">
        <f t="shared" si="34"/>
        <v>9.6999275999999988</v>
      </c>
      <c r="Z724">
        <f t="shared" si="35"/>
        <v>60.999927599999999</v>
      </c>
    </row>
    <row r="725" spans="1:26" x14ac:dyDescent="0.3">
      <c r="A725" t="s">
        <v>815</v>
      </c>
      <c r="B725" t="s">
        <v>55</v>
      </c>
      <c r="C725" t="s">
        <v>56</v>
      </c>
      <c r="D725" t="s">
        <v>69</v>
      </c>
      <c r="E725">
        <v>22</v>
      </c>
      <c r="F725" s="3">
        <v>5.52</v>
      </c>
      <c r="G725" s="4">
        <v>82.6</v>
      </c>
      <c r="H725">
        <v>1</v>
      </c>
      <c r="I725">
        <v>3</v>
      </c>
      <c r="J725">
        <v>4</v>
      </c>
      <c r="K725" s="4">
        <v>68</v>
      </c>
      <c r="L725" s="4">
        <v>68</v>
      </c>
      <c r="M725" s="4">
        <v>60.6</v>
      </c>
      <c r="N725">
        <v>1</v>
      </c>
      <c r="O725" t="s">
        <v>58</v>
      </c>
      <c r="P725" t="s">
        <v>92</v>
      </c>
      <c r="Q725" t="s">
        <v>93</v>
      </c>
      <c r="R725" t="s">
        <v>61</v>
      </c>
      <c r="S725" s="3">
        <v>6.66</v>
      </c>
      <c r="T725" s="5">
        <v>45545</v>
      </c>
      <c r="U725">
        <v>1</v>
      </c>
      <c r="V725">
        <v>2024</v>
      </c>
      <c r="X725">
        <f t="shared" si="33"/>
        <v>5.5199274999999997</v>
      </c>
      <c r="Y725">
        <f t="shared" si="34"/>
        <v>6.6599275000000002</v>
      </c>
      <c r="Z725">
        <f t="shared" si="35"/>
        <v>67.999927499999998</v>
      </c>
    </row>
    <row r="726" spans="1:26" x14ac:dyDescent="0.3">
      <c r="A726" t="s">
        <v>816</v>
      </c>
      <c r="B726" t="s">
        <v>107</v>
      </c>
      <c r="C726" t="s">
        <v>89</v>
      </c>
      <c r="D726" t="s">
        <v>57</v>
      </c>
      <c r="E726">
        <v>22</v>
      </c>
      <c r="F726" s="3">
        <v>7.51</v>
      </c>
      <c r="G726" s="4">
        <v>83</v>
      </c>
      <c r="H726">
        <v>1</v>
      </c>
      <c r="I726">
        <v>2</v>
      </c>
      <c r="J726">
        <v>6</v>
      </c>
      <c r="K726" s="4">
        <v>76.099999999999994</v>
      </c>
      <c r="L726" s="4">
        <v>87.5</v>
      </c>
      <c r="M726" s="4">
        <v>83.4</v>
      </c>
      <c r="N726">
        <v>0</v>
      </c>
      <c r="O726" t="s">
        <v>58</v>
      </c>
      <c r="P726" t="s">
        <v>112</v>
      </c>
      <c r="Q726" t="s">
        <v>93</v>
      </c>
      <c r="R726" t="s">
        <v>130</v>
      </c>
      <c r="S726" s="3">
        <v>6.83</v>
      </c>
      <c r="T726" s="5">
        <v>44430</v>
      </c>
      <c r="U726">
        <v>1</v>
      </c>
      <c r="V726">
        <v>2021</v>
      </c>
      <c r="X726">
        <f t="shared" si="33"/>
        <v>7.5099273999999996</v>
      </c>
      <c r="Y726">
        <f t="shared" si="34"/>
        <v>6.8299273999999999</v>
      </c>
      <c r="Z726">
        <f t="shared" si="35"/>
        <v>87.499927400000004</v>
      </c>
    </row>
    <row r="727" spans="1:26" x14ac:dyDescent="0.3">
      <c r="A727" t="s">
        <v>817</v>
      </c>
      <c r="B727" t="s">
        <v>107</v>
      </c>
      <c r="C727" t="s">
        <v>78</v>
      </c>
      <c r="D727" t="s">
        <v>69</v>
      </c>
      <c r="E727">
        <v>20</v>
      </c>
      <c r="F727" s="3">
        <v>8.9600000000000009</v>
      </c>
      <c r="G727" s="4">
        <v>96.6</v>
      </c>
      <c r="H727">
        <v>0</v>
      </c>
      <c r="I727">
        <v>2</v>
      </c>
      <c r="J727">
        <v>3</v>
      </c>
      <c r="K727" s="4">
        <v>60.4</v>
      </c>
      <c r="L727" s="4">
        <v>49.3</v>
      </c>
      <c r="M727" s="4">
        <v>65.599999999999994</v>
      </c>
      <c r="N727">
        <v>0</v>
      </c>
      <c r="O727" t="s">
        <v>58</v>
      </c>
      <c r="P727" t="s">
        <v>87</v>
      </c>
      <c r="Q727" t="s">
        <v>71</v>
      </c>
      <c r="R727" t="s">
        <v>61</v>
      </c>
      <c r="S727" s="3">
        <v>5.51</v>
      </c>
      <c r="T727" s="5">
        <v>44508</v>
      </c>
      <c r="U727">
        <v>1</v>
      </c>
      <c r="V727">
        <v>2021</v>
      </c>
      <c r="X727">
        <f t="shared" si="33"/>
        <v>8.9599273000000004</v>
      </c>
      <c r="Y727">
        <f t="shared" si="34"/>
        <v>5.5099273000000002</v>
      </c>
      <c r="Z727">
        <f t="shared" si="35"/>
        <v>49.2999273</v>
      </c>
    </row>
    <row r="728" spans="1:26" x14ac:dyDescent="0.3">
      <c r="A728" t="s">
        <v>818</v>
      </c>
      <c r="B728" t="s">
        <v>55</v>
      </c>
      <c r="C728" t="s">
        <v>56</v>
      </c>
      <c r="D728" t="s">
        <v>57</v>
      </c>
      <c r="E728">
        <v>21</v>
      </c>
      <c r="F728" s="3">
        <v>8.91</v>
      </c>
      <c r="G728" s="4">
        <v>72.099999999999994</v>
      </c>
      <c r="H728">
        <v>2</v>
      </c>
      <c r="I728">
        <v>5</v>
      </c>
      <c r="J728">
        <v>4</v>
      </c>
      <c r="K728" s="4">
        <v>79.900000000000006</v>
      </c>
      <c r="L728" s="4">
        <v>76.400000000000006</v>
      </c>
      <c r="M728" s="4">
        <v>92.6</v>
      </c>
      <c r="N728">
        <v>0</v>
      </c>
      <c r="O728" t="s">
        <v>58</v>
      </c>
      <c r="P728" t="s">
        <v>112</v>
      </c>
      <c r="Q728" t="s">
        <v>93</v>
      </c>
      <c r="R728" t="s">
        <v>61</v>
      </c>
      <c r="S728" s="3">
        <v>8.67</v>
      </c>
      <c r="T728" s="5">
        <v>45546</v>
      </c>
      <c r="U728">
        <v>1</v>
      </c>
      <c r="V728">
        <v>2024</v>
      </c>
      <c r="X728">
        <f t="shared" si="33"/>
        <v>8.9099272000000003</v>
      </c>
      <c r="Y728">
        <f t="shared" si="34"/>
        <v>8.6699272000000001</v>
      </c>
      <c r="Z728">
        <f t="shared" si="35"/>
        <v>76.399927200000008</v>
      </c>
    </row>
    <row r="729" spans="1:26" x14ac:dyDescent="0.3">
      <c r="A729" t="s">
        <v>819</v>
      </c>
      <c r="B729" t="s">
        <v>82</v>
      </c>
      <c r="C729" t="s">
        <v>56</v>
      </c>
      <c r="D729" t="s">
        <v>69</v>
      </c>
      <c r="E729">
        <v>23</v>
      </c>
      <c r="F729" s="3">
        <v>7.94</v>
      </c>
      <c r="G729" s="4">
        <v>97.6</v>
      </c>
      <c r="H729">
        <v>2</v>
      </c>
      <c r="I729">
        <v>5</v>
      </c>
      <c r="J729">
        <v>3</v>
      </c>
      <c r="K729" s="4">
        <v>67.099999999999994</v>
      </c>
      <c r="L729" s="4">
        <v>53.8</v>
      </c>
      <c r="M729" s="4">
        <v>48.5</v>
      </c>
      <c r="N729">
        <v>1</v>
      </c>
      <c r="O729" t="s">
        <v>58</v>
      </c>
      <c r="P729" t="s">
        <v>95</v>
      </c>
      <c r="Q729" t="s">
        <v>93</v>
      </c>
      <c r="R729" t="s">
        <v>130</v>
      </c>
      <c r="S729" s="3">
        <v>6.16</v>
      </c>
      <c r="T729" s="5">
        <v>44785</v>
      </c>
      <c r="U729">
        <v>2</v>
      </c>
      <c r="V729">
        <v>2022</v>
      </c>
      <c r="X729">
        <f t="shared" si="33"/>
        <v>7.9399271000000002</v>
      </c>
      <c r="Y729">
        <f t="shared" si="34"/>
        <v>6.1599271</v>
      </c>
      <c r="Z729">
        <f t="shared" si="35"/>
        <v>53.799927099999998</v>
      </c>
    </row>
    <row r="730" spans="1:26" x14ac:dyDescent="0.3">
      <c r="A730" t="s">
        <v>820</v>
      </c>
      <c r="B730" t="s">
        <v>67</v>
      </c>
      <c r="C730" t="s">
        <v>84</v>
      </c>
      <c r="D730" t="s">
        <v>69</v>
      </c>
      <c r="E730">
        <v>21</v>
      </c>
      <c r="F730" s="3">
        <v>5.85</v>
      </c>
      <c r="G730" s="4">
        <v>88.9</v>
      </c>
      <c r="H730">
        <v>0</v>
      </c>
      <c r="I730">
        <v>2</v>
      </c>
      <c r="J730">
        <v>5</v>
      </c>
      <c r="K730" s="4">
        <v>78.7</v>
      </c>
      <c r="L730" s="4">
        <v>54.7</v>
      </c>
      <c r="M730" s="4">
        <v>61.4</v>
      </c>
      <c r="N730">
        <v>1</v>
      </c>
      <c r="O730" t="s">
        <v>64</v>
      </c>
      <c r="P730" t="s">
        <v>65</v>
      </c>
      <c r="S730" s="3">
        <v>0</v>
      </c>
      <c r="T730" s="5"/>
      <c r="U730">
        <v>0</v>
      </c>
      <c r="V730">
        <v>2023</v>
      </c>
      <c r="X730">
        <f t="shared" si="33"/>
        <v>5.8499269999999992</v>
      </c>
      <c r="Y730">
        <f t="shared" si="34"/>
        <v>-7.2999999999999999E-5</v>
      </c>
      <c r="Z730">
        <f t="shared" si="35"/>
        <v>54.699927000000002</v>
      </c>
    </row>
    <row r="731" spans="1:26" x14ac:dyDescent="0.3">
      <c r="A731" t="s">
        <v>821</v>
      </c>
      <c r="B731" t="s">
        <v>107</v>
      </c>
      <c r="C731" t="s">
        <v>89</v>
      </c>
      <c r="D731" t="s">
        <v>57</v>
      </c>
      <c r="E731">
        <v>21</v>
      </c>
      <c r="F731" s="3">
        <v>8.41</v>
      </c>
      <c r="G731" s="4">
        <v>100</v>
      </c>
      <c r="H731">
        <v>0</v>
      </c>
      <c r="I731">
        <v>3</v>
      </c>
      <c r="J731">
        <v>3</v>
      </c>
      <c r="K731" s="4">
        <v>80.099999999999994</v>
      </c>
      <c r="L731" s="4">
        <v>42.2</v>
      </c>
      <c r="M731" s="4">
        <v>69.400000000000006</v>
      </c>
      <c r="N731">
        <v>0</v>
      </c>
      <c r="O731" t="s">
        <v>58</v>
      </c>
      <c r="P731" t="s">
        <v>112</v>
      </c>
      <c r="Q731" t="s">
        <v>93</v>
      </c>
      <c r="R731" t="s">
        <v>109</v>
      </c>
      <c r="S731" s="3">
        <v>5.95</v>
      </c>
      <c r="T731" s="5">
        <v>44493</v>
      </c>
      <c r="U731">
        <v>1</v>
      </c>
      <c r="V731">
        <v>2021</v>
      </c>
      <c r="X731">
        <f t="shared" si="33"/>
        <v>8.4099269000000003</v>
      </c>
      <c r="Y731">
        <f t="shared" si="34"/>
        <v>5.9499269000000004</v>
      </c>
      <c r="Z731">
        <f t="shared" si="35"/>
        <v>42.199926900000001</v>
      </c>
    </row>
    <row r="732" spans="1:26" x14ac:dyDescent="0.3">
      <c r="A732" t="s">
        <v>822</v>
      </c>
      <c r="B732" t="s">
        <v>63</v>
      </c>
      <c r="C732" t="s">
        <v>56</v>
      </c>
      <c r="D732" t="s">
        <v>69</v>
      </c>
      <c r="E732">
        <v>23</v>
      </c>
      <c r="F732" s="3">
        <v>7.85</v>
      </c>
      <c r="G732" s="4">
        <v>75.7</v>
      </c>
      <c r="H732">
        <v>3</v>
      </c>
      <c r="I732">
        <v>1</v>
      </c>
      <c r="J732">
        <v>5</v>
      </c>
      <c r="K732" s="4">
        <v>53.2</v>
      </c>
      <c r="L732" s="4">
        <v>86.1</v>
      </c>
      <c r="M732" s="4">
        <v>73.599999999999994</v>
      </c>
      <c r="N732">
        <v>0</v>
      </c>
      <c r="O732" t="s">
        <v>58</v>
      </c>
      <c r="P732" t="s">
        <v>87</v>
      </c>
      <c r="Q732" t="s">
        <v>71</v>
      </c>
      <c r="R732" t="s">
        <v>85</v>
      </c>
      <c r="S732" s="3">
        <v>8.32</v>
      </c>
      <c r="T732" s="5">
        <v>45877</v>
      </c>
      <c r="U732">
        <v>1</v>
      </c>
      <c r="V732">
        <v>2025</v>
      </c>
      <c r="X732">
        <f t="shared" si="33"/>
        <v>7.8499267999999995</v>
      </c>
      <c r="Y732">
        <f t="shared" si="34"/>
        <v>8.3199268000000011</v>
      </c>
      <c r="Z732">
        <f t="shared" si="35"/>
        <v>86.099926799999992</v>
      </c>
    </row>
    <row r="733" spans="1:26" x14ac:dyDescent="0.3">
      <c r="A733" t="s">
        <v>823</v>
      </c>
      <c r="B733" t="s">
        <v>63</v>
      </c>
      <c r="C733" t="s">
        <v>78</v>
      </c>
      <c r="D733" t="s">
        <v>57</v>
      </c>
      <c r="E733">
        <v>21</v>
      </c>
      <c r="F733" s="3">
        <v>7.28</v>
      </c>
      <c r="G733" s="4">
        <v>96.7</v>
      </c>
      <c r="H733">
        <v>0</v>
      </c>
      <c r="I733">
        <v>1</v>
      </c>
      <c r="J733">
        <v>2</v>
      </c>
      <c r="K733" s="4">
        <v>58.4</v>
      </c>
      <c r="L733" s="4">
        <v>66.400000000000006</v>
      </c>
      <c r="M733" s="4">
        <v>82</v>
      </c>
      <c r="N733">
        <v>0</v>
      </c>
      <c r="O733" t="s">
        <v>58</v>
      </c>
      <c r="P733" t="s">
        <v>59</v>
      </c>
      <c r="Q733" t="s">
        <v>60</v>
      </c>
      <c r="R733" t="s">
        <v>80</v>
      </c>
      <c r="S733" s="3">
        <v>18.03</v>
      </c>
      <c r="T733" s="5">
        <v>45897</v>
      </c>
      <c r="U733">
        <v>2</v>
      </c>
      <c r="V733">
        <v>2025</v>
      </c>
      <c r="X733">
        <f t="shared" si="33"/>
        <v>7.2799266999999999</v>
      </c>
      <c r="Y733">
        <f t="shared" si="34"/>
        <v>18.029926700000001</v>
      </c>
      <c r="Z733">
        <f t="shared" si="35"/>
        <v>66.399926700000009</v>
      </c>
    </row>
    <row r="734" spans="1:26" x14ac:dyDescent="0.3">
      <c r="A734" t="s">
        <v>824</v>
      </c>
      <c r="B734" t="s">
        <v>55</v>
      </c>
      <c r="C734" t="s">
        <v>89</v>
      </c>
      <c r="D734" t="s">
        <v>69</v>
      </c>
      <c r="E734">
        <v>20</v>
      </c>
      <c r="F734" s="3">
        <v>8.74</v>
      </c>
      <c r="G734" s="4">
        <v>83.2</v>
      </c>
      <c r="H734">
        <v>2</v>
      </c>
      <c r="I734">
        <v>3</v>
      </c>
      <c r="J734">
        <v>5</v>
      </c>
      <c r="K734" s="4">
        <v>62.2</v>
      </c>
      <c r="L734" s="4">
        <v>56.5</v>
      </c>
      <c r="M734" s="4">
        <v>71.599999999999994</v>
      </c>
      <c r="N734">
        <v>0</v>
      </c>
      <c r="O734" t="s">
        <v>58</v>
      </c>
      <c r="P734" t="s">
        <v>92</v>
      </c>
      <c r="Q734" t="s">
        <v>93</v>
      </c>
      <c r="R734" t="s">
        <v>85</v>
      </c>
      <c r="S734" s="3">
        <v>9.57</v>
      </c>
      <c r="T734" s="5">
        <v>45561</v>
      </c>
      <c r="U734">
        <v>1</v>
      </c>
      <c r="V734">
        <v>2024</v>
      </c>
      <c r="X734">
        <f t="shared" si="33"/>
        <v>8.7399266000000004</v>
      </c>
      <c r="Y734">
        <f t="shared" si="34"/>
        <v>9.5699266000000005</v>
      </c>
      <c r="Z734">
        <f t="shared" si="35"/>
        <v>56.499926600000002</v>
      </c>
    </row>
    <row r="735" spans="1:26" x14ac:dyDescent="0.3">
      <c r="A735" t="s">
        <v>825</v>
      </c>
      <c r="B735" t="s">
        <v>82</v>
      </c>
      <c r="C735" t="s">
        <v>68</v>
      </c>
      <c r="D735" t="s">
        <v>57</v>
      </c>
      <c r="E735">
        <v>23</v>
      </c>
      <c r="F735" s="3">
        <v>8.1999999999999993</v>
      </c>
      <c r="G735" s="4">
        <v>80.3</v>
      </c>
      <c r="H735">
        <v>2</v>
      </c>
      <c r="I735">
        <v>2</v>
      </c>
      <c r="J735">
        <v>4</v>
      </c>
      <c r="K735" s="4">
        <v>92.9</v>
      </c>
      <c r="L735" s="4">
        <v>71.900000000000006</v>
      </c>
      <c r="M735" s="4">
        <v>70.099999999999994</v>
      </c>
      <c r="N735">
        <v>1</v>
      </c>
      <c r="O735" t="s">
        <v>58</v>
      </c>
      <c r="P735" t="s">
        <v>79</v>
      </c>
      <c r="Q735" t="s">
        <v>71</v>
      </c>
      <c r="R735" t="s">
        <v>80</v>
      </c>
      <c r="S735" s="3">
        <v>7.17</v>
      </c>
      <c r="T735" s="5">
        <v>44826</v>
      </c>
      <c r="U735">
        <v>1</v>
      </c>
      <c r="V735">
        <v>2022</v>
      </c>
      <c r="X735">
        <f t="shared" si="33"/>
        <v>8.1999265000000001</v>
      </c>
      <c r="Y735">
        <f t="shared" si="34"/>
        <v>7.1699264999999999</v>
      </c>
      <c r="Z735">
        <f t="shared" si="35"/>
        <v>71.899926500000007</v>
      </c>
    </row>
    <row r="736" spans="1:26" x14ac:dyDescent="0.3">
      <c r="A736" t="s">
        <v>826</v>
      </c>
      <c r="B736" t="s">
        <v>107</v>
      </c>
      <c r="C736" t="s">
        <v>84</v>
      </c>
      <c r="D736" t="s">
        <v>57</v>
      </c>
      <c r="E736">
        <v>23</v>
      </c>
      <c r="F736" s="3">
        <v>9.42</v>
      </c>
      <c r="G736" s="4">
        <v>84.7</v>
      </c>
      <c r="H736">
        <v>2</v>
      </c>
      <c r="I736">
        <v>1</v>
      </c>
      <c r="J736">
        <v>1</v>
      </c>
      <c r="K736" s="4">
        <v>87</v>
      </c>
      <c r="L736" s="4">
        <v>64.8</v>
      </c>
      <c r="M736" s="4">
        <v>65.900000000000006</v>
      </c>
      <c r="N736">
        <v>1</v>
      </c>
      <c r="O736" t="s">
        <v>64</v>
      </c>
      <c r="P736" t="s">
        <v>65</v>
      </c>
      <c r="S736" s="3">
        <v>0</v>
      </c>
      <c r="T736" s="5"/>
      <c r="U736">
        <v>0</v>
      </c>
      <c r="V736">
        <v>2021</v>
      </c>
      <c r="X736">
        <f t="shared" si="33"/>
        <v>9.4199263999999996</v>
      </c>
      <c r="Y736">
        <f t="shared" si="34"/>
        <v>-7.36E-5</v>
      </c>
      <c r="Z736">
        <f t="shared" si="35"/>
        <v>64.799926400000004</v>
      </c>
    </row>
    <row r="737" spans="1:26" x14ac:dyDescent="0.3">
      <c r="A737" t="s">
        <v>827</v>
      </c>
      <c r="B737" t="s">
        <v>82</v>
      </c>
      <c r="C737" t="s">
        <v>78</v>
      </c>
      <c r="D737" t="s">
        <v>69</v>
      </c>
      <c r="E737">
        <v>22</v>
      </c>
      <c r="F737" s="3">
        <v>6.38</v>
      </c>
      <c r="G737" s="4">
        <v>83.1</v>
      </c>
      <c r="H737">
        <v>1</v>
      </c>
      <c r="I737">
        <v>3</v>
      </c>
      <c r="J737">
        <v>3</v>
      </c>
      <c r="K737" s="4">
        <v>69.400000000000006</v>
      </c>
      <c r="L737" s="4">
        <v>86.5</v>
      </c>
      <c r="M737" s="4">
        <v>64.5</v>
      </c>
      <c r="N737">
        <v>0</v>
      </c>
      <c r="O737" t="s">
        <v>58</v>
      </c>
      <c r="P737" t="s">
        <v>95</v>
      </c>
      <c r="Q737" t="s">
        <v>93</v>
      </c>
      <c r="R737" t="s">
        <v>85</v>
      </c>
      <c r="S737" s="3">
        <v>6.4</v>
      </c>
      <c r="T737" s="5">
        <v>44889</v>
      </c>
      <c r="U737">
        <v>1</v>
      </c>
      <c r="V737">
        <v>2022</v>
      </c>
      <c r="X737">
        <f t="shared" si="33"/>
        <v>6.3799263000000002</v>
      </c>
      <c r="Y737">
        <f t="shared" si="34"/>
        <v>6.3999263000000006</v>
      </c>
      <c r="Z737">
        <f t="shared" si="35"/>
        <v>86.499926299999998</v>
      </c>
    </row>
    <row r="738" spans="1:26" x14ac:dyDescent="0.3">
      <c r="A738" t="s">
        <v>828</v>
      </c>
      <c r="B738" t="s">
        <v>107</v>
      </c>
      <c r="C738" t="s">
        <v>74</v>
      </c>
      <c r="D738" t="s">
        <v>69</v>
      </c>
      <c r="E738">
        <v>21</v>
      </c>
      <c r="F738" s="3">
        <v>6.46</v>
      </c>
      <c r="G738" s="4">
        <v>75</v>
      </c>
      <c r="H738">
        <v>1</v>
      </c>
      <c r="I738">
        <v>4</v>
      </c>
      <c r="J738">
        <v>2</v>
      </c>
      <c r="K738" s="4">
        <v>100</v>
      </c>
      <c r="L738" s="4">
        <v>54.7</v>
      </c>
      <c r="M738" s="4">
        <v>65.400000000000006</v>
      </c>
      <c r="N738">
        <v>0</v>
      </c>
      <c r="O738" t="s">
        <v>58</v>
      </c>
      <c r="P738" t="s">
        <v>79</v>
      </c>
      <c r="Q738" t="s">
        <v>71</v>
      </c>
      <c r="R738" t="s">
        <v>130</v>
      </c>
      <c r="S738" s="3">
        <v>4.01</v>
      </c>
      <c r="T738" s="5">
        <v>44488</v>
      </c>
      <c r="U738">
        <v>2</v>
      </c>
      <c r="V738">
        <v>2021</v>
      </c>
      <c r="X738">
        <f t="shared" si="33"/>
        <v>6.4599262</v>
      </c>
      <c r="Y738">
        <f t="shared" si="34"/>
        <v>4.0099261999999998</v>
      </c>
      <c r="Z738">
        <f t="shared" si="35"/>
        <v>54.6999262</v>
      </c>
    </row>
    <row r="739" spans="1:26" x14ac:dyDescent="0.3">
      <c r="A739" t="s">
        <v>829</v>
      </c>
      <c r="B739" t="s">
        <v>55</v>
      </c>
      <c r="C739" t="s">
        <v>101</v>
      </c>
      <c r="D739" t="s">
        <v>57</v>
      </c>
      <c r="E739">
        <v>23</v>
      </c>
      <c r="F739" s="3">
        <v>6.61</v>
      </c>
      <c r="G739" s="4">
        <v>80.8</v>
      </c>
      <c r="H739">
        <v>3</v>
      </c>
      <c r="I739">
        <v>4</v>
      </c>
      <c r="J739">
        <v>5</v>
      </c>
      <c r="K739" s="4">
        <v>49.6</v>
      </c>
      <c r="L739" s="4">
        <v>67.900000000000006</v>
      </c>
      <c r="M739" s="4">
        <v>73.099999999999994</v>
      </c>
      <c r="N739">
        <v>0</v>
      </c>
      <c r="O739" t="s">
        <v>58</v>
      </c>
      <c r="P739" t="s">
        <v>104</v>
      </c>
      <c r="Q739" t="s">
        <v>105</v>
      </c>
      <c r="R739" t="s">
        <v>130</v>
      </c>
      <c r="S739" s="3">
        <v>14.51</v>
      </c>
      <c r="T739" s="5">
        <v>45580</v>
      </c>
      <c r="U739">
        <v>2</v>
      </c>
      <c r="V739">
        <v>2024</v>
      </c>
      <c r="X739">
        <f t="shared" si="33"/>
        <v>6.6099261</v>
      </c>
      <c r="Y739">
        <f t="shared" si="34"/>
        <v>14.509926099999999</v>
      </c>
      <c r="Z739">
        <f t="shared" si="35"/>
        <v>67.899926100000002</v>
      </c>
    </row>
    <row r="740" spans="1:26" x14ac:dyDescent="0.3">
      <c r="A740" t="s">
        <v>830</v>
      </c>
      <c r="B740" t="s">
        <v>55</v>
      </c>
      <c r="C740" t="s">
        <v>84</v>
      </c>
      <c r="D740" t="s">
        <v>69</v>
      </c>
      <c r="E740">
        <v>23</v>
      </c>
      <c r="F740" s="3">
        <v>7.39</v>
      </c>
      <c r="G740" s="4">
        <v>84.8</v>
      </c>
      <c r="H740">
        <v>1</v>
      </c>
      <c r="I740">
        <v>2</v>
      </c>
      <c r="J740">
        <v>3</v>
      </c>
      <c r="K740" s="4">
        <v>64.7</v>
      </c>
      <c r="L740" s="4">
        <v>82.8</v>
      </c>
      <c r="M740" s="4">
        <v>51.8</v>
      </c>
      <c r="N740">
        <v>1</v>
      </c>
      <c r="O740" t="s">
        <v>58</v>
      </c>
      <c r="P740" t="s">
        <v>75</v>
      </c>
      <c r="Q740" t="s">
        <v>71</v>
      </c>
      <c r="R740" t="s">
        <v>61</v>
      </c>
      <c r="S740" s="3">
        <v>5.48</v>
      </c>
      <c r="T740" s="5">
        <v>45617</v>
      </c>
      <c r="U740">
        <v>1</v>
      </c>
      <c r="V740">
        <v>2024</v>
      </c>
      <c r="X740">
        <f t="shared" si="33"/>
        <v>7.389926</v>
      </c>
      <c r="Y740">
        <f t="shared" si="34"/>
        <v>5.4799260000000007</v>
      </c>
      <c r="Z740">
        <f t="shared" si="35"/>
        <v>82.799925999999999</v>
      </c>
    </row>
    <row r="741" spans="1:26" x14ac:dyDescent="0.3">
      <c r="A741" t="s">
        <v>831</v>
      </c>
      <c r="B741" t="s">
        <v>63</v>
      </c>
      <c r="C741" t="s">
        <v>56</v>
      </c>
      <c r="D741" t="s">
        <v>57</v>
      </c>
      <c r="E741">
        <v>20</v>
      </c>
      <c r="F741" s="3">
        <v>9.08</v>
      </c>
      <c r="G741" s="4">
        <v>78.2</v>
      </c>
      <c r="H741">
        <v>1</v>
      </c>
      <c r="I741">
        <v>2</v>
      </c>
      <c r="J741">
        <v>2</v>
      </c>
      <c r="K741" s="4">
        <v>84.5</v>
      </c>
      <c r="L741" s="4">
        <v>54</v>
      </c>
      <c r="M741" s="4">
        <v>80.400000000000006</v>
      </c>
      <c r="N741">
        <v>1</v>
      </c>
      <c r="O741" t="s">
        <v>58</v>
      </c>
      <c r="P741" t="s">
        <v>70</v>
      </c>
      <c r="Q741" t="s">
        <v>71</v>
      </c>
      <c r="R741" t="s">
        <v>76</v>
      </c>
      <c r="S741" s="3">
        <v>4.33</v>
      </c>
      <c r="T741" s="5">
        <v>45886</v>
      </c>
      <c r="U741">
        <v>1</v>
      </c>
      <c r="V741">
        <v>2025</v>
      </c>
      <c r="X741">
        <f t="shared" si="33"/>
        <v>9.0799258999999992</v>
      </c>
      <c r="Y741">
        <f t="shared" si="34"/>
        <v>4.3299259000000001</v>
      </c>
      <c r="Z741">
        <f t="shared" si="35"/>
        <v>53.999925900000001</v>
      </c>
    </row>
    <row r="742" spans="1:26" x14ac:dyDescent="0.3">
      <c r="A742" t="s">
        <v>832</v>
      </c>
      <c r="B742" t="s">
        <v>82</v>
      </c>
      <c r="C742" t="s">
        <v>56</v>
      </c>
      <c r="D742" t="s">
        <v>57</v>
      </c>
      <c r="E742">
        <v>22</v>
      </c>
      <c r="F742" s="3">
        <v>7.09</v>
      </c>
      <c r="G742" s="4">
        <v>86.9</v>
      </c>
      <c r="H742">
        <v>0</v>
      </c>
      <c r="I742">
        <v>0</v>
      </c>
      <c r="J742">
        <v>3</v>
      </c>
      <c r="K742" s="4">
        <v>68.599999999999994</v>
      </c>
      <c r="L742" s="4">
        <v>63.1</v>
      </c>
      <c r="M742" s="4">
        <v>74.8</v>
      </c>
      <c r="N742">
        <v>0</v>
      </c>
      <c r="O742" t="s">
        <v>64</v>
      </c>
      <c r="P742" t="s">
        <v>65</v>
      </c>
      <c r="S742" s="3">
        <v>0</v>
      </c>
      <c r="T742" s="5"/>
      <c r="U742">
        <v>0</v>
      </c>
      <c r="V742">
        <v>2022</v>
      </c>
      <c r="X742">
        <f t="shared" si="33"/>
        <v>7.0899257999999996</v>
      </c>
      <c r="Y742">
        <f t="shared" si="34"/>
        <v>-7.4200000000000001E-5</v>
      </c>
      <c r="Z742">
        <f t="shared" si="35"/>
        <v>63.099925800000001</v>
      </c>
    </row>
    <row r="743" spans="1:26" x14ac:dyDescent="0.3">
      <c r="A743" t="s">
        <v>833</v>
      </c>
      <c r="B743" t="s">
        <v>63</v>
      </c>
      <c r="C743" t="s">
        <v>56</v>
      </c>
      <c r="D743" t="s">
        <v>69</v>
      </c>
      <c r="E743">
        <v>23</v>
      </c>
      <c r="F743" s="3">
        <v>7.11</v>
      </c>
      <c r="G743" s="4">
        <v>79.3</v>
      </c>
      <c r="H743">
        <v>3</v>
      </c>
      <c r="I743">
        <v>3</v>
      </c>
      <c r="J743">
        <v>4</v>
      </c>
      <c r="K743" s="4">
        <v>56.1</v>
      </c>
      <c r="L743" s="4">
        <v>50.8</v>
      </c>
      <c r="M743" s="4">
        <v>72.599999999999994</v>
      </c>
      <c r="N743">
        <v>1</v>
      </c>
      <c r="O743" t="s">
        <v>64</v>
      </c>
      <c r="P743" t="s">
        <v>65</v>
      </c>
      <c r="S743" s="3">
        <v>0</v>
      </c>
      <c r="T743" s="5"/>
      <c r="U743">
        <v>0</v>
      </c>
      <c r="V743">
        <v>2025</v>
      </c>
      <c r="X743">
        <f t="shared" si="33"/>
        <v>7.1099257000000007</v>
      </c>
      <c r="Y743">
        <f t="shared" si="34"/>
        <v>-7.429999999999999E-5</v>
      </c>
      <c r="Z743">
        <f t="shared" si="35"/>
        <v>50.799925699999996</v>
      </c>
    </row>
    <row r="744" spans="1:26" x14ac:dyDescent="0.3">
      <c r="A744" t="s">
        <v>834</v>
      </c>
      <c r="B744" t="s">
        <v>82</v>
      </c>
      <c r="C744" t="s">
        <v>78</v>
      </c>
      <c r="D744" t="s">
        <v>57</v>
      </c>
      <c r="E744">
        <v>20</v>
      </c>
      <c r="F744" s="3">
        <v>8.0299999999999994</v>
      </c>
      <c r="G744" s="4">
        <v>86.1</v>
      </c>
      <c r="H744">
        <v>2</v>
      </c>
      <c r="I744">
        <v>4</v>
      </c>
      <c r="J744">
        <v>1</v>
      </c>
      <c r="K744" s="4">
        <v>73.599999999999994</v>
      </c>
      <c r="L744" s="4">
        <v>57</v>
      </c>
      <c r="M744" s="4">
        <v>87.7</v>
      </c>
      <c r="N744">
        <v>1</v>
      </c>
      <c r="O744" t="s">
        <v>58</v>
      </c>
      <c r="P744" t="s">
        <v>79</v>
      </c>
      <c r="Q744" t="s">
        <v>71</v>
      </c>
      <c r="R744" t="s">
        <v>130</v>
      </c>
      <c r="S744" s="3">
        <v>6.85</v>
      </c>
      <c r="T744" s="5">
        <v>44780</v>
      </c>
      <c r="U744">
        <v>1</v>
      </c>
      <c r="V744">
        <v>2022</v>
      </c>
      <c r="X744">
        <f t="shared" si="33"/>
        <v>8.0299255999999986</v>
      </c>
      <c r="Y744">
        <f t="shared" si="34"/>
        <v>6.8499255999999997</v>
      </c>
      <c r="Z744">
        <f t="shared" si="35"/>
        <v>56.999925599999997</v>
      </c>
    </row>
    <row r="745" spans="1:26" x14ac:dyDescent="0.3">
      <c r="A745" t="s">
        <v>835</v>
      </c>
      <c r="B745" t="s">
        <v>63</v>
      </c>
      <c r="C745" t="s">
        <v>89</v>
      </c>
      <c r="D745" t="s">
        <v>57</v>
      </c>
      <c r="E745">
        <v>23</v>
      </c>
      <c r="F745" s="3">
        <v>8.41</v>
      </c>
      <c r="G745" s="4">
        <v>85</v>
      </c>
      <c r="H745">
        <v>0</v>
      </c>
      <c r="I745">
        <v>4</v>
      </c>
      <c r="J745">
        <v>3</v>
      </c>
      <c r="K745" s="4">
        <v>100</v>
      </c>
      <c r="L745" s="4">
        <v>46.7</v>
      </c>
      <c r="M745" s="4">
        <v>81.099999999999994</v>
      </c>
      <c r="N745">
        <v>0</v>
      </c>
      <c r="O745" t="s">
        <v>64</v>
      </c>
      <c r="P745" t="s">
        <v>65</v>
      </c>
      <c r="S745" s="3">
        <v>0</v>
      </c>
      <c r="T745" s="5"/>
      <c r="U745">
        <v>0</v>
      </c>
      <c r="V745">
        <v>2025</v>
      </c>
      <c r="X745">
        <f t="shared" si="33"/>
        <v>8.4099254999999999</v>
      </c>
      <c r="Y745">
        <f t="shared" si="34"/>
        <v>-7.4499999999999995E-5</v>
      </c>
      <c r="Z745">
        <f t="shared" si="35"/>
        <v>46.699925500000006</v>
      </c>
    </row>
    <row r="746" spans="1:26" x14ac:dyDescent="0.3">
      <c r="A746" t="s">
        <v>836</v>
      </c>
      <c r="B746" t="s">
        <v>67</v>
      </c>
      <c r="C746" t="s">
        <v>89</v>
      </c>
      <c r="D746" t="s">
        <v>69</v>
      </c>
      <c r="E746">
        <v>23</v>
      </c>
      <c r="F746" s="3">
        <v>5.64</v>
      </c>
      <c r="G746" s="4">
        <v>86.1</v>
      </c>
      <c r="H746">
        <v>2</v>
      </c>
      <c r="I746">
        <v>3</v>
      </c>
      <c r="J746">
        <v>4</v>
      </c>
      <c r="K746" s="4">
        <v>56.3</v>
      </c>
      <c r="L746" s="4">
        <v>54.1</v>
      </c>
      <c r="M746" s="4">
        <v>75.5</v>
      </c>
      <c r="N746">
        <v>0</v>
      </c>
      <c r="O746" t="s">
        <v>58</v>
      </c>
      <c r="P746" t="s">
        <v>75</v>
      </c>
      <c r="Q746" t="s">
        <v>71</v>
      </c>
      <c r="R746" t="s">
        <v>80</v>
      </c>
      <c r="S746" s="3">
        <v>3</v>
      </c>
      <c r="T746" s="5">
        <v>45222</v>
      </c>
      <c r="U746">
        <v>1</v>
      </c>
      <c r="V746">
        <v>2023</v>
      </c>
      <c r="X746">
        <f t="shared" si="33"/>
        <v>5.6399254000000001</v>
      </c>
      <c r="Y746">
        <f t="shared" si="34"/>
        <v>2.9999254</v>
      </c>
      <c r="Z746">
        <f t="shared" si="35"/>
        <v>54.099925400000004</v>
      </c>
    </row>
    <row r="747" spans="1:26" x14ac:dyDescent="0.3">
      <c r="A747" t="s">
        <v>837</v>
      </c>
      <c r="B747" t="s">
        <v>67</v>
      </c>
      <c r="C747" t="s">
        <v>84</v>
      </c>
      <c r="D747" t="s">
        <v>57</v>
      </c>
      <c r="E747">
        <v>23</v>
      </c>
      <c r="F747" s="3">
        <v>8.59</v>
      </c>
      <c r="G747" s="4">
        <v>69.900000000000006</v>
      </c>
      <c r="H747">
        <v>1</v>
      </c>
      <c r="I747">
        <v>0</v>
      </c>
      <c r="J747">
        <v>4</v>
      </c>
      <c r="K747" s="4">
        <v>57.8</v>
      </c>
      <c r="L747" s="4">
        <v>50.4</v>
      </c>
      <c r="M747" s="4">
        <v>81.8</v>
      </c>
      <c r="N747">
        <v>0</v>
      </c>
      <c r="O747" t="s">
        <v>58</v>
      </c>
      <c r="P747" t="s">
        <v>87</v>
      </c>
      <c r="Q747" t="s">
        <v>71</v>
      </c>
      <c r="R747" t="s">
        <v>61</v>
      </c>
      <c r="S747" s="3">
        <v>6.25</v>
      </c>
      <c r="T747" s="5">
        <v>45238</v>
      </c>
      <c r="U747">
        <v>1</v>
      </c>
      <c r="V747">
        <v>2023</v>
      </c>
      <c r="X747">
        <f t="shared" si="33"/>
        <v>8.5899252999999991</v>
      </c>
      <c r="Y747">
        <f t="shared" si="34"/>
        <v>6.2499253000000001</v>
      </c>
      <c r="Z747">
        <f t="shared" si="35"/>
        <v>50.3999253</v>
      </c>
    </row>
    <row r="748" spans="1:26" x14ac:dyDescent="0.3">
      <c r="A748" t="s">
        <v>838</v>
      </c>
      <c r="B748" t="s">
        <v>67</v>
      </c>
      <c r="C748" t="s">
        <v>78</v>
      </c>
      <c r="D748" t="s">
        <v>69</v>
      </c>
      <c r="E748">
        <v>20</v>
      </c>
      <c r="F748" s="3">
        <v>7.06</v>
      </c>
      <c r="G748" s="4">
        <v>91.9</v>
      </c>
      <c r="H748">
        <v>3</v>
      </c>
      <c r="I748">
        <v>2</v>
      </c>
      <c r="J748">
        <v>4</v>
      </c>
      <c r="K748" s="4">
        <v>52.9</v>
      </c>
      <c r="L748" s="4">
        <v>60</v>
      </c>
      <c r="M748" s="4">
        <v>66.5</v>
      </c>
      <c r="N748">
        <v>0</v>
      </c>
      <c r="O748" t="s">
        <v>58</v>
      </c>
      <c r="P748" t="s">
        <v>90</v>
      </c>
      <c r="Q748" t="s">
        <v>60</v>
      </c>
      <c r="R748" t="s">
        <v>80</v>
      </c>
      <c r="S748" s="3">
        <v>8.81</v>
      </c>
      <c r="T748" s="5">
        <v>45254</v>
      </c>
      <c r="U748">
        <v>1</v>
      </c>
      <c r="V748">
        <v>2023</v>
      </c>
      <c r="X748">
        <f t="shared" si="33"/>
        <v>7.0599251999999995</v>
      </c>
      <c r="Y748">
        <f t="shared" si="34"/>
        <v>8.8099252000000003</v>
      </c>
      <c r="Z748">
        <f t="shared" si="35"/>
        <v>59.9999252</v>
      </c>
    </row>
    <row r="749" spans="1:26" x14ac:dyDescent="0.3">
      <c r="A749" t="s">
        <v>839</v>
      </c>
      <c r="B749" t="s">
        <v>67</v>
      </c>
      <c r="C749" t="s">
        <v>56</v>
      </c>
      <c r="D749" t="s">
        <v>57</v>
      </c>
      <c r="E749">
        <v>21</v>
      </c>
      <c r="F749" s="3">
        <v>7.56</v>
      </c>
      <c r="G749" s="4">
        <v>74.2</v>
      </c>
      <c r="H749">
        <v>1</v>
      </c>
      <c r="I749">
        <v>2</v>
      </c>
      <c r="J749">
        <v>3</v>
      </c>
      <c r="K749" s="4">
        <v>62.1</v>
      </c>
      <c r="L749" s="4">
        <v>84.6</v>
      </c>
      <c r="M749" s="4">
        <v>81.099999999999994</v>
      </c>
      <c r="N749">
        <v>0</v>
      </c>
      <c r="O749" t="s">
        <v>58</v>
      </c>
      <c r="P749" t="s">
        <v>95</v>
      </c>
      <c r="Q749" t="s">
        <v>93</v>
      </c>
      <c r="R749" t="s">
        <v>85</v>
      </c>
      <c r="S749" s="3">
        <v>6.27</v>
      </c>
      <c r="T749" s="5">
        <v>45192</v>
      </c>
      <c r="U749">
        <v>1</v>
      </c>
      <c r="V749">
        <v>2023</v>
      </c>
      <c r="X749">
        <f t="shared" si="33"/>
        <v>7.5599250999999992</v>
      </c>
      <c r="Y749">
        <f t="shared" si="34"/>
        <v>6.2699250999999991</v>
      </c>
      <c r="Z749">
        <f t="shared" si="35"/>
        <v>84.599925099999993</v>
      </c>
    </row>
    <row r="750" spans="1:26" x14ac:dyDescent="0.3">
      <c r="A750" t="s">
        <v>840</v>
      </c>
      <c r="B750" t="s">
        <v>107</v>
      </c>
      <c r="C750" t="s">
        <v>74</v>
      </c>
      <c r="D750" t="s">
        <v>57</v>
      </c>
      <c r="E750">
        <v>23</v>
      </c>
      <c r="F750" s="3">
        <v>8.93</v>
      </c>
      <c r="G750" s="4">
        <v>80.3</v>
      </c>
      <c r="H750">
        <v>2</v>
      </c>
      <c r="I750">
        <v>4</v>
      </c>
      <c r="J750">
        <v>2</v>
      </c>
      <c r="K750" s="4">
        <v>83.2</v>
      </c>
      <c r="L750" s="4">
        <v>74.2</v>
      </c>
      <c r="M750" s="4">
        <v>83.9</v>
      </c>
      <c r="N750">
        <v>0</v>
      </c>
      <c r="O750" t="s">
        <v>58</v>
      </c>
      <c r="P750" t="s">
        <v>87</v>
      </c>
      <c r="Q750" t="s">
        <v>71</v>
      </c>
      <c r="R750" t="s">
        <v>76</v>
      </c>
      <c r="S750" s="3">
        <v>7.27</v>
      </c>
      <c r="T750" s="5">
        <v>44449</v>
      </c>
      <c r="U750">
        <v>1</v>
      </c>
      <c r="V750">
        <v>2021</v>
      </c>
      <c r="X750">
        <f t="shared" si="33"/>
        <v>8.929924999999999</v>
      </c>
      <c r="Y750">
        <f t="shared" si="34"/>
        <v>7.2699249999999997</v>
      </c>
      <c r="Z750">
        <f t="shared" si="35"/>
        <v>74.199925000000007</v>
      </c>
    </row>
    <row r="751" spans="1:26" x14ac:dyDescent="0.3">
      <c r="A751" t="s">
        <v>841</v>
      </c>
      <c r="B751" t="s">
        <v>67</v>
      </c>
      <c r="C751" t="s">
        <v>68</v>
      </c>
      <c r="D751" t="s">
        <v>57</v>
      </c>
      <c r="E751">
        <v>23</v>
      </c>
      <c r="F751" s="3">
        <v>7.46</v>
      </c>
      <c r="G751" s="4">
        <v>76.2</v>
      </c>
      <c r="H751">
        <v>2</v>
      </c>
      <c r="I751">
        <v>0</v>
      </c>
      <c r="J751">
        <v>5</v>
      </c>
      <c r="K751" s="4">
        <v>89.9</v>
      </c>
      <c r="L751" s="4">
        <v>89.5</v>
      </c>
      <c r="M751" s="4">
        <v>44.6</v>
      </c>
      <c r="N751">
        <v>0</v>
      </c>
      <c r="O751" t="s">
        <v>64</v>
      </c>
      <c r="P751" t="s">
        <v>65</v>
      </c>
      <c r="S751" s="3">
        <v>0</v>
      </c>
      <c r="T751" s="5"/>
      <c r="U751">
        <v>0</v>
      </c>
      <c r="V751">
        <v>2023</v>
      </c>
      <c r="X751">
        <f t="shared" si="33"/>
        <v>7.4599248999999999</v>
      </c>
      <c r="Y751">
        <f t="shared" si="34"/>
        <v>-7.5099999999999996E-5</v>
      </c>
      <c r="Z751">
        <f t="shared" si="35"/>
        <v>89.499924899999996</v>
      </c>
    </row>
    <row r="752" spans="1:26" x14ac:dyDescent="0.3">
      <c r="A752" t="s">
        <v>842</v>
      </c>
      <c r="B752" t="s">
        <v>55</v>
      </c>
      <c r="C752" t="s">
        <v>74</v>
      </c>
      <c r="D752" t="s">
        <v>69</v>
      </c>
      <c r="E752">
        <v>21</v>
      </c>
      <c r="F752" s="3">
        <v>6.27</v>
      </c>
      <c r="G752" s="4">
        <v>82.6</v>
      </c>
      <c r="H752">
        <v>0</v>
      </c>
      <c r="I752">
        <v>2</v>
      </c>
      <c r="J752">
        <v>6</v>
      </c>
      <c r="K752" s="4">
        <v>50.3</v>
      </c>
      <c r="L752" s="4">
        <v>64.2</v>
      </c>
      <c r="M752" s="4">
        <v>95.2</v>
      </c>
      <c r="N752">
        <v>0</v>
      </c>
      <c r="O752" t="s">
        <v>64</v>
      </c>
      <c r="P752" t="s">
        <v>65</v>
      </c>
      <c r="S752" s="3">
        <v>0</v>
      </c>
      <c r="T752" s="5"/>
      <c r="U752">
        <v>0</v>
      </c>
      <c r="V752">
        <v>2024</v>
      </c>
      <c r="X752">
        <f t="shared" si="33"/>
        <v>6.2699247999999992</v>
      </c>
      <c r="Y752">
        <f t="shared" si="34"/>
        <v>-7.5199999999999998E-5</v>
      </c>
      <c r="Z752">
        <f t="shared" si="35"/>
        <v>64.199924800000005</v>
      </c>
    </row>
    <row r="753" spans="1:26" x14ac:dyDescent="0.3">
      <c r="A753" t="s">
        <v>843</v>
      </c>
      <c r="B753" t="s">
        <v>55</v>
      </c>
      <c r="C753" t="s">
        <v>78</v>
      </c>
      <c r="D753" t="s">
        <v>69</v>
      </c>
      <c r="E753">
        <v>23</v>
      </c>
      <c r="F753" s="3">
        <v>6.32</v>
      </c>
      <c r="G753" s="4">
        <v>81</v>
      </c>
      <c r="H753">
        <v>2</v>
      </c>
      <c r="I753">
        <v>0</v>
      </c>
      <c r="J753">
        <v>4</v>
      </c>
      <c r="K753" s="4">
        <v>76.5</v>
      </c>
      <c r="L753" s="4">
        <v>56.5</v>
      </c>
      <c r="M753" s="4">
        <v>78</v>
      </c>
      <c r="N753">
        <v>0</v>
      </c>
      <c r="O753" t="s">
        <v>58</v>
      </c>
      <c r="P753" t="s">
        <v>87</v>
      </c>
      <c r="Q753" t="s">
        <v>71</v>
      </c>
      <c r="R753" t="s">
        <v>130</v>
      </c>
      <c r="S753" s="3">
        <v>4.83</v>
      </c>
      <c r="T753" s="5">
        <v>45581</v>
      </c>
      <c r="U753">
        <v>1</v>
      </c>
      <c r="V753">
        <v>2024</v>
      </c>
      <c r="X753">
        <f t="shared" si="33"/>
        <v>6.3199247000000005</v>
      </c>
      <c r="Y753">
        <f t="shared" si="34"/>
        <v>4.8299247000000003</v>
      </c>
      <c r="Z753">
        <f t="shared" si="35"/>
        <v>56.499924700000001</v>
      </c>
    </row>
    <row r="754" spans="1:26" x14ac:dyDescent="0.3">
      <c r="A754" t="s">
        <v>844</v>
      </c>
      <c r="B754" t="s">
        <v>107</v>
      </c>
      <c r="C754" t="s">
        <v>84</v>
      </c>
      <c r="D754" t="s">
        <v>57</v>
      </c>
      <c r="E754">
        <v>22</v>
      </c>
      <c r="F754" s="3">
        <v>7.62</v>
      </c>
      <c r="G754" s="4">
        <v>87.9</v>
      </c>
      <c r="H754">
        <v>0</v>
      </c>
      <c r="I754">
        <v>2</v>
      </c>
      <c r="J754">
        <v>3</v>
      </c>
      <c r="K754" s="4">
        <v>78.8</v>
      </c>
      <c r="L754" s="4">
        <v>68.099999999999994</v>
      </c>
      <c r="M754" s="4">
        <v>81.3</v>
      </c>
      <c r="N754">
        <v>0</v>
      </c>
      <c r="O754" t="s">
        <v>58</v>
      </c>
      <c r="P754" t="s">
        <v>92</v>
      </c>
      <c r="Q754" t="s">
        <v>93</v>
      </c>
      <c r="R754" t="s">
        <v>85</v>
      </c>
      <c r="S754" s="3">
        <v>8.66</v>
      </c>
      <c r="T754" s="5">
        <v>44513</v>
      </c>
      <c r="U754">
        <v>1</v>
      </c>
      <c r="V754">
        <v>2021</v>
      </c>
      <c r="X754">
        <f t="shared" si="33"/>
        <v>7.6199246</v>
      </c>
      <c r="Y754">
        <f t="shared" si="34"/>
        <v>8.6599246000000001</v>
      </c>
      <c r="Z754">
        <f t="shared" si="35"/>
        <v>68.099924599999994</v>
      </c>
    </row>
    <row r="755" spans="1:26" x14ac:dyDescent="0.3">
      <c r="A755" t="s">
        <v>845</v>
      </c>
      <c r="B755" t="s">
        <v>67</v>
      </c>
      <c r="C755" t="s">
        <v>74</v>
      </c>
      <c r="D755" t="s">
        <v>57</v>
      </c>
      <c r="E755">
        <v>23</v>
      </c>
      <c r="F755" s="3">
        <v>7.35</v>
      </c>
      <c r="G755" s="4">
        <v>82.4</v>
      </c>
      <c r="H755">
        <v>2</v>
      </c>
      <c r="I755">
        <v>3</v>
      </c>
      <c r="J755">
        <v>4</v>
      </c>
      <c r="K755" s="4">
        <v>58.4</v>
      </c>
      <c r="L755" s="4">
        <v>60.9</v>
      </c>
      <c r="M755" s="4">
        <v>87</v>
      </c>
      <c r="N755">
        <v>0</v>
      </c>
      <c r="O755" t="s">
        <v>64</v>
      </c>
      <c r="P755" t="s">
        <v>65</v>
      </c>
      <c r="S755" s="3">
        <v>0</v>
      </c>
      <c r="T755" s="5"/>
      <c r="U755">
        <v>0</v>
      </c>
      <c r="V755">
        <v>2023</v>
      </c>
      <c r="X755">
        <f t="shared" si="33"/>
        <v>7.3499244999999993</v>
      </c>
      <c r="Y755">
        <f t="shared" si="34"/>
        <v>-7.5499999999999992E-5</v>
      </c>
      <c r="Z755">
        <f t="shared" si="35"/>
        <v>60.899924499999997</v>
      </c>
    </row>
    <row r="756" spans="1:26" x14ac:dyDescent="0.3">
      <c r="A756" t="s">
        <v>846</v>
      </c>
      <c r="B756" t="s">
        <v>67</v>
      </c>
      <c r="C756" t="s">
        <v>68</v>
      </c>
      <c r="D756" t="s">
        <v>69</v>
      </c>
      <c r="E756">
        <v>22</v>
      </c>
      <c r="F756" s="3">
        <v>7.7</v>
      </c>
      <c r="G756" s="4">
        <v>78.5</v>
      </c>
      <c r="H756">
        <v>2</v>
      </c>
      <c r="I756">
        <v>2</v>
      </c>
      <c r="J756">
        <v>5</v>
      </c>
      <c r="K756" s="4">
        <v>78.400000000000006</v>
      </c>
      <c r="L756" s="4">
        <v>76.2</v>
      </c>
      <c r="M756" s="4">
        <v>72.400000000000006</v>
      </c>
      <c r="N756">
        <v>0</v>
      </c>
      <c r="O756" t="s">
        <v>58</v>
      </c>
      <c r="P756" t="s">
        <v>70</v>
      </c>
      <c r="Q756" t="s">
        <v>71</v>
      </c>
      <c r="R756" t="s">
        <v>61</v>
      </c>
      <c r="S756" s="3">
        <v>7.33</v>
      </c>
      <c r="T756" s="5">
        <v>45181</v>
      </c>
      <c r="U756">
        <v>1</v>
      </c>
      <c r="V756">
        <v>2023</v>
      </c>
      <c r="X756">
        <f t="shared" si="33"/>
        <v>7.6999244000000004</v>
      </c>
      <c r="Y756">
        <f t="shared" si="34"/>
        <v>7.3299244000000003</v>
      </c>
      <c r="Z756">
        <f t="shared" si="35"/>
        <v>76.1999244</v>
      </c>
    </row>
    <row r="757" spans="1:26" x14ac:dyDescent="0.3">
      <c r="A757" t="s">
        <v>847</v>
      </c>
      <c r="B757" t="s">
        <v>67</v>
      </c>
      <c r="C757" t="s">
        <v>101</v>
      </c>
      <c r="D757" t="s">
        <v>57</v>
      </c>
      <c r="E757">
        <v>21</v>
      </c>
      <c r="F757" s="3">
        <v>7.29</v>
      </c>
      <c r="G757" s="4">
        <v>65.8</v>
      </c>
      <c r="H757">
        <v>2</v>
      </c>
      <c r="I757">
        <v>3</v>
      </c>
      <c r="J757">
        <v>4</v>
      </c>
      <c r="K757" s="4">
        <v>73.3</v>
      </c>
      <c r="L757" s="4">
        <v>47.4</v>
      </c>
      <c r="M757" s="4">
        <v>69</v>
      </c>
      <c r="N757">
        <v>0</v>
      </c>
      <c r="O757" t="s">
        <v>64</v>
      </c>
      <c r="P757" t="s">
        <v>65</v>
      </c>
      <c r="S757" s="3">
        <v>0</v>
      </c>
      <c r="T757" s="5"/>
      <c r="U757">
        <v>0</v>
      </c>
      <c r="V757">
        <v>2023</v>
      </c>
      <c r="X757">
        <f t="shared" si="33"/>
        <v>7.2899243</v>
      </c>
      <c r="Y757">
        <f t="shared" si="34"/>
        <v>-7.5699999999999997E-5</v>
      </c>
      <c r="Z757">
        <f t="shared" si="35"/>
        <v>47.399924300000002</v>
      </c>
    </row>
    <row r="758" spans="1:26" x14ac:dyDescent="0.3">
      <c r="A758" t="s">
        <v>848</v>
      </c>
      <c r="B758" t="s">
        <v>63</v>
      </c>
      <c r="C758" t="s">
        <v>68</v>
      </c>
      <c r="D758" t="s">
        <v>69</v>
      </c>
      <c r="E758">
        <v>20</v>
      </c>
      <c r="F758" s="3">
        <v>8.77</v>
      </c>
      <c r="G758" s="4">
        <v>90</v>
      </c>
      <c r="H758">
        <v>0</v>
      </c>
      <c r="I758">
        <v>2</v>
      </c>
      <c r="J758">
        <v>5</v>
      </c>
      <c r="K758" s="4">
        <v>83.3</v>
      </c>
      <c r="L758" s="4">
        <v>68.900000000000006</v>
      </c>
      <c r="M758" s="4">
        <v>77.599999999999994</v>
      </c>
      <c r="N758">
        <v>0</v>
      </c>
      <c r="O758" t="s">
        <v>58</v>
      </c>
      <c r="P758" t="s">
        <v>59</v>
      </c>
      <c r="Q758" t="s">
        <v>60</v>
      </c>
      <c r="R758" t="s">
        <v>80</v>
      </c>
      <c r="S758" s="3">
        <v>19.57</v>
      </c>
      <c r="T758" s="5">
        <v>45930</v>
      </c>
      <c r="U758">
        <v>1</v>
      </c>
      <c r="V758">
        <v>2025</v>
      </c>
      <c r="X758">
        <f t="shared" si="33"/>
        <v>8.7699242000000002</v>
      </c>
      <c r="Y758">
        <f t="shared" si="34"/>
        <v>19.569924199999999</v>
      </c>
      <c r="Z758">
        <f t="shared" si="35"/>
        <v>68.899924200000001</v>
      </c>
    </row>
    <row r="759" spans="1:26" x14ac:dyDescent="0.3">
      <c r="A759" t="s">
        <v>849</v>
      </c>
      <c r="B759" t="s">
        <v>82</v>
      </c>
      <c r="C759" t="s">
        <v>56</v>
      </c>
      <c r="D759" t="s">
        <v>57</v>
      </c>
      <c r="E759">
        <v>21</v>
      </c>
      <c r="F759" s="3">
        <v>7.67</v>
      </c>
      <c r="G759" s="4">
        <v>86.7</v>
      </c>
      <c r="H759">
        <v>3</v>
      </c>
      <c r="I759">
        <v>1</v>
      </c>
      <c r="J759">
        <v>3</v>
      </c>
      <c r="K759" s="4">
        <v>36.799999999999997</v>
      </c>
      <c r="L759" s="4">
        <v>92.6</v>
      </c>
      <c r="M759" s="4">
        <v>100</v>
      </c>
      <c r="N759">
        <v>0</v>
      </c>
      <c r="O759" t="s">
        <v>58</v>
      </c>
      <c r="P759" t="s">
        <v>75</v>
      </c>
      <c r="Q759" t="s">
        <v>71</v>
      </c>
      <c r="R759" t="s">
        <v>109</v>
      </c>
      <c r="S759" s="3">
        <v>7.04</v>
      </c>
      <c r="T759" s="5">
        <v>44832</v>
      </c>
      <c r="U759">
        <v>2</v>
      </c>
      <c r="V759">
        <v>2022</v>
      </c>
      <c r="X759">
        <f t="shared" si="33"/>
        <v>7.6699241000000002</v>
      </c>
      <c r="Y759">
        <f t="shared" si="34"/>
        <v>7.0399241000000004</v>
      </c>
      <c r="Z759">
        <f t="shared" si="35"/>
        <v>92.599924099999996</v>
      </c>
    </row>
    <row r="760" spans="1:26" x14ac:dyDescent="0.3">
      <c r="A760" t="s">
        <v>850</v>
      </c>
      <c r="B760" t="s">
        <v>63</v>
      </c>
      <c r="C760" t="s">
        <v>68</v>
      </c>
      <c r="D760" t="s">
        <v>69</v>
      </c>
      <c r="E760">
        <v>23</v>
      </c>
      <c r="F760" s="3">
        <v>6.06</v>
      </c>
      <c r="G760" s="4">
        <v>90.3</v>
      </c>
      <c r="H760">
        <v>1</v>
      </c>
      <c r="I760">
        <v>1</v>
      </c>
      <c r="J760">
        <v>4</v>
      </c>
      <c r="K760" s="4">
        <v>72.099999999999994</v>
      </c>
      <c r="L760" s="4">
        <v>56.2</v>
      </c>
      <c r="M760" s="4">
        <v>72.8</v>
      </c>
      <c r="N760">
        <v>3</v>
      </c>
      <c r="O760" t="s">
        <v>64</v>
      </c>
      <c r="P760" t="s">
        <v>65</v>
      </c>
      <c r="S760" s="3">
        <v>0</v>
      </c>
      <c r="T760" s="5"/>
      <c r="U760">
        <v>0</v>
      </c>
      <c r="V760">
        <v>2025</v>
      </c>
      <c r="X760">
        <f t="shared" si="33"/>
        <v>6.0599239999999996</v>
      </c>
      <c r="Y760">
        <f t="shared" si="34"/>
        <v>-7.5999999999999991E-5</v>
      </c>
      <c r="Z760">
        <f t="shared" si="35"/>
        <v>56.199924000000003</v>
      </c>
    </row>
    <row r="761" spans="1:26" x14ac:dyDescent="0.3">
      <c r="A761" t="s">
        <v>851</v>
      </c>
      <c r="B761" t="s">
        <v>82</v>
      </c>
      <c r="C761" t="s">
        <v>56</v>
      </c>
      <c r="D761" t="s">
        <v>57</v>
      </c>
      <c r="E761">
        <v>22</v>
      </c>
      <c r="F761" s="3">
        <v>8.3800000000000008</v>
      </c>
      <c r="G761" s="4">
        <v>80.3</v>
      </c>
      <c r="H761">
        <v>2</v>
      </c>
      <c r="I761">
        <v>4</v>
      </c>
      <c r="J761">
        <v>4</v>
      </c>
      <c r="K761" s="4">
        <v>79.400000000000006</v>
      </c>
      <c r="L761" s="4">
        <v>63.4</v>
      </c>
      <c r="M761" s="4">
        <v>66.3</v>
      </c>
      <c r="N761">
        <v>0</v>
      </c>
      <c r="O761" t="s">
        <v>58</v>
      </c>
      <c r="P761" t="s">
        <v>90</v>
      </c>
      <c r="Q761" t="s">
        <v>60</v>
      </c>
      <c r="R761" t="s">
        <v>72</v>
      </c>
      <c r="S761" s="3">
        <v>9.69</v>
      </c>
      <c r="T761" s="5">
        <v>44845</v>
      </c>
      <c r="U761">
        <v>1</v>
      </c>
      <c r="V761">
        <v>2022</v>
      </c>
      <c r="X761">
        <f t="shared" si="33"/>
        <v>8.3799239000000014</v>
      </c>
      <c r="Y761">
        <f t="shared" si="34"/>
        <v>9.6899239000000001</v>
      </c>
      <c r="Z761">
        <f t="shared" si="35"/>
        <v>63.399923899999997</v>
      </c>
    </row>
    <row r="762" spans="1:26" x14ac:dyDescent="0.3">
      <c r="A762" t="s">
        <v>852</v>
      </c>
      <c r="B762" t="s">
        <v>67</v>
      </c>
      <c r="C762" t="s">
        <v>84</v>
      </c>
      <c r="D762" t="s">
        <v>69</v>
      </c>
      <c r="E762">
        <v>20</v>
      </c>
      <c r="F762" s="3">
        <v>9.3699999999999992</v>
      </c>
      <c r="G762" s="4">
        <v>85.2</v>
      </c>
      <c r="H762">
        <v>2</v>
      </c>
      <c r="I762">
        <v>1</v>
      </c>
      <c r="J762">
        <v>4</v>
      </c>
      <c r="K762" s="4">
        <v>82.7</v>
      </c>
      <c r="L762" s="4">
        <v>44.1</v>
      </c>
      <c r="M762" s="4">
        <v>90.1</v>
      </c>
      <c r="N762">
        <v>0</v>
      </c>
      <c r="O762" t="s">
        <v>58</v>
      </c>
      <c r="P762" t="s">
        <v>112</v>
      </c>
      <c r="Q762" t="s">
        <v>93</v>
      </c>
      <c r="R762" t="s">
        <v>76</v>
      </c>
      <c r="S762" s="3">
        <v>7.49</v>
      </c>
      <c r="T762" s="5">
        <v>45158</v>
      </c>
      <c r="U762">
        <v>1</v>
      </c>
      <c r="V762">
        <v>2023</v>
      </c>
      <c r="X762">
        <f t="shared" si="33"/>
        <v>9.3699237999999987</v>
      </c>
      <c r="Y762">
        <f t="shared" si="34"/>
        <v>7.4899238000000006</v>
      </c>
      <c r="Z762">
        <f t="shared" si="35"/>
        <v>44.099923799999999</v>
      </c>
    </row>
    <row r="763" spans="1:26" x14ac:dyDescent="0.3">
      <c r="A763" t="s">
        <v>853</v>
      </c>
      <c r="B763" t="s">
        <v>67</v>
      </c>
      <c r="C763" t="s">
        <v>56</v>
      </c>
      <c r="D763" t="s">
        <v>69</v>
      </c>
      <c r="E763">
        <v>23</v>
      </c>
      <c r="F763" s="3">
        <v>7.79</v>
      </c>
      <c r="G763" s="4">
        <v>76.099999999999994</v>
      </c>
      <c r="H763">
        <v>3</v>
      </c>
      <c r="I763">
        <v>0</v>
      </c>
      <c r="J763">
        <v>4</v>
      </c>
      <c r="K763" s="4">
        <v>79.3</v>
      </c>
      <c r="L763" s="4">
        <v>86.6</v>
      </c>
      <c r="M763" s="4">
        <v>49</v>
      </c>
      <c r="N763">
        <v>2</v>
      </c>
      <c r="O763" t="s">
        <v>58</v>
      </c>
      <c r="P763" t="s">
        <v>79</v>
      </c>
      <c r="Q763" t="s">
        <v>71</v>
      </c>
      <c r="R763" t="s">
        <v>130</v>
      </c>
      <c r="S763" s="3">
        <v>7.02</v>
      </c>
      <c r="T763" s="5">
        <v>45182</v>
      </c>
      <c r="U763">
        <v>1</v>
      </c>
      <c r="V763">
        <v>2023</v>
      </c>
      <c r="X763">
        <f t="shared" si="33"/>
        <v>7.7899237000000001</v>
      </c>
      <c r="Y763">
        <f t="shared" si="34"/>
        <v>7.0199236999999997</v>
      </c>
      <c r="Z763">
        <f t="shared" si="35"/>
        <v>86.599923699999991</v>
      </c>
    </row>
    <row r="764" spans="1:26" x14ac:dyDescent="0.3">
      <c r="A764" t="s">
        <v>854</v>
      </c>
      <c r="B764" t="s">
        <v>63</v>
      </c>
      <c r="C764" t="s">
        <v>68</v>
      </c>
      <c r="D764" t="s">
        <v>57</v>
      </c>
      <c r="E764">
        <v>20</v>
      </c>
      <c r="F764" s="3">
        <v>7.86</v>
      </c>
      <c r="G764" s="4">
        <v>75.3</v>
      </c>
      <c r="H764">
        <v>2</v>
      </c>
      <c r="I764">
        <v>1</v>
      </c>
      <c r="J764">
        <v>4</v>
      </c>
      <c r="K764" s="4">
        <v>51.1</v>
      </c>
      <c r="L764" s="4">
        <v>68.5</v>
      </c>
      <c r="M764" s="4">
        <v>72.7</v>
      </c>
      <c r="N764">
        <v>0</v>
      </c>
      <c r="O764" t="s">
        <v>58</v>
      </c>
      <c r="P764" t="s">
        <v>90</v>
      </c>
      <c r="Q764" t="s">
        <v>60</v>
      </c>
      <c r="R764" t="s">
        <v>80</v>
      </c>
      <c r="S764" s="3">
        <v>9.5299999999999994</v>
      </c>
      <c r="T764" s="5">
        <v>45925</v>
      </c>
      <c r="U764">
        <v>1</v>
      </c>
      <c r="V764">
        <v>2025</v>
      </c>
      <c r="X764">
        <f t="shared" si="33"/>
        <v>7.8599236000000001</v>
      </c>
      <c r="Y764">
        <f t="shared" si="34"/>
        <v>9.5299236000000001</v>
      </c>
      <c r="Z764">
        <f t="shared" si="35"/>
        <v>68.499923600000002</v>
      </c>
    </row>
    <row r="765" spans="1:26" x14ac:dyDescent="0.3">
      <c r="A765" t="s">
        <v>855</v>
      </c>
      <c r="B765" t="s">
        <v>63</v>
      </c>
      <c r="C765" t="s">
        <v>68</v>
      </c>
      <c r="D765" t="s">
        <v>57</v>
      </c>
      <c r="E765">
        <v>20</v>
      </c>
      <c r="F765" s="3">
        <v>6.95</v>
      </c>
      <c r="G765" s="4">
        <v>79.400000000000006</v>
      </c>
      <c r="H765">
        <v>1</v>
      </c>
      <c r="I765">
        <v>1</v>
      </c>
      <c r="J765">
        <v>5</v>
      </c>
      <c r="K765" s="4">
        <v>88</v>
      </c>
      <c r="L765" s="4">
        <v>62.2</v>
      </c>
      <c r="M765" s="4">
        <v>66.400000000000006</v>
      </c>
      <c r="N765">
        <v>0</v>
      </c>
      <c r="O765" t="s">
        <v>64</v>
      </c>
      <c r="P765" t="s">
        <v>65</v>
      </c>
      <c r="S765" s="3">
        <v>0</v>
      </c>
      <c r="T765" s="5"/>
      <c r="U765">
        <v>0</v>
      </c>
      <c r="V765">
        <v>2025</v>
      </c>
      <c r="X765">
        <f t="shared" si="33"/>
        <v>6.9499235000000006</v>
      </c>
      <c r="Y765">
        <f t="shared" si="34"/>
        <v>-7.6500000000000003E-5</v>
      </c>
      <c r="Z765">
        <f t="shared" si="35"/>
        <v>62.199923500000004</v>
      </c>
    </row>
    <row r="766" spans="1:26" x14ac:dyDescent="0.3">
      <c r="A766" t="s">
        <v>856</v>
      </c>
      <c r="B766" t="s">
        <v>82</v>
      </c>
      <c r="C766" t="s">
        <v>84</v>
      </c>
      <c r="D766" t="s">
        <v>69</v>
      </c>
      <c r="E766">
        <v>23</v>
      </c>
      <c r="F766" s="3">
        <v>7.43</v>
      </c>
      <c r="G766" s="4">
        <v>90.3</v>
      </c>
      <c r="H766">
        <v>2</v>
      </c>
      <c r="I766">
        <v>2</v>
      </c>
      <c r="J766">
        <v>6</v>
      </c>
      <c r="K766" s="4">
        <v>78.400000000000006</v>
      </c>
      <c r="L766" s="4">
        <v>70.7</v>
      </c>
      <c r="M766" s="4">
        <v>81.5</v>
      </c>
      <c r="N766">
        <v>0</v>
      </c>
      <c r="O766" t="s">
        <v>64</v>
      </c>
      <c r="P766" t="s">
        <v>65</v>
      </c>
      <c r="S766" s="3">
        <v>0</v>
      </c>
      <c r="T766" s="5"/>
      <c r="U766">
        <v>0</v>
      </c>
      <c r="V766">
        <v>2022</v>
      </c>
      <c r="X766">
        <f t="shared" si="33"/>
        <v>7.4299233999999998</v>
      </c>
      <c r="Y766">
        <f t="shared" si="34"/>
        <v>-7.6599999999999992E-5</v>
      </c>
      <c r="Z766">
        <f t="shared" si="35"/>
        <v>70.699923400000003</v>
      </c>
    </row>
    <row r="767" spans="1:26" x14ac:dyDescent="0.3">
      <c r="A767" t="s">
        <v>857</v>
      </c>
      <c r="B767" t="s">
        <v>55</v>
      </c>
      <c r="C767" t="s">
        <v>56</v>
      </c>
      <c r="D767" t="s">
        <v>69</v>
      </c>
      <c r="E767">
        <v>21</v>
      </c>
      <c r="F767" s="3">
        <v>8.1</v>
      </c>
      <c r="G767" s="4">
        <v>79.5</v>
      </c>
      <c r="H767">
        <v>0</v>
      </c>
      <c r="I767">
        <v>2</v>
      </c>
      <c r="J767">
        <v>2</v>
      </c>
      <c r="K767" s="4">
        <v>68.3</v>
      </c>
      <c r="L767" s="4">
        <v>68.900000000000006</v>
      </c>
      <c r="M767" s="4">
        <v>75.599999999999994</v>
      </c>
      <c r="N767">
        <v>0</v>
      </c>
      <c r="O767" t="s">
        <v>58</v>
      </c>
      <c r="P767" t="s">
        <v>104</v>
      </c>
      <c r="Q767" t="s">
        <v>105</v>
      </c>
      <c r="R767" t="s">
        <v>130</v>
      </c>
      <c r="S767" s="3">
        <v>14.12</v>
      </c>
      <c r="T767" s="5">
        <v>45519</v>
      </c>
      <c r="U767">
        <v>2</v>
      </c>
      <c r="V767">
        <v>2024</v>
      </c>
      <c r="X767">
        <f t="shared" si="33"/>
        <v>8.0999233000000004</v>
      </c>
      <c r="Y767">
        <f t="shared" si="34"/>
        <v>14.1199233</v>
      </c>
      <c r="Z767">
        <f t="shared" si="35"/>
        <v>68.899923300000012</v>
      </c>
    </row>
    <row r="768" spans="1:26" x14ac:dyDescent="0.3">
      <c r="A768" t="s">
        <v>858</v>
      </c>
      <c r="B768" t="s">
        <v>82</v>
      </c>
      <c r="C768" t="s">
        <v>56</v>
      </c>
      <c r="D768" t="s">
        <v>57</v>
      </c>
      <c r="E768">
        <v>23</v>
      </c>
      <c r="F768" s="3">
        <v>8.67</v>
      </c>
      <c r="G768" s="4">
        <v>81.5</v>
      </c>
      <c r="H768">
        <v>0</v>
      </c>
      <c r="I768">
        <v>5</v>
      </c>
      <c r="J768">
        <v>4</v>
      </c>
      <c r="K768" s="4">
        <v>68.5</v>
      </c>
      <c r="L768" s="4">
        <v>59.5</v>
      </c>
      <c r="M768" s="4">
        <v>60.8</v>
      </c>
      <c r="N768">
        <v>0</v>
      </c>
      <c r="O768" t="s">
        <v>58</v>
      </c>
      <c r="P768" t="s">
        <v>92</v>
      </c>
      <c r="Q768" t="s">
        <v>93</v>
      </c>
      <c r="R768" t="s">
        <v>130</v>
      </c>
      <c r="S768" s="3">
        <v>9.0500000000000007</v>
      </c>
      <c r="T768" s="5">
        <v>44849</v>
      </c>
      <c r="U768">
        <v>2</v>
      </c>
      <c r="V768">
        <v>2022</v>
      </c>
      <c r="X768">
        <f t="shared" si="33"/>
        <v>8.6699231999999995</v>
      </c>
      <c r="Y768">
        <f t="shared" si="34"/>
        <v>9.0499232000000003</v>
      </c>
      <c r="Z768">
        <f t="shared" si="35"/>
        <v>59.499923199999998</v>
      </c>
    </row>
    <row r="769" spans="1:26" x14ac:dyDescent="0.3">
      <c r="A769" t="s">
        <v>859</v>
      </c>
      <c r="B769" t="s">
        <v>63</v>
      </c>
      <c r="C769" t="s">
        <v>56</v>
      </c>
      <c r="D769" t="s">
        <v>57</v>
      </c>
      <c r="E769">
        <v>23</v>
      </c>
      <c r="F769" s="3">
        <v>8.0500000000000007</v>
      </c>
      <c r="G769" s="4">
        <v>84.2</v>
      </c>
      <c r="H769">
        <v>3</v>
      </c>
      <c r="I769">
        <v>3</v>
      </c>
      <c r="J769">
        <v>6</v>
      </c>
      <c r="K769" s="4">
        <v>92.7</v>
      </c>
      <c r="L769" s="4">
        <v>48.9</v>
      </c>
      <c r="M769" s="4">
        <v>81.8</v>
      </c>
      <c r="N769">
        <v>0</v>
      </c>
      <c r="O769" t="s">
        <v>58</v>
      </c>
      <c r="P769" t="s">
        <v>112</v>
      </c>
      <c r="Q769" t="s">
        <v>93</v>
      </c>
      <c r="R769" t="s">
        <v>80</v>
      </c>
      <c r="S769" s="3">
        <v>6.67</v>
      </c>
      <c r="T769" s="5">
        <v>45925</v>
      </c>
      <c r="U769">
        <v>1</v>
      </c>
      <c r="V769">
        <v>2025</v>
      </c>
      <c r="X769">
        <f t="shared" si="33"/>
        <v>8.0499231000000009</v>
      </c>
      <c r="Y769">
        <f t="shared" si="34"/>
        <v>6.6699231000000001</v>
      </c>
      <c r="Z769">
        <f t="shared" si="35"/>
        <v>48.899923099999995</v>
      </c>
    </row>
    <row r="770" spans="1:26" x14ac:dyDescent="0.3">
      <c r="A770" t="s">
        <v>860</v>
      </c>
      <c r="B770" t="s">
        <v>63</v>
      </c>
      <c r="C770" t="s">
        <v>56</v>
      </c>
      <c r="D770" t="s">
        <v>69</v>
      </c>
      <c r="E770">
        <v>21</v>
      </c>
      <c r="F770" s="3">
        <v>9.2899999999999991</v>
      </c>
      <c r="G770" s="4">
        <v>82.2</v>
      </c>
      <c r="H770">
        <v>1</v>
      </c>
      <c r="I770">
        <v>0</v>
      </c>
      <c r="J770">
        <v>2</v>
      </c>
      <c r="K770" s="4">
        <v>78</v>
      </c>
      <c r="L770" s="4">
        <v>72.3</v>
      </c>
      <c r="M770" s="4">
        <v>64.2</v>
      </c>
      <c r="N770">
        <v>0</v>
      </c>
      <c r="O770" t="s">
        <v>58</v>
      </c>
      <c r="P770" t="s">
        <v>92</v>
      </c>
      <c r="Q770" t="s">
        <v>93</v>
      </c>
      <c r="R770" t="s">
        <v>130</v>
      </c>
      <c r="S770" s="3">
        <v>9.19</v>
      </c>
      <c r="T770" s="5">
        <v>45925</v>
      </c>
      <c r="U770">
        <v>1</v>
      </c>
      <c r="V770">
        <v>2025</v>
      </c>
      <c r="X770">
        <f t="shared" ref="X770:X833" si="36">F770-ROW()*0.0000001</f>
        <v>9.2899229999999999</v>
      </c>
      <c r="Y770">
        <f t="shared" ref="Y770:Y833" si="37">S770-ROW()*0.0000001</f>
        <v>9.1899230000000003</v>
      </c>
      <c r="Z770">
        <f t="shared" ref="Z770:Z833" si="38">L770-ROW()*0.0000001</f>
        <v>72.299922999999993</v>
      </c>
    </row>
    <row r="771" spans="1:26" x14ac:dyDescent="0.3">
      <c r="A771" t="s">
        <v>861</v>
      </c>
      <c r="B771" t="s">
        <v>107</v>
      </c>
      <c r="C771" t="s">
        <v>56</v>
      </c>
      <c r="D771" t="s">
        <v>57</v>
      </c>
      <c r="E771">
        <v>22</v>
      </c>
      <c r="F771" s="3">
        <v>7.74</v>
      </c>
      <c r="G771" s="4">
        <v>91.1</v>
      </c>
      <c r="H771">
        <v>0</v>
      </c>
      <c r="I771">
        <v>3</v>
      </c>
      <c r="J771">
        <v>3</v>
      </c>
      <c r="K771" s="4">
        <v>70.2</v>
      </c>
      <c r="L771" s="4">
        <v>70.2</v>
      </c>
      <c r="M771" s="4">
        <v>73.400000000000006</v>
      </c>
      <c r="N771">
        <v>0</v>
      </c>
      <c r="O771" t="s">
        <v>64</v>
      </c>
      <c r="P771" t="s">
        <v>65</v>
      </c>
      <c r="S771" s="3">
        <v>0</v>
      </c>
      <c r="T771" s="5"/>
      <c r="U771">
        <v>0</v>
      </c>
      <c r="V771">
        <v>2021</v>
      </c>
      <c r="X771">
        <f t="shared" si="36"/>
        <v>7.7399228999999998</v>
      </c>
      <c r="Y771">
        <f t="shared" si="37"/>
        <v>-7.709999999999999E-5</v>
      </c>
      <c r="Z771">
        <f t="shared" si="38"/>
        <v>70.199922900000004</v>
      </c>
    </row>
    <row r="772" spans="1:26" x14ac:dyDescent="0.3">
      <c r="A772" t="s">
        <v>862</v>
      </c>
      <c r="B772" t="s">
        <v>63</v>
      </c>
      <c r="C772" t="s">
        <v>89</v>
      </c>
      <c r="D772" t="s">
        <v>69</v>
      </c>
      <c r="E772">
        <v>23</v>
      </c>
      <c r="F772" s="3">
        <v>6.64</v>
      </c>
      <c r="G772" s="4">
        <v>75.3</v>
      </c>
      <c r="H772">
        <v>1</v>
      </c>
      <c r="I772">
        <v>3</v>
      </c>
      <c r="J772">
        <v>2</v>
      </c>
      <c r="K772" s="4">
        <v>56.1</v>
      </c>
      <c r="L772" s="4">
        <v>64.2</v>
      </c>
      <c r="M772" s="4">
        <v>68.900000000000006</v>
      </c>
      <c r="N772">
        <v>1</v>
      </c>
      <c r="O772" t="s">
        <v>64</v>
      </c>
      <c r="P772" t="s">
        <v>65</v>
      </c>
      <c r="S772" s="3">
        <v>0</v>
      </c>
      <c r="T772" s="5"/>
      <c r="U772">
        <v>0</v>
      </c>
      <c r="V772">
        <v>2025</v>
      </c>
      <c r="X772">
        <f t="shared" si="36"/>
        <v>6.6399227999999999</v>
      </c>
      <c r="Y772">
        <f t="shared" si="37"/>
        <v>-7.7199999999999993E-5</v>
      </c>
      <c r="Z772">
        <f t="shared" si="38"/>
        <v>64.199922799999996</v>
      </c>
    </row>
    <row r="773" spans="1:26" x14ac:dyDescent="0.3">
      <c r="A773" t="s">
        <v>863</v>
      </c>
      <c r="B773" t="s">
        <v>107</v>
      </c>
      <c r="C773" t="s">
        <v>56</v>
      </c>
      <c r="D773" t="s">
        <v>57</v>
      </c>
      <c r="E773">
        <v>20</v>
      </c>
      <c r="F773" s="3">
        <v>6.67</v>
      </c>
      <c r="G773" s="4">
        <v>82.9</v>
      </c>
      <c r="H773">
        <v>0</v>
      </c>
      <c r="I773">
        <v>4</v>
      </c>
      <c r="J773">
        <v>2</v>
      </c>
      <c r="K773" s="4">
        <v>64.8</v>
      </c>
      <c r="L773" s="4">
        <v>65.400000000000006</v>
      </c>
      <c r="M773" s="4">
        <v>83.8</v>
      </c>
      <c r="N773">
        <v>2</v>
      </c>
      <c r="O773" t="s">
        <v>58</v>
      </c>
      <c r="P773" t="s">
        <v>95</v>
      </c>
      <c r="Q773" t="s">
        <v>93</v>
      </c>
      <c r="R773" t="s">
        <v>61</v>
      </c>
      <c r="S773" s="3">
        <v>5.53</v>
      </c>
      <c r="T773" s="5">
        <v>44453</v>
      </c>
      <c r="U773">
        <v>2</v>
      </c>
      <c r="V773">
        <v>2021</v>
      </c>
      <c r="X773">
        <f t="shared" si="36"/>
        <v>6.6699226999999999</v>
      </c>
      <c r="Y773">
        <f t="shared" si="37"/>
        <v>5.5299227000000002</v>
      </c>
      <c r="Z773">
        <f t="shared" si="38"/>
        <v>65.399922700000005</v>
      </c>
    </row>
    <row r="774" spans="1:26" x14ac:dyDescent="0.3">
      <c r="A774" t="s">
        <v>864</v>
      </c>
      <c r="B774" t="s">
        <v>55</v>
      </c>
      <c r="C774" t="s">
        <v>56</v>
      </c>
      <c r="D774" t="s">
        <v>69</v>
      </c>
      <c r="E774">
        <v>23</v>
      </c>
      <c r="F774" s="3">
        <v>8.76</v>
      </c>
      <c r="G774" s="4">
        <v>86.3</v>
      </c>
      <c r="H774">
        <v>0</v>
      </c>
      <c r="I774">
        <v>2</v>
      </c>
      <c r="J774">
        <v>6</v>
      </c>
      <c r="K774" s="4">
        <v>56.1</v>
      </c>
      <c r="L774" s="4">
        <v>86.2</v>
      </c>
      <c r="M774" s="4">
        <v>68.5</v>
      </c>
      <c r="N774">
        <v>1</v>
      </c>
      <c r="O774" t="s">
        <v>58</v>
      </c>
      <c r="P774" t="s">
        <v>70</v>
      </c>
      <c r="Q774" t="s">
        <v>71</v>
      </c>
      <c r="R774" t="s">
        <v>76</v>
      </c>
      <c r="S774" s="3">
        <v>6.66</v>
      </c>
      <c r="T774" s="5">
        <v>45584</v>
      </c>
      <c r="U774">
        <v>1</v>
      </c>
      <c r="V774">
        <v>2024</v>
      </c>
      <c r="X774">
        <f t="shared" si="36"/>
        <v>8.7599225999999994</v>
      </c>
      <c r="Y774">
        <f t="shared" si="37"/>
        <v>6.6599225999999998</v>
      </c>
      <c r="Z774">
        <f t="shared" si="38"/>
        <v>86.199922600000008</v>
      </c>
    </row>
    <row r="775" spans="1:26" x14ac:dyDescent="0.3">
      <c r="A775" t="s">
        <v>865</v>
      </c>
      <c r="B775" t="s">
        <v>82</v>
      </c>
      <c r="C775" t="s">
        <v>101</v>
      </c>
      <c r="D775" t="s">
        <v>69</v>
      </c>
      <c r="E775">
        <v>23</v>
      </c>
      <c r="F775" s="3">
        <v>8.56</v>
      </c>
      <c r="G775" s="4">
        <v>67.2</v>
      </c>
      <c r="H775">
        <v>0</v>
      </c>
      <c r="I775">
        <v>1</v>
      </c>
      <c r="J775">
        <v>3</v>
      </c>
      <c r="K775" s="4">
        <v>43.5</v>
      </c>
      <c r="L775" s="4">
        <v>74.400000000000006</v>
      </c>
      <c r="M775" s="4">
        <v>36.9</v>
      </c>
      <c r="N775">
        <v>0</v>
      </c>
      <c r="O775" t="s">
        <v>64</v>
      </c>
      <c r="P775" t="s">
        <v>65</v>
      </c>
      <c r="S775" s="3">
        <v>0</v>
      </c>
      <c r="T775" s="5"/>
      <c r="U775">
        <v>0</v>
      </c>
      <c r="V775">
        <v>2022</v>
      </c>
      <c r="X775">
        <f t="shared" si="36"/>
        <v>8.5599225000000008</v>
      </c>
      <c r="Y775">
        <f t="shared" si="37"/>
        <v>-7.75E-5</v>
      </c>
      <c r="Z775">
        <f t="shared" si="38"/>
        <v>74.399922500000002</v>
      </c>
    </row>
    <row r="776" spans="1:26" x14ac:dyDescent="0.3">
      <c r="A776" t="s">
        <v>866</v>
      </c>
      <c r="B776" t="s">
        <v>82</v>
      </c>
      <c r="C776" t="s">
        <v>74</v>
      </c>
      <c r="D776" t="s">
        <v>69</v>
      </c>
      <c r="E776">
        <v>20</v>
      </c>
      <c r="F776" s="3">
        <v>6.17</v>
      </c>
      <c r="G776" s="4">
        <v>84.4</v>
      </c>
      <c r="H776">
        <v>2</v>
      </c>
      <c r="I776">
        <v>3</v>
      </c>
      <c r="J776">
        <v>4</v>
      </c>
      <c r="K776" s="4">
        <v>71.099999999999994</v>
      </c>
      <c r="L776" s="4">
        <v>50.1</v>
      </c>
      <c r="M776" s="4">
        <v>60.6</v>
      </c>
      <c r="N776">
        <v>0</v>
      </c>
      <c r="O776" t="s">
        <v>58</v>
      </c>
      <c r="P776" t="s">
        <v>87</v>
      </c>
      <c r="Q776" t="s">
        <v>71</v>
      </c>
      <c r="R776" t="s">
        <v>85</v>
      </c>
      <c r="S776" s="3">
        <v>5.83</v>
      </c>
      <c r="T776" s="5">
        <v>44835</v>
      </c>
      <c r="U776">
        <v>3</v>
      </c>
      <c r="V776">
        <v>2022</v>
      </c>
      <c r="X776">
        <f t="shared" si="36"/>
        <v>6.1699223999999999</v>
      </c>
      <c r="Y776">
        <f t="shared" si="37"/>
        <v>5.8299224000000001</v>
      </c>
      <c r="Z776">
        <f t="shared" si="38"/>
        <v>50.099922400000004</v>
      </c>
    </row>
    <row r="777" spans="1:26" x14ac:dyDescent="0.3">
      <c r="A777" t="s">
        <v>867</v>
      </c>
      <c r="B777" t="s">
        <v>107</v>
      </c>
      <c r="C777" t="s">
        <v>74</v>
      </c>
      <c r="D777" t="s">
        <v>57</v>
      </c>
      <c r="E777">
        <v>21</v>
      </c>
      <c r="F777" s="3">
        <v>7.46</v>
      </c>
      <c r="G777" s="4">
        <v>94.1</v>
      </c>
      <c r="H777">
        <v>2</v>
      </c>
      <c r="I777">
        <v>3</v>
      </c>
      <c r="J777">
        <v>2</v>
      </c>
      <c r="K777" s="4">
        <v>43.4</v>
      </c>
      <c r="L777" s="4">
        <v>89.3</v>
      </c>
      <c r="M777" s="4">
        <v>74.8</v>
      </c>
      <c r="N777">
        <v>3</v>
      </c>
      <c r="O777" t="s">
        <v>64</v>
      </c>
      <c r="P777" t="s">
        <v>65</v>
      </c>
      <c r="S777" s="3">
        <v>0</v>
      </c>
      <c r="T777" s="5"/>
      <c r="U777">
        <v>0</v>
      </c>
      <c r="V777">
        <v>2021</v>
      </c>
      <c r="X777">
        <f t="shared" si="36"/>
        <v>7.4599222999999997</v>
      </c>
      <c r="Y777">
        <f t="shared" si="37"/>
        <v>-7.7699999999999991E-5</v>
      </c>
      <c r="Z777">
        <f t="shared" si="38"/>
        <v>89.299922299999992</v>
      </c>
    </row>
    <row r="778" spans="1:26" x14ac:dyDescent="0.3">
      <c r="A778" t="s">
        <v>868</v>
      </c>
      <c r="B778" t="s">
        <v>82</v>
      </c>
      <c r="C778" t="s">
        <v>74</v>
      </c>
      <c r="D778" t="s">
        <v>69</v>
      </c>
      <c r="E778">
        <v>22</v>
      </c>
      <c r="F778" s="3">
        <v>7.49</v>
      </c>
      <c r="G778" s="4">
        <v>78.8</v>
      </c>
      <c r="H778">
        <v>2</v>
      </c>
      <c r="I778">
        <v>2</v>
      </c>
      <c r="J778">
        <v>1</v>
      </c>
      <c r="K778" s="4">
        <v>59.2</v>
      </c>
      <c r="L778" s="4">
        <v>80.2</v>
      </c>
      <c r="M778" s="4">
        <v>66.099999999999994</v>
      </c>
      <c r="N778">
        <v>0</v>
      </c>
      <c r="O778" t="s">
        <v>58</v>
      </c>
      <c r="P778" t="s">
        <v>92</v>
      </c>
      <c r="Q778" t="s">
        <v>93</v>
      </c>
      <c r="R778" t="s">
        <v>76</v>
      </c>
      <c r="S778" s="3">
        <v>9.01</v>
      </c>
      <c r="T778" s="5">
        <v>44857</v>
      </c>
      <c r="U778">
        <v>1</v>
      </c>
      <c r="V778">
        <v>2022</v>
      </c>
      <c r="X778">
        <f t="shared" si="36"/>
        <v>7.4899222000000005</v>
      </c>
      <c r="Y778">
        <f t="shared" si="37"/>
        <v>9.0099222000000001</v>
      </c>
      <c r="Z778">
        <f t="shared" si="38"/>
        <v>80.199922200000003</v>
      </c>
    </row>
    <row r="779" spans="1:26" x14ac:dyDescent="0.3">
      <c r="A779" t="s">
        <v>869</v>
      </c>
      <c r="B779" t="s">
        <v>63</v>
      </c>
      <c r="C779" t="s">
        <v>84</v>
      </c>
      <c r="D779" t="s">
        <v>57</v>
      </c>
      <c r="E779">
        <v>22</v>
      </c>
      <c r="F779" s="3">
        <v>6.97</v>
      </c>
      <c r="G779" s="4">
        <v>72.2</v>
      </c>
      <c r="H779">
        <v>1</v>
      </c>
      <c r="I779">
        <v>0</v>
      </c>
      <c r="J779">
        <v>5</v>
      </c>
      <c r="K779" s="4">
        <v>63.7</v>
      </c>
      <c r="L779" s="4">
        <v>79.099999999999994</v>
      </c>
      <c r="M779" s="4">
        <v>88.3</v>
      </c>
      <c r="N779">
        <v>0</v>
      </c>
      <c r="O779" t="s">
        <v>58</v>
      </c>
      <c r="P779" t="s">
        <v>90</v>
      </c>
      <c r="Q779" t="s">
        <v>60</v>
      </c>
      <c r="R779" t="s">
        <v>85</v>
      </c>
      <c r="S779" s="3">
        <v>9.19</v>
      </c>
      <c r="T779" s="5">
        <v>45883</v>
      </c>
      <c r="U779">
        <v>1</v>
      </c>
      <c r="V779">
        <v>2025</v>
      </c>
      <c r="X779">
        <f t="shared" si="36"/>
        <v>6.9699220999999998</v>
      </c>
      <c r="Y779">
        <f t="shared" si="37"/>
        <v>9.1899220999999987</v>
      </c>
      <c r="Z779">
        <f t="shared" si="38"/>
        <v>79.099922100000001</v>
      </c>
    </row>
    <row r="780" spans="1:26" x14ac:dyDescent="0.3">
      <c r="A780" t="s">
        <v>870</v>
      </c>
      <c r="B780" t="s">
        <v>67</v>
      </c>
      <c r="C780" t="s">
        <v>56</v>
      </c>
      <c r="D780" t="s">
        <v>69</v>
      </c>
      <c r="E780">
        <v>20</v>
      </c>
      <c r="F780" s="3">
        <v>6.38</v>
      </c>
      <c r="G780" s="4">
        <v>86.2</v>
      </c>
      <c r="H780">
        <v>2</v>
      </c>
      <c r="I780">
        <v>2</v>
      </c>
      <c r="J780">
        <v>4</v>
      </c>
      <c r="K780" s="4">
        <v>47.6</v>
      </c>
      <c r="L780" s="4">
        <v>58.1</v>
      </c>
      <c r="M780" s="4">
        <v>61.7</v>
      </c>
      <c r="N780">
        <v>0</v>
      </c>
      <c r="O780" t="s">
        <v>58</v>
      </c>
      <c r="P780" t="s">
        <v>59</v>
      </c>
      <c r="Q780" t="s">
        <v>60</v>
      </c>
      <c r="R780" t="s">
        <v>61</v>
      </c>
      <c r="S780" s="3">
        <v>17.61</v>
      </c>
      <c r="T780" s="5">
        <v>45239</v>
      </c>
      <c r="U780">
        <v>1</v>
      </c>
      <c r="V780">
        <v>2023</v>
      </c>
      <c r="X780">
        <f t="shared" si="36"/>
        <v>6.3799219999999996</v>
      </c>
      <c r="Y780">
        <f t="shared" si="37"/>
        <v>17.609922000000001</v>
      </c>
      <c r="Z780">
        <f t="shared" si="38"/>
        <v>58.099921999999999</v>
      </c>
    </row>
    <row r="781" spans="1:26" x14ac:dyDescent="0.3">
      <c r="A781" t="s">
        <v>871</v>
      </c>
      <c r="B781" t="s">
        <v>107</v>
      </c>
      <c r="C781" t="s">
        <v>84</v>
      </c>
      <c r="D781" t="s">
        <v>57</v>
      </c>
      <c r="E781">
        <v>21</v>
      </c>
      <c r="F781" s="3">
        <v>6.95</v>
      </c>
      <c r="G781" s="4">
        <v>83.6</v>
      </c>
      <c r="H781">
        <v>1</v>
      </c>
      <c r="I781">
        <v>0</v>
      </c>
      <c r="J781">
        <v>1</v>
      </c>
      <c r="K781" s="4">
        <v>82.3</v>
      </c>
      <c r="L781" s="4">
        <v>82.8</v>
      </c>
      <c r="M781" s="4">
        <v>80.900000000000006</v>
      </c>
      <c r="N781">
        <v>0</v>
      </c>
      <c r="O781" t="s">
        <v>58</v>
      </c>
      <c r="P781" t="s">
        <v>95</v>
      </c>
      <c r="Q781" t="s">
        <v>93</v>
      </c>
      <c r="R781" t="s">
        <v>76</v>
      </c>
      <c r="S781" s="3">
        <v>6.49</v>
      </c>
      <c r="T781" s="5">
        <v>44434</v>
      </c>
      <c r="U781">
        <v>2</v>
      </c>
      <c r="V781">
        <v>2021</v>
      </c>
      <c r="X781">
        <f t="shared" si="36"/>
        <v>6.9499219000000005</v>
      </c>
      <c r="Y781">
        <f t="shared" si="37"/>
        <v>6.4899219000000006</v>
      </c>
      <c r="Z781">
        <f t="shared" si="38"/>
        <v>82.799921900000001</v>
      </c>
    </row>
    <row r="782" spans="1:26" x14ac:dyDescent="0.3">
      <c r="A782" t="s">
        <v>872</v>
      </c>
      <c r="B782" t="s">
        <v>82</v>
      </c>
      <c r="C782" t="s">
        <v>78</v>
      </c>
      <c r="D782" t="s">
        <v>57</v>
      </c>
      <c r="E782">
        <v>23</v>
      </c>
      <c r="F782" s="3">
        <v>6.79</v>
      </c>
      <c r="G782" s="4">
        <v>95.7</v>
      </c>
      <c r="H782">
        <v>1</v>
      </c>
      <c r="I782">
        <v>0</v>
      </c>
      <c r="J782">
        <v>6</v>
      </c>
      <c r="K782" s="4">
        <v>66.400000000000006</v>
      </c>
      <c r="L782" s="4">
        <v>72.7</v>
      </c>
      <c r="M782" s="4">
        <v>83.7</v>
      </c>
      <c r="N782">
        <v>0</v>
      </c>
      <c r="O782" t="s">
        <v>64</v>
      </c>
      <c r="P782" t="s">
        <v>65</v>
      </c>
      <c r="S782" s="3">
        <v>0</v>
      </c>
      <c r="T782" s="5"/>
      <c r="U782">
        <v>0</v>
      </c>
      <c r="V782">
        <v>2022</v>
      </c>
      <c r="X782">
        <f t="shared" si="36"/>
        <v>6.7899218000000001</v>
      </c>
      <c r="Y782">
        <f t="shared" si="37"/>
        <v>-7.819999999999999E-5</v>
      </c>
      <c r="Z782">
        <f t="shared" si="38"/>
        <v>72.699921799999998</v>
      </c>
    </row>
    <row r="783" spans="1:26" x14ac:dyDescent="0.3">
      <c r="A783" t="s">
        <v>873</v>
      </c>
      <c r="B783" t="s">
        <v>107</v>
      </c>
      <c r="C783" t="s">
        <v>56</v>
      </c>
      <c r="D783" t="s">
        <v>69</v>
      </c>
      <c r="E783">
        <v>23</v>
      </c>
      <c r="F783" s="3">
        <v>6.4</v>
      </c>
      <c r="G783" s="4">
        <v>85.9</v>
      </c>
      <c r="H783">
        <v>2</v>
      </c>
      <c r="I783">
        <v>1</v>
      </c>
      <c r="J783">
        <v>4</v>
      </c>
      <c r="K783" s="4">
        <v>35.799999999999997</v>
      </c>
      <c r="L783" s="4">
        <v>52.6</v>
      </c>
      <c r="M783" s="4">
        <v>76.099999999999994</v>
      </c>
      <c r="N783">
        <v>0</v>
      </c>
      <c r="O783" t="s">
        <v>64</v>
      </c>
      <c r="P783" t="s">
        <v>65</v>
      </c>
      <c r="S783" s="3">
        <v>0</v>
      </c>
      <c r="T783" s="5"/>
      <c r="U783">
        <v>0</v>
      </c>
      <c r="V783">
        <v>2021</v>
      </c>
      <c r="X783">
        <f t="shared" si="36"/>
        <v>6.3999217000000002</v>
      </c>
      <c r="Y783">
        <f t="shared" si="37"/>
        <v>-7.8299999999999992E-5</v>
      </c>
      <c r="Z783">
        <f t="shared" si="38"/>
        <v>52.599921700000003</v>
      </c>
    </row>
    <row r="784" spans="1:26" x14ac:dyDescent="0.3">
      <c r="A784" t="s">
        <v>874</v>
      </c>
      <c r="B784" t="s">
        <v>107</v>
      </c>
      <c r="C784" t="s">
        <v>84</v>
      </c>
      <c r="D784" t="s">
        <v>57</v>
      </c>
      <c r="E784">
        <v>23</v>
      </c>
      <c r="F784" s="3">
        <v>8.4</v>
      </c>
      <c r="G784" s="4">
        <v>73.5</v>
      </c>
      <c r="H784">
        <v>1</v>
      </c>
      <c r="I784">
        <v>1</v>
      </c>
      <c r="J784">
        <v>3</v>
      </c>
      <c r="K784" s="4">
        <v>79.8</v>
      </c>
      <c r="L784" s="4">
        <v>74.3</v>
      </c>
      <c r="M784" s="4">
        <v>78.900000000000006</v>
      </c>
      <c r="N784">
        <v>0</v>
      </c>
      <c r="O784" t="s">
        <v>58</v>
      </c>
      <c r="P784" t="s">
        <v>79</v>
      </c>
      <c r="Q784" t="s">
        <v>71</v>
      </c>
      <c r="R784" t="s">
        <v>61</v>
      </c>
      <c r="S784" s="3">
        <v>5.62</v>
      </c>
      <c r="T784" s="5">
        <v>44449</v>
      </c>
      <c r="U784">
        <v>1</v>
      </c>
      <c r="V784">
        <v>2021</v>
      </c>
      <c r="X784">
        <f t="shared" si="36"/>
        <v>8.3999216000000008</v>
      </c>
      <c r="Y784">
        <f t="shared" si="37"/>
        <v>5.6199216000000005</v>
      </c>
      <c r="Z784">
        <f t="shared" si="38"/>
        <v>74.29992159999999</v>
      </c>
    </row>
    <row r="785" spans="1:26" x14ac:dyDescent="0.3">
      <c r="A785" t="s">
        <v>875</v>
      </c>
      <c r="B785" t="s">
        <v>67</v>
      </c>
      <c r="C785" t="s">
        <v>74</v>
      </c>
      <c r="D785" t="s">
        <v>69</v>
      </c>
      <c r="E785">
        <v>23</v>
      </c>
      <c r="F785" s="3">
        <v>7.9</v>
      </c>
      <c r="G785" s="4">
        <v>73.099999999999994</v>
      </c>
      <c r="H785">
        <v>2</v>
      </c>
      <c r="I785">
        <v>2</v>
      </c>
      <c r="J785">
        <v>4</v>
      </c>
      <c r="K785" s="4">
        <v>92.8</v>
      </c>
      <c r="L785" s="4">
        <v>84.3</v>
      </c>
      <c r="M785" s="4">
        <v>72.400000000000006</v>
      </c>
      <c r="N785">
        <v>0</v>
      </c>
      <c r="O785" t="s">
        <v>58</v>
      </c>
      <c r="P785" t="s">
        <v>70</v>
      </c>
      <c r="Q785" t="s">
        <v>71</v>
      </c>
      <c r="R785" t="s">
        <v>80</v>
      </c>
      <c r="S785" s="3">
        <v>5.62</v>
      </c>
      <c r="T785" s="5">
        <v>45247</v>
      </c>
      <c r="U785">
        <v>1</v>
      </c>
      <c r="V785">
        <v>2023</v>
      </c>
      <c r="X785">
        <f t="shared" si="36"/>
        <v>7.8999215000000005</v>
      </c>
      <c r="Y785">
        <f t="shared" si="37"/>
        <v>5.6199215000000002</v>
      </c>
      <c r="Z785">
        <f t="shared" si="38"/>
        <v>84.299921499999996</v>
      </c>
    </row>
    <row r="786" spans="1:26" x14ac:dyDescent="0.3">
      <c r="A786" t="s">
        <v>876</v>
      </c>
      <c r="B786" t="s">
        <v>63</v>
      </c>
      <c r="C786" t="s">
        <v>56</v>
      </c>
      <c r="D786" t="s">
        <v>69</v>
      </c>
      <c r="E786">
        <v>23</v>
      </c>
      <c r="F786" s="3">
        <v>7.23</v>
      </c>
      <c r="G786" s="4">
        <v>89.7</v>
      </c>
      <c r="H786">
        <v>3</v>
      </c>
      <c r="I786">
        <v>1</v>
      </c>
      <c r="J786">
        <v>1</v>
      </c>
      <c r="K786" s="4">
        <v>70.5</v>
      </c>
      <c r="L786" s="4">
        <v>78.5</v>
      </c>
      <c r="M786" s="4">
        <v>77.3</v>
      </c>
      <c r="N786">
        <v>2</v>
      </c>
      <c r="O786" t="s">
        <v>58</v>
      </c>
      <c r="P786" t="s">
        <v>59</v>
      </c>
      <c r="Q786" t="s">
        <v>60</v>
      </c>
      <c r="R786" t="s">
        <v>85</v>
      </c>
      <c r="S786" s="3">
        <v>20.079999999999998</v>
      </c>
      <c r="T786" s="5">
        <v>45898</v>
      </c>
      <c r="U786">
        <v>3</v>
      </c>
      <c r="V786">
        <v>2025</v>
      </c>
      <c r="X786">
        <f t="shared" si="36"/>
        <v>7.2299214000000003</v>
      </c>
      <c r="Y786">
        <f t="shared" si="37"/>
        <v>20.0799214</v>
      </c>
      <c r="Z786">
        <f t="shared" si="38"/>
        <v>78.499921400000005</v>
      </c>
    </row>
    <row r="787" spans="1:26" x14ac:dyDescent="0.3">
      <c r="A787" t="s">
        <v>877</v>
      </c>
      <c r="B787" t="s">
        <v>107</v>
      </c>
      <c r="C787" t="s">
        <v>101</v>
      </c>
      <c r="D787" t="s">
        <v>69</v>
      </c>
      <c r="E787">
        <v>20</v>
      </c>
      <c r="F787" s="3">
        <v>5.79</v>
      </c>
      <c r="G787" s="4">
        <v>85.2</v>
      </c>
      <c r="H787">
        <v>1</v>
      </c>
      <c r="I787">
        <v>0</v>
      </c>
      <c r="J787">
        <v>4</v>
      </c>
      <c r="K787" s="4">
        <v>76.7</v>
      </c>
      <c r="L787" s="4">
        <v>43</v>
      </c>
      <c r="M787" s="4">
        <v>68.2</v>
      </c>
      <c r="N787">
        <v>0</v>
      </c>
      <c r="O787" t="s">
        <v>58</v>
      </c>
      <c r="P787" t="s">
        <v>87</v>
      </c>
      <c r="Q787" t="s">
        <v>71</v>
      </c>
      <c r="R787" t="s">
        <v>80</v>
      </c>
      <c r="S787" s="3">
        <v>3.31</v>
      </c>
      <c r="T787" s="5">
        <v>44471</v>
      </c>
      <c r="U787">
        <v>1</v>
      </c>
      <c r="V787">
        <v>2021</v>
      </c>
      <c r="X787">
        <f t="shared" si="36"/>
        <v>5.7899212999999996</v>
      </c>
      <c r="Y787">
        <f t="shared" si="37"/>
        <v>3.3099213000000001</v>
      </c>
      <c r="Z787">
        <f t="shared" si="38"/>
        <v>42.999921299999997</v>
      </c>
    </row>
    <row r="788" spans="1:26" x14ac:dyDescent="0.3">
      <c r="A788" t="s">
        <v>878</v>
      </c>
      <c r="B788" t="s">
        <v>82</v>
      </c>
      <c r="C788" t="s">
        <v>78</v>
      </c>
      <c r="D788" t="s">
        <v>57</v>
      </c>
      <c r="E788">
        <v>23</v>
      </c>
      <c r="F788" s="3">
        <v>7.38</v>
      </c>
      <c r="G788" s="4">
        <v>81.5</v>
      </c>
      <c r="H788">
        <v>1</v>
      </c>
      <c r="I788">
        <v>1</v>
      </c>
      <c r="J788">
        <v>4</v>
      </c>
      <c r="K788" s="4">
        <v>72.5</v>
      </c>
      <c r="L788" s="4">
        <v>76</v>
      </c>
      <c r="M788" s="4">
        <v>76.7</v>
      </c>
      <c r="N788">
        <v>0</v>
      </c>
      <c r="O788" t="s">
        <v>58</v>
      </c>
      <c r="P788" t="s">
        <v>79</v>
      </c>
      <c r="Q788" t="s">
        <v>71</v>
      </c>
      <c r="R788" t="s">
        <v>80</v>
      </c>
      <c r="S788" s="3">
        <v>6.34</v>
      </c>
      <c r="T788" s="5">
        <v>44786</v>
      </c>
      <c r="U788">
        <v>3</v>
      </c>
      <c r="V788">
        <v>2022</v>
      </c>
      <c r="X788">
        <f t="shared" si="36"/>
        <v>7.3799212000000001</v>
      </c>
      <c r="Y788">
        <f t="shared" si="37"/>
        <v>6.3399212</v>
      </c>
      <c r="Z788">
        <f t="shared" si="38"/>
        <v>75.999921200000003</v>
      </c>
    </row>
    <row r="789" spans="1:26" x14ac:dyDescent="0.3">
      <c r="A789" t="s">
        <v>879</v>
      </c>
      <c r="B789" t="s">
        <v>55</v>
      </c>
      <c r="C789" t="s">
        <v>89</v>
      </c>
      <c r="D789" t="s">
        <v>57</v>
      </c>
      <c r="E789">
        <v>23</v>
      </c>
      <c r="F789" s="3">
        <v>8.1199999999999992</v>
      </c>
      <c r="G789" s="4">
        <v>83.6</v>
      </c>
      <c r="H789">
        <v>1</v>
      </c>
      <c r="I789">
        <v>0</v>
      </c>
      <c r="J789">
        <v>3</v>
      </c>
      <c r="K789" s="4">
        <v>76</v>
      </c>
      <c r="L789" s="4">
        <v>64.5</v>
      </c>
      <c r="M789" s="4">
        <v>70.5</v>
      </c>
      <c r="N789">
        <v>0</v>
      </c>
      <c r="O789" t="s">
        <v>58</v>
      </c>
      <c r="P789" t="s">
        <v>112</v>
      </c>
      <c r="Q789" t="s">
        <v>93</v>
      </c>
      <c r="R789" t="s">
        <v>76</v>
      </c>
      <c r="S789" s="3">
        <v>6.99</v>
      </c>
      <c r="T789" s="5">
        <v>45602</v>
      </c>
      <c r="U789">
        <v>2</v>
      </c>
      <c r="V789">
        <v>2024</v>
      </c>
      <c r="X789">
        <f t="shared" si="36"/>
        <v>8.1199210999999991</v>
      </c>
      <c r="Y789">
        <f t="shared" si="37"/>
        <v>6.9899211000000001</v>
      </c>
      <c r="Z789">
        <f t="shared" si="38"/>
        <v>64.499921099999995</v>
      </c>
    </row>
    <row r="790" spans="1:26" x14ac:dyDescent="0.3">
      <c r="A790" t="s">
        <v>880</v>
      </c>
      <c r="B790" t="s">
        <v>107</v>
      </c>
      <c r="C790" t="s">
        <v>56</v>
      </c>
      <c r="D790" t="s">
        <v>69</v>
      </c>
      <c r="E790">
        <v>21</v>
      </c>
      <c r="F790" s="3">
        <v>6.99</v>
      </c>
      <c r="G790" s="4">
        <v>86</v>
      </c>
      <c r="H790">
        <v>1</v>
      </c>
      <c r="I790">
        <v>2</v>
      </c>
      <c r="J790">
        <v>4</v>
      </c>
      <c r="K790" s="4">
        <v>60.4</v>
      </c>
      <c r="L790" s="4">
        <v>41.7</v>
      </c>
      <c r="M790" s="4">
        <v>70.5</v>
      </c>
      <c r="N790">
        <v>1</v>
      </c>
      <c r="O790" t="s">
        <v>58</v>
      </c>
      <c r="P790" t="s">
        <v>104</v>
      </c>
      <c r="Q790" t="s">
        <v>105</v>
      </c>
      <c r="R790" t="s">
        <v>130</v>
      </c>
      <c r="S790" s="3">
        <v>14.86</v>
      </c>
      <c r="T790" s="5">
        <v>44494</v>
      </c>
      <c r="U790">
        <v>2</v>
      </c>
      <c r="V790">
        <v>2021</v>
      </c>
      <c r="X790">
        <f t="shared" si="36"/>
        <v>6.9899209999999998</v>
      </c>
      <c r="Y790">
        <f t="shared" si="37"/>
        <v>14.859921</v>
      </c>
      <c r="Z790">
        <f t="shared" si="38"/>
        <v>41.699921000000003</v>
      </c>
    </row>
    <row r="791" spans="1:26" x14ac:dyDescent="0.3">
      <c r="A791" t="s">
        <v>881</v>
      </c>
      <c r="B791" t="s">
        <v>107</v>
      </c>
      <c r="C791" t="s">
        <v>68</v>
      </c>
      <c r="D791" t="s">
        <v>57</v>
      </c>
      <c r="E791">
        <v>23</v>
      </c>
      <c r="F791" s="3">
        <v>6.62</v>
      </c>
      <c r="G791" s="4">
        <v>85.4</v>
      </c>
      <c r="H791">
        <v>2</v>
      </c>
      <c r="I791">
        <v>1</v>
      </c>
      <c r="J791">
        <v>3</v>
      </c>
      <c r="K791" s="4">
        <v>57.6</v>
      </c>
      <c r="L791" s="4">
        <v>79.7</v>
      </c>
      <c r="M791" s="4">
        <v>66</v>
      </c>
      <c r="N791">
        <v>0</v>
      </c>
      <c r="O791" t="s">
        <v>64</v>
      </c>
      <c r="P791" t="s">
        <v>65</v>
      </c>
      <c r="S791" s="3">
        <v>0</v>
      </c>
      <c r="T791" s="5"/>
      <c r="U791">
        <v>0</v>
      </c>
      <c r="V791">
        <v>2021</v>
      </c>
      <c r="X791">
        <f t="shared" si="36"/>
        <v>6.6199209000000003</v>
      </c>
      <c r="Y791">
        <f t="shared" si="37"/>
        <v>-7.9099999999999998E-5</v>
      </c>
      <c r="Z791">
        <f t="shared" si="38"/>
        <v>79.699920900000009</v>
      </c>
    </row>
    <row r="792" spans="1:26" x14ac:dyDescent="0.3">
      <c r="A792" t="s">
        <v>882</v>
      </c>
      <c r="B792" t="s">
        <v>67</v>
      </c>
      <c r="C792" t="s">
        <v>101</v>
      </c>
      <c r="D792" t="s">
        <v>57</v>
      </c>
      <c r="E792">
        <v>22</v>
      </c>
      <c r="F792" s="3">
        <v>7.54</v>
      </c>
      <c r="G792" s="4">
        <v>68.5</v>
      </c>
      <c r="H792">
        <v>2</v>
      </c>
      <c r="I792">
        <v>1</v>
      </c>
      <c r="J792">
        <v>4</v>
      </c>
      <c r="K792" s="4">
        <v>53.3</v>
      </c>
      <c r="L792" s="4">
        <v>80.2</v>
      </c>
      <c r="M792" s="4">
        <v>71.400000000000006</v>
      </c>
      <c r="N792">
        <v>0</v>
      </c>
      <c r="O792" t="s">
        <v>58</v>
      </c>
      <c r="P792" t="s">
        <v>90</v>
      </c>
      <c r="Q792" t="s">
        <v>60</v>
      </c>
      <c r="R792" t="s">
        <v>72</v>
      </c>
      <c r="S792" s="3">
        <v>9.0299999999999994</v>
      </c>
      <c r="T792" s="5">
        <v>45228</v>
      </c>
      <c r="U792">
        <v>1</v>
      </c>
      <c r="V792">
        <v>2023</v>
      </c>
      <c r="X792">
        <f t="shared" si="36"/>
        <v>7.5399208</v>
      </c>
      <c r="Y792">
        <f t="shared" si="37"/>
        <v>9.0299207999999993</v>
      </c>
      <c r="Z792">
        <f t="shared" si="38"/>
        <v>80.199920800000001</v>
      </c>
    </row>
    <row r="793" spans="1:26" x14ac:dyDescent="0.3">
      <c r="A793" t="s">
        <v>883</v>
      </c>
      <c r="B793" t="s">
        <v>63</v>
      </c>
      <c r="C793" t="s">
        <v>74</v>
      </c>
      <c r="D793" t="s">
        <v>57</v>
      </c>
      <c r="E793">
        <v>20</v>
      </c>
      <c r="F793" s="3">
        <v>7.95</v>
      </c>
      <c r="G793" s="4">
        <v>93</v>
      </c>
      <c r="H793">
        <v>1</v>
      </c>
      <c r="I793">
        <v>2</v>
      </c>
      <c r="J793">
        <v>2</v>
      </c>
      <c r="K793" s="4">
        <v>69.7</v>
      </c>
      <c r="L793" s="4">
        <v>69.5</v>
      </c>
      <c r="M793" s="4">
        <v>92.1</v>
      </c>
      <c r="N793">
        <v>0</v>
      </c>
      <c r="O793" t="s">
        <v>58</v>
      </c>
      <c r="P793" t="s">
        <v>59</v>
      </c>
      <c r="Q793" t="s">
        <v>60</v>
      </c>
      <c r="R793" t="s">
        <v>130</v>
      </c>
      <c r="S793" s="3">
        <v>20.64</v>
      </c>
      <c r="T793" s="5">
        <v>45967</v>
      </c>
      <c r="U793">
        <v>1</v>
      </c>
      <c r="V793">
        <v>2025</v>
      </c>
      <c r="X793">
        <f t="shared" si="36"/>
        <v>7.9499206999999998</v>
      </c>
      <c r="Y793">
        <f t="shared" si="37"/>
        <v>20.639920700000001</v>
      </c>
      <c r="Z793">
        <f t="shared" si="38"/>
        <v>69.499920700000004</v>
      </c>
    </row>
    <row r="794" spans="1:26" x14ac:dyDescent="0.3">
      <c r="A794" t="s">
        <v>884</v>
      </c>
      <c r="B794" t="s">
        <v>55</v>
      </c>
      <c r="C794" t="s">
        <v>74</v>
      </c>
      <c r="D794" t="s">
        <v>57</v>
      </c>
      <c r="E794">
        <v>20</v>
      </c>
      <c r="F794" s="3">
        <v>5.85</v>
      </c>
      <c r="G794" s="4">
        <v>93.6</v>
      </c>
      <c r="H794">
        <v>0</v>
      </c>
      <c r="I794">
        <v>1</v>
      </c>
      <c r="J794">
        <v>6</v>
      </c>
      <c r="K794" s="4">
        <v>77</v>
      </c>
      <c r="L794" s="4">
        <v>54.7</v>
      </c>
      <c r="M794" s="4">
        <v>71.099999999999994</v>
      </c>
      <c r="N794">
        <v>0</v>
      </c>
      <c r="O794" t="s">
        <v>58</v>
      </c>
      <c r="P794" t="s">
        <v>92</v>
      </c>
      <c r="Q794" t="s">
        <v>93</v>
      </c>
      <c r="R794" t="s">
        <v>61</v>
      </c>
      <c r="S794" s="3">
        <v>6.68</v>
      </c>
      <c r="T794" s="5">
        <v>45563</v>
      </c>
      <c r="U794">
        <v>3</v>
      </c>
      <c r="V794">
        <v>2024</v>
      </c>
      <c r="X794">
        <f t="shared" si="36"/>
        <v>5.8499205999999999</v>
      </c>
      <c r="Y794">
        <f t="shared" si="37"/>
        <v>6.6799206</v>
      </c>
      <c r="Z794">
        <f t="shared" si="38"/>
        <v>54.699920600000006</v>
      </c>
    </row>
    <row r="795" spans="1:26" x14ac:dyDescent="0.3">
      <c r="A795" t="s">
        <v>885</v>
      </c>
      <c r="B795" t="s">
        <v>82</v>
      </c>
      <c r="C795" t="s">
        <v>56</v>
      </c>
      <c r="D795" t="s">
        <v>69</v>
      </c>
      <c r="E795">
        <v>20</v>
      </c>
      <c r="F795" s="3">
        <v>8.8699999999999992</v>
      </c>
      <c r="G795" s="4">
        <v>98.3</v>
      </c>
      <c r="H795">
        <v>3</v>
      </c>
      <c r="I795">
        <v>1</v>
      </c>
      <c r="J795">
        <v>5</v>
      </c>
      <c r="K795" s="4">
        <v>76.900000000000006</v>
      </c>
      <c r="L795" s="4">
        <v>90.9</v>
      </c>
      <c r="M795" s="4">
        <v>85.3</v>
      </c>
      <c r="N795">
        <v>0</v>
      </c>
      <c r="O795" t="s">
        <v>58</v>
      </c>
      <c r="P795" t="s">
        <v>90</v>
      </c>
      <c r="Q795" t="s">
        <v>60</v>
      </c>
      <c r="R795" t="s">
        <v>76</v>
      </c>
      <c r="S795" s="3">
        <v>10.71</v>
      </c>
      <c r="T795" s="5">
        <v>44820</v>
      </c>
      <c r="U795">
        <v>2</v>
      </c>
      <c r="V795">
        <v>2022</v>
      </c>
      <c r="X795">
        <f t="shared" si="36"/>
        <v>8.8699204999999992</v>
      </c>
      <c r="Y795">
        <f t="shared" si="37"/>
        <v>10.709920500000001</v>
      </c>
      <c r="Z795">
        <f t="shared" si="38"/>
        <v>90.899920500000007</v>
      </c>
    </row>
    <row r="796" spans="1:26" x14ac:dyDescent="0.3">
      <c r="A796" t="s">
        <v>886</v>
      </c>
      <c r="B796" t="s">
        <v>55</v>
      </c>
      <c r="C796" t="s">
        <v>56</v>
      </c>
      <c r="D796" t="s">
        <v>57</v>
      </c>
      <c r="E796">
        <v>22</v>
      </c>
      <c r="F796" s="3">
        <v>6.53</v>
      </c>
      <c r="G796" s="4">
        <v>96.3</v>
      </c>
      <c r="H796">
        <v>1</v>
      </c>
      <c r="I796">
        <v>3</v>
      </c>
      <c r="J796">
        <v>2</v>
      </c>
      <c r="K796" s="4">
        <v>62.1</v>
      </c>
      <c r="L796" s="4">
        <v>78.2</v>
      </c>
      <c r="M796" s="4">
        <v>80.3</v>
      </c>
      <c r="N796">
        <v>1</v>
      </c>
      <c r="O796" t="s">
        <v>58</v>
      </c>
      <c r="P796" t="s">
        <v>112</v>
      </c>
      <c r="Q796" t="s">
        <v>93</v>
      </c>
      <c r="R796" t="s">
        <v>80</v>
      </c>
      <c r="S796" s="3">
        <v>7.62</v>
      </c>
      <c r="T796" s="5">
        <v>45592</v>
      </c>
      <c r="U796">
        <v>2</v>
      </c>
      <c r="V796">
        <v>2024</v>
      </c>
      <c r="X796">
        <f t="shared" si="36"/>
        <v>6.5299204</v>
      </c>
      <c r="Y796">
        <f t="shared" si="37"/>
        <v>7.6199203999999998</v>
      </c>
      <c r="Z796">
        <f t="shared" si="38"/>
        <v>78.199920399999996</v>
      </c>
    </row>
    <row r="797" spans="1:26" x14ac:dyDescent="0.3">
      <c r="A797" t="s">
        <v>887</v>
      </c>
      <c r="B797" t="s">
        <v>82</v>
      </c>
      <c r="C797" t="s">
        <v>101</v>
      </c>
      <c r="D797" t="s">
        <v>57</v>
      </c>
      <c r="E797">
        <v>23</v>
      </c>
      <c r="F797" s="3">
        <v>7.27</v>
      </c>
      <c r="G797" s="4">
        <v>94.8</v>
      </c>
      <c r="H797">
        <v>1</v>
      </c>
      <c r="I797">
        <v>2</v>
      </c>
      <c r="J797">
        <v>6</v>
      </c>
      <c r="K797" s="4">
        <v>65.3</v>
      </c>
      <c r="L797" s="4">
        <v>79.099999999999994</v>
      </c>
      <c r="M797" s="4">
        <v>77</v>
      </c>
      <c r="N797">
        <v>0</v>
      </c>
      <c r="O797" t="s">
        <v>58</v>
      </c>
      <c r="P797" t="s">
        <v>104</v>
      </c>
      <c r="Q797" t="s">
        <v>105</v>
      </c>
      <c r="R797" t="s">
        <v>109</v>
      </c>
      <c r="S797" s="3">
        <v>14.55</v>
      </c>
      <c r="T797" s="5">
        <v>44893</v>
      </c>
      <c r="U797">
        <v>1</v>
      </c>
      <c r="V797">
        <v>2022</v>
      </c>
      <c r="X797">
        <f t="shared" si="36"/>
        <v>7.2699202999999999</v>
      </c>
      <c r="Y797">
        <f t="shared" si="37"/>
        <v>14.5499203</v>
      </c>
      <c r="Z797">
        <f t="shared" si="38"/>
        <v>79.099920299999994</v>
      </c>
    </row>
    <row r="798" spans="1:26" x14ac:dyDescent="0.3">
      <c r="A798" t="s">
        <v>888</v>
      </c>
      <c r="B798" t="s">
        <v>63</v>
      </c>
      <c r="C798" t="s">
        <v>68</v>
      </c>
      <c r="D798" t="s">
        <v>57</v>
      </c>
      <c r="E798">
        <v>20</v>
      </c>
      <c r="F798" s="3">
        <v>8.7100000000000009</v>
      </c>
      <c r="G798" s="4">
        <v>79.400000000000006</v>
      </c>
      <c r="H798">
        <v>1</v>
      </c>
      <c r="I798">
        <v>3</v>
      </c>
      <c r="J798">
        <v>4</v>
      </c>
      <c r="K798" s="4">
        <v>65.2</v>
      </c>
      <c r="L798" s="4">
        <v>83.8</v>
      </c>
      <c r="M798" s="4">
        <v>77.400000000000006</v>
      </c>
      <c r="N798">
        <v>0</v>
      </c>
      <c r="O798" t="s">
        <v>58</v>
      </c>
      <c r="P798" t="s">
        <v>87</v>
      </c>
      <c r="Q798" t="s">
        <v>71</v>
      </c>
      <c r="R798" t="s">
        <v>61</v>
      </c>
      <c r="S798" s="3">
        <v>6.24</v>
      </c>
      <c r="T798" s="5">
        <v>45890</v>
      </c>
      <c r="U798">
        <v>2</v>
      </c>
      <c r="V798">
        <v>2025</v>
      </c>
      <c r="X798">
        <f t="shared" si="36"/>
        <v>8.7099202000000009</v>
      </c>
      <c r="Y798">
        <f t="shared" si="37"/>
        <v>6.2399202000000002</v>
      </c>
      <c r="Z798">
        <f t="shared" si="38"/>
        <v>83.799920200000003</v>
      </c>
    </row>
    <row r="799" spans="1:26" x14ac:dyDescent="0.3">
      <c r="A799" t="s">
        <v>889</v>
      </c>
      <c r="B799" t="s">
        <v>82</v>
      </c>
      <c r="C799" t="s">
        <v>84</v>
      </c>
      <c r="D799" t="s">
        <v>57</v>
      </c>
      <c r="E799">
        <v>22</v>
      </c>
      <c r="F799" s="3">
        <v>7.76</v>
      </c>
      <c r="G799" s="4">
        <v>84.7</v>
      </c>
      <c r="H799">
        <v>2</v>
      </c>
      <c r="I799">
        <v>2</v>
      </c>
      <c r="J799">
        <v>4</v>
      </c>
      <c r="K799" s="4">
        <v>60.9</v>
      </c>
      <c r="L799" s="4">
        <v>88.2</v>
      </c>
      <c r="M799" s="4">
        <v>74.3</v>
      </c>
      <c r="N799">
        <v>0</v>
      </c>
      <c r="O799" t="s">
        <v>58</v>
      </c>
      <c r="P799" t="s">
        <v>112</v>
      </c>
      <c r="Q799" t="s">
        <v>93</v>
      </c>
      <c r="R799" t="s">
        <v>80</v>
      </c>
      <c r="S799" s="3">
        <v>7.73</v>
      </c>
      <c r="T799" s="5">
        <v>44868</v>
      </c>
      <c r="U799">
        <v>2</v>
      </c>
      <c r="V799">
        <v>2022</v>
      </c>
      <c r="X799">
        <f t="shared" si="36"/>
        <v>7.7599200999999995</v>
      </c>
      <c r="Y799">
        <f t="shared" si="37"/>
        <v>7.7299201000000002</v>
      </c>
      <c r="Z799">
        <f t="shared" si="38"/>
        <v>88.1999201</v>
      </c>
    </row>
    <row r="800" spans="1:26" x14ac:dyDescent="0.3">
      <c r="A800" t="s">
        <v>890</v>
      </c>
      <c r="B800" t="s">
        <v>67</v>
      </c>
      <c r="C800" t="s">
        <v>74</v>
      </c>
      <c r="D800" t="s">
        <v>57</v>
      </c>
      <c r="E800">
        <v>21</v>
      </c>
      <c r="F800" s="3">
        <v>8.64</v>
      </c>
      <c r="G800" s="4">
        <v>92.5</v>
      </c>
      <c r="H800">
        <v>0</v>
      </c>
      <c r="I800">
        <v>4</v>
      </c>
      <c r="J800">
        <v>5</v>
      </c>
      <c r="K800" s="4">
        <v>41</v>
      </c>
      <c r="L800" s="4">
        <v>74.8</v>
      </c>
      <c r="M800" s="4">
        <v>67</v>
      </c>
      <c r="N800">
        <v>0</v>
      </c>
      <c r="O800" t="s">
        <v>58</v>
      </c>
      <c r="P800" t="s">
        <v>112</v>
      </c>
      <c r="Q800" t="s">
        <v>93</v>
      </c>
      <c r="R800" t="s">
        <v>61</v>
      </c>
      <c r="S800" s="3">
        <v>7.31</v>
      </c>
      <c r="T800" s="5">
        <v>45150</v>
      </c>
      <c r="U800">
        <v>2</v>
      </c>
      <c r="V800">
        <v>2023</v>
      </c>
      <c r="X800">
        <f t="shared" si="36"/>
        <v>8.63992</v>
      </c>
      <c r="Y800">
        <f t="shared" si="37"/>
        <v>7.30992</v>
      </c>
      <c r="Z800">
        <f t="shared" si="38"/>
        <v>74.79992</v>
      </c>
    </row>
    <row r="801" spans="1:26" x14ac:dyDescent="0.3">
      <c r="A801" t="s">
        <v>891</v>
      </c>
      <c r="B801" t="s">
        <v>67</v>
      </c>
      <c r="C801" t="s">
        <v>78</v>
      </c>
      <c r="D801" t="s">
        <v>57</v>
      </c>
      <c r="E801">
        <v>23</v>
      </c>
      <c r="F801" s="3">
        <v>9.0500000000000007</v>
      </c>
      <c r="G801" s="4">
        <v>65.8</v>
      </c>
      <c r="H801">
        <v>0</v>
      </c>
      <c r="I801">
        <v>1</v>
      </c>
      <c r="J801">
        <v>2</v>
      </c>
      <c r="K801" s="4">
        <v>65.3</v>
      </c>
      <c r="L801" s="4">
        <v>52.9</v>
      </c>
      <c r="M801" s="4">
        <v>94.6</v>
      </c>
      <c r="N801">
        <v>1</v>
      </c>
      <c r="O801" t="s">
        <v>58</v>
      </c>
      <c r="P801" t="s">
        <v>92</v>
      </c>
      <c r="Q801" t="s">
        <v>93</v>
      </c>
      <c r="R801" t="s">
        <v>109</v>
      </c>
      <c r="S801" s="3">
        <v>9.19</v>
      </c>
      <c r="T801" s="5">
        <v>45244</v>
      </c>
      <c r="U801">
        <v>1</v>
      </c>
      <c r="V801">
        <v>2023</v>
      </c>
      <c r="X801">
        <f t="shared" si="36"/>
        <v>9.0499199000000008</v>
      </c>
      <c r="Y801">
        <f t="shared" si="37"/>
        <v>9.1899198999999996</v>
      </c>
      <c r="Z801">
        <f t="shared" si="38"/>
        <v>52.8999199</v>
      </c>
    </row>
    <row r="802" spans="1:26" x14ac:dyDescent="0.3">
      <c r="A802" t="s">
        <v>892</v>
      </c>
      <c r="B802" t="s">
        <v>67</v>
      </c>
      <c r="C802" t="s">
        <v>74</v>
      </c>
      <c r="D802" t="s">
        <v>57</v>
      </c>
      <c r="E802">
        <v>22</v>
      </c>
      <c r="F802" s="3">
        <v>6.34</v>
      </c>
      <c r="G802" s="4">
        <v>80</v>
      </c>
      <c r="H802">
        <v>2</v>
      </c>
      <c r="I802">
        <v>2</v>
      </c>
      <c r="J802">
        <v>2</v>
      </c>
      <c r="K802" s="4">
        <v>63.8</v>
      </c>
      <c r="L802" s="4">
        <v>59.7</v>
      </c>
      <c r="M802" s="4">
        <v>86.7</v>
      </c>
      <c r="N802">
        <v>1</v>
      </c>
      <c r="O802" t="s">
        <v>58</v>
      </c>
      <c r="P802" t="s">
        <v>112</v>
      </c>
      <c r="Q802" t="s">
        <v>93</v>
      </c>
      <c r="R802" t="s">
        <v>85</v>
      </c>
      <c r="S802" s="3">
        <v>5.0199999999999996</v>
      </c>
      <c r="T802" s="5">
        <v>45162</v>
      </c>
      <c r="U802">
        <v>3</v>
      </c>
      <c r="V802">
        <v>2023</v>
      </c>
      <c r="X802">
        <f t="shared" si="36"/>
        <v>6.3399197999999997</v>
      </c>
      <c r="Y802">
        <f t="shared" si="37"/>
        <v>5.0199197999999994</v>
      </c>
      <c r="Z802">
        <f t="shared" si="38"/>
        <v>59.699919800000004</v>
      </c>
    </row>
    <row r="803" spans="1:26" x14ac:dyDescent="0.3">
      <c r="A803" t="s">
        <v>893</v>
      </c>
      <c r="B803" t="s">
        <v>67</v>
      </c>
      <c r="C803" t="s">
        <v>74</v>
      </c>
      <c r="D803" t="s">
        <v>69</v>
      </c>
      <c r="E803">
        <v>23</v>
      </c>
      <c r="F803" s="3">
        <v>8.4600000000000009</v>
      </c>
      <c r="G803" s="4">
        <v>66.7</v>
      </c>
      <c r="H803">
        <v>2</v>
      </c>
      <c r="I803">
        <v>2</v>
      </c>
      <c r="J803">
        <v>3</v>
      </c>
      <c r="K803" s="4">
        <v>67.3</v>
      </c>
      <c r="L803" s="4">
        <v>62.2</v>
      </c>
      <c r="M803" s="4">
        <v>74.5</v>
      </c>
      <c r="N803">
        <v>0</v>
      </c>
      <c r="O803" t="s">
        <v>58</v>
      </c>
      <c r="P803" t="s">
        <v>75</v>
      </c>
      <c r="Q803" t="s">
        <v>71</v>
      </c>
      <c r="R803" t="s">
        <v>61</v>
      </c>
      <c r="S803" s="3">
        <v>6.47</v>
      </c>
      <c r="T803" s="5">
        <v>45159</v>
      </c>
      <c r="U803">
        <v>1</v>
      </c>
      <c r="V803">
        <v>2023</v>
      </c>
      <c r="X803">
        <f t="shared" si="36"/>
        <v>8.4599197000000004</v>
      </c>
      <c r="Y803">
        <f t="shared" si="37"/>
        <v>6.4699197000000002</v>
      </c>
      <c r="Z803">
        <f t="shared" si="38"/>
        <v>62.199919700000002</v>
      </c>
    </row>
    <row r="804" spans="1:26" x14ac:dyDescent="0.3">
      <c r="A804" t="s">
        <v>894</v>
      </c>
      <c r="B804" t="s">
        <v>55</v>
      </c>
      <c r="C804" t="s">
        <v>56</v>
      </c>
      <c r="D804" t="s">
        <v>57</v>
      </c>
      <c r="E804">
        <v>21</v>
      </c>
      <c r="F804" s="3">
        <v>8.84</v>
      </c>
      <c r="G804" s="4">
        <v>84.5</v>
      </c>
      <c r="H804">
        <v>1</v>
      </c>
      <c r="I804">
        <v>4</v>
      </c>
      <c r="J804">
        <v>3</v>
      </c>
      <c r="K804" s="4">
        <v>60.5</v>
      </c>
      <c r="L804" s="4">
        <v>88.2</v>
      </c>
      <c r="M804" s="4">
        <v>74.8</v>
      </c>
      <c r="N804">
        <v>1</v>
      </c>
      <c r="O804" t="s">
        <v>58</v>
      </c>
      <c r="P804" t="s">
        <v>79</v>
      </c>
      <c r="Q804" t="s">
        <v>71</v>
      </c>
      <c r="R804" t="s">
        <v>61</v>
      </c>
      <c r="S804" s="3">
        <v>6.55</v>
      </c>
      <c r="T804" s="5">
        <v>45508</v>
      </c>
      <c r="U804">
        <v>1</v>
      </c>
      <c r="V804">
        <v>2024</v>
      </c>
      <c r="X804">
        <f t="shared" si="36"/>
        <v>8.8399196</v>
      </c>
      <c r="Y804">
        <f t="shared" si="37"/>
        <v>6.5499196</v>
      </c>
      <c r="Z804">
        <f t="shared" si="38"/>
        <v>88.199919600000001</v>
      </c>
    </row>
    <row r="805" spans="1:26" x14ac:dyDescent="0.3">
      <c r="A805" t="s">
        <v>895</v>
      </c>
      <c r="B805" t="s">
        <v>63</v>
      </c>
      <c r="C805" t="s">
        <v>74</v>
      </c>
      <c r="D805" t="s">
        <v>57</v>
      </c>
      <c r="E805">
        <v>22</v>
      </c>
      <c r="F805" s="3">
        <v>7.31</v>
      </c>
      <c r="G805" s="4">
        <v>93.4</v>
      </c>
      <c r="H805">
        <v>0</v>
      </c>
      <c r="I805">
        <v>2</v>
      </c>
      <c r="J805">
        <v>3</v>
      </c>
      <c r="K805" s="4">
        <v>72.099999999999994</v>
      </c>
      <c r="L805" s="4">
        <v>73.2</v>
      </c>
      <c r="M805" s="4">
        <v>80.8</v>
      </c>
      <c r="N805">
        <v>0</v>
      </c>
      <c r="O805" t="s">
        <v>58</v>
      </c>
      <c r="P805" t="s">
        <v>104</v>
      </c>
      <c r="Q805" t="s">
        <v>105</v>
      </c>
      <c r="R805" t="s">
        <v>80</v>
      </c>
      <c r="S805" s="3">
        <v>14.45</v>
      </c>
      <c r="T805" s="5">
        <v>45894</v>
      </c>
      <c r="U805">
        <v>1</v>
      </c>
      <c r="V805">
        <v>2025</v>
      </c>
      <c r="X805">
        <f t="shared" si="36"/>
        <v>7.3099194999999995</v>
      </c>
      <c r="Y805">
        <f t="shared" si="37"/>
        <v>14.4499195</v>
      </c>
      <c r="Z805">
        <f t="shared" si="38"/>
        <v>73.199919500000007</v>
      </c>
    </row>
    <row r="806" spans="1:26" x14ac:dyDescent="0.3">
      <c r="A806" t="s">
        <v>896</v>
      </c>
      <c r="B806" t="s">
        <v>82</v>
      </c>
      <c r="C806" t="s">
        <v>68</v>
      </c>
      <c r="D806" t="s">
        <v>57</v>
      </c>
      <c r="E806">
        <v>23</v>
      </c>
      <c r="F806" s="3">
        <v>7.38</v>
      </c>
      <c r="G806" s="4">
        <v>82.2</v>
      </c>
      <c r="H806">
        <v>1</v>
      </c>
      <c r="I806">
        <v>3</v>
      </c>
      <c r="J806">
        <v>4</v>
      </c>
      <c r="K806" s="4">
        <v>100</v>
      </c>
      <c r="L806" s="4">
        <v>59.7</v>
      </c>
      <c r="M806" s="4">
        <v>61.3</v>
      </c>
      <c r="N806">
        <v>0</v>
      </c>
      <c r="O806" t="s">
        <v>58</v>
      </c>
      <c r="P806" t="s">
        <v>70</v>
      </c>
      <c r="Q806" t="s">
        <v>71</v>
      </c>
      <c r="R806" t="s">
        <v>72</v>
      </c>
      <c r="S806" s="3">
        <v>6.28</v>
      </c>
      <c r="T806" s="5">
        <v>44781</v>
      </c>
      <c r="U806">
        <v>1</v>
      </c>
      <c r="V806">
        <v>2022</v>
      </c>
      <c r="X806">
        <f t="shared" si="36"/>
        <v>7.3799193999999995</v>
      </c>
      <c r="Y806">
        <f t="shared" si="37"/>
        <v>6.2799193999999998</v>
      </c>
      <c r="Z806">
        <f t="shared" si="38"/>
        <v>59.699919400000006</v>
      </c>
    </row>
    <row r="807" spans="1:26" x14ac:dyDescent="0.3">
      <c r="A807" t="s">
        <v>897</v>
      </c>
      <c r="B807" t="s">
        <v>82</v>
      </c>
      <c r="C807" t="s">
        <v>84</v>
      </c>
      <c r="D807" t="s">
        <v>57</v>
      </c>
      <c r="E807">
        <v>22</v>
      </c>
      <c r="F807" s="3">
        <v>5.93</v>
      </c>
      <c r="G807" s="4">
        <v>76.900000000000006</v>
      </c>
      <c r="H807">
        <v>1</v>
      </c>
      <c r="I807">
        <v>2</v>
      </c>
      <c r="J807">
        <v>2</v>
      </c>
      <c r="K807" s="4">
        <v>79</v>
      </c>
      <c r="L807" s="4">
        <v>67</v>
      </c>
      <c r="M807" s="4">
        <v>64.599999999999994</v>
      </c>
      <c r="N807">
        <v>0</v>
      </c>
      <c r="O807" t="s">
        <v>64</v>
      </c>
      <c r="P807" t="s">
        <v>65</v>
      </c>
      <c r="S807" s="3">
        <v>0</v>
      </c>
      <c r="T807" s="5"/>
      <c r="U807">
        <v>0</v>
      </c>
      <c r="V807">
        <v>2022</v>
      </c>
      <c r="X807">
        <f t="shared" si="36"/>
        <v>5.9299192999999999</v>
      </c>
      <c r="Y807">
        <f t="shared" si="37"/>
        <v>-8.0699999999999996E-5</v>
      </c>
      <c r="Z807">
        <f t="shared" si="38"/>
        <v>66.999919300000002</v>
      </c>
    </row>
    <row r="808" spans="1:26" x14ac:dyDescent="0.3">
      <c r="A808" t="s">
        <v>898</v>
      </c>
      <c r="B808" t="s">
        <v>67</v>
      </c>
      <c r="C808" t="s">
        <v>78</v>
      </c>
      <c r="D808" t="s">
        <v>69</v>
      </c>
      <c r="E808">
        <v>20</v>
      </c>
      <c r="F808" s="3">
        <v>8.35</v>
      </c>
      <c r="G808" s="4">
        <v>84.5</v>
      </c>
      <c r="H808">
        <v>1</v>
      </c>
      <c r="I808">
        <v>3</v>
      </c>
      <c r="J808">
        <v>4</v>
      </c>
      <c r="K808" s="4">
        <v>61.4</v>
      </c>
      <c r="L808" s="4">
        <v>89.8</v>
      </c>
      <c r="M808" s="4">
        <v>51.5</v>
      </c>
      <c r="N808">
        <v>0</v>
      </c>
      <c r="O808" t="s">
        <v>64</v>
      </c>
      <c r="P808" t="s">
        <v>65</v>
      </c>
      <c r="S808" s="3">
        <v>0</v>
      </c>
      <c r="T808" s="5"/>
      <c r="U808">
        <v>0</v>
      </c>
      <c r="V808">
        <v>2023</v>
      </c>
      <c r="X808">
        <f t="shared" si="36"/>
        <v>8.3499192000000004</v>
      </c>
      <c r="Y808">
        <f t="shared" si="37"/>
        <v>-8.0799999999999999E-5</v>
      </c>
      <c r="Z808">
        <f t="shared" si="38"/>
        <v>89.799919199999991</v>
      </c>
    </row>
    <row r="809" spans="1:26" x14ac:dyDescent="0.3">
      <c r="A809" t="s">
        <v>899</v>
      </c>
      <c r="B809" t="s">
        <v>67</v>
      </c>
      <c r="C809" t="s">
        <v>56</v>
      </c>
      <c r="D809" t="s">
        <v>57</v>
      </c>
      <c r="E809">
        <v>23</v>
      </c>
      <c r="F809" s="3">
        <v>5.37</v>
      </c>
      <c r="G809" s="4">
        <v>85.7</v>
      </c>
      <c r="H809">
        <v>1</v>
      </c>
      <c r="I809">
        <v>4</v>
      </c>
      <c r="J809">
        <v>2</v>
      </c>
      <c r="K809" s="4">
        <v>64.900000000000006</v>
      </c>
      <c r="L809" s="4">
        <v>79.2</v>
      </c>
      <c r="M809" s="4">
        <v>71.5</v>
      </c>
      <c r="N809">
        <v>0</v>
      </c>
      <c r="O809" t="s">
        <v>58</v>
      </c>
      <c r="P809" t="s">
        <v>87</v>
      </c>
      <c r="Q809" t="s">
        <v>71</v>
      </c>
      <c r="R809" t="s">
        <v>130</v>
      </c>
      <c r="S809" s="3">
        <v>3.41</v>
      </c>
      <c r="T809" s="5">
        <v>45252</v>
      </c>
      <c r="U809">
        <v>2</v>
      </c>
      <c r="V809">
        <v>2023</v>
      </c>
      <c r="X809">
        <f t="shared" si="36"/>
        <v>5.3699190999999997</v>
      </c>
      <c r="Y809">
        <f t="shared" si="37"/>
        <v>3.4099191000000002</v>
      </c>
      <c r="Z809">
        <f t="shared" si="38"/>
        <v>79.199919100000002</v>
      </c>
    </row>
    <row r="810" spans="1:26" x14ac:dyDescent="0.3">
      <c r="A810" t="s">
        <v>900</v>
      </c>
      <c r="B810" t="s">
        <v>107</v>
      </c>
      <c r="C810" t="s">
        <v>56</v>
      </c>
      <c r="D810" t="s">
        <v>57</v>
      </c>
      <c r="E810">
        <v>22</v>
      </c>
      <c r="F810" s="3">
        <v>8.52</v>
      </c>
      <c r="G810" s="4">
        <v>86.3</v>
      </c>
      <c r="H810">
        <v>0</v>
      </c>
      <c r="I810">
        <v>5</v>
      </c>
      <c r="J810">
        <v>3</v>
      </c>
      <c r="K810" s="4">
        <v>66.400000000000006</v>
      </c>
      <c r="L810" s="4">
        <v>85.6</v>
      </c>
      <c r="M810" s="4">
        <v>88.3</v>
      </c>
      <c r="N810">
        <v>1</v>
      </c>
      <c r="O810" t="s">
        <v>58</v>
      </c>
      <c r="P810" t="s">
        <v>112</v>
      </c>
      <c r="Q810" t="s">
        <v>93</v>
      </c>
      <c r="R810" t="s">
        <v>80</v>
      </c>
      <c r="S810" s="3">
        <v>7.16</v>
      </c>
      <c r="T810" s="5">
        <v>44458</v>
      </c>
      <c r="U810">
        <v>3</v>
      </c>
      <c r="V810">
        <v>2021</v>
      </c>
      <c r="X810">
        <f t="shared" si="36"/>
        <v>8.5199189999999998</v>
      </c>
      <c r="Y810">
        <f t="shared" si="37"/>
        <v>7.1599190000000004</v>
      </c>
      <c r="Z810">
        <f t="shared" si="38"/>
        <v>85.599919</v>
      </c>
    </row>
    <row r="811" spans="1:26" x14ac:dyDescent="0.3">
      <c r="A811" t="s">
        <v>901</v>
      </c>
      <c r="B811" t="s">
        <v>63</v>
      </c>
      <c r="C811" t="s">
        <v>56</v>
      </c>
      <c r="D811" t="s">
        <v>57</v>
      </c>
      <c r="E811">
        <v>20</v>
      </c>
      <c r="F811" s="3">
        <v>6.37</v>
      </c>
      <c r="G811" s="4">
        <v>71.099999999999994</v>
      </c>
      <c r="H811">
        <v>1</v>
      </c>
      <c r="I811">
        <v>3</v>
      </c>
      <c r="J811">
        <v>2</v>
      </c>
      <c r="K811" s="4">
        <v>69.599999999999994</v>
      </c>
      <c r="L811" s="4">
        <v>53.3</v>
      </c>
      <c r="M811" s="4">
        <v>70.599999999999994</v>
      </c>
      <c r="N811">
        <v>0</v>
      </c>
      <c r="O811" t="s">
        <v>64</v>
      </c>
      <c r="P811" t="s">
        <v>65</v>
      </c>
      <c r="S811" s="3">
        <v>0</v>
      </c>
      <c r="T811" s="5"/>
      <c r="U811">
        <v>0</v>
      </c>
      <c r="V811">
        <v>2025</v>
      </c>
      <c r="X811">
        <f t="shared" si="36"/>
        <v>6.3699189000000001</v>
      </c>
      <c r="Y811">
        <f t="shared" si="37"/>
        <v>-8.1099999999999993E-5</v>
      </c>
      <c r="Z811">
        <f t="shared" si="38"/>
        <v>53.299918899999994</v>
      </c>
    </row>
    <row r="812" spans="1:26" x14ac:dyDescent="0.3">
      <c r="A812" t="s">
        <v>902</v>
      </c>
      <c r="B812" t="s">
        <v>55</v>
      </c>
      <c r="C812" t="s">
        <v>89</v>
      </c>
      <c r="D812" t="s">
        <v>69</v>
      </c>
      <c r="E812">
        <v>21</v>
      </c>
      <c r="F812" s="3">
        <v>8.9</v>
      </c>
      <c r="G812" s="4">
        <v>84.2</v>
      </c>
      <c r="H812">
        <v>3</v>
      </c>
      <c r="I812">
        <v>1</v>
      </c>
      <c r="J812">
        <v>4</v>
      </c>
      <c r="K812" s="4">
        <v>67.900000000000006</v>
      </c>
      <c r="L812" s="4">
        <v>66.900000000000006</v>
      </c>
      <c r="M812" s="4">
        <v>100</v>
      </c>
      <c r="N812">
        <v>0</v>
      </c>
      <c r="O812" t="s">
        <v>58</v>
      </c>
      <c r="P812" t="s">
        <v>104</v>
      </c>
      <c r="Q812" t="s">
        <v>105</v>
      </c>
      <c r="R812" t="s">
        <v>76</v>
      </c>
      <c r="S812" s="3">
        <v>16.920000000000002</v>
      </c>
      <c r="T812" s="5">
        <v>45595</v>
      </c>
      <c r="U812">
        <v>1</v>
      </c>
      <c r="V812">
        <v>2024</v>
      </c>
      <c r="X812">
        <f t="shared" si="36"/>
        <v>8.8999188</v>
      </c>
      <c r="Y812">
        <f t="shared" si="37"/>
        <v>16.919918800000001</v>
      </c>
      <c r="Z812">
        <f t="shared" si="38"/>
        <v>66.899918800000009</v>
      </c>
    </row>
    <row r="813" spans="1:26" x14ac:dyDescent="0.3">
      <c r="A813" t="s">
        <v>903</v>
      </c>
      <c r="B813" t="s">
        <v>82</v>
      </c>
      <c r="C813" t="s">
        <v>78</v>
      </c>
      <c r="D813" t="s">
        <v>57</v>
      </c>
      <c r="E813">
        <v>23</v>
      </c>
      <c r="F813" s="3">
        <v>8.01</v>
      </c>
      <c r="G813" s="4">
        <v>83.7</v>
      </c>
      <c r="H813">
        <v>1</v>
      </c>
      <c r="I813">
        <v>1</v>
      </c>
      <c r="J813">
        <v>5</v>
      </c>
      <c r="K813" s="4">
        <v>61.7</v>
      </c>
      <c r="L813" s="4">
        <v>60.4</v>
      </c>
      <c r="M813" s="4">
        <v>68.8</v>
      </c>
      <c r="N813">
        <v>1</v>
      </c>
      <c r="O813" t="s">
        <v>64</v>
      </c>
      <c r="P813" t="s">
        <v>65</v>
      </c>
      <c r="S813" s="3">
        <v>0</v>
      </c>
      <c r="T813" s="5"/>
      <c r="U813">
        <v>0</v>
      </c>
      <c r="V813">
        <v>2022</v>
      </c>
      <c r="X813">
        <f t="shared" si="36"/>
        <v>8.0099187000000001</v>
      </c>
      <c r="Y813">
        <f t="shared" si="37"/>
        <v>-8.1299999999999997E-5</v>
      </c>
      <c r="Z813">
        <f t="shared" si="38"/>
        <v>60.399918700000001</v>
      </c>
    </row>
    <row r="814" spans="1:26" x14ac:dyDescent="0.3">
      <c r="A814" t="s">
        <v>904</v>
      </c>
      <c r="B814" t="s">
        <v>107</v>
      </c>
      <c r="C814" t="s">
        <v>84</v>
      </c>
      <c r="D814" t="s">
        <v>69</v>
      </c>
      <c r="E814">
        <v>23</v>
      </c>
      <c r="F814" s="3">
        <v>8.56</v>
      </c>
      <c r="G814" s="4">
        <v>90.5</v>
      </c>
      <c r="H814">
        <v>1</v>
      </c>
      <c r="I814">
        <v>1</v>
      </c>
      <c r="J814">
        <v>2</v>
      </c>
      <c r="K814" s="4">
        <v>60.9</v>
      </c>
      <c r="L814" s="4">
        <v>92.5</v>
      </c>
      <c r="M814" s="4">
        <v>76.099999999999994</v>
      </c>
      <c r="N814">
        <v>0</v>
      </c>
      <c r="O814" t="s">
        <v>58</v>
      </c>
      <c r="P814" t="s">
        <v>59</v>
      </c>
      <c r="Q814" t="s">
        <v>60</v>
      </c>
      <c r="R814" t="s">
        <v>80</v>
      </c>
      <c r="S814" s="3">
        <v>20.83</v>
      </c>
      <c r="T814" s="5">
        <v>44470</v>
      </c>
      <c r="U814">
        <v>2</v>
      </c>
      <c r="V814">
        <v>2021</v>
      </c>
      <c r="X814">
        <f t="shared" si="36"/>
        <v>8.5599186000000014</v>
      </c>
      <c r="Y814">
        <f t="shared" si="37"/>
        <v>20.829918599999999</v>
      </c>
      <c r="Z814">
        <f t="shared" si="38"/>
        <v>92.499918600000001</v>
      </c>
    </row>
    <row r="815" spans="1:26" x14ac:dyDescent="0.3">
      <c r="A815" t="s">
        <v>905</v>
      </c>
      <c r="B815" t="s">
        <v>107</v>
      </c>
      <c r="C815" t="s">
        <v>56</v>
      </c>
      <c r="D815" t="s">
        <v>57</v>
      </c>
      <c r="E815">
        <v>21</v>
      </c>
      <c r="F815" s="3">
        <v>6.92</v>
      </c>
      <c r="G815" s="4">
        <v>81.3</v>
      </c>
      <c r="H815">
        <v>1</v>
      </c>
      <c r="I815">
        <v>0</v>
      </c>
      <c r="J815">
        <v>5</v>
      </c>
      <c r="K815" s="4">
        <v>77</v>
      </c>
      <c r="L815" s="4">
        <v>67.900000000000006</v>
      </c>
      <c r="M815" s="4">
        <v>70.7</v>
      </c>
      <c r="N815">
        <v>2</v>
      </c>
      <c r="O815" t="s">
        <v>58</v>
      </c>
      <c r="P815" t="s">
        <v>59</v>
      </c>
      <c r="Q815" t="s">
        <v>60</v>
      </c>
      <c r="R815" t="s">
        <v>72</v>
      </c>
      <c r="S815" s="3">
        <v>17.239999999999998</v>
      </c>
      <c r="T815" s="5">
        <v>44501</v>
      </c>
      <c r="U815">
        <v>1</v>
      </c>
      <c r="V815">
        <v>2021</v>
      </c>
      <c r="X815">
        <f t="shared" si="36"/>
        <v>6.9199184999999996</v>
      </c>
      <c r="Y815">
        <f t="shared" si="37"/>
        <v>17.239918499999998</v>
      </c>
      <c r="Z815">
        <f t="shared" si="38"/>
        <v>67.899918500000013</v>
      </c>
    </row>
    <row r="816" spans="1:26" x14ac:dyDescent="0.3">
      <c r="A816" t="s">
        <v>906</v>
      </c>
      <c r="B816" t="s">
        <v>82</v>
      </c>
      <c r="C816" t="s">
        <v>68</v>
      </c>
      <c r="D816" t="s">
        <v>69</v>
      </c>
      <c r="E816">
        <v>20</v>
      </c>
      <c r="F816" s="3">
        <v>6.45</v>
      </c>
      <c r="G816" s="4">
        <v>99.8</v>
      </c>
      <c r="H816">
        <v>1</v>
      </c>
      <c r="I816">
        <v>0</v>
      </c>
      <c r="J816">
        <v>5</v>
      </c>
      <c r="K816" s="4">
        <v>64.3</v>
      </c>
      <c r="L816" s="4">
        <v>61.4</v>
      </c>
      <c r="M816" s="4">
        <v>47.1</v>
      </c>
      <c r="N816">
        <v>0</v>
      </c>
      <c r="O816" t="s">
        <v>58</v>
      </c>
      <c r="P816" t="s">
        <v>87</v>
      </c>
      <c r="Q816" t="s">
        <v>71</v>
      </c>
      <c r="R816" t="s">
        <v>72</v>
      </c>
      <c r="S816" s="3">
        <v>5.21</v>
      </c>
      <c r="T816" s="5">
        <v>44866</v>
      </c>
      <c r="U816">
        <v>2</v>
      </c>
      <c r="V816">
        <v>2022</v>
      </c>
      <c r="X816">
        <f t="shared" si="36"/>
        <v>6.4499184000000005</v>
      </c>
      <c r="Y816">
        <f t="shared" si="37"/>
        <v>5.2099184000000003</v>
      </c>
      <c r="Z816">
        <f t="shared" si="38"/>
        <v>61.399918399999997</v>
      </c>
    </row>
    <row r="817" spans="1:26" x14ac:dyDescent="0.3">
      <c r="A817" t="s">
        <v>907</v>
      </c>
      <c r="B817" t="s">
        <v>55</v>
      </c>
      <c r="C817" t="s">
        <v>68</v>
      </c>
      <c r="D817" t="s">
        <v>69</v>
      </c>
      <c r="E817">
        <v>21</v>
      </c>
      <c r="F817" s="3">
        <v>6.06</v>
      </c>
      <c r="G817" s="4">
        <v>82.7</v>
      </c>
      <c r="H817">
        <v>2</v>
      </c>
      <c r="I817">
        <v>2</v>
      </c>
      <c r="J817">
        <v>6</v>
      </c>
      <c r="K817" s="4">
        <v>76</v>
      </c>
      <c r="L817" s="4">
        <v>39.9</v>
      </c>
      <c r="M817" s="4">
        <v>70.7</v>
      </c>
      <c r="N817">
        <v>0</v>
      </c>
      <c r="O817" t="s">
        <v>58</v>
      </c>
      <c r="P817" t="s">
        <v>87</v>
      </c>
      <c r="Q817" t="s">
        <v>71</v>
      </c>
      <c r="R817" t="s">
        <v>109</v>
      </c>
      <c r="S817" s="3">
        <v>4.41</v>
      </c>
      <c r="T817" s="5">
        <v>45578</v>
      </c>
      <c r="U817">
        <v>2</v>
      </c>
      <c r="V817">
        <v>2024</v>
      </c>
      <c r="X817">
        <f t="shared" si="36"/>
        <v>6.0599182999999996</v>
      </c>
      <c r="Y817">
        <f t="shared" si="37"/>
        <v>4.4099183000000002</v>
      </c>
      <c r="Z817">
        <f t="shared" si="38"/>
        <v>39.899918299999996</v>
      </c>
    </row>
    <row r="818" spans="1:26" x14ac:dyDescent="0.3">
      <c r="A818" t="s">
        <v>908</v>
      </c>
      <c r="B818" t="s">
        <v>107</v>
      </c>
      <c r="C818" t="s">
        <v>89</v>
      </c>
      <c r="D818" t="s">
        <v>57</v>
      </c>
      <c r="E818">
        <v>23</v>
      </c>
      <c r="F818" s="3">
        <v>8.6300000000000008</v>
      </c>
      <c r="G818" s="4">
        <v>77.7</v>
      </c>
      <c r="H818">
        <v>1</v>
      </c>
      <c r="I818">
        <v>3</v>
      </c>
      <c r="J818">
        <v>4</v>
      </c>
      <c r="K818" s="4">
        <v>64.900000000000006</v>
      </c>
      <c r="L818" s="4">
        <v>91.2</v>
      </c>
      <c r="M818" s="4">
        <v>63.9</v>
      </c>
      <c r="N818">
        <v>1</v>
      </c>
      <c r="O818" t="s">
        <v>58</v>
      </c>
      <c r="P818" t="s">
        <v>90</v>
      </c>
      <c r="Q818" t="s">
        <v>60</v>
      </c>
      <c r="R818" t="s">
        <v>130</v>
      </c>
      <c r="S818" s="3">
        <v>10.210000000000001</v>
      </c>
      <c r="T818" s="5">
        <v>44452</v>
      </c>
      <c r="U818">
        <v>2</v>
      </c>
      <c r="V818">
        <v>2021</v>
      </c>
      <c r="X818">
        <f t="shared" si="36"/>
        <v>8.6299182000000005</v>
      </c>
      <c r="Y818">
        <f t="shared" si="37"/>
        <v>10.209918200000001</v>
      </c>
      <c r="Z818">
        <f t="shared" si="38"/>
        <v>91.199918199999999</v>
      </c>
    </row>
    <row r="819" spans="1:26" x14ac:dyDescent="0.3">
      <c r="A819" t="s">
        <v>909</v>
      </c>
      <c r="B819" t="s">
        <v>107</v>
      </c>
      <c r="C819" t="s">
        <v>68</v>
      </c>
      <c r="D819" t="s">
        <v>57</v>
      </c>
      <c r="E819">
        <v>22</v>
      </c>
      <c r="F819" s="3">
        <v>8.25</v>
      </c>
      <c r="G819" s="4">
        <v>73</v>
      </c>
      <c r="H819">
        <v>2</v>
      </c>
      <c r="I819">
        <v>0</v>
      </c>
      <c r="J819">
        <v>3</v>
      </c>
      <c r="K819" s="4">
        <v>42.7</v>
      </c>
      <c r="L819" s="4">
        <v>91.9</v>
      </c>
      <c r="M819" s="4">
        <v>76.8</v>
      </c>
      <c r="N819">
        <v>1</v>
      </c>
      <c r="O819" t="s">
        <v>64</v>
      </c>
      <c r="P819" t="s">
        <v>65</v>
      </c>
      <c r="S819" s="3">
        <v>0</v>
      </c>
      <c r="T819" s="5"/>
      <c r="U819">
        <v>0</v>
      </c>
      <c r="V819">
        <v>2021</v>
      </c>
      <c r="X819">
        <f t="shared" si="36"/>
        <v>8.2499181000000004</v>
      </c>
      <c r="Y819">
        <f t="shared" si="37"/>
        <v>-8.1899999999999999E-5</v>
      </c>
      <c r="Z819">
        <f t="shared" si="38"/>
        <v>91.899918100000008</v>
      </c>
    </row>
    <row r="820" spans="1:26" x14ac:dyDescent="0.3">
      <c r="A820" t="s">
        <v>910</v>
      </c>
      <c r="B820" t="s">
        <v>63</v>
      </c>
      <c r="C820" t="s">
        <v>78</v>
      </c>
      <c r="D820" t="s">
        <v>57</v>
      </c>
      <c r="E820">
        <v>20</v>
      </c>
      <c r="F820" s="3">
        <v>8.2799999999999994</v>
      </c>
      <c r="G820" s="4">
        <v>77.400000000000006</v>
      </c>
      <c r="H820">
        <v>0</v>
      </c>
      <c r="I820">
        <v>2</v>
      </c>
      <c r="J820">
        <v>3</v>
      </c>
      <c r="K820" s="4">
        <v>53.2</v>
      </c>
      <c r="L820" s="4">
        <v>39.200000000000003</v>
      </c>
      <c r="M820" s="4">
        <v>89.3</v>
      </c>
      <c r="N820">
        <v>0</v>
      </c>
      <c r="O820" t="s">
        <v>58</v>
      </c>
      <c r="P820" t="s">
        <v>112</v>
      </c>
      <c r="Q820" t="s">
        <v>93</v>
      </c>
      <c r="R820" t="s">
        <v>76</v>
      </c>
      <c r="S820" s="3">
        <v>3.8</v>
      </c>
      <c r="T820" s="5">
        <v>45877</v>
      </c>
      <c r="U820">
        <v>3</v>
      </c>
      <c r="V820">
        <v>2025</v>
      </c>
      <c r="X820">
        <f t="shared" si="36"/>
        <v>8.2799179999999986</v>
      </c>
      <c r="Y820">
        <f t="shared" si="37"/>
        <v>3.7999179999999999</v>
      </c>
      <c r="Z820">
        <f t="shared" si="38"/>
        <v>39.199918000000004</v>
      </c>
    </row>
    <row r="821" spans="1:26" x14ac:dyDescent="0.3">
      <c r="A821" t="s">
        <v>911</v>
      </c>
      <c r="B821" t="s">
        <v>55</v>
      </c>
      <c r="C821" t="s">
        <v>89</v>
      </c>
      <c r="D821" t="s">
        <v>57</v>
      </c>
      <c r="E821">
        <v>20</v>
      </c>
      <c r="F821" s="3">
        <v>7.91</v>
      </c>
      <c r="G821" s="4">
        <v>74.8</v>
      </c>
      <c r="H821">
        <v>2</v>
      </c>
      <c r="I821">
        <v>1</v>
      </c>
      <c r="J821">
        <v>3</v>
      </c>
      <c r="K821" s="4">
        <v>45.6</v>
      </c>
      <c r="L821" s="4">
        <v>73.2</v>
      </c>
      <c r="M821" s="4">
        <v>69.8</v>
      </c>
      <c r="N821">
        <v>0</v>
      </c>
      <c r="O821" t="s">
        <v>58</v>
      </c>
      <c r="P821" t="s">
        <v>90</v>
      </c>
      <c r="Q821" t="s">
        <v>60</v>
      </c>
      <c r="R821" t="s">
        <v>109</v>
      </c>
      <c r="S821" s="3">
        <v>9.5299999999999994</v>
      </c>
      <c r="T821" s="5">
        <v>45558</v>
      </c>
      <c r="U821">
        <v>1</v>
      </c>
      <c r="V821">
        <v>2024</v>
      </c>
      <c r="X821">
        <f t="shared" si="36"/>
        <v>7.9099178999999999</v>
      </c>
      <c r="Y821">
        <f t="shared" si="37"/>
        <v>9.5299178999999992</v>
      </c>
      <c r="Z821">
        <f t="shared" si="38"/>
        <v>73.199917900000003</v>
      </c>
    </row>
    <row r="822" spans="1:26" x14ac:dyDescent="0.3">
      <c r="A822" t="s">
        <v>912</v>
      </c>
      <c r="B822" t="s">
        <v>107</v>
      </c>
      <c r="C822" t="s">
        <v>56</v>
      </c>
      <c r="D822" t="s">
        <v>57</v>
      </c>
      <c r="E822">
        <v>20</v>
      </c>
      <c r="F822" s="3">
        <v>8.14</v>
      </c>
      <c r="G822" s="4">
        <v>80.599999999999994</v>
      </c>
      <c r="H822">
        <v>1</v>
      </c>
      <c r="I822">
        <v>4</v>
      </c>
      <c r="J822">
        <v>4</v>
      </c>
      <c r="K822" s="4">
        <v>70.900000000000006</v>
      </c>
      <c r="L822" s="4">
        <v>84.2</v>
      </c>
      <c r="M822" s="4">
        <v>78.5</v>
      </c>
      <c r="N822">
        <v>0</v>
      </c>
      <c r="O822" t="s">
        <v>58</v>
      </c>
      <c r="P822" t="s">
        <v>92</v>
      </c>
      <c r="Q822" t="s">
        <v>93</v>
      </c>
      <c r="R822" t="s">
        <v>72</v>
      </c>
      <c r="S822" s="3">
        <v>10.44</v>
      </c>
      <c r="T822" s="5">
        <v>44425</v>
      </c>
      <c r="U822">
        <v>3</v>
      </c>
      <c r="V822">
        <v>2021</v>
      </c>
      <c r="X822">
        <f t="shared" si="36"/>
        <v>8.139917800000001</v>
      </c>
      <c r="Y822">
        <f t="shared" si="37"/>
        <v>10.4399178</v>
      </c>
      <c r="Z822">
        <f t="shared" si="38"/>
        <v>84.199917800000009</v>
      </c>
    </row>
    <row r="823" spans="1:26" x14ac:dyDescent="0.3">
      <c r="A823" t="s">
        <v>913</v>
      </c>
      <c r="B823" t="s">
        <v>55</v>
      </c>
      <c r="C823" t="s">
        <v>101</v>
      </c>
      <c r="D823" t="s">
        <v>57</v>
      </c>
      <c r="E823">
        <v>21</v>
      </c>
      <c r="F823" s="3">
        <v>7.39</v>
      </c>
      <c r="G823" s="4">
        <v>97.2</v>
      </c>
      <c r="H823">
        <v>0</v>
      </c>
      <c r="I823">
        <v>0</v>
      </c>
      <c r="J823">
        <v>4</v>
      </c>
      <c r="K823" s="4">
        <v>44.2</v>
      </c>
      <c r="L823" s="4">
        <v>77.2</v>
      </c>
      <c r="M823" s="4">
        <v>71.400000000000006</v>
      </c>
      <c r="N823">
        <v>0</v>
      </c>
      <c r="O823" t="s">
        <v>64</v>
      </c>
      <c r="P823" t="s">
        <v>65</v>
      </c>
      <c r="S823" s="3">
        <v>0</v>
      </c>
      <c r="T823" s="5"/>
      <c r="U823">
        <v>0</v>
      </c>
      <c r="V823">
        <v>2024</v>
      </c>
      <c r="X823">
        <f t="shared" si="36"/>
        <v>7.3899176999999998</v>
      </c>
      <c r="Y823">
        <f t="shared" si="37"/>
        <v>-8.2299999999999995E-5</v>
      </c>
      <c r="Z823">
        <f t="shared" si="38"/>
        <v>77.1999177</v>
      </c>
    </row>
    <row r="824" spans="1:26" x14ac:dyDescent="0.3">
      <c r="A824" t="s">
        <v>914</v>
      </c>
      <c r="B824" t="s">
        <v>82</v>
      </c>
      <c r="C824" t="s">
        <v>56</v>
      </c>
      <c r="D824" t="s">
        <v>57</v>
      </c>
      <c r="E824">
        <v>21</v>
      </c>
      <c r="F824" s="3">
        <v>7.98</v>
      </c>
      <c r="G824" s="4">
        <v>68.900000000000006</v>
      </c>
      <c r="H824">
        <v>0</v>
      </c>
      <c r="I824">
        <v>2</v>
      </c>
      <c r="J824">
        <v>4</v>
      </c>
      <c r="K824" s="4">
        <v>61</v>
      </c>
      <c r="L824" s="4">
        <v>63.5</v>
      </c>
      <c r="M824" s="4">
        <v>84.8</v>
      </c>
      <c r="N824">
        <v>0</v>
      </c>
      <c r="O824" t="s">
        <v>64</v>
      </c>
      <c r="P824" t="s">
        <v>65</v>
      </c>
      <c r="S824" s="3">
        <v>0</v>
      </c>
      <c r="T824" s="5"/>
      <c r="U824">
        <v>0</v>
      </c>
      <c r="V824">
        <v>2022</v>
      </c>
      <c r="X824">
        <f t="shared" si="36"/>
        <v>7.9799176000000003</v>
      </c>
      <c r="Y824">
        <f t="shared" si="37"/>
        <v>-8.2399999999999997E-5</v>
      </c>
      <c r="Z824">
        <f t="shared" si="38"/>
        <v>63.499917600000003</v>
      </c>
    </row>
    <row r="825" spans="1:26" x14ac:dyDescent="0.3">
      <c r="A825" t="s">
        <v>915</v>
      </c>
      <c r="B825" t="s">
        <v>67</v>
      </c>
      <c r="C825" t="s">
        <v>78</v>
      </c>
      <c r="D825" t="s">
        <v>69</v>
      </c>
      <c r="E825">
        <v>22</v>
      </c>
      <c r="F825" s="3">
        <v>6.88</v>
      </c>
      <c r="G825" s="4">
        <v>69.5</v>
      </c>
      <c r="H825">
        <v>1</v>
      </c>
      <c r="I825">
        <v>5</v>
      </c>
      <c r="J825">
        <v>1</v>
      </c>
      <c r="K825" s="4">
        <v>62.8</v>
      </c>
      <c r="L825" s="4">
        <v>55.8</v>
      </c>
      <c r="M825" s="4">
        <v>100</v>
      </c>
      <c r="N825">
        <v>0</v>
      </c>
      <c r="O825" t="s">
        <v>64</v>
      </c>
      <c r="P825" t="s">
        <v>65</v>
      </c>
      <c r="S825" s="3">
        <v>0</v>
      </c>
      <c r="T825" s="5"/>
      <c r="U825">
        <v>0</v>
      </c>
      <c r="V825">
        <v>2023</v>
      </c>
      <c r="X825">
        <f t="shared" si="36"/>
        <v>6.8799174999999995</v>
      </c>
      <c r="Y825">
        <f t="shared" si="37"/>
        <v>-8.25E-5</v>
      </c>
      <c r="Z825">
        <f t="shared" si="38"/>
        <v>55.799917499999999</v>
      </c>
    </row>
    <row r="826" spans="1:26" x14ac:dyDescent="0.3">
      <c r="A826" t="s">
        <v>916</v>
      </c>
      <c r="B826" t="s">
        <v>107</v>
      </c>
      <c r="C826" t="s">
        <v>68</v>
      </c>
      <c r="D826" t="s">
        <v>57</v>
      </c>
      <c r="E826">
        <v>22</v>
      </c>
      <c r="F826" s="3">
        <v>7.34</v>
      </c>
      <c r="G826" s="4">
        <v>79.900000000000006</v>
      </c>
      <c r="H826">
        <v>1</v>
      </c>
      <c r="I826">
        <v>1</v>
      </c>
      <c r="J826">
        <v>2</v>
      </c>
      <c r="K826" s="4">
        <v>64.5</v>
      </c>
      <c r="L826" s="4">
        <v>87.5</v>
      </c>
      <c r="M826" s="4">
        <v>91.8</v>
      </c>
      <c r="N826">
        <v>0</v>
      </c>
      <c r="O826" t="s">
        <v>58</v>
      </c>
      <c r="P826" t="s">
        <v>87</v>
      </c>
      <c r="Q826" t="s">
        <v>71</v>
      </c>
      <c r="R826" t="s">
        <v>72</v>
      </c>
      <c r="S826" s="3">
        <v>6.2</v>
      </c>
      <c r="T826" s="5">
        <v>44475</v>
      </c>
      <c r="U826">
        <v>1</v>
      </c>
      <c r="V826">
        <v>2021</v>
      </c>
      <c r="X826">
        <f t="shared" si="36"/>
        <v>7.3399174</v>
      </c>
      <c r="Y826">
        <f t="shared" si="37"/>
        <v>6.1999174000000004</v>
      </c>
      <c r="Z826">
        <f t="shared" si="38"/>
        <v>87.499917400000001</v>
      </c>
    </row>
    <row r="827" spans="1:26" x14ac:dyDescent="0.3">
      <c r="A827" t="s">
        <v>917</v>
      </c>
      <c r="B827" t="s">
        <v>63</v>
      </c>
      <c r="C827" t="s">
        <v>68</v>
      </c>
      <c r="D827" t="s">
        <v>57</v>
      </c>
      <c r="E827">
        <v>20</v>
      </c>
      <c r="F827" s="3">
        <v>10</v>
      </c>
      <c r="G827" s="4">
        <v>69.7</v>
      </c>
      <c r="H827">
        <v>1</v>
      </c>
      <c r="I827">
        <v>3</v>
      </c>
      <c r="J827">
        <v>6</v>
      </c>
      <c r="K827" s="4">
        <v>80.3</v>
      </c>
      <c r="L827" s="4">
        <v>81.599999999999994</v>
      </c>
      <c r="M827" s="4">
        <v>66.599999999999994</v>
      </c>
      <c r="N827">
        <v>1</v>
      </c>
      <c r="O827" t="s">
        <v>58</v>
      </c>
      <c r="P827" t="s">
        <v>92</v>
      </c>
      <c r="Q827" t="s">
        <v>93</v>
      </c>
      <c r="R827" t="s">
        <v>130</v>
      </c>
      <c r="S827" s="3">
        <v>9.94</v>
      </c>
      <c r="T827" s="5">
        <v>45975</v>
      </c>
      <c r="U827">
        <v>2</v>
      </c>
      <c r="V827">
        <v>2025</v>
      </c>
      <c r="X827">
        <f t="shared" si="36"/>
        <v>9.9999172999999999</v>
      </c>
      <c r="Y827">
        <f t="shared" si="37"/>
        <v>9.9399172999999994</v>
      </c>
      <c r="Z827">
        <f t="shared" si="38"/>
        <v>81.599917300000001</v>
      </c>
    </row>
    <row r="828" spans="1:26" x14ac:dyDescent="0.3">
      <c r="A828" t="s">
        <v>918</v>
      </c>
      <c r="B828" t="s">
        <v>82</v>
      </c>
      <c r="C828" t="s">
        <v>84</v>
      </c>
      <c r="D828" t="s">
        <v>57</v>
      </c>
      <c r="E828">
        <v>22</v>
      </c>
      <c r="F828" s="3">
        <v>7.69</v>
      </c>
      <c r="G828" s="4">
        <v>73.2</v>
      </c>
      <c r="H828">
        <v>2</v>
      </c>
      <c r="I828">
        <v>4</v>
      </c>
      <c r="J828">
        <v>6</v>
      </c>
      <c r="K828" s="4">
        <v>82.8</v>
      </c>
      <c r="L828" s="4">
        <v>79.599999999999994</v>
      </c>
      <c r="M828" s="4">
        <v>90.6</v>
      </c>
      <c r="N828">
        <v>2</v>
      </c>
      <c r="O828" t="s">
        <v>64</v>
      </c>
      <c r="P828" t="s">
        <v>65</v>
      </c>
      <c r="S828" s="3">
        <v>0</v>
      </c>
      <c r="T828" s="5"/>
      <c r="U828">
        <v>0</v>
      </c>
      <c r="V828">
        <v>2022</v>
      </c>
      <c r="X828">
        <f t="shared" si="36"/>
        <v>7.6899172</v>
      </c>
      <c r="Y828">
        <f t="shared" si="37"/>
        <v>-8.2799999999999993E-5</v>
      </c>
      <c r="Z828">
        <f t="shared" si="38"/>
        <v>79.599917199999993</v>
      </c>
    </row>
    <row r="829" spans="1:26" x14ac:dyDescent="0.3">
      <c r="A829" t="s">
        <v>919</v>
      </c>
      <c r="B829" t="s">
        <v>55</v>
      </c>
      <c r="C829" t="s">
        <v>84</v>
      </c>
      <c r="D829" t="s">
        <v>69</v>
      </c>
      <c r="E829">
        <v>21</v>
      </c>
      <c r="F829" s="3">
        <v>5.88</v>
      </c>
      <c r="G829" s="4">
        <v>85.1</v>
      </c>
      <c r="H829">
        <v>0</v>
      </c>
      <c r="I829">
        <v>1</v>
      </c>
      <c r="J829">
        <v>5</v>
      </c>
      <c r="K829" s="4">
        <v>57.6</v>
      </c>
      <c r="L829" s="4">
        <v>87.6</v>
      </c>
      <c r="M829" s="4">
        <v>77.599999999999994</v>
      </c>
      <c r="N829">
        <v>0</v>
      </c>
      <c r="O829" t="s">
        <v>64</v>
      </c>
      <c r="P829" t="s">
        <v>65</v>
      </c>
      <c r="S829" s="3">
        <v>0</v>
      </c>
      <c r="T829" s="5"/>
      <c r="U829">
        <v>0</v>
      </c>
      <c r="V829">
        <v>2024</v>
      </c>
      <c r="X829">
        <f t="shared" si="36"/>
        <v>5.8799171000000001</v>
      </c>
      <c r="Y829">
        <f t="shared" si="37"/>
        <v>-8.2899999999999996E-5</v>
      </c>
      <c r="Z829">
        <f t="shared" si="38"/>
        <v>87.599917099999999</v>
      </c>
    </row>
    <row r="830" spans="1:26" x14ac:dyDescent="0.3">
      <c r="A830" t="s">
        <v>920</v>
      </c>
      <c r="B830" t="s">
        <v>82</v>
      </c>
      <c r="C830" t="s">
        <v>101</v>
      </c>
      <c r="D830" t="s">
        <v>57</v>
      </c>
      <c r="E830">
        <v>22</v>
      </c>
      <c r="F830" s="3">
        <v>7.28</v>
      </c>
      <c r="G830" s="4">
        <v>81.5</v>
      </c>
      <c r="H830">
        <v>1</v>
      </c>
      <c r="I830">
        <v>5</v>
      </c>
      <c r="J830">
        <v>3</v>
      </c>
      <c r="K830" s="4">
        <v>67.7</v>
      </c>
      <c r="L830" s="4">
        <v>100</v>
      </c>
      <c r="M830" s="4">
        <v>88.8</v>
      </c>
      <c r="N830">
        <v>0</v>
      </c>
      <c r="O830" t="s">
        <v>58</v>
      </c>
      <c r="P830" t="s">
        <v>92</v>
      </c>
      <c r="Q830" t="s">
        <v>93</v>
      </c>
      <c r="R830" t="s">
        <v>72</v>
      </c>
      <c r="S830" s="3">
        <v>10.24</v>
      </c>
      <c r="T830" s="5">
        <v>44844</v>
      </c>
      <c r="U830">
        <v>2</v>
      </c>
      <c r="V830">
        <v>2022</v>
      </c>
      <c r="X830">
        <f t="shared" si="36"/>
        <v>7.2799170000000002</v>
      </c>
      <c r="Y830">
        <f t="shared" si="37"/>
        <v>10.239917</v>
      </c>
      <c r="Z830">
        <f t="shared" si="38"/>
        <v>99.999916999999996</v>
      </c>
    </row>
    <row r="831" spans="1:26" x14ac:dyDescent="0.3">
      <c r="A831" t="s">
        <v>921</v>
      </c>
      <c r="B831" t="s">
        <v>107</v>
      </c>
      <c r="C831" t="s">
        <v>68</v>
      </c>
      <c r="D831" t="s">
        <v>69</v>
      </c>
      <c r="E831">
        <v>21</v>
      </c>
      <c r="F831" s="3">
        <v>6.7</v>
      </c>
      <c r="G831" s="4">
        <v>85.9</v>
      </c>
      <c r="H831">
        <v>1</v>
      </c>
      <c r="I831">
        <v>3</v>
      </c>
      <c r="J831">
        <v>6</v>
      </c>
      <c r="K831" s="4">
        <v>62.1</v>
      </c>
      <c r="L831" s="4">
        <v>65.099999999999994</v>
      </c>
      <c r="M831" s="4">
        <v>61.7</v>
      </c>
      <c r="N831">
        <v>0</v>
      </c>
      <c r="O831" t="s">
        <v>64</v>
      </c>
      <c r="P831" t="s">
        <v>65</v>
      </c>
      <c r="S831" s="3">
        <v>0</v>
      </c>
      <c r="T831" s="5"/>
      <c r="U831">
        <v>0</v>
      </c>
      <c r="V831">
        <v>2021</v>
      </c>
      <c r="X831">
        <f t="shared" si="36"/>
        <v>6.6999168999999998</v>
      </c>
      <c r="Y831">
        <f t="shared" si="37"/>
        <v>-8.3100000000000001E-5</v>
      </c>
      <c r="Z831">
        <f t="shared" si="38"/>
        <v>65.099916899999997</v>
      </c>
    </row>
    <row r="832" spans="1:26" x14ac:dyDescent="0.3">
      <c r="A832" t="s">
        <v>922</v>
      </c>
      <c r="B832" t="s">
        <v>55</v>
      </c>
      <c r="C832" t="s">
        <v>78</v>
      </c>
      <c r="D832" t="s">
        <v>57</v>
      </c>
      <c r="E832">
        <v>22</v>
      </c>
      <c r="F832" s="3">
        <v>7.79</v>
      </c>
      <c r="G832" s="4">
        <v>87.3</v>
      </c>
      <c r="H832">
        <v>2</v>
      </c>
      <c r="I832">
        <v>0</v>
      </c>
      <c r="J832">
        <v>3</v>
      </c>
      <c r="K832" s="4">
        <v>73.900000000000006</v>
      </c>
      <c r="L832" s="4">
        <v>65.099999999999994</v>
      </c>
      <c r="M832" s="4">
        <v>72.900000000000006</v>
      </c>
      <c r="N832">
        <v>1</v>
      </c>
      <c r="O832" t="s">
        <v>58</v>
      </c>
      <c r="P832" t="s">
        <v>75</v>
      </c>
      <c r="Q832" t="s">
        <v>71</v>
      </c>
      <c r="R832" t="s">
        <v>76</v>
      </c>
      <c r="S832" s="3">
        <v>6.34</v>
      </c>
      <c r="T832" s="5">
        <v>45605</v>
      </c>
      <c r="U832">
        <v>1</v>
      </c>
      <c r="V832">
        <v>2024</v>
      </c>
      <c r="X832">
        <f t="shared" si="36"/>
        <v>7.7899168000000003</v>
      </c>
      <c r="Y832">
        <f t="shared" si="37"/>
        <v>6.3399168000000001</v>
      </c>
      <c r="Z832">
        <f t="shared" si="38"/>
        <v>65.099916799999988</v>
      </c>
    </row>
    <row r="833" spans="1:26" x14ac:dyDescent="0.3">
      <c r="A833" t="s">
        <v>923</v>
      </c>
      <c r="B833" t="s">
        <v>67</v>
      </c>
      <c r="C833" t="s">
        <v>68</v>
      </c>
      <c r="D833" t="s">
        <v>57</v>
      </c>
      <c r="E833">
        <v>23</v>
      </c>
      <c r="F833" s="3">
        <v>6.85</v>
      </c>
      <c r="G833" s="4">
        <v>94.1</v>
      </c>
      <c r="H833">
        <v>0</v>
      </c>
      <c r="I833">
        <v>1</v>
      </c>
      <c r="J833">
        <v>5</v>
      </c>
      <c r="K833" s="4">
        <v>66.8</v>
      </c>
      <c r="L833" s="4">
        <v>63.9</v>
      </c>
      <c r="M833" s="4">
        <v>76.099999999999994</v>
      </c>
      <c r="N833">
        <v>0</v>
      </c>
      <c r="O833" t="s">
        <v>58</v>
      </c>
      <c r="P833" t="s">
        <v>90</v>
      </c>
      <c r="Q833" t="s">
        <v>60</v>
      </c>
      <c r="R833" t="s">
        <v>72</v>
      </c>
      <c r="S833" s="3">
        <v>6.11</v>
      </c>
      <c r="T833" s="5">
        <v>45171</v>
      </c>
      <c r="U833">
        <v>1</v>
      </c>
      <c r="V833">
        <v>2023</v>
      </c>
      <c r="X833">
        <f t="shared" si="36"/>
        <v>6.8499166999999996</v>
      </c>
      <c r="Y833">
        <f t="shared" si="37"/>
        <v>6.1099167000000003</v>
      </c>
      <c r="Z833">
        <f t="shared" si="38"/>
        <v>63.899916699999999</v>
      </c>
    </row>
    <row r="834" spans="1:26" x14ac:dyDescent="0.3">
      <c r="A834" t="s">
        <v>924</v>
      </c>
      <c r="B834" t="s">
        <v>82</v>
      </c>
      <c r="C834" t="s">
        <v>101</v>
      </c>
      <c r="D834" t="s">
        <v>57</v>
      </c>
      <c r="E834">
        <v>21</v>
      </c>
      <c r="F834" s="3">
        <v>7.46</v>
      </c>
      <c r="G834" s="4">
        <v>85.4</v>
      </c>
      <c r="H834">
        <v>0</v>
      </c>
      <c r="I834">
        <v>2</v>
      </c>
      <c r="J834">
        <v>2</v>
      </c>
      <c r="K834" s="4">
        <v>74.3</v>
      </c>
      <c r="L834" s="4">
        <v>56.2</v>
      </c>
      <c r="M834" s="4">
        <v>73.400000000000006</v>
      </c>
      <c r="N834">
        <v>0</v>
      </c>
      <c r="O834" t="s">
        <v>64</v>
      </c>
      <c r="P834" t="s">
        <v>65</v>
      </c>
      <c r="S834" s="3">
        <v>0</v>
      </c>
      <c r="T834" s="5"/>
      <c r="U834">
        <v>0</v>
      </c>
      <c r="V834">
        <v>2022</v>
      </c>
      <c r="X834">
        <f t="shared" ref="X834:X897" si="39">F834-ROW()*0.0000001</f>
        <v>7.4599165999999997</v>
      </c>
      <c r="Y834">
        <f t="shared" ref="Y834:Y897" si="40">S834-ROW()*0.0000001</f>
        <v>-8.3399999999999994E-5</v>
      </c>
      <c r="Z834">
        <f t="shared" ref="Z834:Z897" si="41">L834-ROW()*0.0000001</f>
        <v>56.199916600000002</v>
      </c>
    </row>
    <row r="835" spans="1:26" x14ac:dyDescent="0.3">
      <c r="A835" t="s">
        <v>925</v>
      </c>
      <c r="B835" t="s">
        <v>107</v>
      </c>
      <c r="C835" t="s">
        <v>74</v>
      </c>
      <c r="D835" t="s">
        <v>57</v>
      </c>
      <c r="E835">
        <v>23</v>
      </c>
      <c r="F835" s="3">
        <v>6.98</v>
      </c>
      <c r="G835" s="4">
        <v>92.8</v>
      </c>
      <c r="H835">
        <v>1</v>
      </c>
      <c r="I835">
        <v>4</v>
      </c>
      <c r="J835">
        <v>4</v>
      </c>
      <c r="K835" s="4">
        <v>52.1</v>
      </c>
      <c r="L835" s="4">
        <v>87.9</v>
      </c>
      <c r="M835" s="4">
        <v>77.5</v>
      </c>
      <c r="N835">
        <v>0</v>
      </c>
      <c r="O835" t="s">
        <v>58</v>
      </c>
      <c r="P835" t="s">
        <v>70</v>
      </c>
      <c r="Q835" t="s">
        <v>71</v>
      </c>
      <c r="R835" t="s">
        <v>80</v>
      </c>
      <c r="S835" s="3">
        <v>6.38</v>
      </c>
      <c r="T835" s="5">
        <v>44520</v>
      </c>
      <c r="U835">
        <v>3</v>
      </c>
      <c r="V835">
        <v>2021</v>
      </c>
      <c r="X835">
        <f t="shared" si="39"/>
        <v>6.9799165000000007</v>
      </c>
      <c r="Y835">
        <f t="shared" si="40"/>
        <v>6.3799165000000002</v>
      </c>
      <c r="Z835">
        <f t="shared" si="41"/>
        <v>87.899916500000003</v>
      </c>
    </row>
    <row r="836" spans="1:26" x14ac:dyDescent="0.3">
      <c r="A836" t="s">
        <v>926</v>
      </c>
      <c r="B836" t="s">
        <v>63</v>
      </c>
      <c r="C836" t="s">
        <v>84</v>
      </c>
      <c r="D836" t="s">
        <v>69</v>
      </c>
      <c r="E836">
        <v>21</v>
      </c>
      <c r="F836" s="3">
        <v>7.83</v>
      </c>
      <c r="G836" s="4">
        <v>83</v>
      </c>
      <c r="H836">
        <v>2</v>
      </c>
      <c r="I836">
        <v>1</v>
      </c>
      <c r="J836">
        <v>5</v>
      </c>
      <c r="K836" s="4">
        <v>71.2</v>
      </c>
      <c r="L836" s="4">
        <v>90.2</v>
      </c>
      <c r="M836" s="4">
        <v>72.7</v>
      </c>
      <c r="N836">
        <v>0</v>
      </c>
      <c r="O836" t="s">
        <v>58</v>
      </c>
      <c r="P836" t="s">
        <v>87</v>
      </c>
      <c r="Q836" t="s">
        <v>71</v>
      </c>
      <c r="R836" t="s">
        <v>130</v>
      </c>
      <c r="S836" s="3">
        <v>5.72</v>
      </c>
      <c r="T836" s="5">
        <v>45901</v>
      </c>
      <c r="U836">
        <v>1</v>
      </c>
      <c r="V836">
        <v>2025</v>
      </c>
      <c r="X836">
        <f t="shared" si="39"/>
        <v>7.8299164000000001</v>
      </c>
      <c r="Y836">
        <f t="shared" si="40"/>
        <v>5.7199163999999998</v>
      </c>
      <c r="Z836">
        <f t="shared" si="41"/>
        <v>90.199916400000006</v>
      </c>
    </row>
    <row r="837" spans="1:26" x14ac:dyDescent="0.3">
      <c r="A837" t="s">
        <v>927</v>
      </c>
      <c r="B837" t="s">
        <v>55</v>
      </c>
      <c r="C837" t="s">
        <v>84</v>
      </c>
      <c r="D837" t="s">
        <v>69</v>
      </c>
      <c r="E837">
        <v>22</v>
      </c>
      <c r="F837" s="3">
        <v>7.09</v>
      </c>
      <c r="G837" s="4">
        <v>85.5</v>
      </c>
      <c r="H837">
        <v>2</v>
      </c>
      <c r="I837">
        <v>3</v>
      </c>
      <c r="J837">
        <v>5</v>
      </c>
      <c r="K837" s="4">
        <v>48.4</v>
      </c>
      <c r="L837" s="4">
        <v>86</v>
      </c>
      <c r="M837" s="4">
        <v>69.7</v>
      </c>
      <c r="N837">
        <v>0</v>
      </c>
      <c r="O837" t="s">
        <v>58</v>
      </c>
      <c r="P837" t="s">
        <v>95</v>
      </c>
      <c r="Q837" t="s">
        <v>93</v>
      </c>
      <c r="R837" t="s">
        <v>109</v>
      </c>
      <c r="S837" s="3">
        <v>8.0299999999999994</v>
      </c>
      <c r="T837" s="5">
        <v>45542</v>
      </c>
      <c r="U837">
        <v>3</v>
      </c>
      <c r="V837">
        <v>2024</v>
      </c>
      <c r="X837">
        <f t="shared" si="39"/>
        <v>7.0899162999999996</v>
      </c>
      <c r="Y837">
        <f t="shared" si="40"/>
        <v>8.0299163</v>
      </c>
      <c r="Z837">
        <f t="shared" si="41"/>
        <v>85.999916299999995</v>
      </c>
    </row>
    <row r="838" spans="1:26" x14ac:dyDescent="0.3">
      <c r="A838" t="s">
        <v>928</v>
      </c>
      <c r="B838" t="s">
        <v>82</v>
      </c>
      <c r="C838" t="s">
        <v>78</v>
      </c>
      <c r="D838" t="s">
        <v>57</v>
      </c>
      <c r="E838">
        <v>23</v>
      </c>
      <c r="F838" s="3">
        <v>7.97</v>
      </c>
      <c r="G838" s="4">
        <v>85.4</v>
      </c>
      <c r="H838">
        <v>0</v>
      </c>
      <c r="I838">
        <v>1</v>
      </c>
      <c r="J838">
        <v>5</v>
      </c>
      <c r="K838" s="4">
        <v>57.1</v>
      </c>
      <c r="L838" s="4">
        <v>95</v>
      </c>
      <c r="M838" s="4">
        <v>68.5</v>
      </c>
      <c r="N838">
        <v>0</v>
      </c>
      <c r="O838" t="s">
        <v>58</v>
      </c>
      <c r="P838" t="s">
        <v>87</v>
      </c>
      <c r="Q838" t="s">
        <v>71</v>
      </c>
      <c r="R838" t="s">
        <v>109</v>
      </c>
      <c r="S838" s="3">
        <v>7.03</v>
      </c>
      <c r="T838" s="5">
        <v>44857</v>
      </c>
      <c r="U838">
        <v>3</v>
      </c>
      <c r="V838">
        <v>2022</v>
      </c>
      <c r="X838">
        <f t="shared" si="39"/>
        <v>7.9699162000000001</v>
      </c>
      <c r="Y838">
        <f t="shared" si="40"/>
        <v>7.0299162000000006</v>
      </c>
      <c r="Z838">
        <f t="shared" si="41"/>
        <v>94.999916200000001</v>
      </c>
    </row>
    <row r="839" spans="1:26" x14ac:dyDescent="0.3">
      <c r="A839" t="s">
        <v>929</v>
      </c>
      <c r="B839" t="s">
        <v>82</v>
      </c>
      <c r="C839" t="s">
        <v>74</v>
      </c>
      <c r="D839" t="s">
        <v>69</v>
      </c>
      <c r="E839">
        <v>22</v>
      </c>
      <c r="F839" s="3">
        <v>9.4</v>
      </c>
      <c r="G839" s="4">
        <v>84.6</v>
      </c>
      <c r="H839">
        <v>0</v>
      </c>
      <c r="I839">
        <v>3</v>
      </c>
      <c r="J839">
        <v>6</v>
      </c>
      <c r="K839" s="4">
        <v>69.400000000000006</v>
      </c>
      <c r="L839" s="4">
        <v>71.5</v>
      </c>
      <c r="M839" s="4">
        <v>64.2</v>
      </c>
      <c r="N839">
        <v>0</v>
      </c>
      <c r="O839" t="s">
        <v>58</v>
      </c>
      <c r="P839" t="s">
        <v>75</v>
      </c>
      <c r="Q839" t="s">
        <v>71</v>
      </c>
      <c r="R839" t="s">
        <v>130</v>
      </c>
      <c r="S839" s="3">
        <v>6.75</v>
      </c>
      <c r="T839" s="5">
        <v>44783</v>
      </c>
      <c r="U839">
        <v>3</v>
      </c>
      <c r="V839">
        <v>2022</v>
      </c>
      <c r="X839">
        <f t="shared" si="39"/>
        <v>9.3999161000000004</v>
      </c>
      <c r="Y839">
        <f t="shared" si="40"/>
        <v>6.7499161000000001</v>
      </c>
      <c r="Z839">
        <f t="shared" si="41"/>
        <v>71.499916099999993</v>
      </c>
    </row>
    <row r="840" spans="1:26" x14ac:dyDescent="0.3">
      <c r="A840" t="s">
        <v>930</v>
      </c>
      <c r="B840" t="s">
        <v>67</v>
      </c>
      <c r="C840" t="s">
        <v>56</v>
      </c>
      <c r="D840" t="s">
        <v>57</v>
      </c>
      <c r="E840">
        <v>21</v>
      </c>
      <c r="F840" s="3">
        <v>6.61</v>
      </c>
      <c r="G840" s="4">
        <v>83.9</v>
      </c>
      <c r="H840">
        <v>1</v>
      </c>
      <c r="I840">
        <v>3</v>
      </c>
      <c r="J840">
        <v>4</v>
      </c>
      <c r="K840" s="4">
        <v>40.700000000000003</v>
      </c>
      <c r="L840" s="4">
        <v>75.599999999999994</v>
      </c>
      <c r="M840" s="4">
        <v>77.7</v>
      </c>
      <c r="N840">
        <v>0</v>
      </c>
      <c r="O840" t="s">
        <v>58</v>
      </c>
      <c r="P840" t="s">
        <v>79</v>
      </c>
      <c r="Q840" t="s">
        <v>71</v>
      </c>
      <c r="R840" t="s">
        <v>109</v>
      </c>
      <c r="S840" s="3">
        <v>6.96</v>
      </c>
      <c r="T840" s="5">
        <v>45217</v>
      </c>
      <c r="U840">
        <v>2</v>
      </c>
      <c r="V840">
        <v>2023</v>
      </c>
      <c r="X840">
        <f t="shared" si="39"/>
        <v>6.6099160000000001</v>
      </c>
      <c r="Y840">
        <f t="shared" si="40"/>
        <v>6.9599159999999998</v>
      </c>
      <c r="Z840">
        <f t="shared" si="41"/>
        <v>75.599915999999993</v>
      </c>
    </row>
    <row r="841" spans="1:26" x14ac:dyDescent="0.3">
      <c r="A841" t="s">
        <v>931</v>
      </c>
      <c r="B841" t="s">
        <v>67</v>
      </c>
      <c r="C841" t="s">
        <v>101</v>
      </c>
      <c r="D841" t="s">
        <v>69</v>
      </c>
      <c r="E841">
        <v>23</v>
      </c>
      <c r="F841" s="3">
        <v>8.3000000000000007</v>
      </c>
      <c r="G841" s="4">
        <v>98.4</v>
      </c>
      <c r="H841">
        <v>1</v>
      </c>
      <c r="I841">
        <v>2</v>
      </c>
      <c r="J841">
        <v>4</v>
      </c>
      <c r="K841" s="4">
        <v>37.4</v>
      </c>
      <c r="L841" s="4">
        <v>79.8</v>
      </c>
      <c r="M841" s="4">
        <v>72.3</v>
      </c>
      <c r="N841">
        <v>1</v>
      </c>
      <c r="O841" t="s">
        <v>58</v>
      </c>
      <c r="P841" t="s">
        <v>79</v>
      </c>
      <c r="Q841" t="s">
        <v>71</v>
      </c>
      <c r="R841" t="s">
        <v>109</v>
      </c>
      <c r="S841" s="3">
        <v>5.54</v>
      </c>
      <c r="T841" s="5">
        <v>45217</v>
      </c>
      <c r="U841">
        <v>1</v>
      </c>
      <c r="V841">
        <v>2023</v>
      </c>
      <c r="X841">
        <f t="shared" si="39"/>
        <v>8.2999159000000002</v>
      </c>
      <c r="Y841">
        <f t="shared" si="40"/>
        <v>5.5399159000000004</v>
      </c>
      <c r="Z841">
        <f t="shared" si="41"/>
        <v>79.799915900000002</v>
      </c>
    </row>
    <row r="842" spans="1:26" x14ac:dyDescent="0.3">
      <c r="A842" t="s">
        <v>932</v>
      </c>
      <c r="B842" t="s">
        <v>63</v>
      </c>
      <c r="C842" t="s">
        <v>56</v>
      </c>
      <c r="D842" t="s">
        <v>69</v>
      </c>
      <c r="E842">
        <v>20</v>
      </c>
      <c r="F842" s="3">
        <v>5.44</v>
      </c>
      <c r="G842" s="4">
        <v>88.3</v>
      </c>
      <c r="H842">
        <v>1</v>
      </c>
      <c r="I842">
        <v>2</v>
      </c>
      <c r="J842">
        <v>3</v>
      </c>
      <c r="K842" s="4">
        <v>51.8</v>
      </c>
      <c r="L842" s="4">
        <v>63.7</v>
      </c>
      <c r="M842" s="4">
        <v>67.5</v>
      </c>
      <c r="N842">
        <v>0</v>
      </c>
      <c r="O842" t="s">
        <v>64</v>
      </c>
      <c r="P842" t="s">
        <v>65</v>
      </c>
      <c r="S842" s="3">
        <v>0</v>
      </c>
      <c r="T842" s="5"/>
      <c r="U842">
        <v>0</v>
      </c>
      <c r="V842">
        <v>2025</v>
      </c>
      <c r="X842">
        <f t="shared" si="39"/>
        <v>5.4399158000000005</v>
      </c>
      <c r="Y842">
        <f t="shared" si="40"/>
        <v>-8.42E-5</v>
      </c>
      <c r="Z842">
        <f t="shared" si="41"/>
        <v>63.699915799999999</v>
      </c>
    </row>
    <row r="843" spans="1:26" x14ac:dyDescent="0.3">
      <c r="A843" t="s">
        <v>933</v>
      </c>
      <c r="B843" t="s">
        <v>63</v>
      </c>
      <c r="C843" t="s">
        <v>101</v>
      </c>
      <c r="D843" t="s">
        <v>57</v>
      </c>
      <c r="E843">
        <v>22</v>
      </c>
      <c r="F843" s="3">
        <v>7.44</v>
      </c>
      <c r="G843" s="4">
        <v>78</v>
      </c>
      <c r="H843">
        <v>1</v>
      </c>
      <c r="I843">
        <v>4</v>
      </c>
      <c r="J843">
        <v>1</v>
      </c>
      <c r="K843" s="4">
        <v>54.9</v>
      </c>
      <c r="L843" s="4">
        <v>53.9</v>
      </c>
      <c r="M843" s="4">
        <v>56</v>
      </c>
      <c r="N843">
        <v>0</v>
      </c>
      <c r="O843" t="s">
        <v>58</v>
      </c>
      <c r="P843" t="s">
        <v>59</v>
      </c>
      <c r="Q843" t="s">
        <v>60</v>
      </c>
      <c r="R843" t="s">
        <v>72</v>
      </c>
      <c r="S843" s="3">
        <v>18.260000000000002</v>
      </c>
      <c r="T843" s="5">
        <v>45988</v>
      </c>
      <c r="U843">
        <v>2</v>
      </c>
      <c r="V843">
        <v>2025</v>
      </c>
      <c r="X843">
        <f t="shared" si="39"/>
        <v>7.4399157000000002</v>
      </c>
      <c r="Y843">
        <f t="shared" si="40"/>
        <v>18.259915700000001</v>
      </c>
      <c r="Z843">
        <f t="shared" si="41"/>
        <v>53.899915700000001</v>
      </c>
    </row>
    <row r="844" spans="1:26" x14ac:dyDescent="0.3">
      <c r="A844" t="s">
        <v>934</v>
      </c>
      <c r="B844" t="s">
        <v>107</v>
      </c>
      <c r="C844" t="s">
        <v>68</v>
      </c>
      <c r="D844" t="s">
        <v>57</v>
      </c>
      <c r="E844">
        <v>21</v>
      </c>
      <c r="F844" s="3">
        <v>7.86</v>
      </c>
      <c r="G844" s="4">
        <v>100</v>
      </c>
      <c r="H844">
        <v>1</v>
      </c>
      <c r="I844">
        <v>1</v>
      </c>
      <c r="J844">
        <v>5</v>
      </c>
      <c r="K844" s="4">
        <v>56.3</v>
      </c>
      <c r="L844" s="4">
        <v>72.2</v>
      </c>
      <c r="M844" s="4">
        <v>80.5</v>
      </c>
      <c r="N844">
        <v>0</v>
      </c>
      <c r="O844" t="s">
        <v>58</v>
      </c>
      <c r="P844" t="s">
        <v>79</v>
      </c>
      <c r="Q844" t="s">
        <v>71</v>
      </c>
      <c r="R844" t="s">
        <v>85</v>
      </c>
      <c r="S844" s="3">
        <v>5.55</v>
      </c>
      <c r="T844" s="5">
        <v>44497</v>
      </c>
      <c r="U844">
        <v>3</v>
      </c>
      <c r="V844">
        <v>2021</v>
      </c>
      <c r="X844">
        <f t="shared" si="39"/>
        <v>7.8599155999999999</v>
      </c>
      <c r="Y844">
        <f t="shared" si="40"/>
        <v>5.5499155999999994</v>
      </c>
      <c r="Z844">
        <f t="shared" si="41"/>
        <v>72.199915599999997</v>
      </c>
    </row>
    <row r="845" spans="1:26" x14ac:dyDescent="0.3">
      <c r="A845" t="s">
        <v>935</v>
      </c>
      <c r="B845" t="s">
        <v>107</v>
      </c>
      <c r="C845" t="s">
        <v>74</v>
      </c>
      <c r="D845" t="s">
        <v>57</v>
      </c>
      <c r="E845">
        <v>23</v>
      </c>
      <c r="F845" s="3">
        <v>6.98</v>
      </c>
      <c r="G845" s="4">
        <v>78.599999999999994</v>
      </c>
      <c r="H845">
        <v>1</v>
      </c>
      <c r="I845">
        <v>3</v>
      </c>
      <c r="J845">
        <v>5</v>
      </c>
      <c r="K845" s="4">
        <v>60.7</v>
      </c>
      <c r="L845" s="4">
        <v>63</v>
      </c>
      <c r="M845" s="4">
        <v>82.1</v>
      </c>
      <c r="N845">
        <v>0</v>
      </c>
      <c r="O845" t="s">
        <v>58</v>
      </c>
      <c r="P845" t="s">
        <v>95</v>
      </c>
      <c r="Q845" t="s">
        <v>93</v>
      </c>
      <c r="R845" t="s">
        <v>85</v>
      </c>
      <c r="S845" s="3">
        <v>6.82</v>
      </c>
      <c r="T845" s="5">
        <v>44409</v>
      </c>
      <c r="U845">
        <v>2</v>
      </c>
      <c r="V845">
        <v>2021</v>
      </c>
      <c r="X845">
        <f t="shared" si="39"/>
        <v>6.9799155000000006</v>
      </c>
      <c r="Y845">
        <f t="shared" si="40"/>
        <v>6.8199155000000005</v>
      </c>
      <c r="Z845">
        <f t="shared" si="41"/>
        <v>62.9999155</v>
      </c>
    </row>
    <row r="846" spans="1:26" x14ac:dyDescent="0.3">
      <c r="A846" t="s">
        <v>936</v>
      </c>
      <c r="B846" t="s">
        <v>63</v>
      </c>
      <c r="C846" t="s">
        <v>84</v>
      </c>
      <c r="D846" t="s">
        <v>69</v>
      </c>
      <c r="E846">
        <v>22</v>
      </c>
      <c r="F846" s="3">
        <v>6.04</v>
      </c>
      <c r="G846" s="4">
        <v>82</v>
      </c>
      <c r="H846">
        <v>1</v>
      </c>
      <c r="I846">
        <v>1</v>
      </c>
      <c r="J846">
        <v>2</v>
      </c>
      <c r="K846" s="4">
        <v>72.3</v>
      </c>
      <c r="L846" s="4">
        <v>100</v>
      </c>
      <c r="M846" s="4">
        <v>62.7</v>
      </c>
      <c r="N846">
        <v>0</v>
      </c>
      <c r="O846" t="s">
        <v>64</v>
      </c>
      <c r="P846" t="s">
        <v>65</v>
      </c>
      <c r="S846" s="3">
        <v>0</v>
      </c>
      <c r="T846" s="5"/>
      <c r="U846">
        <v>0</v>
      </c>
      <c r="V846">
        <v>2025</v>
      </c>
      <c r="X846">
        <f t="shared" si="39"/>
        <v>6.0399153999999999</v>
      </c>
      <c r="Y846">
        <f t="shared" si="40"/>
        <v>-8.4599999999999996E-5</v>
      </c>
      <c r="Z846">
        <f t="shared" si="41"/>
        <v>99.999915400000006</v>
      </c>
    </row>
    <row r="847" spans="1:26" x14ac:dyDescent="0.3">
      <c r="A847" t="s">
        <v>937</v>
      </c>
      <c r="B847" t="s">
        <v>63</v>
      </c>
      <c r="C847" t="s">
        <v>89</v>
      </c>
      <c r="D847" t="s">
        <v>57</v>
      </c>
      <c r="E847">
        <v>23</v>
      </c>
      <c r="F847" s="3">
        <v>7.62</v>
      </c>
      <c r="G847" s="4">
        <v>74.5</v>
      </c>
      <c r="H847">
        <v>0</v>
      </c>
      <c r="I847">
        <v>3</v>
      </c>
      <c r="J847">
        <v>1</v>
      </c>
      <c r="K847" s="4">
        <v>95.4</v>
      </c>
      <c r="L847" s="4">
        <v>47.7</v>
      </c>
      <c r="M847" s="4">
        <v>75.2</v>
      </c>
      <c r="N847">
        <v>0</v>
      </c>
      <c r="O847" t="s">
        <v>64</v>
      </c>
      <c r="P847" t="s">
        <v>65</v>
      </c>
      <c r="S847" s="3">
        <v>0</v>
      </c>
      <c r="T847" s="5"/>
      <c r="U847">
        <v>0</v>
      </c>
      <c r="V847">
        <v>2025</v>
      </c>
      <c r="X847">
        <f t="shared" si="39"/>
        <v>7.6199152999999997</v>
      </c>
      <c r="Y847">
        <f t="shared" si="40"/>
        <v>-8.4699999999999999E-5</v>
      </c>
      <c r="Z847">
        <f t="shared" si="41"/>
        <v>47.699915300000001</v>
      </c>
    </row>
    <row r="848" spans="1:26" x14ac:dyDescent="0.3">
      <c r="A848" t="s">
        <v>938</v>
      </c>
      <c r="B848" t="s">
        <v>55</v>
      </c>
      <c r="C848" t="s">
        <v>89</v>
      </c>
      <c r="D848" t="s">
        <v>69</v>
      </c>
      <c r="E848">
        <v>22</v>
      </c>
      <c r="F848" s="3">
        <v>9.0299999999999994</v>
      </c>
      <c r="G848" s="4">
        <v>88.5</v>
      </c>
      <c r="H848">
        <v>1</v>
      </c>
      <c r="I848">
        <v>3</v>
      </c>
      <c r="J848">
        <v>2</v>
      </c>
      <c r="K848" s="4">
        <v>59.2</v>
      </c>
      <c r="L848" s="4">
        <v>69.099999999999994</v>
      </c>
      <c r="M848" s="4">
        <v>67.5</v>
      </c>
      <c r="N848">
        <v>0</v>
      </c>
      <c r="O848" t="s">
        <v>58</v>
      </c>
      <c r="P848" t="s">
        <v>59</v>
      </c>
      <c r="Q848" t="s">
        <v>60</v>
      </c>
      <c r="R848" t="s">
        <v>61</v>
      </c>
      <c r="S848" s="3">
        <v>20.43</v>
      </c>
      <c r="T848" s="5">
        <v>45579</v>
      </c>
      <c r="U848">
        <v>1</v>
      </c>
      <c r="V848">
        <v>2024</v>
      </c>
      <c r="X848">
        <f t="shared" si="39"/>
        <v>9.0299151999999996</v>
      </c>
      <c r="Y848">
        <f t="shared" si="40"/>
        <v>20.4299152</v>
      </c>
      <c r="Z848">
        <f t="shared" si="41"/>
        <v>69.099915199999998</v>
      </c>
    </row>
    <row r="849" spans="1:26" x14ac:dyDescent="0.3">
      <c r="A849" t="s">
        <v>939</v>
      </c>
      <c r="B849" t="s">
        <v>67</v>
      </c>
      <c r="C849" t="s">
        <v>68</v>
      </c>
      <c r="D849" t="s">
        <v>69</v>
      </c>
      <c r="E849">
        <v>22</v>
      </c>
      <c r="F849" s="3">
        <v>7.52</v>
      </c>
      <c r="G849" s="4">
        <v>97.2</v>
      </c>
      <c r="H849">
        <v>1</v>
      </c>
      <c r="I849">
        <v>2</v>
      </c>
      <c r="J849">
        <v>5</v>
      </c>
      <c r="K849" s="4">
        <v>73.3</v>
      </c>
      <c r="L849" s="4">
        <v>74.3</v>
      </c>
      <c r="M849" s="4">
        <v>82.6</v>
      </c>
      <c r="N849">
        <v>0</v>
      </c>
      <c r="O849" t="s">
        <v>58</v>
      </c>
      <c r="P849" t="s">
        <v>75</v>
      </c>
      <c r="Q849" t="s">
        <v>71</v>
      </c>
      <c r="R849" t="s">
        <v>72</v>
      </c>
      <c r="S849" s="3">
        <v>6.87</v>
      </c>
      <c r="T849" s="5">
        <v>45226</v>
      </c>
      <c r="U849">
        <v>2</v>
      </c>
      <c r="V849">
        <v>2023</v>
      </c>
      <c r="X849">
        <f t="shared" si="39"/>
        <v>7.5199150999999995</v>
      </c>
      <c r="Y849">
        <f t="shared" si="40"/>
        <v>6.8699151000000001</v>
      </c>
      <c r="Z849">
        <f t="shared" si="41"/>
        <v>74.299915099999993</v>
      </c>
    </row>
    <row r="850" spans="1:26" x14ac:dyDescent="0.3">
      <c r="A850" t="s">
        <v>940</v>
      </c>
      <c r="B850" t="s">
        <v>107</v>
      </c>
      <c r="C850" t="s">
        <v>74</v>
      </c>
      <c r="D850" t="s">
        <v>57</v>
      </c>
      <c r="E850">
        <v>22</v>
      </c>
      <c r="F850" s="3">
        <v>8.15</v>
      </c>
      <c r="G850" s="4">
        <v>68.599999999999994</v>
      </c>
      <c r="H850">
        <v>2</v>
      </c>
      <c r="I850">
        <v>3</v>
      </c>
      <c r="J850">
        <v>3</v>
      </c>
      <c r="K850" s="4">
        <v>85.4</v>
      </c>
      <c r="L850" s="4">
        <v>57.6</v>
      </c>
      <c r="M850" s="4">
        <v>68.099999999999994</v>
      </c>
      <c r="N850">
        <v>0</v>
      </c>
      <c r="O850" t="s">
        <v>64</v>
      </c>
      <c r="P850" t="s">
        <v>65</v>
      </c>
      <c r="S850" s="3">
        <v>0</v>
      </c>
      <c r="T850" s="5"/>
      <c r="U850">
        <v>0</v>
      </c>
      <c r="V850">
        <v>2021</v>
      </c>
      <c r="X850">
        <f t="shared" si="39"/>
        <v>8.149915</v>
      </c>
      <c r="Y850">
        <f t="shared" si="40"/>
        <v>-8.4999999999999993E-5</v>
      </c>
      <c r="Z850">
        <f t="shared" si="41"/>
        <v>57.599915000000003</v>
      </c>
    </row>
    <row r="851" spans="1:26" x14ac:dyDescent="0.3">
      <c r="A851" t="s">
        <v>941</v>
      </c>
      <c r="B851" t="s">
        <v>67</v>
      </c>
      <c r="C851" t="s">
        <v>101</v>
      </c>
      <c r="D851" t="s">
        <v>57</v>
      </c>
      <c r="E851">
        <v>23</v>
      </c>
      <c r="F851" s="3">
        <v>8.66</v>
      </c>
      <c r="G851" s="4">
        <v>79.5</v>
      </c>
      <c r="H851">
        <v>2</v>
      </c>
      <c r="I851">
        <v>2</v>
      </c>
      <c r="J851">
        <v>3</v>
      </c>
      <c r="K851" s="4">
        <v>82.9</v>
      </c>
      <c r="L851" s="4">
        <v>63.1</v>
      </c>
      <c r="M851" s="4">
        <v>68.099999999999994</v>
      </c>
      <c r="N851">
        <v>1</v>
      </c>
      <c r="O851" t="s">
        <v>58</v>
      </c>
      <c r="P851" t="s">
        <v>95</v>
      </c>
      <c r="Q851" t="s">
        <v>93</v>
      </c>
      <c r="R851" t="s">
        <v>85</v>
      </c>
      <c r="S851" s="3">
        <v>8.02</v>
      </c>
      <c r="T851" s="5">
        <v>45228</v>
      </c>
      <c r="U851">
        <v>1</v>
      </c>
      <c r="V851">
        <v>2023</v>
      </c>
      <c r="X851">
        <f t="shared" si="39"/>
        <v>8.6599149000000004</v>
      </c>
      <c r="Y851">
        <f t="shared" si="40"/>
        <v>8.0199148999999998</v>
      </c>
      <c r="Z851">
        <f t="shared" si="41"/>
        <v>63.099914900000002</v>
      </c>
    </row>
    <row r="852" spans="1:26" x14ac:dyDescent="0.3">
      <c r="A852" t="s">
        <v>942</v>
      </c>
      <c r="B852" t="s">
        <v>67</v>
      </c>
      <c r="C852" t="s">
        <v>74</v>
      </c>
      <c r="D852" t="s">
        <v>69</v>
      </c>
      <c r="E852">
        <v>23</v>
      </c>
      <c r="F852" s="3">
        <v>9.8699999999999992</v>
      </c>
      <c r="G852" s="4">
        <v>92</v>
      </c>
      <c r="H852">
        <v>1</v>
      </c>
      <c r="I852">
        <v>4</v>
      </c>
      <c r="J852">
        <v>1</v>
      </c>
      <c r="K852" s="4">
        <v>57</v>
      </c>
      <c r="L852" s="4">
        <v>70.900000000000006</v>
      </c>
      <c r="M852" s="4">
        <v>75.599999999999994</v>
      </c>
      <c r="N852">
        <v>0</v>
      </c>
      <c r="O852" t="s">
        <v>58</v>
      </c>
      <c r="P852" t="s">
        <v>70</v>
      </c>
      <c r="Q852" t="s">
        <v>71</v>
      </c>
      <c r="R852" t="s">
        <v>130</v>
      </c>
      <c r="S852" s="3">
        <v>8.69</v>
      </c>
      <c r="T852" s="5">
        <v>45163</v>
      </c>
      <c r="U852">
        <v>1</v>
      </c>
      <c r="V852">
        <v>2023</v>
      </c>
      <c r="X852">
        <f t="shared" si="39"/>
        <v>9.8699148000000001</v>
      </c>
      <c r="Y852">
        <f t="shared" si="40"/>
        <v>8.6899148000000004</v>
      </c>
      <c r="Z852">
        <f t="shared" si="41"/>
        <v>70.899914800000005</v>
      </c>
    </row>
    <row r="853" spans="1:26" x14ac:dyDescent="0.3">
      <c r="A853" t="s">
        <v>943</v>
      </c>
      <c r="B853" t="s">
        <v>63</v>
      </c>
      <c r="C853" t="s">
        <v>84</v>
      </c>
      <c r="D853" t="s">
        <v>57</v>
      </c>
      <c r="E853">
        <v>22</v>
      </c>
      <c r="F853" s="3">
        <v>6.7</v>
      </c>
      <c r="G853" s="4">
        <v>72.5</v>
      </c>
      <c r="H853">
        <v>0</v>
      </c>
      <c r="I853">
        <v>0</v>
      </c>
      <c r="J853">
        <v>3</v>
      </c>
      <c r="K853" s="4">
        <v>80.2</v>
      </c>
      <c r="L853" s="4">
        <v>52.6</v>
      </c>
      <c r="M853" s="4">
        <v>69</v>
      </c>
      <c r="N853">
        <v>0</v>
      </c>
      <c r="O853" t="s">
        <v>58</v>
      </c>
      <c r="P853" t="s">
        <v>90</v>
      </c>
      <c r="Q853" t="s">
        <v>60</v>
      </c>
      <c r="R853" t="s">
        <v>61</v>
      </c>
      <c r="S853" s="3">
        <v>7.95</v>
      </c>
      <c r="T853" s="5">
        <v>45921</v>
      </c>
      <c r="U853">
        <v>2</v>
      </c>
      <c r="V853">
        <v>2025</v>
      </c>
      <c r="X853">
        <f t="shared" si="39"/>
        <v>6.6999146999999999</v>
      </c>
      <c r="Y853">
        <f t="shared" si="40"/>
        <v>7.9499146999999999</v>
      </c>
      <c r="Z853">
        <f t="shared" si="41"/>
        <v>52.599914699999999</v>
      </c>
    </row>
    <row r="854" spans="1:26" x14ac:dyDescent="0.3">
      <c r="A854" t="s">
        <v>944</v>
      </c>
      <c r="B854" t="s">
        <v>55</v>
      </c>
      <c r="C854" t="s">
        <v>84</v>
      </c>
      <c r="D854" t="s">
        <v>69</v>
      </c>
      <c r="E854">
        <v>20</v>
      </c>
      <c r="F854" s="3">
        <v>6.8</v>
      </c>
      <c r="G854" s="4">
        <v>87.2</v>
      </c>
      <c r="H854">
        <v>1</v>
      </c>
      <c r="I854">
        <v>0</v>
      </c>
      <c r="J854">
        <v>4</v>
      </c>
      <c r="K854" s="4">
        <v>86.1</v>
      </c>
      <c r="L854" s="4">
        <v>76.099999999999994</v>
      </c>
      <c r="M854" s="4">
        <v>68.099999999999994</v>
      </c>
      <c r="N854">
        <v>1</v>
      </c>
      <c r="O854" t="s">
        <v>64</v>
      </c>
      <c r="P854" t="s">
        <v>65</v>
      </c>
      <c r="S854" s="3">
        <v>0</v>
      </c>
      <c r="T854" s="5"/>
      <c r="U854">
        <v>0</v>
      </c>
      <c r="V854">
        <v>2024</v>
      </c>
      <c r="X854">
        <f t="shared" si="39"/>
        <v>6.7999146000000001</v>
      </c>
      <c r="Y854">
        <f t="shared" si="40"/>
        <v>-8.5400000000000002E-5</v>
      </c>
      <c r="Z854">
        <f t="shared" si="41"/>
        <v>76.099914599999991</v>
      </c>
    </row>
    <row r="855" spans="1:26" x14ac:dyDescent="0.3">
      <c r="A855" t="s">
        <v>945</v>
      </c>
      <c r="B855" t="s">
        <v>82</v>
      </c>
      <c r="C855" t="s">
        <v>74</v>
      </c>
      <c r="D855" t="s">
        <v>57</v>
      </c>
      <c r="E855">
        <v>20</v>
      </c>
      <c r="F855" s="3">
        <v>7.39</v>
      </c>
      <c r="G855" s="4">
        <v>70.3</v>
      </c>
      <c r="H855">
        <v>1</v>
      </c>
      <c r="I855">
        <v>3</v>
      </c>
      <c r="J855">
        <v>6</v>
      </c>
      <c r="K855" s="4">
        <v>89.4</v>
      </c>
      <c r="L855" s="4">
        <v>93.7</v>
      </c>
      <c r="M855" s="4">
        <v>66.599999999999994</v>
      </c>
      <c r="N855">
        <v>1</v>
      </c>
      <c r="O855" t="s">
        <v>64</v>
      </c>
      <c r="P855" t="s">
        <v>65</v>
      </c>
      <c r="S855" s="3">
        <v>0</v>
      </c>
      <c r="T855" s="5"/>
      <c r="U855">
        <v>0</v>
      </c>
      <c r="V855">
        <v>2022</v>
      </c>
      <c r="X855">
        <f t="shared" si="39"/>
        <v>7.3899144999999997</v>
      </c>
      <c r="Y855">
        <f t="shared" si="40"/>
        <v>-8.5499999999999991E-5</v>
      </c>
      <c r="Z855">
        <f t="shared" si="41"/>
        <v>93.699914500000006</v>
      </c>
    </row>
    <row r="856" spans="1:26" x14ac:dyDescent="0.3">
      <c r="A856" t="s">
        <v>946</v>
      </c>
      <c r="B856" t="s">
        <v>55</v>
      </c>
      <c r="C856" t="s">
        <v>78</v>
      </c>
      <c r="D856" t="s">
        <v>57</v>
      </c>
      <c r="E856">
        <v>20</v>
      </c>
      <c r="F856" s="3">
        <v>8.1999999999999993</v>
      </c>
      <c r="G856" s="4">
        <v>85.7</v>
      </c>
      <c r="H856">
        <v>3</v>
      </c>
      <c r="I856">
        <v>3</v>
      </c>
      <c r="J856">
        <v>3</v>
      </c>
      <c r="K856" s="4">
        <v>90</v>
      </c>
      <c r="L856" s="4">
        <v>64.3</v>
      </c>
      <c r="M856" s="4">
        <v>68.7</v>
      </c>
      <c r="N856">
        <v>0</v>
      </c>
      <c r="O856" t="s">
        <v>58</v>
      </c>
      <c r="P856" t="s">
        <v>79</v>
      </c>
      <c r="Q856" t="s">
        <v>71</v>
      </c>
      <c r="R856" t="s">
        <v>80</v>
      </c>
      <c r="S856" s="3">
        <v>7.93</v>
      </c>
      <c r="T856" s="5">
        <v>45550</v>
      </c>
      <c r="U856">
        <v>1</v>
      </c>
      <c r="V856">
        <v>2024</v>
      </c>
      <c r="X856">
        <f t="shared" si="39"/>
        <v>8.199914399999999</v>
      </c>
      <c r="Y856">
        <f t="shared" si="40"/>
        <v>7.9299143999999995</v>
      </c>
      <c r="Z856">
        <f t="shared" si="41"/>
        <v>64.299914399999992</v>
      </c>
    </row>
    <row r="857" spans="1:26" x14ac:dyDescent="0.3">
      <c r="A857" t="s">
        <v>947</v>
      </c>
      <c r="B857" t="s">
        <v>55</v>
      </c>
      <c r="C857" t="s">
        <v>89</v>
      </c>
      <c r="D857" t="s">
        <v>57</v>
      </c>
      <c r="E857">
        <v>21</v>
      </c>
      <c r="F857" s="3">
        <v>5.56</v>
      </c>
      <c r="G857" s="4">
        <v>82.7</v>
      </c>
      <c r="H857">
        <v>1</v>
      </c>
      <c r="I857">
        <v>2</v>
      </c>
      <c r="J857">
        <v>3</v>
      </c>
      <c r="K857" s="4">
        <v>52.6</v>
      </c>
      <c r="L857" s="4">
        <v>81.5</v>
      </c>
      <c r="M857" s="4">
        <v>69.5</v>
      </c>
      <c r="N857">
        <v>0</v>
      </c>
      <c r="O857" t="s">
        <v>64</v>
      </c>
      <c r="P857" t="s">
        <v>65</v>
      </c>
      <c r="S857" s="3">
        <v>0</v>
      </c>
      <c r="T857" s="5"/>
      <c r="U857">
        <v>0</v>
      </c>
      <c r="V857">
        <v>2024</v>
      </c>
      <c r="X857">
        <f t="shared" si="39"/>
        <v>5.5599143</v>
      </c>
      <c r="Y857">
        <f t="shared" si="40"/>
        <v>-8.5699999999999996E-5</v>
      </c>
      <c r="Z857">
        <f t="shared" si="41"/>
        <v>81.4999143</v>
      </c>
    </row>
    <row r="858" spans="1:26" x14ac:dyDescent="0.3">
      <c r="A858" t="s">
        <v>948</v>
      </c>
      <c r="B858" t="s">
        <v>67</v>
      </c>
      <c r="C858" t="s">
        <v>74</v>
      </c>
      <c r="D858" t="s">
        <v>69</v>
      </c>
      <c r="E858">
        <v>20</v>
      </c>
      <c r="F858" s="3">
        <v>8.24</v>
      </c>
      <c r="G858" s="4">
        <v>100</v>
      </c>
      <c r="H858">
        <v>2</v>
      </c>
      <c r="I858">
        <v>5</v>
      </c>
      <c r="J858">
        <v>5</v>
      </c>
      <c r="K858" s="4">
        <v>71.400000000000006</v>
      </c>
      <c r="L858" s="4">
        <v>95.6</v>
      </c>
      <c r="M858" s="4">
        <v>74.2</v>
      </c>
      <c r="N858">
        <v>0</v>
      </c>
      <c r="O858" t="s">
        <v>58</v>
      </c>
      <c r="P858" t="s">
        <v>104</v>
      </c>
      <c r="Q858" t="s">
        <v>105</v>
      </c>
      <c r="R858" t="s">
        <v>72</v>
      </c>
      <c r="S858" s="3">
        <v>17.34</v>
      </c>
      <c r="T858" s="5">
        <v>45183</v>
      </c>
      <c r="U858">
        <v>3</v>
      </c>
      <c r="V858">
        <v>2023</v>
      </c>
      <c r="X858">
        <f t="shared" si="39"/>
        <v>8.2399141999999994</v>
      </c>
      <c r="Y858">
        <f t="shared" si="40"/>
        <v>17.339914199999999</v>
      </c>
      <c r="Z858">
        <f t="shared" si="41"/>
        <v>95.599914200000001</v>
      </c>
    </row>
    <row r="859" spans="1:26" x14ac:dyDescent="0.3">
      <c r="A859" t="s">
        <v>949</v>
      </c>
      <c r="B859" t="s">
        <v>55</v>
      </c>
      <c r="C859" t="s">
        <v>84</v>
      </c>
      <c r="D859" t="s">
        <v>57</v>
      </c>
      <c r="E859">
        <v>23</v>
      </c>
      <c r="F859" s="3">
        <v>7.78</v>
      </c>
      <c r="G859" s="4">
        <v>88.7</v>
      </c>
      <c r="H859">
        <v>1</v>
      </c>
      <c r="I859">
        <v>2</v>
      </c>
      <c r="J859">
        <v>5</v>
      </c>
      <c r="K859" s="4">
        <v>58.3</v>
      </c>
      <c r="L859" s="4">
        <v>85.1</v>
      </c>
      <c r="M859" s="4">
        <v>72.099999999999994</v>
      </c>
      <c r="N859">
        <v>0</v>
      </c>
      <c r="O859" t="s">
        <v>58</v>
      </c>
      <c r="P859" t="s">
        <v>70</v>
      </c>
      <c r="Q859" t="s">
        <v>71</v>
      </c>
      <c r="R859" t="s">
        <v>61</v>
      </c>
      <c r="S859" s="3">
        <v>6.72</v>
      </c>
      <c r="T859" s="5">
        <v>45540</v>
      </c>
      <c r="U859">
        <v>2</v>
      </c>
      <c r="V859">
        <v>2024</v>
      </c>
      <c r="X859">
        <f t="shared" si="39"/>
        <v>7.7799141000000001</v>
      </c>
      <c r="Y859">
        <f t="shared" si="40"/>
        <v>6.7199140999999996</v>
      </c>
      <c r="Z859">
        <f t="shared" si="41"/>
        <v>85.099914099999992</v>
      </c>
    </row>
    <row r="860" spans="1:26" x14ac:dyDescent="0.3">
      <c r="A860" t="s">
        <v>950</v>
      </c>
      <c r="B860" t="s">
        <v>107</v>
      </c>
      <c r="C860" t="s">
        <v>56</v>
      </c>
      <c r="D860" t="s">
        <v>69</v>
      </c>
      <c r="E860">
        <v>20</v>
      </c>
      <c r="F860" s="3">
        <v>7.17</v>
      </c>
      <c r="G860" s="4">
        <v>62.4</v>
      </c>
      <c r="H860">
        <v>2</v>
      </c>
      <c r="I860">
        <v>5</v>
      </c>
      <c r="J860">
        <v>3</v>
      </c>
      <c r="K860" s="4">
        <v>49.7</v>
      </c>
      <c r="L860" s="4">
        <v>59.1</v>
      </c>
      <c r="M860" s="4">
        <v>79.900000000000006</v>
      </c>
      <c r="N860">
        <v>0</v>
      </c>
      <c r="O860" t="s">
        <v>58</v>
      </c>
      <c r="P860" t="s">
        <v>87</v>
      </c>
      <c r="Q860" t="s">
        <v>71</v>
      </c>
      <c r="R860" t="s">
        <v>109</v>
      </c>
      <c r="S860" s="3">
        <v>6.45</v>
      </c>
      <c r="T860" s="5">
        <v>44417</v>
      </c>
      <c r="U860">
        <v>1</v>
      </c>
      <c r="V860">
        <v>2021</v>
      </c>
      <c r="X860">
        <f t="shared" si="39"/>
        <v>7.1699140000000003</v>
      </c>
      <c r="Y860">
        <f t="shared" si="40"/>
        <v>6.4499140000000006</v>
      </c>
      <c r="Z860">
        <f t="shared" si="41"/>
        <v>59.099913999999998</v>
      </c>
    </row>
    <row r="861" spans="1:26" x14ac:dyDescent="0.3">
      <c r="A861" t="s">
        <v>951</v>
      </c>
      <c r="B861" t="s">
        <v>67</v>
      </c>
      <c r="C861" t="s">
        <v>74</v>
      </c>
      <c r="D861" t="s">
        <v>57</v>
      </c>
      <c r="E861">
        <v>23</v>
      </c>
      <c r="F861" s="3">
        <v>8.0299999999999994</v>
      </c>
      <c r="G861" s="4">
        <v>81.3</v>
      </c>
      <c r="H861">
        <v>2</v>
      </c>
      <c r="I861">
        <v>2</v>
      </c>
      <c r="J861">
        <v>2</v>
      </c>
      <c r="K861" s="4">
        <v>74.7</v>
      </c>
      <c r="L861" s="4">
        <v>46.9</v>
      </c>
      <c r="M861" s="4">
        <v>60.2</v>
      </c>
      <c r="N861">
        <v>0</v>
      </c>
      <c r="O861" t="s">
        <v>58</v>
      </c>
      <c r="P861" t="s">
        <v>90</v>
      </c>
      <c r="Q861" t="s">
        <v>60</v>
      </c>
      <c r="R861" t="s">
        <v>76</v>
      </c>
      <c r="S861" s="3">
        <v>7.47</v>
      </c>
      <c r="T861" s="5">
        <v>45235</v>
      </c>
      <c r="U861">
        <v>1</v>
      </c>
      <c r="V861">
        <v>2023</v>
      </c>
      <c r="X861">
        <f t="shared" si="39"/>
        <v>8.0299138999999986</v>
      </c>
      <c r="Y861">
        <f t="shared" si="40"/>
        <v>7.4699138999999999</v>
      </c>
      <c r="Z861">
        <f t="shared" si="41"/>
        <v>46.899913900000001</v>
      </c>
    </row>
    <row r="862" spans="1:26" x14ac:dyDescent="0.3">
      <c r="A862" t="s">
        <v>952</v>
      </c>
      <c r="B862" t="s">
        <v>107</v>
      </c>
      <c r="C862" t="s">
        <v>68</v>
      </c>
      <c r="D862" t="s">
        <v>69</v>
      </c>
      <c r="E862">
        <v>21</v>
      </c>
      <c r="F862" s="3">
        <v>8.4499999999999993</v>
      </c>
      <c r="G862" s="4">
        <v>89.4</v>
      </c>
      <c r="H862">
        <v>2</v>
      </c>
      <c r="I862">
        <v>1</v>
      </c>
      <c r="J862">
        <v>6</v>
      </c>
      <c r="K862" s="4">
        <v>70.8</v>
      </c>
      <c r="L862" s="4">
        <v>65.3</v>
      </c>
      <c r="M862" s="4">
        <v>99.1</v>
      </c>
      <c r="N862">
        <v>0</v>
      </c>
      <c r="O862" t="s">
        <v>58</v>
      </c>
      <c r="P862" t="s">
        <v>79</v>
      </c>
      <c r="Q862" t="s">
        <v>71</v>
      </c>
      <c r="R862" t="s">
        <v>72</v>
      </c>
      <c r="S862" s="3">
        <v>7.36</v>
      </c>
      <c r="T862" s="5">
        <v>44448</v>
      </c>
      <c r="U862">
        <v>1</v>
      </c>
      <c r="V862">
        <v>2021</v>
      </c>
      <c r="X862">
        <f t="shared" si="39"/>
        <v>8.4499137999999991</v>
      </c>
      <c r="Y862">
        <f t="shared" si="40"/>
        <v>7.3599138000000002</v>
      </c>
      <c r="Z862">
        <f t="shared" si="41"/>
        <v>65.299913799999999</v>
      </c>
    </row>
    <row r="863" spans="1:26" x14ac:dyDescent="0.3">
      <c r="A863" t="s">
        <v>953</v>
      </c>
      <c r="B863" t="s">
        <v>82</v>
      </c>
      <c r="C863" t="s">
        <v>68</v>
      </c>
      <c r="D863" t="s">
        <v>69</v>
      </c>
      <c r="E863">
        <v>23</v>
      </c>
      <c r="F863" s="3">
        <v>8.58</v>
      </c>
      <c r="G863" s="4">
        <v>78.3</v>
      </c>
      <c r="H863">
        <v>1</v>
      </c>
      <c r="I863">
        <v>2</v>
      </c>
      <c r="J863">
        <v>4</v>
      </c>
      <c r="K863" s="4">
        <v>70.400000000000006</v>
      </c>
      <c r="L863" s="4">
        <v>70.900000000000006</v>
      </c>
      <c r="M863" s="4">
        <v>74.3</v>
      </c>
      <c r="N863">
        <v>0</v>
      </c>
      <c r="O863" t="s">
        <v>58</v>
      </c>
      <c r="P863" t="s">
        <v>112</v>
      </c>
      <c r="Q863" t="s">
        <v>93</v>
      </c>
      <c r="R863" t="s">
        <v>61</v>
      </c>
      <c r="S863" s="3">
        <v>8.26</v>
      </c>
      <c r="T863" s="5">
        <v>44807</v>
      </c>
      <c r="U863">
        <v>1</v>
      </c>
      <c r="V863">
        <v>2022</v>
      </c>
      <c r="X863">
        <f t="shared" si="39"/>
        <v>8.5799137000000005</v>
      </c>
      <c r="Y863">
        <f t="shared" si="40"/>
        <v>8.2599137000000002</v>
      </c>
      <c r="Z863">
        <f t="shared" si="41"/>
        <v>70.899913699999999</v>
      </c>
    </row>
    <row r="864" spans="1:26" x14ac:dyDescent="0.3">
      <c r="A864" t="s">
        <v>954</v>
      </c>
      <c r="B864" t="s">
        <v>67</v>
      </c>
      <c r="C864" t="s">
        <v>89</v>
      </c>
      <c r="D864" t="s">
        <v>57</v>
      </c>
      <c r="E864">
        <v>23</v>
      </c>
      <c r="F864" s="3">
        <v>7.66</v>
      </c>
      <c r="G864" s="4">
        <v>77.900000000000006</v>
      </c>
      <c r="H864">
        <v>2</v>
      </c>
      <c r="I864">
        <v>5</v>
      </c>
      <c r="J864">
        <v>6</v>
      </c>
      <c r="K864" s="4">
        <v>61.4</v>
      </c>
      <c r="L864" s="4">
        <v>39</v>
      </c>
      <c r="M864" s="4">
        <v>85.7</v>
      </c>
      <c r="N864">
        <v>1</v>
      </c>
      <c r="O864" t="s">
        <v>58</v>
      </c>
      <c r="P864" t="s">
        <v>75</v>
      </c>
      <c r="Q864" t="s">
        <v>71</v>
      </c>
      <c r="R864" t="s">
        <v>85</v>
      </c>
      <c r="S864" s="3">
        <v>5.45</v>
      </c>
      <c r="T864" s="5">
        <v>45226</v>
      </c>
      <c r="U864">
        <v>2</v>
      </c>
      <c r="V864">
        <v>2023</v>
      </c>
      <c r="X864">
        <f t="shared" si="39"/>
        <v>7.6599136000000003</v>
      </c>
      <c r="Y864">
        <f t="shared" si="40"/>
        <v>5.4499136000000004</v>
      </c>
      <c r="Z864">
        <f t="shared" si="41"/>
        <v>38.999913599999999</v>
      </c>
    </row>
    <row r="865" spans="1:26" x14ac:dyDescent="0.3">
      <c r="A865" t="s">
        <v>955</v>
      </c>
      <c r="B865" t="s">
        <v>82</v>
      </c>
      <c r="C865" t="s">
        <v>78</v>
      </c>
      <c r="D865" t="s">
        <v>69</v>
      </c>
      <c r="E865">
        <v>23</v>
      </c>
      <c r="F865" s="3">
        <v>7.94</v>
      </c>
      <c r="G865" s="4">
        <v>78.3</v>
      </c>
      <c r="H865">
        <v>1</v>
      </c>
      <c r="I865">
        <v>1</v>
      </c>
      <c r="J865">
        <v>3</v>
      </c>
      <c r="K865" s="4">
        <v>100</v>
      </c>
      <c r="L865" s="4">
        <v>70.400000000000006</v>
      </c>
      <c r="M865" s="4">
        <v>79.8</v>
      </c>
      <c r="N865">
        <v>0</v>
      </c>
      <c r="O865" t="s">
        <v>58</v>
      </c>
      <c r="P865" t="s">
        <v>70</v>
      </c>
      <c r="Q865" t="s">
        <v>71</v>
      </c>
      <c r="R865" t="s">
        <v>72</v>
      </c>
      <c r="S865" s="3">
        <v>5.12</v>
      </c>
      <c r="T865" s="5">
        <v>44826</v>
      </c>
      <c r="U865">
        <v>2</v>
      </c>
      <c r="V865">
        <v>2022</v>
      </c>
      <c r="X865">
        <f t="shared" si="39"/>
        <v>7.9399135000000003</v>
      </c>
      <c r="Y865">
        <f t="shared" si="40"/>
        <v>5.1199135</v>
      </c>
      <c r="Z865">
        <f t="shared" si="41"/>
        <v>70.399913500000011</v>
      </c>
    </row>
    <row r="866" spans="1:26" x14ac:dyDescent="0.3">
      <c r="A866" t="s">
        <v>956</v>
      </c>
      <c r="B866" t="s">
        <v>67</v>
      </c>
      <c r="C866" t="s">
        <v>89</v>
      </c>
      <c r="D866" t="s">
        <v>57</v>
      </c>
      <c r="E866">
        <v>20</v>
      </c>
      <c r="F866" s="3">
        <v>7.91</v>
      </c>
      <c r="G866" s="4">
        <v>86.9</v>
      </c>
      <c r="H866">
        <v>3</v>
      </c>
      <c r="I866">
        <v>4</v>
      </c>
      <c r="J866">
        <v>4</v>
      </c>
      <c r="K866" s="4">
        <v>89.1</v>
      </c>
      <c r="L866" s="4">
        <v>57.6</v>
      </c>
      <c r="M866" s="4">
        <v>75.400000000000006</v>
      </c>
      <c r="N866">
        <v>0</v>
      </c>
      <c r="O866" t="s">
        <v>58</v>
      </c>
      <c r="P866" t="s">
        <v>70</v>
      </c>
      <c r="Q866" t="s">
        <v>71</v>
      </c>
      <c r="R866" t="s">
        <v>72</v>
      </c>
      <c r="S866" s="3">
        <v>5.93</v>
      </c>
      <c r="T866" s="5">
        <v>45247</v>
      </c>
      <c r="U866">
        <v>2</v>
      </c>
      <c r="V866">
        <v>2023</v>
      </c>
      <c r="X866">
        <f t="shared" si="39"/>
        <v>7.9099133999999998</v>
      </c>
      <c r="Y866">
        <f t="shared" si="40"/>
        <v>5.9299133999999993</v>
      </c>
      <c r="Z866">
        <f t="shared" si="41"/>
        <v>57.599913399999998</v>
      </c>
    </row>
    <row r="867" spans="1:26" x14ac:dyDescent="0.3">
      <c r="A867" t="s">
        <v>957</v>
      </c>
      <c r="B867" t="s">
        <v>63</v>
      </c>
      <c r="C867" t="s">
        <v>89</v>
      </c>
      <c r="D867" t="s">
        <v>57</v>
      </c>
      <c r="E867">
        <v>22</v>
      </c>
      <c r="F867" s="3">
        <v>8.76</v>
      </c>
      <c r="G867" s="4">
        <v>70.7</v>
      </c>
      <c r="H867">
        <v>2</v>
      </c>
      <c r="I867">
        <v>3</v>
      </c>
      <c r="J867">
        <v>4</v>
      </c>
      <c r="K867" s="4">
        <v>62.1</v>
      </c>
      <c r="L867" s="4">
        <v>68.2</v>
      </c>
      <c r="M867" s="4">
        <v>79.400000000000006</v>
      </c>
      <c r="N867">
        <v>2</v>
      </c>
      <c r="O867" t="s">
        <v>58</v>
      </c>
      <c r="P867" t="s">
        <v>75</v>
      </c>
      <c r="Q867" t="s">
        <v>71</v>
      </c>
      <c r="R867" t="s">
        <v>80</v>
      </c>
      <c r="S867" s="3">
        <v>7.34</v>
      </c>
      <c r="T867" s="5">
        <v>45914</v>
      </c>
      <c r="U867">
        <v>2</v>
      </c>
      <c r="V867">
        <v>2025</v>
      </c>
      <c r="X867">
        <f t="shared" si="39"/>
        <v>8.7599132999999991</v>
      </c>
      <c r="Y867">
        <f t="shared" si="40"/>
        <v>7.3399133000000001</v>
      </c>
      <c r="Z867">
        <f t="shared" si="41"/>
        <v>68.199913300000006</v>
      </c>
    </row>
    <row r="868" spans="1:26" x14ac:dyDescent="0.3">
      <c r="A868" t="s">
        <v>958</v>
      </c>
      <c r="B868" t="s">
        <v>55</v>
      </c>
      <c r="C868" t="s">
        <v>56</v>
      </c>
      <c r="D868" t="s">
        <v>57</v>
      </c>
      <c r="E868">
        <v>23</v>
      </c>
      <c r="F868" s="3">
        <v>7.99</v>
      </c>
      <c r="G868" s="4">
        <v>76.900000000000006</v>
      </c>
      <c r="H868">
        <v>1</v>
      </c>
      <c r="I868">
        <v>2</v>
      </c>
      <c r="J868">
        <v>5</v>
      </c>
      <c r="K868" s="4">
        <v>67.7</v>
      </c>
      <c r="L868" s="4">
        <v>65.3</v>
      </c>
      <c r="M868" s="4">
        <v>78.099999999999994</v>
      </c>
      <c r="N868">
        <v>0</v>
      </c>
      <c r="O868" t="s">
        <v>58</v>
      </c>
      <c r="P868" t="s">
        <v>79</v>
      </c>
      <c r="Q868" t="s">
        <v>71</v>
      </c>
      <c r="R868" t="s">
        <v>76</v>
      </c>
      <c r="S868" s="3">
        <v>6.25</v>
      </c>
      <c r="T868" s="5">
        <v>45601</v>
      </c>
      <c r="U868">
        <v>1</v>
      </c>
      <c r="V868">
        <v>2024</v>
      </c>
      <c r="X868">
        <f t="shared" si="39"/>
        <v>7.9899132000000002</v>
      </c>
      <c r="Y868">
        <f t="shared" si="40"/>
        <v>6.2499131999999999</v>
      </c>
      <c r="Z868">
        <f t="shared" si="41"/>
        <v>65.299913199999992</v>
      </c>
    </row>
    <row r="869" spans="1:26" x14ac:dyDescent="0.3">
      <c r="A869" t="s">
        <v>959</v>
      </c>
      <c r="B869" t="s">
        <v>63</v>
      </c>
      <c r="C869" t="s">
        <v>74</v>
      </c>
      <c r="D869" t="s">
        <v>69</v>
      </c>
      <c r="E869">
        <v>20</v>
      </c>
      <c r="F869" s="3">
        <v>8.23</v>
      </c>
      <c r="G869" s="4">
        <v>91.3</v>
      </c>
      <c r="H869">
        <v>3</v>
      </c>
      <c r="I869">
        <v>2</v>
      </c>
      <c r="J869">
        <v>6</v>
      </c>
      <c r="K869" s="4">
        <v>74.900000000000006</v>
      </c>
      <c r="L869" s="4">
        <v>66.900000000000006</v>
      </c>
      <c r="M869" s="4">
        <v>71.900000000000006</v>
      </c>
      <c r="N869">
        <v>1</v>
      </c>
      <c r="O869" t="s">
        <v>58</v>
      </c>
      <c r="P869" t="s">
        <v>79</v>
      </c>
      <c r="Q869" t="s">
        <v>71</v>
      </c>
      <c r="R869" t="s">
        <v>61</v>
      </c>
      <c r="S869" s="3">
        <v>6.11</v>
      </c>
      <c r="T869" s="5">
        <v>45902</v>
      </c>
      <c r="U869">
        <v>1</v>
      </c>
      <c r="V869">
        <v>2025</v>
      </c>
      <c r="X869">
        <f t="shared" si="39"/>
        <v>8.229913100000001</v>
      </c>
      <c r="Y869">
        <f t="shared" si="40"/>
        <v>6.1099131</v>
      </c>
      <c r="Z869">
        <f t="shared" si="41"/>
        <v>66.899913100000006</v>
      </c>
    </row>
    <row r="870" spans="1:26" x14ac:dyDescent="0.3">
      <c r="A870" t="s">
        <v>960</v>
      </c>
      <c r="B870" t="s">
        <v>82</v>
      </c>
      <c r="C870" t="s">
        <v>56</v>
      </c>
      <c r="D870" t="s">
        <v>69</v>
      </c>
      <c r="E870">
        <v>20</v>
      </c>
      <c r="F870" s="3">
        <v>8.4499999999999993</v>
      </c>
      <c r="G870" s="4">
        <v>77.599999999999994</v>
      </c>
      <c r="H870">
        <v>2</v>
      </c>
      <c r="I870">
        <v>2</v>
      </c>
      <c r="J870">
        <v>2</v>
      </c>
      <c r="K870" s="4">
        <v>82.4</v>
      </c>
      <c r="L870" s="4">
        <v>81.3</v>
      </c>
      <c r="M870" s="4">
        <v>100</v>
      </c>
      <c r="N870">
        <v>1</v>
      </c>
      <c r="O870" t="s">
        <v>58</v>
      </c>
      <c r="P870" t="s">
        <v>104</v>
      </c>
      <c r="Q870" t="s">
        <v>105</v>
      </c>
      <c r="R870" t="s">
        <v>80</v>
      </c>
      <c r="S870" s="3">
        <v>16.93</v>
      </c>
      <c r="T870" s="5">
        <v>44802</v>
      </c>
      <c r="U870">
        <v>2</v>
      </c>
      <c r="V870">
        <v>2022</v>
      </c>
      <c r="X870">
        <f t="shared" si="39"/>
        <v>8.4499129999999987</v>
      </c>
      <c r="Y870">
        <f t="shared" si="40"/>
        <v>16.929912999999999</v>
      </c>
      <c r="Z870">
        <f t="shared" si="41"/>
        <v>81.299913000000004</v>
      </c>
    </row>
    <row r="871" spans="1:26" x14ac:dyDescent="0.3">
      <c r="A871" t="s">
        <v>961</v>
      </c>
      <c r="B871" t="s">
        <v>55</v>
      </c>
      <c r="C871" t="s">
        <v>74</v>
      </c>
      <c r="D871" t="s">
        <v>57</v>
      </c>
      <c r="E871">
        <v>20</v>
      </c>
      <c r="F871" s="3">
        <v>9.41</v>
      </c>
      <c r="G871" s="4">
        <v>77.099999999999994</v>
      </c>
      <c r="H871">
        <v>2</v>
      </c>
      <c r="I871">
        <v>2</v>
      </c>
      <c r="J871">
        <v>4</v>
      </c>
      <c r="K871" s="4">
        <v>74.8</v>
      </c>
      <c r="L871" s="4">
        <v>55</v>
      </c>
      <c r="M871" s="4">
        <v>87.4</v>
      </c>
      <c r="N871">
        <v>0</v>
      </c>
      <c r="O871" t="s">
        <v>58</v>
      </c>
      <c r="P871" t="s">
        <v>87</v>
      </c>
      <c r="Q871" t="s">
        <v>71</v>
      </c>
      <c r="R871" t="s">
        <v>85</v>
      </c>
      <c r="S871" s="3">
        <v>6.53</v>
      </c>
      <c r="T871" s="5">
        <v>45542</v>
      </c>
      <c r="U871">
        <v>2</v>
      </c>
      <c r="V871">
        <v>2024</v>
      </c>
      <c r="X871">
        <f t="shared" si="39"/>
        <v>9.4099129000000001</v>
      </c>
      <c r="Y871">
        <f t="shared" si="40"/>
        <v>6.5299129000000002</v>
      </c>
      <c r="Z871">
        <f t="shared" si="41"/>
        <v>54.999912899999998</v>
      </c>
    </row>
    <row r="872" spans="1:26" x14ac:dyDescent="0.3">
      <c r="A872" t="s">
        <v>962</v>
      </c>
      <c r="B872" t="s">
        <v>67</v>
      </c>
      <c r="C872" t="s">
        <v>68</v>
      </c>
      <c r="D872" t="s">
        <v>57</v>
      </c>
      <c r="E872">
        <v>22</v>
      </c>
      <c r="F872" s="3">
        <v>7.12</v>
      </c>
      <c r="G872" s="4">
        <v>69.599999999999994</v>
      </c>
      <c r="H872">
        <v>1</v>
      </c>
      <c r="I872">
        <v>0</v>
      </c>
      <c r="J872">
        <v>3</v>
      </c>
      <c r="K872" s="4">
        <v>69.599999999999994</v>
      </c>
      <c r="L872" s="4">
        <v>42.6</v>
      </c>
      <c r="M872" s="4">
        <v>54.9</v>
      </c>
      <c r="N872">
        <v>0</v>
      </c>
      <c r="O872" t="s">
        <v>58</v>
      </c>
      <c r="P872" t="s">
        <v>87</v>
      </c>
      <c r="Q872" t="s">
        <v>71</v>
      </c>
      <c r="R872" t="s">
        <v>72</v>
      </c>
      <c r="S872" s="3">
        <v>4.1100000000000003</v>
      </c>
      <c r="T872" s="5">
        <v>45186</v>
      </c>
      <c r="U872">
        <v>2</v>
      </c>
      <c r="V872">
        <v>2023</v>
      </c>
      <c r="X872">
        <f t="shared" si="39"/>
        <v>7.1199127999999998</v>
      </c>
      <c r="Y872">
        <f t="shared" si="40"/>
        <v>4.1099128</v>
      </c>
      <c r="Z872">
        <f t="shared" si="41"/>
        <v>42.599912799999998</v>
      </c>
    </row>
    <row r="873" spans="1:26" x14ac:dyDescent="0.3">
      <c r="A873" t="s">
        <v>963</v>
      </c>
      <c r="B873" t="s">
        <v>55</v>
      </c>
      <c r="C873" t="s">
        <v>56</v>
      </c>
      <c r="D873" t="s">
        <v>69</v>
      </c>
      <c r="E873">
        <v>22</v>
      </c>
      <c r="F873" s="3">
        <v>9.11</v>
      </c>
      <c r="G873" s="4">
        <v>87.8</v>
      </c>
      <c r="H873">
        <v>3</v>
      </c>
      <c r="I873">
        <v>4</v>
      </c>
      <c r="J873">
        <v>5</v>
      </c>
      <c r="K873" s="4">
        <v>48.2</v>
      </c>
      <c r="L873" s="4">
        <v>82.4</v>
      </c>
      <c r="M873" s="4">
        <v>86.6</v>
      </c>
      <c r="N873">
        <v>0</v>
      </c>
      <c r="O873" t="s">
        <v>58</v>
      </c>
      <c r="P873" t="s">
        <v>95</v>
      </c>
      <c r="Q873" t="s">
        <v>93</v>
      </c>
      <c r="R873" t="s">
        <v>80</v>
      </c>
      <c r="S873" s="3">
        <v>7.91</v>
      </c>
      <c r="T873" s="5">
        <v>45617</v>
      </c>
      <c r="U873">
        <v>1</v>
      </c>
      <c r="V873">
        <v>2024</v>
      </c>
      <c r="X873">
        <f t="shared" si="39"/>
        <v>9.1099126999999989</v>
      </c>
      <c r="Y873">
        <f t="shared" si="40"/>
        <v>7.9099127000000005</v>
      </c>
      <c r="Z873">
        <f t="shared" si="41"/>
        <v>82.399912700000002</v>
      </c>
    </row>
    <row r="874" spans="1:26" x14ac:dyDescent="0.3">
      <c r="A874" t="s">
        <v>964</v>
      </c>
      <c r="B874" t="s">
        <v>107</v>
      </c>
      <c r="C874" t="s">
        <v>74</v>
      </c>
      <c r="D874" t="s">
        <v>57</v>
      </c>
      <c r="E874">
        <v>22</v>
      </c>
      <c r="F874" s="3">
        <v>9.8699999999999992</v>
      </c>
      <c r="G874" s="4">
        <v>85.8</v>
      </c>
      <c r="H874">
        <v>2</v>
      </c>
      <c r="I874">
        <v>2</v>
      </c>
      <c r="J874">
        <v>5</v>
      </c>
      <c r="K874" s="4">
        <v>95.5</v>
      </c>
      <c r="L874" s="4">
        <v>79.7</v>
      </c>
      <c r="M874" s="4">
        <v>74.8</v>
      </c>
      <c r="N874">
        <v>2</v>
      </c>
      <c r="O874" t="s">
        <v>58</v>
      </c>
      <c r="P874" t="s">
        <v>87</v>
      </c>
      <c r="Q874" t="s">
        <v>71</v>
      </c>
      <c r="R874" t="s">
        <v>80</v>
      </c>
      <c r="S874" s="3">
        <v>7.41</v>
      </c>
      <c r="T874" s="5">
        <v>44485</v>
      </c>
      <c r="U874">
        <v>3</v>
      </c>
      <c r="V874">
        <v>2021</v>
      </c>
      <c r="X874">
        <f t="shared" si="39"/>
        <v>9.8699125999999993</v>
      </c>
      <c r="Y874">
        <f t="shared" si="40"/>
        <v>7.4099126000000002</v>
      </c>
      <c r="Z874">
        <f t="shared" si="41"/>
        <v>79.699912600000005</v>
      </c>
    </row>
    <row r="875" spans="1:26" x14ac:dyDescent="0.3">
      <c r="A875" t="s">
        <v>965</v>
      </c>
      <c r="B875" t="s">
        <v>55</v>
      </c>
      <c r="C875" t="s">
        <v>56</v>
      </c>
      <c r="D875" t="s">
        <v>69</v>
      </c>
      <c r="E875">
        <v>22</v>
      </c>
      <c r="F875" s="3">
        <v>7.18</v>
      </c>
      <c r="G875" s="4">
        <v>90.8</v>
      </c>
      <c r="H875">
        <v>2</v>
      </c>
      <c r="I875">
        <v>4</v>
      </c>
      <c r="J875">
        <v>5</v>
      </c>
      <c r="K875" s="4">
        <v>59.2</v>
      </c>
      <c r="L875" s="4">
        <v>78.099999999999994</v>
      </c>
      <c r="M875" s="4">
        <v>93.6</v>
      </c>
      <c r="N875">
        <v>3</v>
      </c>
      <c r="O875" t="s">
        <v>58</v>
      </c>
      <c r="P875" t="s">
        <v>75</v>
      </c>
      <c r="Q875" t="s">
        <v>71</v>
      </c>
      <c r="R875" t="s">
        <v>76</v>
      </c>
      <c r="S875" s="3">
        <v>4.55</v>
      </c>
      <c r="T875" s="5">
        <v>45586</v>
      </c>
      <c r="U875">
        <v>1</v>
      </c>
      <c r="V875">
        <v>2024</v>
      </c>
      <c r="X875">
        <f t="shared" si="39"/>
        <v>7.1799124999999995</v>
      </c>
      <c r="Y875">
        <f t="shared" si="40"/>
        <v>4.5499124999999996</v>
      </c>
      <c r="Z875">
        <f t="shared" si="41"/>
        <v>78.099912499999988</v>
      </c>
    </row>
    <row r="876" spans="1:26" x14ac:dyDescent="0.3">
      <c r="A876" t="s">
        <v>966</v>
      </c>
      <c r="B876" t="s">
        <v>107</v>
      </c>
      <c r="C876" t="s">
        <v>84</v>
      </c>
      <c r="D876" t="s">
        <v>57</v>
      </c>
      <c r="E876">
        <v>21</v>
      </c>
      <c r="F876" s="3">
        <v>7.45</v>
      </c>
      <c r="G876" s="4">
        <v>81</v>
      </c>
      <c r="H876">
        <v>3</v>
      </c>
      <c r="I876">
        <v>2</v>
      </c>
      <c r="J876">
        <v>3</v>
      </c>
      <c r="K876" s="4">
        <v>82.9</v>
      </c>
      <c r="L876" s="4">
        <v>56.7</v>
      </c>
      <c r="M876" s="4">
        <v>70.099999999999994</v>
      </c>
      <c r="N876">
        <v>0</v>
      </c>
      <c r="O876" t="s">
        <v>58</v>
      </c>
      <c r="P876" t="s">
        <v>104</v>
      </c>
      <c r="Q876" t="s">
        <v>105</v>
      </c>
      <c r="R876" t="s">
        <v>130</v>
      </c>
      <c r="S876" s="3">
        <v>14.46</v>
      </c>
      <c r="T876" s="5">
        <v>44467</v>
      </c>
      <c r="U876">
        <v>1</v>
      </c>
      <c r="V876">
        <v>2021</v>
      </c>
      <c r="X876">
        <f t="shared" si="39"/>
        <v>7.4499124000000005</v>
      </c>
      <c r="Y876">
        <f t="shared" si="40"/>
        <v>14.4599124</v>
      </c>
      <c r="Z876">
        <f t="shared" si="41"/>
        <v>56.699912400000002</v>
      </c>
    </row>
    <row r="877" spans="1:26" x14ac:dyDescent="0.3">
      <c r="A877" t="s">
        <v>967</v>
      </c>
      <c r="B877" t="s">
        <v>55</v>
      </c>
      <c r="C877" t="s">
        <v>84</v>
      </c>
      <c r="D877" t="s">
        <v>69</v>
      </c>
      <c r="E877">
        <v>22</v>
      </c>
      <c r="F877" s="3">
        <v>7.26</v>
      </c>
      <c r="G877" s="4">
        <v>84.8</v>
      </c>
      <c r="H877">
        <v>0</v>
      </c>
      <c r="I877">
        <v>2</v>
      </c>
      <c r="J877">
        <v>2</v>
      </c>
      <c r="K877" s="4">
        <v>68.400000000000006</v>
      </c>
      <c r="L877" s="4">
        <v>79.2</v>
      </c>
      <c r="M877" s="4">
        <v>46</v>
      </c>
      <c r="N877">
        <v>0</v>
      </c>
      <c r="O877" t="s">
        <v>58</v>
      </c>
      <c r="P877" t="s">
        <v>90</v>
      </c>
      <c r="Q877" t="s">
        <v>60</v>
      </c>
      <c r="R877" t="s">
        <v>85</v>
      </c>
      <c r="S877" s="3">
        <v>7.97</v>
      </c>
      <c r="T877" s="5">
        <v>45566</v>
      </c>
      <c r="U877">
        <v>1</v>
      </c>
      <c r="V877">
        <v>2024</v>
      </c>
      <c r="X877">
        <f t="shared" si="39"/>
        <v>7.2599122999999999</v>
      </c>
      <c r="Y877">
        <f t="shared" si="40"/>
        <v>7.9699122999999998</v>
      </c>
      <c r="Z877">
        <f t="shared" si="41"/>
        <v>79.199912300000008</v>
      </c>
    </row>
    <row r="878" spans="1:26" x14ac:dyDescent="0.3">
      <c r="A878" t="s">
        <v>968</v>
      </c>
      <c r="B878" t="s">
        <v>107</v>
      </c>
      <c r="C878" t="s">
        <v>89</v>
      </c>
      <c r="D878" t="s">
        <v>69</v>
      </c>
      <c r="E878">
        <v>22</v>
      </c>
      <c r="F878" s="3">
        <v>8.24</v>
      </c>
      <c r="G878" s="4">
        <v>84.8</v>
      </c>
      <c r="H878">
        <v>0</v>
      </c>
      <c r="I878">
        <v>2</v>
      </c>
      <c r="J878">
        <v>1</v>
      </c>
      <c r="K878" s="4">
        <v>85.5</v>
      </c>
      <c r="L878" s="4">
        <v>50.8</v>
      </c>
      <c r="M878" s="4">
        <v>69.8</v>
      </c>
      <c r="N878">
        <v>0</v>
      </c>
      <c r="O878" t="s">
        <v>64</v>
      </c>
      <c r="P878" t="s">
        <v>65</v>
      </c>
      <c r="S878" s="3">
        <v>0</v>
      </c>
      <c r="T878" s="5"/>
      <c r="U878">
        <v>0</v>
      </c>
      <c r="V878">
        <v>2021</v>
      </c>
      <c r="X878">
        <f t="shared" si="39"/>
        <v>8.2399122000000009</v>
      </c>
      <c r="Y878">
        <f t="shared" si="40"/>
        <v>-8.7799999999999993E-5</v>
      </c>
      <c r="Z878">
        <f t="shared" si="41"/>
        <v>50.799912199999994</v>
      </c>
    </row>
    <row r="879" spans="1:26" x14ac:dyDescent="0.3">
      <c r="A879" t="s">
        <v>969</v>
      </c>
      <c r="B879" t="s">
        <v>82</v>
      </c>
      <c r="C879" t="s">
        <v>84</v>
      </c>
      <c r="D879" t="s">
        <v>69</v>
      </c>
      <c r="E879">
        <v>22</v>
      </c>
      <c r="F879" s="3">
        <v>5.97</v>
      </c>
      <c r="G879" s="4">
        <v>69.2</v>
      </c>
      <c r="H879">
        <v>1</v>
      </c>
      <c r="I879">
        <v>3</v>
      </c>
      <c r="J879">
        <v>3</v>
      </c>
      <c r="K879" s="4">
        <v>49.8</v>
      </c>
      <c r="L879" s="4">
        <v>65.5</v>
      </c>
      <c r="M879" s="4">
        <v>54.8</v>
      </c>
      <c r="N879">
        <v>0</v>
      </c>
      <c r="O879" t="s">
        <v>58</v>
      </c>
      <c r="P879" t="s">
        <v>75</v>
      </c>
      <c r="Q879" t="s">
        <v>71</v>
      </c>
      <c r="R879" t="s">
        <v>76</v>
      </c>
      <c r="S879" s="3">
        <v>4.26</v>
      </c>
      <c r="T879" s="5">
        <v>44820</v>
      </c>
      <c r="U879">
        <v>1</v>
      </c>
      <c r="V879">
        <v>2022</v>
      </c>
      <c r="X879">
        <f t="shared" si="39"/>
        <v>5.9699121000000002</v>
      </c>
      <c r="Y879">
        <f t="shared" si="40"/>
        <v>4.2599121000000002</v>
      </c>
      <c r="Z879">
        <f t="shared" si="41"/>
        <v>65.499912100000003</v>
      </c>
    </row>
    <row r="880" spans="1:26" x14ac:dyDescent="0.3">
      <c r="A880" t="s">
        <v>970</v>
      </c>
      <c r="B880" t="s">
        <v>63</v>
      </c>
      <c r="C880" t="s">
        <v>101</v>
      </c>
      <c r="D880" t="s">
        <v>69</v>
      </c>
      <c r="E880">
        <v>23</v>
      </c>
      <c r="F880" s="3">
        <v>7.2</v>
      </c>
      <c r="G880" s="4">
        <v>100</v>
      </c>
      <c r="H880">
        <v>0</v>
      </c>
      <c r="I880">
        <v>1</v>
      </c>
      <c r="J880">
        <v>3</v>
      </c>
      <c r="K880" s="4">
        <v>59.1</v>
      </c>
      <c r="L880" s="4">
        <v>92.8</v>
      </c>
      <c r="M880" s="4">
        <v>65.8</v>
      </c>
      <c r="N880">
        <v>3</v>
      </c>
      <c r="O880" t="s">
        <v>58</v>
      </c>
      <c r="P880" t="s">
        <v>92</v>
      </c>
      <c r="Q880" t="s">
        <v>93</v>
      </c>
      <c r="R880" t="s">
        <v>76</v>
      </c>
      <c r="S880" s="3">
        <v>8.5299999999999994</v>
      </c>
      <c r="T880" s="5">
        <v>45928</v>
      </c>
      <c r="U880">
        <v>1</v>
      </c>
      <c r="V880">
        <v>2025</v>
      </c>
      <c r="X880">
        <f t="shared" si="39"/>
        <v>7.1999120000000003</v>
      </c>
      <c r="Y880">
        <f t="shared" si="40"/>
        <v>8.5299119999999995</v>
      </c>
      <c r="Z880">
        <f t="shared" si="41"/>
        <v>92.799911999999992</v>
      </c>
    </row>
    <row r="881" spans="1:26" x14ac:dyDescent="0.3">
      <c r="A881" t="s">
        <v>971</v>
      </c>
      <c r="B881" t="s">
        <v>67</v>
      </c>
      <c r="C881" t="s">
        <v>89</v>
      </c>
      <c r="D881" t="s">
        <v>57</v>
      </c>
      <c r="E881">
        <v>23</v>
      </c>
      <c r="F881" s="3">
        <v>7.4</v>
      </c>
      <c r="G881" s="4">
        <v>90.8</v>
      </c>
      <c r="H881">
        <v>2</v>
      </c>
      <c r="I881">
        <v>4</v>
      </c>
      <c r="J881">
        <v>6</v>
      </c>
      <c r="K881" s="4">
        <v>66</v>
      </c>
      <c r="L881" s="4">
        <v>79</v>
      </c>
      <c r="M881" s="4">
        <v>67.2</v>
      </c>
      <c r="N881">
        <v>3</v>
      </c>
      <c r="O881" t="s">
        <v>58</v>
      </c>
      <c r="P881" t="s">
        <v>90</v>
      </c>
      <c r="Q881" t="s">
        <v>60</v>
      </c>
      <c r="R881" t="s">
        <v>76</v>
      </c>
      <c r="S881" s="3">
        <v>8.89</v>
      </c>
      <c r="T881" s="5">
        <v>45197</v>
      </c>
      <c r="U881">
        <v>1</v>
      </c>
      <c r="V881">
        <v>2023</v>
      </c>
      <c r="X881">
        <f t="shared" si="39"/>
        <v>7.3999119000000002</v>
      </c>
      <c r="Y881">
        <f t="shared" si="40"/>
        <v>8.8899119000000013</v>
      </c>
      <c r="Z881">
        <f t="shared" si="41"/>
        <v>78.999911900000001</v>
      </c>
    </row>
    <row r="882" spans="1:26" x14ac:dyDescent="0.3">
      <c r="A882" t="s">
        <v>972</v>
      </c>
      <c r="B882" t="s">
        <v>55</v>
      </c>
      <c r="C882" t="s">
        <v>56</v>
      </c>
      <c r="D882" t="s">
        <v>57</v>
      </c>
      <c r="E882">
        <v>22</v>
      </c>
      <c r="F882" s="3">
        <v>7.33</v>
      </c>
      <c r="G882" s="4">
        <v>82.7</v>
      </c>
      <c r="H882">
        <v>1</v>
      </c>
      <c r="I882">
        <v>2</v>
      </c>
      <c r="J882">
        <v>4</v>
      </c>
      <c r="K882" s="4">
        <v>55.2</v>
      </c>
      <c r="L882" s="4">
        <v>68.900000000000006</v>
      </c>
      <c r="M882" s="4">
        <v>78.5</v>
      </c>
      <c r="N882">
        <v>0</v>
      </c>
      <c r="O882" t="s">
        <v>58</v>
      </c>
      <c r="P882" t="s">
        <v>95</v>
      </c>
      <c r="Q882" t="s">
        <v>93</v>
      </c>
      <c r="R882" t="s">
        <v>130</v>
      </c>
      <c r="S882" s="3">
        <v>5.67</v>
      </c>
      <c r="T882" s="5">
        <v>45506</v>
      </c>
      <c r="U882">
        <v>1</v>
      </c>
      <c r="V882">
        <v>2024</v>
      </c>
      <c r="X882">
        <f t="shared" si="39"/>
        <v>7.3299117999999996</v>
      </c>
      <c r="Y882">
        <f t="shared" si="40"/>
        <v>5.6699117999999995</v>
      </c>
      <c r="Z882">
        <f t="shared" si="41"/>
        <v>68.899911800000012</v>
      </c>
    </row>
    <row r="883" spans="1:26" x14ac:dyDescent="0.3">
      <c r="A883" t="s">
        <v>973</v>
      </c>
      <c r="B883" t="s">
        <v>63</v>
      </c>
      <c r="C883" t="s">
        <v>78</v>
      </c>
      <c r="D883" t="s">
        <v>57</v>
      </c>
      <c r="E883">
        <v>21</v>
      </c>
      <c r="F883" s="3">
        <v>7.32</v>
      </c>
      <c r="G883" s="4">
        <v>80</v>
      </c>
      <c r="H883">
        <v>0</v>
      </c>
      <c r="I883">
        <v>4</v>
      </c>
      <c r="J883">
        <v>4</v>
      </c>
      <c r="K883" s="4">
        <v>60.5</v>
      </c>
      <c r="L883" s="4">
        <v>67.8</v>
      </c>
      <c r="M883" s="4">
        <v>77.099999999999994</v>
      </c>
      <c r="N883">
        <v>0</v>
      </c>
      <c r="O883" t="s">
        <v>58</v>
      </c>
      <c r="P883" t="s">
        <v>75</v>
      </c>
      <c r="Q883" t="s">
        <v>71</v>
      </c>
      <c r="R883" t="s">
        <v>130</v>
      </c>
      <c r="S883" s="3">
        <v>4.51</v>
      </c>
      <c r="T883" s="5">
        <v>45958</v>
      </c>
      <c r="U883">
        <v>1</v>
      </c>
      <c r="V883">
        <v>2025</v>
      </c>
      <c r="X883">
        <f t="shared" si="39"/>
        <v>7.3199117000000005</v>
      </c>
      <c r="Y883">
        <f t="shared" si="40"/>
        <v>4.5099117</v>
      </c>
      <c r="Z883">
        <f t="shared" si="41"/>
        <v>67.799911699999996</v>
      </c>
    </row>
    <row r="884" spans="1:26" x14ac:dyDescent="0.3">
      <c r="A884" t="s">
        <v>974</v>
      </c>
      <c r="B884" t="s">
        <v>67</v>
      </c>
      <c r="C884" t="s">
        <v>78</v>
      </c>
      <c r="D884" t="s">
        <v>69</v>
      </c>
      <c r="E884">
        <v>23</v>
      </c>
      <c r="F884" s="3">
        <v>7.21</v>
      </c>
      <c r="G884" s="4">
        <v>93.9</v>
      </c>
      <c r="H884">
        <v>1</v>
      </c>
      <c r="I884">
        <v>4</v>
      </c>
      <c r="J884">
        <v>5</v>
      </c>
      <c r="K884" s="4">
        <v>86.1</v>
      </c>
      <c r="L884" s="4">
        <v>53.5</v>
      </c>
      <c r="M884" s="4">
        <v>81.7</v>
      </c>
      <c r="N884">
        <v>0</v>
      </c>
      <c r="O884" t="s">
        <v>58</v>
      </c>
      <c r="P884" t="s">
        <v>95</v>
      </c>
      <c r="Q884" t="s">
        <v>93</v>
      </c>
      <c r="R884" t="s">
        <v>72</v>
      </c>
      <c r="S884" s="3">
        <v>5.78</v>
      </c>
      <c r="T884" s="5">
        <v>45198</v>
      </c>
      <c r="U884">
        <v>1</v>
      </c>
      <c r="V884">
        <v>2023</v>
      </c>
      <c r="X884">
        <f t="shared" si="39"/>
        <v>7.2099115999999999</v>
      </c>
      <c r="Y884">
        <f t="shared" si="40"/>
        <v>5.7799116000000001</v>
      </c>
      <c r="Z884">
        <f t="shared" si="41"/>
        <v>53.499911599999997</v>
      </c>
    </row>
    <row r="885" spans="1:26" x14ac:dyDescent="0.3">
      <c r="A885" t="s">
        <v>975</v>
      </c>
      <c r="B885" t="s">
        <v>67</v>
      </c>
      <c r="C885" t="s">
        <v>89</v>
      </c>
      <c r="D885" t="s">
        <v>69</v>
      </c>
      <c r="E885">
        <v>20</v>
      </c>
      <c r="F885" s="3">
        <v>8.35</v>
      </c>
      <c r="G885" s="4">
        <v>82.9</v>
      </c>
      <c r="H885">
        <v>1</v>
      </c>
      <c r="I885">
        <v>3</v>
      </c>
      <c r="J885">
        <v>5</v>
      </c>
      <c r="K885" s="4">
        <v>75.7</v>
      </c>
      <c r="L885" s="4">
        <v>94.3</v>
      </c>
      <c r="M885" s="4">
        <v>80.7</v>
      </c>
      <c r="N885">
        <v>0</v>
      </c>
      <c r="O885" t="s">
        <v>58</v>
      </c>
      <c r="P885" t="s">
        <v>59</v>
      </c>
      <c r="Q885" t="s">
        <v>60</v>
      </c>
      <c r="R885" t="s">
        <v>61</v>
      </c>
      <c r="S885" s="3">
        <v>21.49</v>
      </c>
      <c r="T885" s="5">
        <v>45144</v>
      </c>
      <c r="U885">
        <v>2</v>
      </c>
      <c r="V885">
        <v>2023</v>
      </c>
      <c r="X885">
        <f t="shared" si="39"/>
        <v>8.3499114999999993</v>
      </c>
      <c r="Y885">
        <f t="shared" si="40"/>
        <v>21.489911499999998</v>
      </c>
      <c r="Z885">
        <f t="shared" si="41"/>
        <v>94.299911499999993</v>
      </c>
    </row>
    <row r="886" spans="1:26" x14ac:dyDescent="0.3">
      <c r="A886" t="s">
        <v>976</v>
      </c>
      <c r="B886" t="s">
        <v>107</v>
      </c>
      <c r="C886" t="s">
        <v>78</v>
      </c>
      <c r="D886" t="s">
        <v>69</v>
      </c>
      <c r="E886">
        <v>23</v>
      </c>
      <c r="F886" s="3">
        <v>8.1300000000000008</v>
      </c>
      <c r="G886" s="4">
        <v>90.2</v>
      </c>
      <c r="H886">
        <v>0</v>
      </c>
      <c r="I886">
        <v>2</v>
      </c>
      <c r="J886">
        <v>4</v>
      </c>
      <c r="K886" s="4">
        <v>88.3</v>
      </c>
      <c r="L886" s="4">
        <v>85.2</v>
      </c>
      <c r="M886" s="4">
        <v>97.3</v>
      </c>
      <c r="N886">
        <v>2</v>
      </c>
      <c r="O886" t="s">
        <v>58</v>
      </c>
      <c r="P886" t="s">
        <v>92</v>
      </c>
      <c r="Q886" t="s">
        <v>93</v>
      </c>
      <c r="R886" t="s">
        <v>61</v>
      </c>
      <c r="S886" s="3">
        <v>8.49</v>
      </c>
      <c r="T886" s="5">
        <v>44433</v>
      </c>
      <c r="U886">
        <v>1</v>
      </c>
      <c r="V886">
        <v>2021</v>
      </c>
      <c r="X886">
        <f t="shared" si="39"/>
        <v>8.129911400000001</v>
      </c>
      <c r="Y886">
        <f t="shared" si="40"/>
        <v>8.4899114000000004</v>
      </c>
      <c r="Z886">
        <f t="shared" si="41"/>
        <v>85.199911400000005</v>
      </c>
    </row>
    <row r="887" spans="1:26" x14ac:dyDescent="0.3">
      <c r="A887" t="s">
        <v>977</v>
      </c>
      <c r="B887" t="s">
        <v>82</v>
      </c>
      <c r="C887" t="s">
        <v>68</v>
      </c>
      <c r="D887" t="s">
        <v>57</v>
      </c>
      <c r="E887">
        <v>20</v>
      </c>
      <c r="F887" s="3">
        <v>9.18</v>
      </c>
      <c r="G887" s="4">
        <v>76.8</v>
      </c>
      <c r="H887">
        <v>0</v>
      </c>
      <c r="I887">
        <v>2</v>
      </c>
      <c r="J887">
        <v>2</v>
      </c>
      <c r="K887" s="4">
        <v>68.900000000000006</v>
      </c>
      <c r="L887" s="4">
        <v>82</v>
      </c>
      <c r="M887" s="4">
        <v>74</v>
      </c>
      <c r="N887">
        <v>1</v>
      </c>
      <c r="O887" t="s">
        <v>58</v>
      </c>
      <c r="P887" t="s">
        <v>79</v>
      </c>
      <c r="Q887" t="s">
        <v>71</v>
      </c>
      <c r="R887" t="s">
        <v>85</v>
      </c>
      <c r="S887" s="3">
        <v>7.16</v>
      </c>
      <c r="T887" s="5">
        <v>44826</v>
      </c>
      <c r="U887">
        <v>2</v>
      </c>
      <c r="V887">
        <v>2022</v>
      </c>
      <c r="X887">
        <f t="shared" si="39"/>
        <v>9.1799113000000006</v>
      </c>
      <c r="Y887">
        <f t="shared" si="40"/>
        <v>7.1599113000000001</v>
      </c>
      <c r="Z887">
        <f t="shared" si="41"/>
        <v>81.999911299999994</v>
      </c>
    </row>
    <row r="888" spans="1:26" x14ac:dyDescent="0.3">
      <c r="A888" t="s">
        <v>978</v>
      </c>
      <c r="B888" t="s">
        <v>82</v>
      </c>
      <c r="C888" t="s">
        <v>78</v>
      </c>
      <c r="D888" t="s">
        <v>57</v>
      </c>
      <c r="E888">
        <v>23</v>
      </c>
      <c r="F888" s="3">
        <v>8.35</v>
      </c>
      <c r="G888" s="4">
        <v>74.099999999999994</v>
      </c>
      <c r="H888">
        <v>1</v>
      </c>
      <c r="I888">
        <v>3</v>
      </c>
      <c r="J888">
        <v>3</v>
      </c>
      <c r="K888" s="4">
        <v>65.8</v>
      </c>
      <c r="L888" s="4">
        <v>68.599999999999994</v>
      </c>
      <c r="M888" s="4">
        <v>80.2</v>
      </c>
      <c r="N888">
        <v>0</v>
      </c>
      <c r="O888" t="s">
        <v>58</v>
      </c>
      <c r="P888" t="s">
        <v>104</v>
      </c>
      <c r="Q888" t="s">
        <v>105</v>
      </c>
      <c r="R888" t="s">
        <v>109</v>
      </c>
      <c r="S888" s="3">
        <v>14.93</v>
      </c>
      <c r="T888" s="5">
        <v>44857</v>
      </c>
      <c r="U888">
        <v>1</v>
      </c>
      <c r="V888">
        <v>2022</v>
      </c>
      <c r="X888">
        <f t="shared" si="39"/>
        <v>8.3499111999999993</v>
      </c>
      <c r="Y888">
        <f t="shared" si="40"/>
        <v>14.929911199999999</v>
      </c>
      <c r="Z888">
        <f t="shared" si="41"/>
        <v>68.599911199999994</v>
      </c>
    </row>
    <row r="889" spans="1:26" x14ac:dyDescent="0.3">
      <c r="A889" t="s">
        <v>979</v>
      </c>
      <c r="B889" t="s">
        <v>63</v>
      </c>
      <c r="C889" t="s">
        <v>84</v>
      </c>
      <c r="D889" t="s">
        <v>57</v>
      </c>
      <c r="E889">
        <v>22</v>
      </c>
      <c r="F889" s="3">
        <v>6.66</v>
      </c>
      <c r="G889" s="4">
        <v>80.5</v>
      </c>
      <c r="H889">
        <v>2</v>
      </c>
      <c r="I889">
        <v>2</v>
      </c>
      <c r="J889">
        <v>3</v>
      </c>
      <c r="K889" s="4">
        <v>49.7</v>
      </c>
      <c r="L889" s="4">
        <v>64.5</v>
      </c>
      <c r="M889" s="4">
        <v>84.6</v>
      </c>
      <c r="N889">
        <v>0</v>
      </c>
      <c r="O889" t="s">
        <v>64</v>
      </c>
      <c r="P889" t="s">
        <v>65</v>
      </c>
      <c r="S889" s="3">
        <v>0</v>
      </c>
      <c r="T889" s="5"/>
      <c r="U889">
        <v>0</v>
      </c>
      <c r="V889">
        <v>2025</v>
      </c>
      <c r="X889">
        <f t="shared" si="39"/>
        <v>6.6599111000000004</v>
      </c>
      <c r="Y889">
        <f t="shared" si="40"/>
        <v>-8.8899999999999992E-5</v>
      </c>
      <c r="Z889">
        <f t="shared" si="41"/>
        <v>64.499911100000006</v>
      </c>
    </row>
    <row r="890" spans="1:26" x14ac:dyDescent="0.3">
      <c r="A890" t="s">
        <v>980</v>
      </c>
      <c r="B890" t="s">
        <v>82</v>
      </c>
      <c r="C890" t="s">
        <v>74</v>
      </c>
      <c r="D890" t="s">
        <v>69</v>
      </c>
      <c r="E890">
        <v>23</v>
      </c>
      <c r="F890" s="3">
        <v>7.5</v>
      </c>
      <c r="G890" s="4">
        <v>82.1</v>
      </c>
      <c r="H890">
        <v>2</v>
      </c>
      <c r="I890">
        <v>3</v>
      </c>
      <c r="J890">
        <v>5</v>
      </c>
      <c r="K890" s="4">
        <v>82.7</v>
      </c>
      <c r="L890" s="4">
        <v>58.6</v>
      </c>
      <c r="M890" s="4">
        <v>66.2</v>
      </c>
      <c r="N890">
        <v>3</v>
      </c>
      <c r="O890" t="s">
        <v>58</v>
      </c>
      <c r="P890" t="s">
        <v>104</v>
      </c>
      <c r="Q890" t="s">
        <v>105</v>
      </c>
      <c r="R890" t="s">
        <v>85</v>
      </c>
      <c r="S890" s="3">
        <v>17.21</v>
      </c>
      <c r="T890" s="5">
        <v>44887</v>
      </c>
      <c r="U890">
        <v>2</v>
      </c>
      <c r="V890">
        <v>2022</v>
      </c>
      <c r="X890">
        <f t="shared" si="39"/>
        <v>7.499911</v>
      </c>
      <c r="Y890">
        <f t="shared" si="40"/>
        <v>17.209911000000002</v>
      </c>
      <c r="Z890">
        <f t="shared" si="41"/>
        <v>58.599910999999999</v>
      </c>
    </row>
    <row r="891" spans="1:26" x14ac:dyDescent="0.3">
      <c r="A891" t="s">
        <v>981</v>
      </c>
      <c r="B891" t="s">
        <v>55</v>
      </c>
      <c r="C891" t="s">
        <v>78</v>
      </c>
      <c r="D891" t="s">
        <v>57</v>
      </c>
      <c r="E891">
        <v>22</v>
      </c>
      <c r="F891" s="3">
        <v>7.4</v>
      </c>
      <c r="G891" s="4">
        <v>85.8</v>
      </c>
      <c r="H891">
        <v>0</v>
      </c>
      <c r="I891">
        <v>3</v>
      </c>
      <c r="J891">
        <v>4</v>
      </c>
      <c r="K891" s="4">
        <v>65.7</v>
      </c>
      <c r="L891" s="4">
        <v>91.5</v>
      </c>
      <c r="M891" s="4">
        <v>58.8</v>
      </c>
      <c r="N891">
        <v>0</v>
      </c>
      <c r="O891" t="s">
        <v>58</v>
      </c>
      <c r="P891" t="s">
        <v>79</v>
      </c>
      <c r="Q891" t="s">
        <v>71</v>
      </c>
      <c r="R891" t="s">
        <v>130</v>
      </c>
      <c r="S891" s="3">
        <v>6.65</v>
      </c>
      <c r="T891" s="5">
        <v>45508</v>
      </c>
      <c r="U891">
        <v>1</v>
      </c>
      <c r="V891">
        <v>2024</v>
      </c>
      <c r="X891">
        <f t="shared" si="39"/>
        <v>7.3999109000000001</v>
      </c>
      <c r="Y891">
        <f t="shared" si="40"/>
        <v>6.6499109000000001</v>
      </c>
      <c r="Z891">
        <f t="shared" si="41"/>
        <v>91.499910900000003</v>
      </c>
    </row>
    <row r="892" spans="1:26" x14ac:dyDescent="0.3">
      <c r="A892" t="s">
        <v>982</v>
      </c>
      <c r="B892" t="s">
        <v>82</v>
      </c>
      <c r="C892" t="s">
        <v>68</v>
      </c>
      <c r="D892" t="s">
        <v>57</v>
      </c>
      <c r="E892">
        <v>22</v>
      </c>
      <c r="F892" s="3">
        <v>7.88</v>
      </c>
      <c r="G892" s="4">
        <v>95.2</v>
      </c>
      <c r="H892">
        <v>1</v>
      </c>
      <c r="I892">
        <v>2</v>
      </c>
      <c r="J892">
        <v>4</v>
      </c>
      <c r="K892" s="4">
        <v>70.7</v>
      </c>
      <c r="L892" s="4">
        <v>42.8</v>
      </c>
      <c r="M892" s="4">
        <v>78.400000000000006</v>
      </c>
      <c r="N892">
        <v>0</v>
      </c>
      <c r="O892" t="s">
        <v>58</v>
      </c>
      <c r="P892" t="s">
        <v>95</v>
      </c>
      <c r="Q892" t="s">
        <v>93</v>
      </c>
      <c r="R892" t="s">
        <v>130</v>
      </c>
      <c r="S892" s="3">
        <v>5.98</v>
      </c>
      <c r="T892" s="5">
        <v>44845</v>
      </c>
      <c r="U892">
        <v>2</v>
      </c>
      <c r="V892">
        <v>2022</v>
      </c>
      <c r="X892">
        <f t="shared" si="39"/>
        <v>7.8799108000000002</v>
      </c>
      <c r="Y892">
        <f t="shared" si="40"/>
        <v>5.9799108000000007</v>
      </c>
      <c r="Z892">
        <f t="shared" si="41"/>
        <v>42.799910799999999</v>
      </c>
    </row>
    <row r="893" spans="1:26" x14ac:dyDescent="0.3">
      <c r="A893" t="s">
        <v>983</v>
      </c>
      <c r="B893" t="s">
        <v>63</v>
      </c>
      <c r="C893" t="s">
        <v>78</v>
      </c>
      <c r="D893" t="s">
        <v>69</v>
      </c>
      <c r="E893">
        <v>23</v>
      </c>
      <c r="F893" s="3">
        <v>8.6300000000000008</v>
      </c>
      <c r="G893" s="4">
        <v>92</v>
      </c>
      <c r="H893">
        <v>1</v>
      </c>
      <c r="I893">
        <v>2</v>
      </c>
      <c r="J893">
        <v>5</v>
      </c>
      <c r="K893" s="4">
        <v>60.2</v>
      </c>
      <c r="L893" s="4">
        <v>78.5</v>
      </c>
      <c r="M893" s="4">
        <v>69.2</v>
      </c>
      <c r="N893">
        <v>0</v>
      </c>
      <c r="O893" t="s">
        <v>58</v>
      </c>
      <c r="P893" t="s">
        <v>104</v>
      </c>
      <c r="Q893" t="s">
        <v>105</v>
      </c>
      <c r="R893" t="s">
        <v>130</v>
      </c>
      <c r="S893" s="3">
        <v>16.59</v>
      </c>
      <c r="T893" s="5">
        <v>45967</v>
      </c>
      <c r="U893">
        <v>1</v>
      </c>
      <c r="V893">
        <v>2025</v>
      </c>
      <c r="X893">
        <f t="shared" si="39"/>
        <v>8.6299106999999999</v>
      </c>
      <c r="Y893">
        <f t="shared" si="40"/>
        <v>16.589910700000001</v>
      </c>
      <c r="Z893">
        <f t="shared" si="41"/>
        <v>78.499910700000001</v>
      </c>
    </row>
    <row r="894" spans="1:26" x14ac:dyDescent="0.3">
      <c r="A894" t="s">
        <v>984</v>
      </c>
      <c r="B894" t="s">
        <v>82</v>
      </c>
      <c r="C894" t="s">
        <v>78</v>
      </c>
      <c r="D894" t="s">
        <v>69</v>
      </c>
      <c r="E894">
        <v>20</v>
      </c>
      <c r="F894" s="3">
        <v>7.82</v>
      </c>
      <c r="G894" s="4">
        <v>93.9</v>
      </c>
      <c r="H894">
        <v>1</v>
      </c>
      <c r="I894">
        <v>1</v>
      </c>
      <c r="J894">
        <v>5</v>
      </c>
      <c r="K894" s="4">
        <v>100</v>
      </c>
      <c r="L894" s="4">
        <v>46.4</v>
      </c>
      <c r="M894" s="4">
        <v>83.4</v>
      </c>
      <c r="N894">
        <v>0</v>
      </c>
      <c r="O894" t="s">
        <v>58</v>
      </c>
      <c r="P894" t="s">
        <v>112</v>
      </c>
      <c r="Q894" t="s">
        <v>93</v>
      </c>
      <c r="R894" t="s">
        <v>72</v>
      </c>
      <c r="S894" s="3">
        <v>6.17</v>
      </c>
      <c r="T894" s="5">
        <v>44865</v>
      </c>
      <c r="U894">
        <v>2</v>
      </c>
      <c r="V894">
        <v>2022</v>
      </c>
      <c r="X894">
        <f t="shared" si="39"/>
        <v>7.8199106</v>
      </c>
      <c r="Y894">
        <f t="shared" si="40"/>
        <v>6.1699105999999997</v>
      </c>
      <c r="Z894">
        <f t="shared" si="41"/>
        <v>46.399910599999998</v>
      </c>
    </row>
    <row r="895" spans="1:26" x14ac:dyDescent="0.3">
      <c r="A895" t="s">
        <v>985</v>
      </c>
      <c r="B895" t="s">
        <v>55</v>
      </c>
      <c r="C895" t="s">
        <v>56</v>
      </c>
      <c r="D895" t="s">
        <v>57</v>
      </c>
      <c r="E895">
        <v>20</v>
      </c>
      <c r="F895" s="3">
        <v>7.82</v>
      </c>
      <c r="G895" s="4">
        <v>75.400000000000006</v>
      </c>
      <c r="H895">
        <v>3</v>
      </c>
      <c r="I895">
        <v>1</v>
      </c>
      <c r="J895">
        <v>6</v>
      </c>
      <c r="K895" s="4">
        <v>69.7</v>
      </c>
      <c r="L895" s="4">
        <v>67</v>
      </c>
      <c r="M895" s="4">
        <v>82.8</v>
      </c>
      <c r="N895">
        <v>0</v>
      </c>
      <c r="O895" t="s">
        <v>58</v>
      </c>
      <c r="P895" t="s">
        <v>59</v>
      </c>
      <c r="Q895" t="s">
        <v>60</v>
      </c>
      <c r="R895" t="s">
        <v>76</v>
      </c>
      <c r="S895" s="3">
        <v>19.93</v>
      </c>
      <c r="T895" s="5">
        <v>45560</v>
      </c>
      <c r="U895">
        <v>3</v>
      </c>
      <c r="V895">
        <v>2024</v>
      </c>
      <c r="X895">
        <f t="shared" si="39"/>
        <v>7.8199105000000007</v>
      </c>
      <c r="Y895">
        <f t="shared" si="40"/>
        <v>19.929910499999998</v>
      </c>
      <c r="Z895">
        <f t="shared" si="41"/>
        <v>66.999910499999999</v>
      </c>
    </row>
    <row r="896" spans="1:26" x14ac:dyDescent="0.3">
      <c r="A896" t="s">
        <v>986</v>
      </c>
      <c r="B896" t="s">
        <v>107</v>
      </c>
      <c r="C896" t="s">
        <v>89</v>
      </c>
      <c r="D896" t="s">
        <v>57</v>
      </c>
      <c r="E896">
        <v>23</v>
      </c>
      <c r="F896" s="3">
        <v>7.66</v>
      </c>
      <c r="G896" s="4">
        <v>79.3</v>
      </c>
      <c r="H896">
        <v>1</v>
      </c>
      <c r="I896">
        <v>4</v>
      </c>
      <c r="J896">
        <v>5</v>
      </c>
      <c r="K896" s="4">
        <v>58</v>
      </c>
      <c r="L896" s="4">
        <v>69.599999999999994</v>
      </c>
      <c r="M896" s="4">
        <v>85.9</v>
      </c>
      <c r="N896">
        <v>0</v>
      </c>
      <c r="O896" t="s">
        <v>58</v>
      </c>
      <c r="P896" t="s">
        <v>90</v>
      </c>
      <c r="Q896" t="s">
        <v>60</v>
      </c>
      <c r="R896" t="s">
        <v>130</v>
      </c>
      <c r="S896" s="3">
        <v>7.2</v>
      </c>
      <c r="T896" s="5">
        <v>44410</v>
      </c>
      <c r="U896">
        <v>1</v>
      </c>
      <c r="V896">
        <v>2021</v>
      </c>
      <c r="X896">
        <f t="shared" si="39"/>
        <v>7.6599104000000002</v>
      </c>
      <c r="Y896">
        <f t="shared" si="40"/>
        <v>7.1999104000000003</v>
      </c>
      <c r="Z896">
        <f t="shared" si="41"/>
        <v>69.599910399999999</v>
      </c>
    </row>
    <row r="897" spans="1:26" x14ac:dyDescent="0.3">
      <c r="A897" t="s">
        <v>987</v>
      </c>
      <c r="B897" t="s">
        <v>63</v>
      </c>
      <c r="C897" t="s">
        <v>56</v>
      </c>
      <c r="D897" t="s">
        <v>69</v>
      </c>
      <c r="E897">
        <v>22</v>
      </c>
      <c r="F897" s="3">
        <v>8.3800000000000008</v>
      </c>
      <c r="G897" s="4">
        <v>90.7</v>
      </c>
      <c r="H897">
        <v>1</v>
      </c>
      <c r="I897">
        <v>3</v>
      </c>
      <c r="J897">
        <v>2</v>
      </c>
      <c r="K897" s="4">
        <v>51.8</v>
      </c>
      <c r="L897" s="4">
        <v>50.8</v>
      </c>
      <c r="M897" s="4">
        <v>64.599999999999994</v>
      </c>
      <c r="N897">
        <v>0</v>
      </c>
      <c r="O897" t="s">
        <v>58</v>
      </c>
      <c r="P897" t="s">
        <v>59</v>
      </c>
      <c r="Q897" t="s">
        <v>60</v>
      </c>
      <c r="R897" t="s">
        <v>76</v>
      </c>
      <c r="S897" s="3">
        <v>19.09</v>
      </c>
      <c r="T897" s="5">
        <v>45886</v>
      </c>
      <c r="U897">
        <v>2</v>
      </c>
      <c r="V897">
        <v>2025</v>
      </c>
      <c r="X897">
        <f t="shared" si="39"/>
        <v>8.3799103000000006</v>
      </c>
      <c r="Y897">
        <f t="shared" si="40"/>
        <v>19.0899103</v>
      </c>
      <c r="Z897">
        <f t="shared" si="41"/>
        <v>50.799910300000001</v>
      </c>
    </row>
    <row r="898" spans="1:26" x14ac:dyDescent="0.3">
      <c r="A898" t="s">
        <v>988</v>
      </c>
      <c r="B898" t="s">
        <v>107</v>
      </c>
      <c r="C898" t="s">
        <v>78</v>
      </c>
      <c r="D898" t="s">
        <v>57</v>
      </c>
      <c r="E898">
        <v>20</v>
      </c>
      <c r="F898" s="3">
        <v>7.14</v>
      </c>
      <c r="G898" s="4">
        <v>92.9</v>
      </c>
      <c r="H898">
        <v>1</v>
      </c>
      <c r="I898">
        <v>0</v>
      </c>
      <c r="J898">
        <v>2</v>
      </c>
      <c r="K898" s="4">
        <v>75.400000000000006</v>
      </c>
      <c r="L898" s="4">
        <v>57.2</v>
      </c>
      <c r="M898" s="4">
        <v>67.099999999999994</v>
      </c>
      <c r="N898">
        <v>0</v>
      </c>
      <c r="O898" t="s">
        <v>58</v>
      </c>
      <c r="P898" t="s">
        <v>75</v>
      </c>
      <c r="Q898" t="s">
        <v>71</v>
      </c>
      <c r="R898" t="s">
        <v>76</v>
      </c>
      <c r="S898" s="3">
        <v>4.9800000000000004</v>
      </c>
      <c r="T898" s="5">
        <v>44476</v>
      </c>
      <c r="U898">
        <v>1</v>
      </c>
      <c r="V898">
        <v>2021</v>
      </c>
      <c r="X898">
        <f t="shared" ref="X898:X961" si="42">F898-ROW()*0.0000001</f>
        <v>7.1399102000000001</v>
      </c>
      <c r="Y898">
        <f t="shared" ref="Y898:Y961" si="43">S898-ROW()*0.0000001</f>
        <v>4.9799102000000008</v>
      </c>
      <c r="Z898">
        <f t="shared" ref="Z898:Z961" si="44">L898-ROW()*0.0000001</f>
        <v>57.199910200000005</v>
      </c>
    </row>
    <row r="899" spans="1:26" x14ac:dyDescent="0.3">
      <c r="A899" t="s">
        <v>989</v>
      </c>
      <c r="B899" t="s">
        <v>107</v>
      </c>
      <c r="C899" t="s">
        <v>68</v>
      </c>
      <c r="D899" t="s">
        <v>69</v>
      </c>
      <c r="E899">
        <v>21</v>
      </c>
      <c r="F899" s="3">
        <v>6.34</v>
      </c>
      <c r="G899" s="4">
        <v>88.7</v>
      </c>
      <c r="H899">
        <v>3</v>
      </c>
      <c r="I899">
        <v>4</v>
      </c>
      <c r="J899">
        <v>3</v>
      </c>
      <c r="K899" s="4">
        <v>57.5</v>
      </c>
      <c r="L899" s="4">
        <v>80.900000000000006</v>
      </c>
      <c r="M899" s="4">
        <v>75.3</v>
      </c>
      <c r="N899">
        <v>1</v>
      </c>
      <c r="O899" t="s">
        <v>58</v>
      </c>
      <c r="P899" t="s">
        <v>90</v>
      </c>
      <c r="Q899" t="s">
        <v>60</v>
      </c>
      <c r="R899" t="s">
        <v>85</v>
      </c>
      <c r="S899" s="3">
        <v>8.52</v>
      </c>
      <c r="T899" s="5">
        <v>44527</v>
      </c>
      <c r="U899">
        <v>2</v>
      </c>
      <c r="V899">
        <v>2021</v>
      </c>
      <c r="X899">
        <f t="shared" si="42"/>
        <v>6.3399101</v>
      </c>
      <c r="Y899">
        <f t="shared" si="43"/>
        <v>8.5199100999999988</v>
      </c>
      <c r="Z899">
        <f t="shared" si="44"/>
        <v>80.8999101</v>
      </c>
    </row>
    <row r="900" spans="1:26" x14ac:dyDescent="0.3">
      <c r="A900" t="s">
        <v>990</v>
      </c>
      <c r="B900" t="s">
        <v>107</v>
      </c>
      <c r="C900" t="s">
        <v>78</v>
      </c>
      <c r="D900" t="s">
        <v>57</v>
      </c>
      <c r="E900">
        <v>22</v>
      </c>
      <c r="F900" s="3">
        <v>8.23</v>
      </c>
      <c r="G900" s="4">
        <v>76.900000000000006</v>
      </c>
      <c r="H900">
        <v>1</v>
      </c>
      <c r="I900">
        <v>0</v>
      </c>
      <c r="J900">
        <v>4</v>
      </c>
      <c r="K900" s="4">
        <v>61.7</v>
      </c>
      <c r="L900" s="4">
        <v>92.2</v>
      </c>
      <c r="M900" s="4">
        <v>71.900000000000006</v>
      </c>
      <c r="N900">
        <v>0</v>
      </c>
      <c r="O900" t="s">
        <v>58</v>
      </c>
      <c r="P900" t="s">
        <v>90</v>
      </c>
      <c r="Q900" t="s">
        <v>60</v>
      </c>
      <c r="R900" t="s">
        <v>72</v>
      </c>
      <c r="S900" s="3">
        <v>9.6300000000000008</v>
      </c>
      <c r="T900" s="5">
        <v>44456</v>
      </c>
      <c r="U900">
        <v>1</v>
      </c>
      <c r="V900">
        <v>2021</v>
      </c>
      <c r="X900">
        <f t="shared" si="42"/>
        <v>8.2299100000000003</v>
      </c>
      <c r="Y900">
        <f t="shared" si="43"/>
        <v>9.6299100000000006</v>
      </c>
      <c r="Z900">
        <f t="shared" si="44"/>
        <v>92.199910000000003</v>
      </c>
    </row>
    <row r="901" spans="1:26" x14ac:dyDescent="0.3">
      <c r="A901" t="s">
        <v>991</v>
      </c>
      <c r="B901" t="s">
        <v>67</v>
      </c>
      <c r="C901" t="s">
        <v>56</v>
      </c>
      <c r="D901" t="s">
        <v>69</v>
      </c>
      <c r="E901">
        <v>23</v>
      </c>
      <c r="F901" s="3">
        <v>7.99</v>
      </c>
      <c r="G901" s="4">
        <v>72.599999999999994</v>
      </c>
      <c r="H901">
        <v>1</v>
      </c>
      <c r="I901">
        <v>2</v>
      </c>
      <c r="J901">
        <v>4</v>
      </c>
      <c r="K901" s="4">
        <v>46.6</v>
      </c>
      <c r="L901" s="4">
        <v>74.7</v>
      </c>
      <c r="M901" s="4">
        <v>79.5</v>
      </c>
      <c r="N901">
        <v>0</v>
      </c>
      <c r="O901" t="s">
        <v>58</v>
      </c>
      <c r="P901" t="s">
        <v>92</v>
      </c>
      <c r="Q901" t="s">
        <v>93</v>
      </c>
      <c r="R901" t="s">
        <v>80</v>
      </c>
      <c r="S901" s="3">
        <v>9.6</v>
      </c>
      <c r="T901" s="5">
        <v>45236</v>
      </c>
      <c r="U901">
        <v>2</v>
      </c>
      <c r="V901">
        <v>2023</v>
      </c>
      <c r="X901">
        <f t="shared" si="42"/>
        <v>7.9899098999999998</v>
      </c>
      <c r="Y901">
        <f t="shared" si="43"/>
        <v>9.5999099000000001</v>
      </c>
      <c r="Z901">
        <f t="shared" si="44"/>
        <v>74.699909900000009</v>
      </c>
    </row>
    <row r="902" spans="1:26" x14ac:dyDescent="0.3">
      <c r="A902" t="s">
        <v>992</v>
      </c>
      <c r="B902" t="s">
        <v>67</v>
      </c>
      <c r="C902" t="s">
        <v>89</v>
      </c>
      <c r="D902" t="s">
        <v>57</v>
      </c>
      <c r="E902">
        <v>22</v>
      </c>
      <c r="F902" s="3">
        <v>8.84</v>
      </c>
      <c r="G902" s="4">
        <v>84.1</v>
      </c>
      <c r="H902">
        <v>1</v>
      </c>
      <c r="I902">
        <v>0</v>
      </c>
      <c r="J902">
        <v>3</v>
      </c>
      <c r="K902" s="4">
        <v>68.900000000000006</v>
      </c>
      <c r="L902" s="4">
        <v>59.7</v>
      </c>
      <c r="M902" s="4">
        <v>90.3</v>
      </c>
      <c r="N902">
        <v>0</v>
      </c>
      <c r="O902" t="s">
        <v>58</v>
      </c>
      <c r="P902" t="s">
        <v>95</v>
      </c>
      <c r="Q902" t="s">
        <v>93</v>
      </c>
      <c r="R902" t="s">
        <v>61</v>
      </c>
      <c r="S902" s="3">
        <v>7.26</v>
      </c>
      <c r="T902" s="5">
        <v>45165</v>
      </c>
      <c r="U902">
        <v>1</v>
      </c>
      <c r="V902">
        <v>2023</v>
      </c>
      <c r="X902">
        <f t="shared" si="42"/>
        <v>8.8399097999999992</v>
      </c>
      <c r="Y902">
        <f t="shared" si="43"/>
        <v>7.2599098</v>
      </c>
      <c r="Z902">
        <f t="shared" si="44"/>
        <v>59.6999098</v>
      </c>
    </row>
    <row r="903" spans="1:26" x14ac:dyDescent="0.3">
      <c r="A903" t="s">
        <v>993</v>
      </c>
      <c r="B903" t="s">
        <v>107</v>
      </c>
      <c r="C903" t="s">
        <v>74</v>
      </c>
      <c r="D903" t="s">
        <v>57</v>
      </c>
      <c r="E903">
        <v>21</v>
      </c>
      <c r="F903" s="3">
        <v>5.46</v>
      </c>
      <c r="G903" s="4">
        <v>74</v>
      </c>
      <c r="H903">
        <v>1</v>
      </c>
      <c r="I903">
        <v>5</v>
      </c>
      <c r="J903">
        <v>5</v>
      </c>
      <c r="K903" s="4">
        <v>68.8</v>
      </c>
      <c r="L903" s="4">
        <v>55.5</v>
      </c>
      <c r="M903" s="4">
        <v>72.8</v>
      </c>
      <c r="N903">
        <v>0</v>
      </c>
      <c r="O903" t="s">
        <v>64</v>
      </c>
      <c r="P903" t="s">
        <v>65</v>
      </c>
      <c r="S903" s="3">
        <v>0</v>
      </c>
      <c r="T903" s="5"/>
      <c r="U903">
        <v>0</v>
      </c>
      <c r="V903">
        <v>2021</v>
      </c>
      <c r="X903">
        <f t="shared" si="42"/>
        <v>5.4599096999999999</v>
      </c>
      <c r="Y903">
        <f t="shared" si="43"/>
        <v>-9.0299999999999999E-5</v>
      </c>
      <c r="Z903">
        <f t="shared" si="44"/>
        <v>55.499909700000003</v>
      </c>
    </row>
    <row r="904" spans="1:26" x14ac:dyDescent="0.3">
      <c r="A904" t="s">
        <v>994</v>
      </c>
      <c r="B904" t="s">
        <v>63</v>
      </c>
      <c r="C904" t="s">
        <v>101</v>
      </c>
      <c r="D904" t="s">
        <v>69</v>
      </c>
      <c r="E904">
        <v>21</v>
      </c>
      <c r="F904" s="3">
        <v>7.56</v>
      </c>
      <c r="G904" s="4">
        <v>86.1</v>
      </c>
      <c r="H904">
        <v>2</v>
      </c>
      <c r="I904">
        <v>5</v>
      </c>
      <c r="J904">
        <v>3</v>
      </c>
      <c r="K904" s="4">
        <v>94</v>
      </c>
      <c r="L904" s="4">
        <v>58.9</v>
      </c>
      <c r="M904" s="4">
        <v>57.7</v>
      </c>
      <c r="N904">
        <v>1</v>
      </c>
      <c r="O904" t="s">
        <v>58</v>
      </c>
      <c r="P904" t="s">
        <v>75</v>
      </c>
      <c r="Q904" t="s">
        <v>71</v>
      </c>
      <c r="R904" t="s">
        <v>61</v>
      </c>
      <c r="S904" s="3">
        <v>6.18</v>
      </c>
      <c r="T904" s="5">
        <v>45961</v>
      </c>
      <c r="U904">
        <v>1</v>
      </c>
      <c r="V904">
        <v>2025</v>
      </c>
      <c r="X904">
        <f t="shared" si="42"/>
        <v>7.5599095999999992</v>
      </c>
      <c r="Y904">
        <f t="shared" si="43"/>
        <v>6.1799095999999993</v>
      </c>
      <c r="Z904">
        <f t="shared" si="44"/>
        <v>58.899909600000001</v>
      </c>
    </row>
    <row r="905" spans="1:26" x14ac:dyDescent="0.3">
      <c r="A905" t="s">
        <v>995</v>
      </c>
      <c r="B905" t="s">
        <v>55</v>
      </c>
      <c r="C905" t="s">
        <v>84</v>
      </c>
      <c r="D905" t="s">
        <v>69</v>
      </c>
      <c r="E905">
        <v>20</v>
      </c>
      <c r="F905" s="3">
        <v>7.75</v>
      </c>
      <c r="G905" s="4">
        <v>93.3</v>
      </c>
      <c r="H905">
        <v>0</v>
      </c>
      <c r="I905">
        <v>2</v>
      </c>
      <c r="J905">
        <v>6</v>
      </c>
      <c r="K905" s="4">
        <v>60.5</v>
      </c>
      <c r="L905" s="4">
        <v>69.7</v>
      </c>
      <c r="M905" s="4">
        <v>50.6</v>
      </c>
      <c r="N905">
        <v>0</v>
      </c>
      <c r="O905" t="s">
        <v>58</v>
      </c>
      <c r="P905" t="s">
        <v>70</v>
      </c>
      <c r="Q905" t="s">
        <v>71</v>
      </c>
      <c r="R905" t="s">
        <v>72</v>
      </c>
      <c r="S905" s="3">
        <v>4.7300000000000004</v>
      </c>
      <c r="T905" s="5">
        <v>45606</v>
      </c>
      <c r="U905">
        <v>3</v>
      </c>
      <c r="V905">
        <v>2024</v>
      </c>
      <c r="X905">
        <f t="shared" si="42"/>
        <v>7.7499095000000002</v>
      </c>
      <c r="Y905">
        <f t="shared" si="43"/>
        <v>4.7299095000000007</v>
      </c>
      <c r="Z905">
        <f t="shared" si="44"/>
        <v>69.699909500000004</v>
      </c>
    </row>
    <row r="906" spans="1:26" x14ac:dyDescent="0.3">
      <c r="A906" t="s">
        <v>996</v>
      </c>
      <c r="B906" t="s">
        <v>55</v>
      </c>
      <c r="C906" t="s">
        <v>84</v>
      </c>
      <c r="D906" t="s">
        <v>57</v>
      </c>
      <c r="E906">
        <v>21</v>
      </c>
      <c r="F906" s="3">
        <v>6.29</v>
      </c>
      <c r="G906" s="4">
        <v>83.7</v>
      </c>
      <c r="H906">
        <v>2</v>
      </c>
      <c r="I906">
        <v>1</v>
      </c>
      <c r="J906">
        <v>3</v>
      </c>
      <c r="K906" s="4">
        <v>37.200000000000003</v>
      </c>
      <c r="L906" s="4">
        <v>73.900000000000006</v>
      </c>
      <c r="M906" s="4">
        <v>58.5</v>
      </c>
      <c r="N906">
        <v>0</v>
      </c>
      <c r="O906" t="s">
        <v>58</v>
      </c>
      <c r="P906" t="s">
        <v>79</v>
      </c>
      <c r="Q906" t="s">
        <v>71</v>
      </c>
      <c r="R906" t="s">
        <v>85</v>
      </c>
      <c r="S906" s="3">
        <v>4.4000000000000004</v>
      </c>
      <c r="T906" s="5">
        <v>45538</v>
      </c>
      <c r="U906">
        <v>1</v>
      </c>
      <c r="V906">
        <v>2024</v>
      </c>
      <c r="X906">
        <f t="shared" si="42"/>
        <v>6.2899094</v>
      </c>
      <c r="Y906">
        <f t="shared" si="43"/>
        <v>4.3999094000000003</v>
      </c>
      <c r="Z906">
        <f t="shared" si="44"/>
        <v>73.899909400000013</v>
      </c>
    </row>
    <row r="907" spans="1:26" x14ac:dyDescent="0.3">
      <c r="A907" t="s">
        <v>997</v>
      </c>
      <c r="B907" t="s">
        <v>82</v>
      </c>
      <c r="C907" t="s">
        <v>101</v>
      </c>
      <c r="D907" t="s">
        <v>69</v>
      </c>
      <c r="E907">
        <v>22</v>
      </c>
      <c r="F907" s="3">
        <v>7.57</v>
      </c>
      <c r="G907" s="4">
        <v>70.2</v>
      </c>
      <c r="H907">
        <v>1</v>
      </c>
      <c r="I907">
        <v>2</v>
      </c>
      <c r="J907">
        <v>1</v>
      </c>
      <c r="K907" s="4">
        <v>64.900000000000006</v>
      </c>
      <c r="L907" s="4">
        <v>88.4</v>
      </c>
      <c r="M907" s="4">
        <v>58.1</v>
      </c>
      <c r="N907">
        <v>0</v>
      </c>
      <c r="O907" t="s">
        <v>58</v>
      </c>
      <c r="P907" t="s">
        <v>104</v>
      </c>
      <c r="Q907" t="s">
        <v>105</v>
      </c>
      <c r="R907" t="s">
        <v>85</v>
      </c>
      <c r="S907" s="3">
        <v>15.42</v>
      </c>
      <c r="T907" s="5">
        <v>44869</v>
      </c>
      <c r="U907">
        <v>1</v>
      </c>
      <c r="V907">
        <v>2022</v>
      </c>
      <c r="X907">
        <f t="shared" si="42"/>
        <v>7.5699093</v>
      </c>
      <c r="Y907">
        <f t="shared" si="43"/>
        <v>15.4199093</v>
      </c>
      <c r="Z907">
        <f t="shared" si="44"/>
        <v>88.399909300000004</v>
      </c>
    </row>
    <row r="908" spans="1:26" x14ac:dyDescent="0.3">
      <c r="A908" t="s">
        <v>998</v>
      </c>
      <c r="B908" t="s">
        <v>63</v>
      </c>
      <c r="C908" t="s">
        <v>78</v>
      </c>
      <c r="D908" t="s">
        <v>57</v>
      </c>
      <c r="E908">
        <v>20</v>
      </c>
      <c r="F908" s="3">
        <v>8.7200000000000006</v>
      </c>
      <c r="G908" s="4">
        <v>77.400000000000006</v>
      </c>
      <c r="H908">
        <v>0</v>
      </c>
      <c r="I908">
        <v>3</v>
      </c>
      <c r="J908">
        <v>2</v>
      </c>
      <c r="K908" s="4">
        <v>86.2</v>
      </c>
      <c r="L908" s="4">
        <v>68.900000000000006</v>
      </c>
      <c r="M908" s="4">
        <v>82</v>
      </c>
      <c r="N908">
        <v>1</v>
      </c>
      <c r="O908" t="s">
        <v>58</v>
      </c>
      <c r="P908" t="s">
        <v>79</v>
      </c>
      <c r="Q908" t="s">
        <v>71</v>
      </c>
      <c r="R908" t="s">
        <v>130</v>
      </c>
      <c r="S908" s="3">
        <v>6.32</v>
      </c>
      <c r="T908" s="5">
        <v>45910</v>
      </c>
      <c r="U908">
        <v>2</v>
      </c>
      <c r="V908">
        <v>2025</v>
      </c>
      <c r="X908">
        <f t="shared" si="42"/>
        <v>8.7199092</v>
      </c>
      <c r="Y908">
        <f t="shared" si="43"/>
        <v>6.3199092000000006</v>
      </c>
      <c r="Z908">
        <f t="shared" si="44"/>
        <v>68.89990920000001</v>
      </c>
    </row>
    <row r="909" spans="1:26" x14ac:dyDescent="0.3">
      <c r="A909" t="s">
        <v>999</v>
      </c>
      <c r="B909" t="s">
        <v>67</v>
      </c>
      <c r="C909" t="s">
        <v>56</v>
      </c>
      <c r="D909" t="s">
        <v>69</v>
      </c>
      <c r="E909">
        <v>21</v>
      </c>
      <c r="F909" s="3">
        <v>9.5299999999999994</v>
      </c>
      <c r="G909" s="4">
        <v>89.8</v>
      </c>
      <c r="H909">
        <v>0</v>
      </c>
      <c r="I909">
        <v>1</v>
      </c>
      <c r="J909">
        <v>2</v>
      </c>
      <c r="K909" s="4">
        <v>76.5</v>
      </c>
      <c r="L909" s="4">
        <v>60.1</v>
      </c>
      <c r="M909" s="4">
        <v>73.400000000000006</v>
      </c>
      <c r="N909">
        <v>0</v>
      </c>
      <c r="O909" t="s">
        <v>58</v>
      </c>
      <c r="P909" t="s">
        <v>70</v>
      </c>
      <c r="Q909" t="s">
        <v>71</v>
      </c>
      <c r="R909" t="s">
        <v>130</v>
      </c>
      <c r="S909" s="3">
        <v>4.8899999999999997</v>
      </c>
      <c r="T909" s="5">
        <v>45233</v>
      </c>
      <c r="U909">
        <v>1</v>
      </c>
      <c r="V909">
        <v>2023</v>
      </c>
      <c r="X909">
        <f t="shared" si="42"/>
        <v>9.5299090999999994</v>
      </c>
      <c r="Y909">
        <f t="shared" si="43"/>
        <v>4.8899090999999997</v>
      </c>
      <c r="Z909">
        <f t="shared" si="44"/>
        <v>60.099909100000005</v>
      </c>
    </row>
    <row r="910" spans="1:26" x14ac:dyDescent="0.3">
      <c r="A910" t="s">
        <v>1000</v>
      </c>
      <c r="B910" t="s">
        <v>107</v>
      </c>
      <c r="C910" t="s">
        <v>74</v>
      </c>
      <c r="D910" t="s">
        <v>69</v>
      </c>
      <c r="E910">
        <v>20</v>
      </c>
      <c r="F910" s="3">
        <v>8.5299999999999994</v>
      </c>
      <c r="G910" s="4">
        <v>86.3</v>
      </c>
      <c r="H910">
        <v>2</v>
      </c>
      <c r="I910">
        <v>2</v>
      </c>
      <c r="J910">
        <v>1</v>
      </c>
      <c r="K910" s="4">
        <v>83.2</v>
      </c>
      <c r="L910" s="4">
        <v>53.1</v>
      </c>
      <c r="M910" s="4">
        <v>74.900000000000006</v>
      </c>
      <c r="N910">
        <v>2</v>
      </c>
      <c r="O910" t="s">
        <v>58</v>
      </c>
      <c r="P910" t="s">
        <v>112</v>
      </c>
      <c r="Q910" t="s">
        <v>93</v>
      </c>
      <c r="R910" t="s">
        <v>130</v>
      </c>
      <c r="S910" s="3">
        <v>7.31</v>
      </c>
      <c r="T910" s="5">
        <v>44414</v>
      </c>
      <c r="U910">
        <v>1</v>
      </c>
      <c r="V910">
        <v>2021</v>
      </c>
      <c r="X910">
        <f t="shared" si="42"/>
        <v>8.529909</v>
      </c>
      <c r="Y910">
        <f t="shared" si="43"/>
        <v>7.3099089999999993</v>
      </c>
      <c r="Z910">
        <f t="shared" si="44"/>
        <v>53.099909000000004</v>
      </c>
    </row>
    <row r="911" spans="1:26" x14ac:dyDescent="0.3">
      <c r="A911" t="s">
        <v>1001</v>
      </c>
      <c r="B911" t="s">
        <v>82</v>
      </c>
      <c r="C911" t="s">
        <v>68</v>
      </c>
      <c r="D911" t="s">
        <v>57</v>
      </c>
      <c r="E911">
        <v>20</v>
      </c>
      <c r="F911" s="3">
        <v>7.36</v>
      </c>
      <c r="G911" s="4">
        <v>87</v>
      </c>
      <c r="H911">
        <v>1</v>
      </c>
      <c r="I911">
        <v>3</v>
      </c>
      <c r="J911">
        <v>4</v>
      </c>
      <c r="K911" s="4">
        <v>74.3</v>
      </c>
      <c r="L911" s="4">
        <v>66.900000000000006</v>
      </c>
      <c r="M911" s="4">
        <v>82.7</v>
      </c>
      <c r="N911">
        <v>0</v>
      </c>
      <c r="O911" t="s">
        <v>64</v>
      </c>
      <c r="P911" t="s">
        <v>65</v>
      </c>
      <c r="S911" s="3">
        <v>0</v>
      </c>
      <c r="T911" s="5"/>
      <c r="U911">
        <v>0</v>
      </c>
      <c r="V911">
        <v>2022</v>
      </c>
      <c r="X911">
        <f t="shared" si="42"/>
        <v>7.3599089000000006</v>
      </c>
      <c r="Y911">
        <f t="shared" si="43"/>
        <v>-9.1099999999999992E-5</v>
      </c>
      <c r="Z911">
        <f t="shared" si="44"/>
        <v>66.8999089</v>
      </c>
    </row>
    <row r="912" spans="1:26" x14ac:dyDescent="0.3">
      <c r="A912" t="s">
        <v>1002</v>
      </c>
      <c r="B912" t="s">
        <v>55</v>
      </c>
      <c r="C912" t="s">
        <v>78</v>
      </c>
      <c r="D912" t="s">
        <v>69</v>
      </c>
      <c r="E912">
        <v>23</v>
      </c>
      <c r="F912" s="3">
        <v>8.7899999999999991</v>
      </c>
      <c r="G912" s="4">
        <v>97.9</v>
      </c>
      <c r="H912">
        <v>1</v>
      </c>
      <c r="I912">
        <v>1</v>
      </c>
      <c r="J912">
        <v>2</v>
      </c>
      <c r="K912" s="4">
        <v>61.9</v>
      </c>
      <c r="L912" s="4">
        <v>45.3</v>
      </c>
      <c r="M912" s="4">
        <v>90.4</v>
      </c>
      <c r="N912">
        <v>1</v>
      </c>
      <c r="O912" t="s">
        <v>58</v>
      </c>
      <c r="P912" t="s">
        <v>90</v>
      </c>
      <c r="Q912" t="s">
        <v>60</v>
      </c>
      <c r="R912" t="s">
        <v>76</v>
      </c>
      <c r="S912" s="3">
        <v>8.85</v>
      </c>
      <c r="T912" s="5">
        <v>45532</v>
      </c>
      <c r="U912">
        <v>1</v>
      </c>
      <c r="V912">
        <v>2024</v>
      </c>
      <c r="X912">
        <f t="shared" si="42"/>
        <v>8.7899087999999992</v>
      </c>
      <c r="Y912">
        <f t="shared" si="43"/>
        <v>8.8499087999999997</v>
      </c>
      <c r="Z912">
        <f t="shared" si="44"/>
        <v>45.299908799999997</v>
      </c>
    </row>
    <row r="913" spans="1:26" x14ac:dyDescent="0.3">
      <c r="A913" t="s">
        <v>1003</v>
      </c>
      <c r="B913" t="s">
        <v>67</v>
      </c>
      <c r="C913" t="s">
        <v>84</v>
      </c>
      <c r="D913" t="s">
        <v>57</v>
      </c>
      <c r="E913">
        <v>20</v>
      </c>
      <c r="F913" s="3">
        <v>8.4700000000000006</v>
      </c>
      <c r="G913" s="4">
        <v>85.1</v>
      </c>
      <c r="H913">
        <v>0</v>
      </c>
      <c r="I913">
        <v>0</v>
      </c>
      <c r="J913">
        <v>5</v>
      </c>
      <c r="K913" s="4">
        <v>52.3</v>
      </c>
      <c r="L913" s="4">
        <v>60.9</v>
      </c>
      <c r="M913" s="4">
        <v>71.7</v>
      </c>
      <c r="N913">
        <v>2</v>
      </c>
      <c r="O913" t="s">
        <v>64</v>
      </c>
      <c r="P913" t="s">
        <v>65</v>
      </c>
      <c r="S913" s="3">
        <v>0</v>
      </c>
      <c r="T913" s="5"/>
      <c r="U913">
        <v>0</v>
      </c>
      <c r="V913">
        <v>2023</v>
      </c>
      <c r="X913">
        <f t="shared" si="42"/>
        <v>8.4699087000000013</v>
      </c>
      <c r="Y913">
        <f t="shared" si="43"/>
        <v>-9.1299999999999997E-5</v>
      </c>
      <c r="Z913">
        <f t="shared" si="44"/>
        <v>60.899908699999997</v>
      </c>
    </row>
    <row r="914" spans="1:26" x14ac:dyDescent="0.3">
      <c r="A914" t="s">
        <v>1004</v>
      </c>
      <c r="B914" t="s">
        <v>67</v>
      </c>
      <c r="C914" t="s">
        <v>56</v>
      </c>
      <c r="D914" t="s">
        <v>57</v>
      </c>
      <c r="E914">
        <v>20</v>
      </c>
      <c r="F914" s="3">
        <v>7.21</v>
      </c>
      <c r="G914" s="4">
        <v>84.9</v>
      </c>
      <c r="H914">
        <v>2</v>
      </c>
      <c r="I914">
        <v>2</v>
      </c>
      <c r="J914">
        <v>3</v>
      </c>
      <c r="K914" s="4">
        <v>54.2</v>
      </c>
      <c r="L914" s="4">
        <v>51.1</v>
      </c>
      <c r="M914" s="4">
        <v>82.9</v>
      </c>
      <c r="N914">
        <v>0</v>
      </c>
      <c r="O914" t="s">
        <v>58</v>
      </c>
      <c r="P914" t="s">
        <v>112</v>
      </c>
      <c r="Q914" t="s">
        <v>93</v>
      </c>
      <c r="R914" t="s">
        <v>76</v>
      </c>
      <c r="S914" s="3">
        <v>5.18</v>
      </c>
      <c r="T914" s="5">
        <v>45139</v>
      </c>
      <c r="U914">
        <v>1</v>
      </c>
      <c r="V914">
        <v>2023</v>
      </c>
      <c r="X914">
        <f t="shared" si="42"/>
        <v>7.2099086000000003</v>
      </c>
      <c r="Y914">
        <f t="shared" si="43"/>
        <v>5.1799086000000001</v>
      </c>
      <c r="Z914">
        <f t="shared" si="44"/>
        <v>51.099908599999999</v>
      </c>
    </row>
    <row r="915" spans="1:26" x14ac:dyDescent="0.3">
      <c r="A915" t="s">
        <v>1005</v>
      </c>
      <c r="B915" t="s">
        <v>107</v>
      </c>
      <c r="C915" t="s">
        <v>84</v>
      </c>
      <c r="D915" t="s">
        <v>69</v>
      </c>
      <c r="E915">
        <v>21</v>
      </c>
      <c r="F915" s="3">
        <v>7.13</v>
      </c>
      <c r="G915" s="4">
        <v>89.7</v>
      </c>
      <c r="H915">
        <v>2</v>
      </c>
      <c r="I915">
        <v>3</v>
      </c>
      <c r="J915">
        <v>1</v>
      </c>
      <c r="K915" s="4">
        <v>59.6</v>
      </c>
      <c r="L915" s="4">
        <v>66.099999999999994</v>
      </c>
      <c r="M915" s="4">
        <v>78.2</v>
      </c>
      <c r="N915">
        <v>0</v>
      </c>
      <c r="O915" t="s">
        <v>58</v>
      </c>
      <c r="P915" t="s">
        <v>112</v>
      </c>
      <c r="Q915" t="s">
        <v>93</v>
      </c>
      <c r="R915" t="s">
        <v>130</v>
      </c>
      <c r="S915" s="3">
        <v>6.95</v>
      </c>
      <c r="T915" s="5">
        <v>44488</v>
      </c>
      <c r="U915">
        <v>1</v>
      </c>
      <c r="V915">
        <v>2021</v>
      </c>
      <c r="X915">
        <f t="shared" si="42"/>
        <v>7.1299085</v>
      </c>
      <c r="Y915">
        <f t="shared" si="43"/>
        <v>6.9499085000000003</v>
      </c>
      <c r="Z915">
        <f t="shared" si="44"/>
        <v>66.099908499999998</v>
      </c>
    </row>
    <row r="916" spans="1:26" x14ac:dyDescent="0.3">
      <c r="A916" t="s">
        <v>1006</v>
      </c>
      <c r="B916" t="s">
        <v>55</v>
      </c>
      <c r="C916" t="s">
        <v>78</v>
      </c>
      <c r="D916" t="s">
        <v>69</v>
      </c>
      <c r="E916">
        <v>22</v>
      </c>
      <c r="F916" s="3">
        <v>7.5</v>
      </c>
      <c r="G916" s="4">
        <v>71.400000000000006</v>
      </c>
      <c r="H916">
        <v>2</v>
      </c>
      <c r="I916">
        <v>5</v>
      </c>
      <c r="J916">
        <v>5</v>
      </c>
      <c r="K916" s="4">
        <v>76.900000000000006</v>
      </c>
      <c r="L916" s="4">
        <v>76.8</v>
      </c>
      <c r="M916" s="4">
        <v>55.3</v>
      </c>
      <c r="N916">
        <v>0</v>
      </c>
      <c r="O916" t="s">
        <v>58</v>
      </c>
      <c r="P916" t="s">
        <v>59</v>
      </c>
      <c r="Q916" t="s">
        <v>60</v>
      </c>
      <c r="R916" t="s">
        <v>72</v>
      </c>
      <c r="S916" s="3">
        <v>19.86</v>
      </c>
      <c r="T916" s="5">
        <v>45610</v>
      </c>
      <c r="U916">
        <v>1</v>
      </c>
      <c r="V916">
        <v>2024</v>
      </c>
      <c r="X916">
        <f t="shared" si="42"/>
        <v>7.4999083999999998</v>
      </c>
      <c r="Y916">
        <f t="shared" si="43"/>
        <v>19.859908399999998</v>
      </c>
      <c r="Z916">
        <f t="shared" si="44"/>
        <v>76.799908399999993</v>
      </c>
    </row>
    <row r="917" spans="1:26" x14ac:dyDescent="0.3">
      <c r="A917" t="s">
        <v>1007</v>
      </c>
      <c r="B917" t="s">
        <v>63</v>
      </c>
      <c r="C917" t="s">
        <v>89</v>
      </c>
      <c r="D917" t="s">
        <v>57</v>
      </c>
      <c r="E917">
        <v>22</v>
      </c>
      <c r="F917" s="3">
        <v>6.7</v>
      </c>
      <c r="G917" s="4">
        <v>78</v>
      </c>
      <c r="H917">
        <v>1</v>
      </c>
      <c r="I917">
        <v>0</v>
      </c>
      <c r="J917">
        <v>3</v>
      </c>
      <c r="K917" s="4">
        <v>66.900000000000006</v>
      </c>
      <c r="L917" s="4">
        <v>75.7</v>
      </c>
      <c r="M917" s="4">
        <v>56.2</v>
      </c>
      <c r="N917">
        <v>0</v>
      </c>
      <c r="O917" t="s">
        <v>64</v>
      </c>
      <c r="P917" t="s">
        <v>65</v>
      </c>
      <c r="S917" s="3">
        <v>0</v>
      </c>
      <c r="T917" s="5"/>
      <c r="U917">
        <v>0</v>
      </c>
      <c r="V917">
        <v>2025</v>
      </c>
      <c r="X917">
        <f t="shared" si="42"/>
        <v>6.6999083000000006</v>
      </c>
      <c r="Y917">
        <f t="shared" si="43"/>
        <v>-9.1699999999999993E-5</v>
      </c>
      <c r="Z917">
        <f t="shared" si="44"/>
        <v>75.699908300000004</v>
      </c>
    </row>
    <row r="918" spans="1:26" x14ac:dyDescent="0.3">
      <c r="A918" t="s">
        <v>1008</v>
      </c>
      <c r="B918" t="s">
        <v>67</v>
      </c>
      <c r="C918" t="s">
        <v>56</v>
      </c>
      <c r="D918" t="s">
        <v>57</v>
      </c>
      <c r="E918">
        <v>21</v>
      </c>
      <c r="F918" s="3">
        <v>7.37</v>
      </c>
      <c r="G918" s="4">
        <v>75.400000000000006</v>
      </c>
      <c r="H918">
        <v>1</v>
      </c>
      <c r="I918">
        <v>2</v>
      </c>
      <c r="J918">
        <v>4</v>
      </c>
      <c r="K918" s="4">
        <v>42.8</v>
      </c>
      <c r="L918" s="4">
        <v>80.3</v>
      </c>
      <c r="M918" s="4">
        <v>69.900000000000006</v>
      </c>
      <c r="N918">
        <v>0</v>
      </c>
      <c r="O918" t="s">
        <v>58</v>
      </c>
      <c r="P918" t="s">
        <v>79</v>
      </c>
      <c r="Q918" t="s">
        <v>71</v>
      </c>
      <c r="R918" t="s">
        <v>76</v>
      </c>
      <c r="S918" s="3">
        <v>7.07</v>
      </c>
      <c r="T918" s="5">
        <v>45156</v>
      </c>
      <c r="U918">
        <v>1</v>
      </c>
      <c r="V918">
        <v>2023</v>
      </c>
      <c r="X918">
        <f t="shared" si="42"/>
        <v>7.3699082000000002</v>
      </c>
      <c r="Y918">
        <f t="shared" si="43"/>
        <v>7.0699082000000004</v>
      </c>
      <c r="Z918">
        <f t="shared" si="44"/>
        <v>80.29990819999999</v>
      </c>
    </row>
    <row r="919" spans="1:26" x14ac:dyDescent="0.3">
      <c r="A919" t="s">
        <v>1009</v>
      </c>
      <c r="B919" t="s">
        <v>107</v>
      </c>
      <c r="C919" t="s">
        <v>56</v>
      </c>
      <c r="D919" t="s">
        <v>57</v>
      </c>
      <c r="E919">
        <v>22</v>
      </c>
      <c r="F919" s="3">
        <v>8.09</v>
      </c>
      <c r="G919" s="4">
        <v>87.9</v>
      </c>
      <c r="H919">
        <v>1</v>
      </c>
      <c r="I919">
        <v>2</v>
      </c>
      <c r="J919">
        <v>3</v>
      </c>
      <c r="K919" s="4">
        <v>72.5</v>
      </c>
      <c r="L919" s="4">
        <v>56.1</v>
      </c>
      <c r="M919" s="4">
        <v>76.400000000000006</v>
      </c>
      <c r="N919">
        <v>2</v>
      </c>
      <c r="O919" t="s">
        <v>58</v>
      </c>
      <c r="P919" t="s">
        <v>70</v>
      </c>
      <c r="Q919" t="s">
        <v>71</v>
      </c>
      <c r="R919" t="s">
        <v>85</v>
      </c>
      <c r="S919" s="3">
        <v>5.01</v>
      </c>
      <c r="T919" s="5">
        <v>44502</v>
      </c>
      <c r="U919">
        <v>2</v>
      </c>
      <c r="V919">
        <v>2021</v>
      </c>
      <c r="X919">
        <f t="shared" si="42"/>
        <v>8.0899081000000006</v>
      </c>
      <c r="Y919">
        <f t="shared" si="43"/>
        <v>5.0099080999999996</v>
      </c>
      <c r="Z919">
        <f t="shared" si="44"/>
        <v>56.0999081</v>
      </c>
    </row>
    <row r="920" spans="1:26" x14ac:dyDescent="0.3">
      <c r="A920" t="s">
        <v>1010</v>
      </c>
      <c r="B920" t="s">
        <v>63</v>
      </c>
      <c r="C920" t="s">
        <v>89</v>
      </c>
      <c r="D920" t="s">
        <v>69</v>
      </c>
      <c r="E920">
        <v>20</v>
      </c>
      <c r="F920" s="3">
        <v>8.58</v>
      </c>
      <c r="G920" s="4">
        <v>73.7</v>
      </c>
      <c r="H920">
        <v>0</v>
      </c>
      <c r="I920">
        <v>1</v>
      </c>
      <c r="J920">
        <v>1</v>
      </c>
      <c r="K920" s="4">
        <v>85.1</v>
      </c>
      <c r="L920" s="4">
        <v>91.3</v>
      </c>
      <c r="M920" s="4">
        <v>79.8</v>
      </c>
      <c r="N920">
        <v>2</v>
      </c>
      <c r="O920" t="s">
        <v>58</v>
      </c>
      <c r="P920" t="s">
        <v>95</v>
      </c>
      <c r="Q920" t="s">
        <v>93</v>
      </c>
      <c r="R920" t="s">
        <v>130</v>
      </c>
      <c r="S920" s="3">
        <v>7.16</v>
      </c>
      <c r="T920" s="5">
        <v>45949</v>
      </c>
      <c r="U920">
        <v>1</v>
      </c>
      <c r="V920">
        <v>2025</v>
      </c>
      <c r="X920">
        <f t="shared" si="42"/>
        <v>8.5799079999999996</v>
      </c>
      <c r="Y920">
        <f t="shared" si="43"/>
        <v>7.1599079999999997</v>
      </c>
      <c r="Z920">
        <f t="shared" si="44"/>
        <v>91.299908000000002</v>
      </c>
    </row>
    <row r="921" spans="1:26" x14ac:dyDescent="0.3">
      <c r="A921" t="s">
        <v>1011</v>
      </c>
      <c r="B921" t="s">
        <v>55</v>
      </c>
      <c r="C921" t="s">
        <v>89</v>
      </c>
      <c r="D921" t="s">
        <v>57</v>
      </c>
      <c r="E921">
        <v>23</v>
      </c>
      <c r="F921" s="3">
        <v>7.31</v>
      </c>
      <c r="G921" s="4">
        <v>87.1</v>
      </c>
      <c r="H921">
        <v>2</v>
      </c>
      <c r="I921">
        <v>2</v>
      </c>
      <c r="J921">
        <v>3</v>
      </c>
      <c r="K921" s="4">
        <v>45.9</v>
      </c>
      <c r="L921" s="4">
        <v>80</v>
      </c>
      <c r="M921" s="4">
        <v>71.599999999999994</v>
      </c>
      <c r="N921">
        <v>0</v>
      </c>
      <c r="O921" t="s">
        <v>58</v>
      </c>
      <c r="P921" t="s">
        <v>87</v>
      </c>
      <c r="Q921" t="s">
        <v>71</v>
      </c>
      <c r="R921" t="s">
        <v>61</v>
      </c>
      <c r="S921" s="3">
        <v>6.8</v>
      </c>
      <c r="T921" s="5">
        <v>45601</v>
      </c>
      <c r="U921">
        <v>1</v>
      </c>
      <c r="V921">
        <v>2024</v>
      </c>
      <c r="X921">
        <f t="shared" si="42"/>
        <v>7.3099078999999998</v>
      </c>
      <c r="Y921">
        <f t="shared" si="43"/>
        <v>6.7999079</v>
      </c>
      <c r="Z921">
        <f t="shared" si="44"/>
        <v>79.999907899999997</v>
      </c>
    </row>
    <row r="922" spans="1:26" x14ac:dyDescent="0.3">
      <c r="A922" t="s">
        <v>1012</v>
      </c>
      <c r="B922" t="s">
        <v>67</v>
      </c>
      <c r="C922" t="s">
        <v>56</v>
      </c>
      <c r="D922" t="s">
        <v>57</v>
      </c>
      <c r="E922">
        <v>20</v>
      </c>
      <c r="F922" s="3">
        <v>8.9</v>
      </c>
      <c r="G922" s="4">
        <v>80</v>
      </c>
      <c r="H922">
        <v>2</v>
      </c>
      <c r="I922">
        <v>1</v>
      </c>
      <c r="J922">
        <v>4</v>
      </c>
      <c r="K922" s="4">
        <v>75.7</v>
      </c>
      <c r="L922" s="4">
        <v>79.400000000000006</v>
      </c>
      <c r="M922" s="4">
        <v>53.6</v>
      </c>
      <c r="N922">
        <v>0</v>
      </c>
      <c r="O922" t="s">
        <v>58</v>
      </c>
      <c r="P922" t="s">
        <v>87</v>
      </c>
      <c r="Q922" t="s">
        <v>71</v>
      </c>
      <c r="R922" t="s">
        <v>61</v>
      </c>
      <c r="S922" s="3">
        <v>7.54</v>
      </c>
      <c r="T922" s="5">
        <v>45230</v>
      </c>
      <c r="U922">
        <v>2</v>
      </c>
      <c r="V922">
        <v>2023</v>
      </c>
      <c r="X922">
        <f t="shared" si="42"/>
        <v>8.8999078000000011</v>
      </c>
      <c r="Y922">
        <f t="shared" si="43"/>
        <v>7.5399077999999999</v>
      </c>
      <c r="Z922">
        <f t="shared" si="44"/>
        <v>79.399907800000008</v>
      </c>
    </row>
    <row r="923" spans="1:26" x14ac:dyDescent="0.3">
      <c r="A923" t="s">
        <v>1013</v>
      </c>
      <c r="B923" t="s">
        <v>63</v>
      </c>
      <c r="C923" t="s">
        <v>68</v>
      </c>
      <c r="D923" t="s">
        <v>57</v>
      </c>
      <c r="E923">
        <v>20</v>
      </c>
      <c r="F923" s="3">
        <v>8.24</v>
      </c>
      <c r="G923" s="4">
        <v>78.8</v>
      </c>
      <c r="H923">
        <v>2</v>
      </c>
      <c r="I923">
        <v>1</v>
      </c>
      <c r="J923">
        <v>1</v>
      </c>
      <c r="K923" s="4">
        <v>38.4</v>
      </c>
      <c r="L923" s="4">
        <v>86.9</v>
      </c>
      <c r="M923" s="4">
        <v>69.599999999999994</v>
      </c>
      <c r="N923">
        <v>1</v>
      </c>
      <c r="O923" t="s">
        <v>58</v>
      </c>
      <c r="P923" t="s">
        <v>79</v>
      </c>
      <c r="Q923" t="s">
        <v>71</v>
      </c>
      <c r="R923" t="s">
        <v>109</v>
      </c>
      <c r="S923" s="3">
        <v>5.96</v>
      </c>
      <c r="T923" s="5">
        <v>45916</v>
      </c>
      <c r="U923">
        <v>1</v>
      </c>
      <c r="V923">
        <v>2025</v>
      </c>
      <c r="X923">
        <f t="shared" si="42"/>
        <v>8.2399076999999998</v>
      </c>
      <c r="Y923">
        <f t="shared" si="43"/>
        <v>5.9599076999999996</v>
      </c>
      <c r="Z923">
        <f t="shared" si="44"/>
        <v>86.8999077</v>
      </c>
    </row>
    <row r="924" spans="1:26" x14ac:dyDescent="0.3">
      <c r="A924" t="s">
        <v>1014</v>
      </c>
      <c r="B924" t="s">
        <v>63</v>
      </c>
      <c r="C924" t="s">
        <v>101</v>
      </c>
      <c r="D924" t="s">
        <v>57</v>
      </c>
      <c r="E924">
        <v>23</v>
      </c>
      <c r="F924" s="3">
        <v>8.2799999999999994</v>
      </c>
      <c r="G924" s="4">
        <v>90.2</v>
      </c>
      <c r="H924">
        <v>1</v>
      </c>
      <c r="I924">
        <v>3</v>
      </c>
      <c r="J924">
        <v>4</v>
      </c>
      <c r="K924" s="4">
        <v>55.7</v>
      </c>
      <c r="L924" s="4">
        <v>72.599999999999994</v>
      </c>
      <c r="M924" s="4">
        <v>51.9</v>
      </c>
      <c r="N924">
        <v>1</v>
      </c>
      <c r="O924" t="s">
        <v>58</v>
      </c>
      <c r="P924" t="s">
        <v>90</v>
      </c>
      <c r="Q924" t="s">
        <v>60</v>
      </c>
      <c r="R924" t="s">
        <v>76</v>
      </c>
      <c r="S924" s="3">
        <v>9.4700000000000006</v>
      </c>
      <c r="T924" s="5">
        <v>45949</v>
      </c>
      <c r="U924">
        <v>1</v>
      </c>
      <c r="V924">
        <v>2025</v>
      </c>
      <c r="X924">
        <f t="shared" si="42"/>
        <v>8.2799075999999996</v>
      </c>
      <c r="Y924">
        <f t="shared" si="43"/>
        <v>9.4699076000000009</v>
      </c>
      <c r="Z924">
        <f t="shared" si="44"/>
        <v>72.599907599999995</v>
      </c>
    </row>
    <row r="925" spans="1:26" x14ac:dyDescent="0.3">
      <c r="A925" t="s">
        <v>1015</v>
      </c>
      <c r="B925" t="s">
        <v>63</v>
      </c>
      <c r="C925" t="s">
        <v>101</v>
      </c>
      <c r="D925" t="s">
        <v>57</v>
      </c>
      <c r="E925">
        <v>21</v>
      </c>
      <c r="F925" s="3">
        <v>6.82</v>
      </c>
      <c r="G925" s="4">
        <v>70</v>
      </c>
      <c r="H925">
        <v>2</v>
      </c>
      <c r="I925">
        <v>2</v>
      </c>
      <c r="J925">
        <v>5</v>
      </c>
      <c r="K925" s="4">
        <v>50</v>
      </c>
      <c r="L925" s="4">
        <v>68.3</v>
      </c>
      <c r="M925" s="4">
        <v>71.5</v>
      </c>
      <c r="N925">
        <v>0</v>
      </c>
      <c r="O925" t="s">
        <v>58</v>
      </c>
      <c r="P925" t="s">
        <v>87</v>
      </c>
      <c r="Q925" t="s">
        <v>71</v>
      </c>
      <c r="R925" t="s">
        <v>61</v>
      </c>
      <c r="S925" s="3">
        <v>4.38</v>
      </c>
      <c r="T925" s="5">
        <v>45880</v>
      </c>
      <c r="U925">
        <v>1</v>
      </c>
      <c r="V925">
        <v>2025</v>
      </c>
      <c r="X925">
        <f t="shared" si="42"/>
        <v>6.8199075000000002</v>
      </c>
      <c r="Y925">
        <f t="shared" si="43"/>
        <v>4.3799074999999998</v>
      </c>
      <c r="Z925">
        <f t="shared" si="44"/>
        <v>68.299907500000003</v>
      </c>
    </row>
    <row r="926" spans="1:26" x14ac:dyDescent="0.3">
      <c r="A926" t="s">
        <v>1016</v>
      </c>
      <c r="B926" t="s">
        <v>67</v>
      </c>
      <c r="C926" t="s">
        <v>84</v>
      </c>
      <c r="D926" t="s">
        <v>57</v>
      </c>
      <c r="E926">
        <v>20</v>
      </c>
      <c r="F926" s="3">
        <v>9.2799999999999994</v>
      </c>
      <c r="G926" s="4">
        <v>77.599999999999994</v>
      </c>
      <c r="H926">
        <v>3</v>
      </c>
      <c r="I926">
        <v>5</v>
      </c>
      <c r="J926">
        <v>3</v>
      </c>
      <c r="K926" s="4">
        <v>77.599999999999994</v>
      </c>
      <c r="L926" s="4">
        <v>90.2</v>
      </c>
      <c r="M926" s="4">
        <v>80.7</v>
      </c>
      <c r="N926">
        <v>0</v>
      </c>
      <c r="O926" t="s">
        <v>58</v>
      </c>
      <c r="P926" t="s">
        <v>87</v>
      </c>
      <c r="Q926" t="s">
        <v>71</v>
      </c>
      <c r="R926" t="s">
        <v>130</v>
      </c>
      <c r="S926" s="3">
        <v>9.24</v>
      </c>
      <c r="T926" s="5">
        <v>45144</v>
      </c>
      <c r="U926">
        <v>1</v>
      </c>
      <c r="V926">
        <v>2023</v>
      </c>
      <c r="X926">
        <f t="shared" si="42"/>
        <v>9.279907399999999</v>
      </c>
      <c r="Y926">
        <f t="shared" si="43"/>
        <v>9.2399073999999999</v>
      </c>
      <c r="Z926">
        <f t="shared" si="44"/>
        <v>90.199907400000001</v>
      </c>
    </row>
    <row r="927" spans="1:26" x14ac:dyDescent="0.3">
      <c r="A927" t="s">
        <v>1017</v>
      </c>
      <c r="B927" t="s">
        <v>67</v>
      </c>
      <c r="C927" t="s">
        <v>74</v>
      </c>
      <c r="D927" t="s">
        <v>57</v>
      </c>
      <c r="E927">
        <v>20</v>
      </c>
      <c r="F927" s="3">
        <v>8.15</v>
      </c>
      <c r="G927" s="4">
        <v>100</v>
      </c>
      <c r="H927">
        <v>1</v>
      </c>
      <c r="I927">
        <v>1</v>
      </c>
      <c r="J927">
        <v>6</v>
      </c>
      <c r="K927" s="4">
        <v>91.3</v>
      </c>
      <c r="L927" s="4">
        <v>57.5</v>
      </c>
      <c r="M927" s="4">
        <v>79.099999999999994</v>
      </c>
      <c r="N927">
        <v>0</v>
      </c>
      <c r="O927" t="s">
        <v>58</v>
      </c>
      <c r="P927" t="s">
        <v>90</v>
      </c>
      <c r="Q927" t="s">
        <v>60</v>
      </c>
      <c r="R927" t="s">
        <v>72</v>
      </c>
      <c r="S927" s="3">
        <v>7.14</v>
      </c>
      <c r="T927" s="5">
        <v>45152</v>
      </c>
      <c r="U927">
        <v>3</v>
      </c>
      <c r="V927">
        <v>2023</v>
      </c>
      <c r="X927">
        <f t="shared" si="42"/>
        <v>8.1499073000000006</v>
      </c>
      <c r="Y927">
        <f t="shared" si="43"/>
        <v>7.1399073</v>
      </c>
      <c r="Z927">
        <f t="shared" si="44"/>
        <v>57.499907299999997</v>
      </c>
    </row>
    <row r="928" spans="1:26" x14ac:dyDescent="0.3">
      <c r="A928" t="s">
        <v>1018</v>
      </c>
      <c r="B928" t="s">
        <v>82</v>
      </c>
      <c r="C928" t="s">
        <v>74</v>
      </c>
      <c r="D928" t="s">
        <v>57</v>
      </c>
      <c r="E928">
        <v>21</v>
      </c>
      <c r="F928" s="3">
        <v>7.35</v>
      </c>
      <c r="G928" s="4">
        <v>98.7</v>
      </c>
      <c r="H928">
        <v>1</v>
      </c>
      <c r="I928">
        <v>2</v>
      </c>
      <c r="J928">
        <v>2</v>
      </c>
      <c r="K928" s="4">
        <v>82.9</v>
      </c>
      <c r="L928" s="4">
        <v>66.8</v>
      </c>
      <c r="M928" s="4">
        <v>68</v>
      </c>
      <c r="N928">
        <v>0</v>
      </c>
      <c r="O928" t="s">
        <v>58</v>
      </c>
      <c r="P928" t="s">
        <v>79</v>
      </c>
      <c r="Q928" t="s">
        <v>71</v>
      </c>
      <c r="R928" t="s">
        <v>61</v>
      </c>
      <c r="S928" s="3">
        <v>4.93</v>
      </c>
      <c r="T928" s="5">
        <v>44885</v>
      </c>
      <c r="U928">
        <v>3</v>
      </c>
      <c r="V928">
        <v>2022</v>
      </c>
      <c r="X928">
        <f t="shared" si="42"/>
        <v>7.3499071999999996</v>
      </c>
      <c r="Y928">
        <f t="shared" si="43"/>
        <v>4.9299071999999997</v>
      </c>
      <c r="Z928">
        <f t="shared" si="44"/>
        <v>66.799907199999993</v>
      </c>
    </row>
    <row r="929" spans="1:26" x14ac:dyDescent="0.3">
      <c r="A929" t="s">
        <v>1019</v>
      </c>
      <c r="B929" t="s">
        <v>55</v>
      </c>
      <c r="C929" t="s">
        <v>78</v>
      </c>
      <c r="D929" t="s">
        <v>69</v>
      </c>
      <c r="E929">
        <v>20</v>
      </c>
      <c r="F929" s="3">
        <v>7.19</v>
      </c>
      <c r="G929" s="4">
        <v>65.7</v>
      </c>
      <c r="H929">
        <v>1</v>
      </c>
      <c r="I929">
        <v>1</v>
      </c>
      <c r="J929">
        <v>5</v>
      </c>
      <c r="K929" s="4">
        <v>82.4</v>
      </c>
      <c r="L929" s="4">
        <v>87.4</v>
      </c>
      <c r="M929" s="4">
        <v>78.900000000000006</v>
      </c>
      <c r="N929">
        <v>0</v>
      </c>
      <c r="O929" t="s">
        <v>58</v>
      </c>
      <c r="P929" t="s">
        <v>87</v>
      </c>
      <c r="Q929" t="s">
        <v>71</v>
      </c>
      <c r="R929" t="s">
        <v>85</v>
      </c>
      <c r="S929" s="3">
        <v>7.04</v>
      </c>
      <c r="T929" s="5">
        <v>45604</v>
      </c>
      <c r="U929">
        <v>2</v>
      </c>
      <c r="V929">
        <v>2024</v>
      </c>
      <c r="X929">
        <f t="shared" si="42"/>
        <v>7.1899071000000001</v>
      </c>
      <c r="Y929">
        <f t="shared" si="43"/>
        <v>7.0399070999999998</v>
      </c>
      <c r="Z929">
        <f t="shared" si="44"/>
        <v>87.399907100000007</v>
      </c>
    </row>
    <row r="930" spans="1:26" x14ac:dyDescent="0.3">
      <c r="A930" t="s">
        <v>1020</v>
      </c>
      <c r="B930" t="s">
        <v>107</v>
      </c>
      <c r="C930" t="s">
        <v>68</v>
      </c>
      <c r="D930" t="s">
        <v>57</v>
      </c>
      <c r="E930">
        <v>20</v>
      </c>
      <c r="F930" s="3">
        <v>7.37</v>
      </c>
      <c r="G930" s="4">
        <v>77.400000000000006</v>
      </c>
      <c r="H930">
        <v>0</v>
      </c>
      <c r="I930">
        <v>1</v>
      </c>
      <c r="J930">
        <v>5</v>
      </c>
      <c r="K930" s="4">
        <v>55</v>
      </c>
      <c r="L930" s="4">
        <v>66.900000000000006</v>
      </c>
      <c r="M930" s="4">
        <v>60.6</v>
      </c>
      <c r="N930">
        <v>1</v>
      </c>
      <c r="O930" t="s">
        <v>58</v>
      </c>
      <c r="P930" t="s">
        <v>70</v>
      </c>
      <c r="Q930" t="s">
        <v>71</v>
      </c>
      <c r="R930" t="s">
        <v>76</v>
      </c>
      <c r="S930" s="3">
        <v>6</v>
      </c>
      <c r="T930" s="5">
        <v>44430</v>
      </c>
      <c r="U930">
        <v>1</v>
      </c>
      <c r="V930">
        <v>2021</v>
      </c>
      <c r="X930">
        <f t="shared" si="42"/>
        <v>7.3699070000000004</v>
      </c>
      <c r="Y930">
        <f t="shared" si="43"/>
        <v>5.9999070000000003</v>
      </c>
      <c r="Z930">
        <f t="shared" si="44"/>
        <v>66.899906999999999</v>
      </c>
    </row>
    <row r="931" spans="1:26" x14ac:dyDescent="0.3">
      <c r="A931" t="s">
        <v>1021</v>
      </c>
      <c r="B931" t="s">
        <v>63</v>
      </c>
      <c r="C931" t="s">
        <v>56</v>
      </c>
      <c r="D931" t="s">
        <v>69</v>
      </c>
      <c r="E931">
        <v>22</v>
      </c>
      <c r="F931" s="3">
        <v>6.73</v>
      </c>
      <c r="G931" s="4">
        <v>82.6</v>
      </c>
      <c r="H931">
        <v>2</v>
      </c>
      <c r="I931">
        <v>4</v>
      </c>
      <c r="J931">
        <v>3</v>
      </c>
      <c r="K931" s="4">
        <v>76.2</v>
      </c>
      <c r="L931" s="4">
        <v>61.2</v>
      </c>
      <c r="M931" s="4">
        <v>66.3</v>
      </c>
      <c r="N931">
        <v>0</v>
      </c>
      <c r="O931" t="s">
        <v>64</v>
      </c>
      <c r="P931" t="s">
        <v>65</v>
      </c>
      <c r="S931" s="3">
        <v>0</v>
      </c>
      <c r="T931" s="5"/>
      <c r="U931">
        <v>0</v>
      </c>
      <c r="V931">
        <v>2025</v>
      </c>
      <c r="X931">
        <f t="shared" si="42"/>
        <v>6.7299069000000005</v>
      </c>
      <c r="Y931">
        <f t="shared" si="43"/>
        <v>-9.31E-5</v>
      </c>
      <c r="Z931">
        <f t="shared" si="44"/>
        <v>61.199906900000002</v>
      </c>
    </row>
    <row r="932" spans="1:26" x14ac:dyDescent="0.3">
      <c r="A932" t="s">
        <v>1022</v>
      </c>
      <c r="B932" t="s">
        <v>82</v>
      </c>
      <c r="C932" t="s">
        <v>74</v>
      </c>
      <c r="D932" t="s">
        <v>69</v>
      </c>
      <c r="E932">
        <v>21</v>
      </c>
      <c r="F932" s="3">
        <v>8.5399999999999991</v>
      </c>
      <c r="G932" s="4">
        <v>69.3</v>
      </c>
      <c r="H932">
        <v>1</v>
      </c>
      <c r="I932">
        <v>3</v>
      </c>
      <c r="J932">
        <v>6</v>
      </c>
      <c r="K932" s="4">
        <v>71.400000000000006</v>
      </c>
      <c r="L932" s="4">
        <v>55.8</v>
      </c>
      <c r="M932" s="4">
        <v>54.1</v>
      </c>
      <c r="N932">
        <v>2</v>
      </c>
      <c r="O932" t="s">
        <v>64</v>
      </c>
      <c r="P932" t="s">
        <v>65</v>
      </c>
      <c r="S932" s="3">
        <v>0</v>
      </c>
      <c r="T932" s="5"/>
      <c r="U932">
        <v>0</v>
      </c>
      <c r="V932">
        <v>2022</v>
      </c>
      <c r="X932">
        <f t="shared" si="42"/>
        <v>8.5399067999999989</v>
      </c>
      <c r="Y932">
        <f t="shared" si="43"/>
        <v>-9.3200000000000002E-5</v>
      </c>
      <c r="Z932">
        <f t="shared" si="44"/>
        <v>55.799906799999995</v>
      </c>
    </row>
    <row r="933" spans="1:26" x14ac:dyDescent="0.3">
      <c r="A933" t="s">
        <v>1023</v>
      </c>
      <c r="B933" t="s">
        <v>107</v>
      </c>
      <c r="C933" t="s">
        <v>68</v>
      </c>
      <c r="D933" t="s">
        <v>69</v>
      </c>
      <c r="E933">
        <v>20</v>
      </c>
      <c r="F933" s="3">
        <v>6.83</v>
      </c>
      <c r="G933" s="4">
        <v>100</v>
      </c>
      <c r="H933">
        <v>1</v>
      </c>
      <c r="I933">
        <v>1</v>
      </c>
      <c r="J933">
        <v>3</v>
      </c>
      <c r="K933" s="4">
        <v>51.5</v>
      </c>
      <c r="L933" s="4">
        <v>73.599999999999994</v>
      </c>
      <c r="M933" s="4">
        <v>67.599999999999994</v>
      </c>
      <c r="N933">
        <v>1</v>
      </c>
      <c r="O933" t="s">
        <v>58</v>
      </c>
      <c r="P933" t="s">
        <v>92</v>
      </c>
      <c r="Q933" t="s">
        <v>93</v>
      </c>
      <c r="R933" t="s">
        <v>61</v>
      </c>
      <c r="S933" s="3">
        <v>8.17</v>
      </c>
      <c r="T933" s="5">
        <v>44439</v>
      </c>
      <c r="U933">
        <v>3</v>
      </c>
      <c r="V933">
        <v>2021</v>
      </c>
      <c r="X933">
        <f t="shared" si="42"/>
        <v>6.8299067000000004</v>
      </c>
      <c r="Y933">
        <f t="shared" si="43"/>
        <v>8.1699067000000003</v>
      </c>
      <c r="Z933">
        <f t="shared" si="44"/>
        <v>73.599906699999991</v>
      </c>
    </row>
    <row r="934" spans="1:26" x14ac:dyDescent="0.3">
      <c r="A934" t="s">
        <v>1024</v>
      </c>
      <c r="B934" t="s">
        <v>82</v>
      </c>
      <c r="C934" t="s">
        <v>74</v>
      </c>
      <c r="D934" t="s">
        <v>69</v>
      </c>
      <c r="E934">
        <v>20</v>
      </c>
      <c r="F934" s="3">
        <v>7.91</v>
      </c>
      <c r="G934" s="4">
        <v>82.3</v>
      </c>
      <c r="H934">
        <v>1</v>
      </c>
      <c r="I934">
        <v>3</v>
      </c>
      <c r="J934">
        <v>2</v>
      </c>
      <c r="K934" s="4">
        <v>83.1</v>
      </c>
      <c r="L934" s="4">
        <v>63.6</v>
      </c>
      <c r="M934" s="4">
        <v>64.7</v>
      </c>
      <c r="N934">
        <v>0</v>
      </c>
      <c r="O934" t="s">
        <v>58</v>
      </c>
      <c r="P934" t="s">
        <v>70</v>
      </c>
      <c r="Q934" t="s">
        <v>71</v>
      </c>
      <c r="R934" t="s">
        <v>76</v>
      </c>
      <c r="S934" s="3">
        <v>6.72</v>
      </c>
      <c r="T934" s="5">
        <v>44801</v>
      </c>
      <c r="U934">
        <v>2</v>
      </c>
      <c r="V934">
        <v>2022</v>
      </c>
      <c r="X934">
        <f t="shared" si="42"/>
        <v>7.9099066000000002</v>
      </c>
      <c r="Y934">
        <f t="shared" si="43"/>
        <v>6.7199065999999998</v>
      </c>
      <c r="Z934">
        <f t="shared" si="44"/>
        <v>63.599906600000004</v>
      </c>
    </row>
    <row r="935" spans="1:26" x14ac:dyDescent="0.3">
      <c r="A935" t="s">
        <v>1025</v>
      </c>
      <c r="B935" t="s">
        <v>67</v>
      </c>
      <c r="C935" t="s">
        <v>74</v>
      </c>
      <c r="D935" t="s">
        <v>57</v>
      </c>
      <c r="E935">
        <v>23</v>
      </c>
      <c r="F935" s="3">
        <v>7.25</v>
      </c>
      <c r="G935" s="4">
        <v>80.3</v>
      </c>
      <c r="H935">
        <v>1</v>
      </c>
      <c r="I935">
        <v>5</v>
      </c>
      <c r="J935">
        <v>4</v>
      </c>
      <c r="K935" s="4">
        <v>74.099999999999994</v>
      </c>
      <c r="L935" s="4">
        <v>77.3</v>
      </c>
      <c r="M935" s="4">
        <v>69.099999999999994</v>
      </c>
      <c r="N935">
        <v>0</v>
      </c>
      <c r="O935" t="s">
        <v>58</v>
      </c>
      <c r="P935" t="s">
        <v>95</v>
      </c>
      <c r="Q935" t="s">
        <v>93</v>
      </c>
      <c r="R935" t="s">
        <v>85</v>
      </c>
      <c r="S935" s="3">
        <v>7.37</v>
      </c>
      <c r="T935" s="5">
        <v>45157</v>
      </c>
      <c r="U935">
        <v>1</v>
      </c>
      <c r="V935">
        <v>2023</v>
      </c>
      <c r="X935">
        <f t="shared" si="42"/>
        <v>7.2499064999999998</v>
      </c>
      <c r="Y935">
        <f t="shared" si="43"/>
        <v>7.3699064999999999</v>
      </c>
      <c r="Z935">
        <f t="shared" si="44"/>
        <v>77.299906499999992</v>
      </c>
    </row>
    <row r="936" spans="1:26" x14ac:dyDescent="0.3">
      <c r="A936" t="s">
        <v>1026</v>
      </c>
      <c r="B936" t="s">
        <v>63</v>
      </c>
      <c r="C936" t="s">
        <v>74</v>
      </c>
      <c r="D936" t="s">
        <v>57</v>
      </c>
      <c r="E936">
        <v>23</v>
      </c>
      <c r="F936" s="3">
        <v>8.25</v>
      </c>
      <c r="G936" s="4">
        <v>85.4</v>
      </c>
      <c r="H936">
        <v>0</v>
      </c>
      <c r="I936">
        <v>0</v>
      </c>
      <c r="J936">
        <v>6</v>
      </c>
      <c r="K936" s="4">
        <v>64.900000000000006</v>
      </c>
      <c r="L936" s="4">
        <v>94.6</v>
      </c>
      <c r="M936" s="4">
        <v>70.7</v>
      </c>
      <c r="N936">
        <v>0</v>
      </c>
      <c r="O936" t="s">
        <v>58</v>
      </c>
      <c r="P936" t="s">
        <v>90</v>
      </c>
      <c r="Q936" t="s">
        <v>60</v>
      </c>
      <c r="R936" t="s">
        <v>61</v>
      </c>
      <c r="S936" s="3">
        <v>9.49</v>
      </c>
      <c r="T936" s="5">
        <v>45984</v>
      </c>
      <c r="U936">
        <v>1</v>
      </c>
      <c r="V936">
        <v>2025</v>
      </c>
      <c r="X936">
        <f t="shared" si="42"/>
        <v>8.2499064000000004</v>
      </c>
      <c r="Y936">
        <f t="shared" si="43"/>
        <v>9.4899064000000006</v>
      </c>
      <c r="Z936">
        <f t="shared" si="44"/>
        <v>94.599906399999995</v>
      </c>
    </row>
    <row r="937" spans="1:26" x14ac:dyDescent="0.3">
      <c r="A937" t="s">
        <v>1027</v>
      </c>
      <c r="B937" t="s">
        <v>107</v>
      </c>
      <c r="C937" t="s">
        <v>56</v>
      </c>
      <c r="D937" t="s">
        <v>57</v>
      </c>
      <c r="E937">
        <v>23</v>
      </c>
      <c r="F937" s="3">
        <v>8.3800000000000008</v>
      </c>
      <c r="G937" s="4">
        <v>85.3</v>
      </c>
      <c r="H937">
        <v>3</v>
      </c>
      <c r="I937">
        <v>1</v>
      </c>
      <c r="J937">
        <v>5</v>
      </c>
      <c r="K937" s="4">
        <v>79.5</v>
      </c>
      <c r="L937" s="4">
        <v>86.1</v>
      </c>
      <c r="M937" s="4">
        <v>77</v>
      </c>
      <c r="N937">
        <v>0</v>
      </c>
      <c r="O937" t="s">
        <v>58</v>
      </c>
      <c r="P937" t="s">
        <v>92</v>
      </c>
      <c r="Q937" t="s">
        <v>93</v>
      </c>
      <c r="R937" t="s">
        <v>109</v>
      </c>
      <c r="S937" s="3">
        <v>11.68</v>
      </c>
      <c r="T937" s="5">
        <v>44494</v>
      </c>
      <c r="U937">
        <v>1</v>
      </c>
      <c r="V937">
        <v>2021</v>
      </c>
      <c r="X937">
        <f t="shared" si="42"/>
        <v>8.3799063</v>
      </c>
      <c r="Y937">
        <f t="shared" si="43"/>
        <v>11.679906299999999</v>
      </c>
      <c r="Z937">
        <f t="shared" si="44"/>
        <v>86.099906300000001</v>
      </c>
    </row>
    <row r="938" spans="1:26" x14ac:dyDescent="0.3">
      <c r="A938" t="s">
        <v>1028</v>
      </c>
      <c r="B938" t="s">
        <v>107</v>
      </c>
      <c r="C938" t="s">
        <v>89</v>
      </c>
      <c r="D938" t="s">
        <v>57</v>
      </c>
      <c r="E938">
        <v>20</v>
      </c>
      <c r="F938" s="3">
        <v>7.07</v>
      </c>
      <c r="G938" s="4">
        <v>74.3</v>
      </c>
      <c r="H938">
        <v>0</v>
      </c>
      <c r="I938">
        <v>1</v>
      </c>
      <c r="J938">
        <v>3</v>
      </c>
      <c r="K938" s="4">
        <v>70.099999999999994</v>
      </c>
      <c r="L938" s="4">
        <v>35.1</v>
      </c>
      <c r="M938" s="4">
        <v>50.4</v>
      </c>
      <c r="N938">
        <v>0</v>
      </c>
      <c r="O938" t="s">
        <v>58</v>
      </c>
      <c r="P938" t="s">
        <v>87</v>
      </c>
      <c r="Q938" t="s">
        <v>71</v>
      </c>
      <c r="R938" t="s">
        <v>130</v>
      </c>
      <c r="S938" s="3">
        <v>3.8</v>
      </c>
      <c r="T938" s="5">
        <v>44409</v>
      </c>
      <c r="U938">
        <v>1</v>
      </c>
      <c r="V938">
        <v>2021</v>
      </c>
      <c r="X938">
        <f t="shared" si="42"/>
        <v>7.0699062000000001</v>
      </c>
      <c r="Y938">
        <f t="shared" si="43"/>
        <v>3.7999061999999997</v>
      </c>
      <c r="Z938">
        <f t="shared" si="44"/>
        <v>35.0999062</v>
      </c>
    </row>
    <row r="939" spans="1:26" x14ac:dyDescent="0.3">
      <c r="A939" t="s">
        <v>1029</v>
      </c>
      <c r="B939" t="s">
        <v>107</v>
      </c>
      <c r="C939" t="s">
        <v>89</v>
      </c>
      <c r="D939" t="s">
        <v>69</v>
      </c>
      <c r="E939">
        <v>20</v>
      </c>
      <c r="F939" s="3">
        <v>7.62</v>
      </c>
      <c r="G939" s="4">
        <v>93.8</v>
      </c>
      <c r="H939">
        <v>2</v>
      </c>
      <c r="I939">
        <v>4</v>
      </c>
      <c r="J939">
        <v>4</v>
      </c>
      <c r="K939" s="4">
        <v>84.8</v>
      </c>
      <c r="L939" s="4">
        <v>80.8</v>
      </c>
      <c r="M939" s="4">
        <v>63.7</v>
      </c>
      <c r="N939">
        <v>0</v>
      </c>
      <c r="O939" t="s">
        <v>58</v>
      </c>
      <c r="P939" t="s">
        <v>90</v>
      </c>
      <c r="Q939" t="s">
        <v>60</v>
      </c>
      <c r="R939" t="s">
        <v>80</v>
      </c>
      <c r="S939" s="3">
        <v>9.6199999999999992</v>
      </c>
      <c r="T939" s="5">
        <v>44475</v>
      </c>
      <c r="U939">
        <v>1</v>
      </c>
      <c r="V939">
        <v>2021</v>
      </c>
      <c r="X939">
        <f t="shared" si="42"/>
        <v>7.6199060999999997</v>
      </c>
      <c r="Y939">
        <f t="shared" si="43"/>
        <v>9.6199060999999997</v>
      </c>
      <c r="Z939">
        <f t="shared" si="44"/>
        <v>80.799906100000001</v>
      </c>
    </row>
    <row r="940" spans="1:26" x14ac:dyDescent="0.3">
      <c r="A940" t="s">
        <v>1030</v>
      </c>
      <c r="B940" t="s">
        <v>107</v>
      </c>
      <c r="C940" t="s">
        <v>89</v>
      </c>
      <c r="D940" t="s">
        <v>69</v>
      </c>
      <c r="E940">
        <v>23</v>
      </c>
      <c r="F940" s="3">
        <v>6.35</v>
      </c>
      <c r="G940" s="4">
        <v>83.5</v>
      </c>
      <c r="H940">
        <v>2</v>
      </c>
      <c r="I940">
        <v>1</v>
      </c>
      <c r="J940">
        <v>2</v>
      </c>
      <c r="K940" s="4">
        <v>94.4</v>
      </c>
      <c r="L940" s="4">
        <v>81.8</v>
      </c>
      <c r="M940" s="4">
        <v>85.7</v>
      </c>
      <c r="N940">
        <v>3</v>
      </c>
      <c r="O940" t="s">
        <v>58</v>
      </c>
      <c r="P940" t="s">
        <v>112</v>
      </c>
      <c r="Q940" t="s">
        <v>93</v>
      </c>
      <c r="R940" t="s">
        <v>72</v>
      </c>
      <c r="S940" s="3">
        <v>5.69</v>
      </c>
      <c r="T940" s="5">
        <v>44480</v>
      </c>
      <c r="U940">
        <v>2</v>
      </c>
      <c r="V940">
        <v>2021</v>
      </c>
      <c r="X940">
        <f t="shared" si="42"/>
        <v>6.3499059999999998</v>
      </c>
      <c r="Y940">
        <f t="shared" si="43"/>
        <v>5.6899060000000006</v>
      </c>
      <c r="Z940">
        <f t="shared" si="44"/>
        <v>81.799905999999993</v>
      </c>
    </row>
    <row r="941" spans="1:26" x14ac:dyDescent="0.3">
      <c r="A941" t="s">
        <v>1031</v>
      </c>
      <c r="B941" t="s">
        <v>107</v>
      </c>
      <c r="C941" t="s">
        <v>56</v>
      </c>
      <c r="D941" t="s">
        <v>69</v>
      </c>
      <c r="E941">
        <v>22</v>
      </c>
      <c r="F941" s="3">
        <v>9.18</v>
      </c>
      <c r="G941" s="4">
        <v>93.8</v>
      </c>
      <c r="H941">
        <v>0</v>
      </c>
      <c r="I941">
        <v>1</v>
      </c>
      <c r="J941">
        <v>3</v>
      </c>
      <c r="K941" s="4">
        <v>64.099999999999994</v>
      </c>
      <c r="L941" s="4">
        <v>65.5</v>
      </c>
      <c r="M941" s="4">
        <v>85.9</v>
      </c>
      <c r="N941">
        <v>0</v>
      </c>
      <c r="O941" t="s">
        <v>58</v>
      </c>
      <c r="P941" t="s">
        <v>104</v>
      </c>
      <c r="Q941" t="s">
        <v>105</v>
      </c>
      <c r="R941" t="s">
        <v>61</v>
      </c>
      <c r="S941" s="3">
        <v>15.32</v>
      </c>
      <c r="T941" s="5">
        <v>44421</v>
      </c>
      <c r="U941">
        <v>3</v>
      </c>
      <c r="V941">
        <v>2021</v>
      </c>
      <c r="X941">
        <f t="shared" si="42"/>
        <v>9.1799058999999996</v>
      </c>
      <c r="Y941">
        <f t="shared" si="43"/>
        <v>15.3199059</v>
      </c>
      <c r="Z941">
        <f t="shared" si="44"/>
        <v>65.499905900000002</v>
      </c>
    </row>
    <row r="942" spans="1:26" x14ac:dyDescent="0.3">
      <c r="A942" t="s">
        <v>1032</v>
      </c>
      <c r="B942" t="s">
        <v>82</v>
      </c>
      <c r="C942" t="s">
        <v>74</v>
      </c>
      <c r="D942" t="s">
        <v>57</v>
      </c>
      <c r="E942">
        <v>22</v>
      </c>
      <c r="F942" s="3">
        <v>8.61</v>
      </c>
      <c r="G942" s="4">
        <v>76.8</v>
      </c>
      <c r="H942">
        <v>3</v>
      </c>
      <c r="I942">
        <v>2</v>
      </c>
      <c r="J942">
        <v>4</v>
      </c>
      <c r="K942" s="4">
        <v>63.9</v>
      </c>
      <c r="L942" s="4">
        <v>88.7</v>
      </c>
      <c r="M942" s="4">
        <v>74.7</v>
      </c>
      <c r="N942">
        <v>0</v>
      </c>
      <c r="O942" t="s">
        <v>58</v>
      </c>
      <c r="P942" t="s">
        <v>104</v>
      </c>
      <c r="Q942" t="s">
        <v>105</v>
      </c>
      <c r="R942" t="s">
        <v>85</v>
      </c>
      <c r="S942" s="3">
        <v>17.170000000000002</v>
      </c>
      <c r="T942" s="5">
        <v>44824</v>
      </c>
      <c r="U942">
        <v>1</v>
      </c>
      <c r="V942">
        <v>2022</v>
      </c>
      <c r="X942">
        <f t="shared" si="42"/>
        <v>8.6099057999999999</v>
      </c>
      <c r="Y942">
        <f t="shared" si="43"/>
        <v>17.169905800000002</v>
      </c>
      <c r="Z942">
        <f t="shared" si="44"/>
        <v>88.699905799999996</v>
      </c>
    </row>
    <row r="943" spans="1:26" x14ac:dyDescent="0.3">
      <c r="A943" t="s">
        <v>1033</v>
      </c>
      <c r="B943" t="s">
        <v>63</v>
      </c>
      <c r="C943" t="s">
        <v>89</v>
      </c>
      <c r="D943" t="s">
        <v>69</v>
      </c>
      <c r="E943">
        <v>22</v>
      </c>
      <c r="F943" s="3">
        <v>6.39</v>
      </c>
      <c r="G943" s="4">
        <v>65.8</v>
      </c>
      <c r="H943">
        <v>1</v>
      </c>
      <c r="I943">
        <v>2</v>
      </c>
      <c r="J943">
        <v>3</v>
      </c>
      <c r="K943" s="4">
        <v>61.1</v>
      </c>
      <c r="L943" s="4">
        <v>74.400000000000006</v>
      </c>
      <c r="M943" s="4">
        <v>74.900000000000006</v>
      </c>
      <c r="N943">
        <v>0</v>
      </c>
      <c r="O943" t="s">
        <v>64</v>
      </c>
      <c r="P943" t="s">
        <v>65</v>
      </c>
      <c r="S943" s="3">
        <v>0</v>
      </c>
      <c r="T943" s="5"/>
      <c r="U943">
        <v>0</v>
      </c>
      <c r="V943">
        <v>2025</v>
      </c>
      <c r="X943">
        <f t="shared" si="42"/>
        <v>6.3899056999999999</v>
      </c>
      <c r="Y943">
        <f t="shared" si="43"/>
        <v>-9.4300000000000002E-5</v>
      </c>
      <c r="Z943">
        <f t="shared" si="44"/>
        <v>74.399905700000005</v>
      </c>
    </row>
    <row r="944" spans="1:26" x14ac:dyDescent="0.3">
      <c r="A944" t="s">
        <v>1034</v>
      </c>
      <c r="B944" t="s">
        <v>67</v>
      </c>
      <c r="C944" t="s">
        <v>89</v>
      </c>
      <c r="D944" t="s">
        <v>57</v>
      </c>
      <c r="E944">
        <v>22</v>
      </c>
      <c r="F944" s="3">
        <v>6.87</v>
      </c>
      <c r="G944" s="4">
        <v>94.9</v>
      </c>
      <c r="H944">
        <v>2</v>
      </c>
      <c r="I944">
        <v>3</v>
      </c>
      <c r="J944">
        <v>4</v>
      </c>
      <c r="K944" s="4">
        <v>68.2</v>
      </c>
      <c r="L944" s="4">
        <v>40.799999999999997</v>
      </c>
      <c r="M944" s="4">
        <v>60.5</v>
      </c>
      <c r="N944">
        <v>1</v>
      </c>
      <c r="O944" t="s">
        <v>58</v>
      </c>
      <c r="P944" t="s">
        <v>70</v>
      </c>
      <c r="Q944" t="s">
        <v>71</v>
      </c>
      <c r="R944" t="s">
        <v>109</v>
      </c>
      <c r="S944" s="3">
        <v>4.47</v>
      </c>
      <c r="T944" s="5">
        <v>45167</v>
      </c>
      <c r="U944">
        <v>2</v>
      </c>
      <c r="V944">
        <v>2023</v>
      </c>
      <c r="X944">
        <f t="shared" si="42"/>
        <v>6.8699056000000001</v>
      </c>
      <c r="Y944">
        <f t="shared" si="43"/>
        <v>4.4699055999999997</v>
      </c>
      <c r="Z944">
        <f t="shared" si="44"/>
        <v>40.799905599999995</v>
      </c>
    </row>
    <row r="945" spans="1:26" x14ac:dyDescent="0.3">
      <c r="A945" t="s">
        <v>1035</v>
      </c>
      <c r="B945" t="s">
        <v>67</v>
      </c>
      <c r="C945" t="s">
        <v>68</v>
      </c>
      <c r="D945" t="s">
        <v>57</v>
      </c>
      <c r="E945">
        <v>21</v>
      </c>
      <c r="F945" s="3">
        <v>7.53</v>
      </c>
      <c r="G945" s="4">
        <v>88.7</v>
      </c>
      <c r="H945">
        <v>2</v>
      </c>
      <c r="I945">
        <v>2</v>
      </c>
      <c r="J945">
        <v>6</v>
      </c>
      <c r="K945" s="4">
        <v>86.9</v>
      </c>
      <c r="L945" s="4">
        <v>72.099999999999994</v>
      </c>
      <c r="M945" s="4">
        <v>69.5</v>
      </c>
      <c r="N945">
        <v>0</v>
      </c>
      <c r="O945" t="s">
        <v>58</v>
      </c>
      <c r="P945" t="s">
        <v>95</v>
      </c>
      <c r="Q945" t="s">
        <v>93</v>
      </c>
      <c r="R945" t="s">
        <v>109</v>
      </c>
      <c r="S945" s="3">
        <v>7.66</v>
      </c>
      <c r="T945" s="5">
        <v>45151</v>
      </c>
      <c r="U945">
        <v>2</v>
      </c>
      <c r="V945">
        <v>2023</v>
      </c>
      <c r="X945">
        <f t="shared" si="42"/>
        <v>7.5299054999999999</v>
      </c>
      <c r="Y945">
        <f t="shared" si="43"/>
        <v>7.6599054999999998</v>
      </c>
      <c r="Z945">
        <f t="shared" si="44"/>
        <v>72.099905499999991</v>
      </c>
    </row>
    <row r="946" spans="1:26" x14ac:dyDescent="0.3">
      <c r="A946" t="s">
        <v>1036</v>
      </c>
      <c r="B946" t="s">
        <v>67</v>
      </c>
      <c r="C946" t="s">
        <v>74</v>
      </c>
      <c r="D946" t="s">
        <v>57</v>
      </c>
      <c r="E946">
        <v>23</v>
      </c>
      <c r="F946" s="3">
        <v>7.68</v>
      </c>
      <c r="G946" s="4">
        <v>92.5</v>
      </c>
      <c r="H946">
        <v>1</v>
      </c>
      <c r="I946">
        <v>2</v>
      </c>
      <c r="J946">
        <v>4</v>
      </c>
      <c r="K946" s="4">
        <v>53.1</v>
      </c>
      <c r="L946" s="4">
        <v>65.900000000000006</v>
      </c>
      <c r="M946" s="4">
        <v>83.9</v>
      </c>
      <c r="N946">
        <v>1</v>
      </c>
      <c r="O946" t="s">
        <v>58</v>
      </c>
      <c r="P946" t="s">
        <v>79</v>
      </c>
      <c r="Q946" t="s">
        <v>71</v>
      </c>
      <c r="R946" t="s">
        <v>80</v>
      </c>
      <c r="S946" s="3">
        <v>5.47</v>
      </c>
      <c r="T946" s="5">
        <v>45180</v>
      </c>
      <c r="U946">
        <v>2</v>
      </c>
      <c r="V946">
        <v>2023</v>
      </c>
      <c r="X946">
        <f t="shared" si="42"/>
        <v>7.6799054</v>
      </c>
      <c r="Y946">
        <f t="shared" si="43"/>
        <v>5.4699054</v>
      </c>
      <c r="Z946">
        <f t="shared" si="44"/>
        <v>65.899905400000009</v>
      </c>
    </row>
    <row r="947" spans="1:26" x14ac:dyDescent="0.3">
      <c r="A947" t="s">
        <v>1037</v>
      </c>
      <c r="B947" t="s">
        <v>67</v>
      </c>
      <c r="C947" t="s">
        <v>84</v>
      </c>
      <c r="D947" t="s">
        <v>69</v>
      </c>
      <c r="E947">
        <v>20</v>
      </c>
      <c r="F947" s="3">
        <v>7.03</v>
      </c>
      <c r="G947" s="4">
        <v>93.1</v>
      </c>
      <c r="H947">
        <v>0</v>
      </c>
      <c r="I947">
        <v>5</v>
      </c>
      <c r="J947">
        <v>5</v>
      </c>
      <c r="K947" s="4">
        <v>48.8</v>
      </c>
      <c r="L947" s="4">
        <v>60.6</v>
      </c>
      <c r="M947" s="4">
        <v>59.1</v>
      </c>
      <c r="N947">
        <v>0</v>
      </c>
      <c r="O947" t="s">
        <v>58</v>
      </c>
      <c r="P947" t="s">
        <v>70</v>
      </c>
      <c r="Q947" t="s">
        <v>71</v>
      </c>
      <c r="R947" t="s">
        <v>109</v>
      </c>
      <c r="S947" s="3">
        <v>5.14</v>
      </c>
      <c r="T947" s="5">
        <v>45167</v>
      </c>
      <c r="U947">
        <v>3</v>
      </c>
      <c r="V947">
        <v>2023</v>
      </c>
      <c r="X947">
        <f t="shared" si="42"/>
        <v>7.0299053000000002</v>
      </c>
      <c r="Y947">
        <f t="shared" si="43"/>
        <v>5.1399052999999997</v>
      </c>
      <c r="Z947">
        <f t="shared" si="44"/>
        <v>60.599905300000003</v>
      </c>
    </row>
    <row r="948" spans="1:26" x14ac:dyDescent="0.3">
      <c r="A948" t="s">
        <v>1038</v>
      </c>
      <c r="B948" t="s">
        <v>82</v>
      </c>
      <c r="C948" t="s">
        <v>74</v>
      </c>
      <c r="D948" t="s">
        <v>57</v>
      </c>
      <c r="E948">
        <v>23</v>
      </c>
      <c r="F948" s="3">
        <v>6.62</v>
      </c>
      <c r="G948" s="4">
        <v>82.2</v>
      </c>
      <c r="H948">
        <v>2</v>
      </c>
      <c r="I948">
        <v>1</v>
      </c>
      <c r="J948">
        <v>3</v>
      </c>
      <c r="K948" s="4">
        <v>71.3</v>
      </c>
      <c r="L948" s="4">
        <v>75.400000000000006</v>
      </c>
      <c r="M948" s="4">
        <v>75.7</v>
      </c>
      <c r="N948">
        <v>1</v>
      </c>
      <c r="O948" t="s">
        <v>58</v>
      </c>
      <c r="P948" t="s">
        <v>70</v>
      </c>
      <c r="Q948" t="s">
        <v>71</v>
      </c>
      <c r="R948" t="s">
        <v>61</v>
      </c>
      <c r="S948" s="3">
        <v>6.1</v>
      </c>
      <c r="T948" s="5">
        <v>44867</v>
      </c>
      <c r="U948">
        <v>1</v>
      </c>
      <c r="V948">
        <v>2022</v>
      </c>
      <c r="X948">
        <f t="shared" si="42"/>
        <v>6.6199051999999998</v>
      </c>
      <c r="Y948">
        <f t="shared" si="43"/>
        <v>6.0999051999999994</v>
      </c>
      <c r="Z948">
        <f t="shared" si="44"/>
        <v>75.399905200000006</v>
      </c>
    </row>
    <row r="949" spans="1:26" x14ac:dyDescent="0.3">
      <c r="A949" t="s">
        <v>1039</v>
      </c>
      <c r="B949" t="s">
        <v>55</v>
      </c>
      <c r="C949" t="s">
        <v>68</v>
      </c>
      <c r="D949" t="s">
        <v>69</v>
      </c>
      <c r="E949">
        <v>22</v>
      </c>
      <c r="F949" s="3">
        <v>8.01</v>
      </c>
      <c r="G949" s="4">
        <v>78.7</v>
      </c>
      <c r="H949">
        <v>1</v>
      </c>
      <c r="I949">
        <v>1</v>
      </c>
      <c r="J949">
        <v>6</v>
      </c>
      <c r="K949" s="4">
        <v>67.5</v>
      </c>
      <c r="L949" s="4">
        <v>79.8</v>
      </c>
      <c r="M949" s="4">
        <v>80.7</v>
      </c>
      <c r="N949">
        <v>0</v>
      </c>
      <c r="O949" t="s">
        <v>58</v>
      </c>
      <c r="P949" t="s">
        <v>70</v>
      </c>
      <c r="Q949" t="s">
        <v>71</v>
      </c>
      <c r="R949" t="s">
        <v>76</v>
      </c>
      <c r="S949" s="3">
        <v>4.58</v>
      </c>
      <c r="T949" s="5">
        <v>45520</v>
      </c>
      <c r="U949">
        <v>1</v>
      </c>
      <c r="V949">
        <v>2024</v>
      </c>
      <c r="X949">
        <f t="shared" si="42"/>
        <v>8.0099050999999992</v>
      </c>
      <c r="Y949">
        <f t="shared" si="43"/>
        <v>4.5799051000000004</v>
      </c>
      <c r="Z949">
        <f t="shared" si="44"/>
        <v>79.799905100000004</v>
      </c>
    </row>
    <row r="950" spans="1:26" x14ac:dyDescent="0.3">
      <c r="A950" t="s">
        <v>1040</v>
      </c>
      <c r="B950" t="s">
        <v>63</v>
      </c>
      <c r="C950" t="s">
        <v>78</v>
      </c>
      <c r="D950" t="s">
        <v>69</v>
      </c>
      <c r="E950">
        <v>20</v>
      </c>
      <c r="F950" s="3">
        <v>9.2200000000000006</v>
      </c>
      <c r="G950" s="4">
        <v>81.2</v>
      </c>
      <c r="H950">
        <v>0</v>
      </c>
      <c r="I950">
        <v>3</v>
      </c>
      <c r="J950">
        <v>2</v>
      </c>
      <c r="K950" s="4">
        <v>70.7</v>
      </c>
      <c r="L950" s="4">
        <v>80</v>
      </c>
      <c r="M950" s="4">
        <v>74.599999999999994</v>
      </c>
      <c r="N950">
        <v>0</v>
      </c>
      <c r="O950" t="s">
        <v>58</v>
      </c>
      <c r="P950" t="s">
        <v>79</v>
      </c>
      <c r="Q950" t="s">
        <v>71</v>
      </c>
      <c r="R950" t="s">
        <v>85</v>
      </c>
      <c r="S950" s="3">
        <v>7.85</v>
      </c>
      <c r="T950" s="5">
        <v>45929</v>
      </c>
      <c r="U950">
        <v>1</v>
      </c>
      <c r="V950">
        <v>2025</v>
      </c>
      <c r="X950">
        <f t="shared" si="42"/>
        <v>9.2199050000000007</v>
      </c>
      <c r="Y950">
        <f t="shared" si="43"/>
        <v>7.8499049999999997</v>
      </c>
      <c r="Z950">
        <f t="shared" si="44"/>
        <v>79.999904999999998</v>
      </c>
    </row>
    <row r="951" spans="1:26" x14ac:dyDescent="0.3">
      <c r="A951" t="s">
        <v>1041</v>
      </c>
      <c r="B951" t="s">
        <v>107</v>
      </c>
      <c r="C951" t="s">
        <v>68</v>
      </c>
      <c r="D951" t="s">
        <v>69</v>
      </c>
      <c r="E951">
        <v>21</v>
      </c>
      <c r="F951" s="3">
        <v>7.7</v>
      </c>
      <c r="G951" s="4">
        <v>87</v>
      </c>
      <c r="H951">
        <v>2</v>
      </c>
      <c r="I951">
        <v>3</v>
      </c>
      <c r="J951">
        <v>4</v>
      </c>
      <c r="K951" s="4">
        <v>40.6</v>
      </c>
      <c r="L951" s="4">
        <v>80.5</v>
      </c>
      <c r="M951" s="4">
        <v>72.2</v>
      </c>
      <c r="N951">
        <v>1</v>
      </c>
      <c r="O951" t="s">
        <v>58</v>
      </c>
      <c r="P951" t="s">
        <v>70</v>
      </c>
      <c r="Q951" t="s">
        <v>71</v>
      </c>
      <c r="R951" t="s">
        <v>61</v>
      </c>
      <c r="S951" s="3">
        <v>6.18</v>
      </c>
      <c r="T951" s="5">
        <v>44513</v>
      </c>
      <c r="U951">
        <v>1</v>
      </c>
      <c r="V951">
        <v>2021</v>
      </c>
      <c r="X951">
        <f t="shared" si="42"/>
        <v>7.6999048999999999</v>
      </c>
      <c r="Y951">
        <f t="shared" si="43"/>
        <v>6.1799048999999995</v>
      </c>
      <c r="Z951">
        <f t="shared" si="44"/>
        <v>80.499904900000004</v>
      </c>
    </row>
    <row r="952" spans="1:26" x14ac:dyDescent="0.3">
      <c r="A952" t="s">
        <v>1042</v>
      </c>
      <c r="B952" t="s">
        <v>55</v>
      </c>
      <c r="C952" t="s">
        <v>74</v>
      </c>
      <c r="D952" t="s">
        <v>57</v>
      </c>
      <c r="E952">
        <v>23</v>
      </c>
      <c r="F952" s="3">
        <v>7.39</v>
      </c>
      <c r="G952" s="4">
        <v>84.5</v>
      </c>
      <c r="H952">
        <v>2</v>
      </c>
      <c r="I952">
        <v>2</v>
      </c>
      <c r="J952">
        <v>5</v>
      </c>
      <c r="K952" s="4">
        <v>89.6</v>
      </c>
      <c r="L952" s="4">
        <v>52.7</v>
      </c>
      <c r="M952" s="4">
        <v>72.099999999999994</v>
      </c>
      <c r="N952">
        <v>1</v>
      </c>
      <c r="O952" t="s">
        <v>58</v>
      </c>
      <c r="P952" t="s">
        <v>112</v>
      </c>
      <c r="Q952" t="s">
        <v>93</v>
      </c>
      <c r="R952" t="s">
        <v>72</v>
      </c>
      <c r="S952" s="3">
        <v>5.43</v>
      </c>
      <c r="T952" s="5">
        <v>45538</v>
      </c>
      <c r="U952">
        <v>3</v>
      </c>
      <c r="V952">
        <v>2024</v>
      </c>
      <c r="X952">
        <f t="shared" si="42"/>
        <v>7.3899048000000001</v>
      </c>
      <c r="Y952">
        <f t="shared" si="43"/>
        <v>5.4299048000000001</v>
      </c>
      <c r="Z952">
        <f t="shared" si="44"/>
        <v>52.699904800000006</v>
      </c>
    </row>
    <row r="953" spans="1:26" x14ac:dyDescent="0.3">
      <c r="A953" t="s">
        <v>1043</v>
      </c>
      <c r="B953" t="s">
        <v>67</v>
      </c>
      <c r="C953" t="s">
        <v>68</v>
      </c>
      <c r="D953" t="s">
        <v>69</v>
      </c>
      <c r="E953">
        <v>20</v>
      </c>
      <c r="F953" s="3">
        <v>7.29</v>
      </c>
      <c r="G953" s="4">
        <v>65.5</v>
      </c>
      <c r="H953">
        <v>1</v>
      </c>
      <c r="I953">
        <v>1</v>
      </c>
      <c r="J953">
        <v>5</v>
      </c>
      <c r="K953" s="4">
        <v>70.900000000000006</v>
      </c>
      <c r="L953" s="4">
        <v>54.1</v>
      </c>
      <c r="M953" s="4">
        <v>80</v>
      </c>
      <c r="N953">
        <v>1</v>
      </c>
      <c r="O953" t="s">
        <v>58</v>
      </c>
      <c r="P953" t="s">
        <v>104</v>
      </c>
      <c r="Q953" t="s">
        <v>105</v>
      </c>
      <c r="R953" t="s">
        <v>72</v>
      </c>
      <c r="S953" s="3">
        <v>13.74</v>
      </c>
      <c r="T953" s="5">
        <v>45257</v>
      </c>
      <c r="U953">
        <v>2</v>
      </c>
      <c r="V953">
        <v>2023</v>
      </c>
      <c r="X953">
        <f t="shared" si="42"/>
        <v>7.2899047000000001</v>
      </c>
      <c r="Y953">
        <f t="shared" si="43"/>
        <v>13.7399047</v>
      </c>
      <c r="Z953">
        <f t="shared" si="44"/>
        <v>54.099904700000003</v>
      </c>
    </row>
    <row r="954" spans="1:26" x14ac:dyDescent="0.3">
      <c r="A954" t="s">
        <v>1044</v>
      </c>
      <c r="B954" t="s">
        <v>55</v>
      </c>
      <c r="C954" t="s">
        <v>101</v>
      </c>
      <c r="D954" t="s">
        <v>69</v>
      </c>
      <c r="E954">
        <v>20</v>
      </c>
      <c r="F954" s="3">
        <v>6.66</v>
      </c>
      <c r="G954" s="4">
        <v>80.900000000000006</v>
      </c>
      <c r="H954">
        <v>0</v>
      </c>
      <c r="I954">
        <v>3</v>
      </c>
      <c r="J954">
        <v>2</v>
      </c>
      <c r="K954" s="4">
        <v>100</v>
      </c>
      <c r="L954" s="4">
        <v>74</v>
      </c>
      <c r="M954" s="4">
        <v>76.3</v>
      </c>
      <c r="N954">
        <v>0</v>
      </c>
      <c r="O954" t="s">
        <v>64</v>
      </c>
      <c r="P954" t="s">
        <v>65</v>
      </c>
      <c r="S954" s="3">
        <v>0</v>
      </c>
      <c r="T954" s="5"/>
      <c r="U954">
        <v>0</v>
      </c>
      <c r="V954">
        <v>2024</v>
      </c>
      <c r="X954">
        <f t="shared" si="42"/>
        <v>6.6599046</v>
      </c>
      <c r="Y954">
        <f t="shared" si="43"/>
        <v>-9.5400000000000001E-5</v>
      </c>
      <c r="Z954">
        <f t="shared" si="44"/>
        <v>73.999904599999994</v>
      </c>
    </row>
    <row r="955" spans="1:26" x14ac:dyDescent="0.3">
      <c r="A955" t="s">
        <v>1045</v>
      </c>
      <c r="B955" t="s">
        <v>63</v>
      </c>
      <c r="C955" t="s">
        <v>74</v>
      </c>
      <c r="D955" t="s">
        <v>57</v>
      </c>
      <c r="E955">
        <v>22</v>
      </c>
      <c r="F955" s="3">
        <v>7.05</v>
      </c>
      <c r="G955" s="4">
        <v>94.7</v>
      </c>
      <c r="H955">
        <v>1</v>
      </c>
      <c r="I955">
        <v>2</v>
      </c>
      <c r="J955">
        <v>3</v>
      </c>
      <c r="K955" s="4">
        <v>73.8</v>
      </c>
      <c r="L955" s="4">
        <v>86.2</v>
      </c>
      <c r="M955" s="4">
        <v>79.900000000000006</v>
      </c>
      <c r="N955">
        <v>0</v>
      </c>
      <c r="O955" t="s">
        <v>58</v>
      </c>
      <c r="P955" t="s">
        <v>104</v>
      </c>
      <c r="Q955" t="s">
        <v>105</v>
      </c>
      <c r="R955" t="s">
        <v>85</v>
      </c>
      <c r="S955" s="3">
        <v>14.73</v>
      </c>
      <c r="T955" s="5">
        <v>45936</v>
      </c>
      <c r="U955">
        <v>3</v>
      </c>
      <c r="V955">
        <v>2025</v>
      </c>
      <c r="X955">
        <f t="shared" si="42"/>
        <v>7.0499045000000002</v>
      </c>
      <c r="Y955">
        <f t="shared" si="43"/>
        <v>14.7299045</v>
      </c>
      <c r="Z955">
        <f t="shared" si="44"/>
        <v>86.199904500000002</v>
      </c>
    </row>
    <row r="956" spans="1:26" x14ac:dyDescent="0.3">
      <c r="A956" t="s">
        <v>1046</v>
      </c>
      <c r="B956" t="s">
        <v>107</v>
      </c>
      <c r="C956" t="s">
        <v>56</v>
      </c>
      <c r="D956" t="s">
        <v>57</v>
      </c>
      <c r="E956">
        <v>22</v>
      </c>
      <c r="F956" s="3">
        <v>8.67</v>
      </c>
      <c r="G956" s="4">
        <v>82</v>
      </c>
      <c r="H956">
        <v>0</v>
      </c>
      <c r="I956">
        <v>4</v>
      </c>
      <c r="J956">
        <v>4</v>
      </c>
      <c r="K956" s="4">
        <v>62.4</v>
      </c>
      <c r="L956" s="4">
        <v>75.3</v>
      </c>
      <c r="M956" s="4">
        <v>69.599999999999994</v>
      </c>
      <c r="N956">
        <v>0</v>
      </c>
      <c r="O956" t="s">
        <v>64</v>
      </c>
      <c r="P956" t="s">
        <v>65</v>
      </c>
      <c r="S956" s="3">
        <v>0</v>
      </c>
      <c r="T956" s="5"/>
      <c r="U956">
        <v>0</v>
      </c>
      <c r="V956">
        <v>2021</v>
      </c>
      <c r="X956">
        <f t="shared" si="42"/>
        <v>8.6699044000000001</v>
      </c>
      <c r="Y956">
        <f t="shared" si="43"/>
        <v>-9.5599999999999993E-5</v>
      </c>
      <c r="Z956">
        <f t="shared" si="44"/>
        <v>75.299904400000003</v>
      </c>
    </row>
    <row r="957" spans="1:26" x14ac:dyDescent="0.3">
      <c r="A957" t="s">
        <v>1047</v>
      </c>
      <c r="B957" t="s">
        <v>107</v>
      </c>
      <c r="C957" t="s">
        <v>74</v>
      </c>
      <c r="D957" t="s">
        <v>57</v>
      </c>
      <c r="E957">
        <v>23</v>
      </c>
      <c r="F957" s="3">
        <v>5.79</v>
      </c>
      <c r="G957" s="4">
        <v>100</v>
      </c>
      <c r="H957">
        <v>1</v>
      </c>
      <c r="I957">
        <v>3</v>
      </c>
      <c r="J957">
        <v>3</v>
      </c>
      <c r="K957" s="4">
        <v>71.599999999999994</v>
      </c>
      <c r="L957" s="4">
        <v>38.4</v>
      </c>
      <c r="M957" s="4">
        <v>70.2</v>
      </c>
      <c r="N957">
        <v>1</v>
      </c>
      <c r="O957" t="s">
        <v>58</v>
      </c>
      <c r="P957" t="s">
        <v>95</v>
      </c>
      <c r="Q957" t="s">
        <v>93</v>
      </c>
      <c r="R957" t="s">
        <v>130</v>
      </c>
      <c r="S957" s="3">
        <v>3.85</v>
      </c>
      <c r="T957" s="5">
        <v>44502</v>
      </c>
      <c r="U957">
        <v>1</v>
      </c>
      <c r="V957">
        <v>2021</v>
      </c>
      <c r="X957">
        <f t="shared" si="42"/>
        <v>5.7899042999999999</v>
      </c>
      <c r="Y957">
        <f t="shared" si="43"/>
        <v>3.8499042999999999</v>
      </c>
      <c r="Z957">
        <f t="shared" si="44"/>
        <v>38.399904299999996</v>
      </c>
    </row>
    <row r="958" spans="1:26" x14ac:dyDescent="0.3">
      <c r="A958" t="s">
        <v>1048</v>
      </c>
      <c r="B958" t="s">
        <v>63</v>
      </c>
      <c r="C958" t="s">
        <v>101</v>
      </c>
      <c r="D958" t="s">
        <v>57</v>
      </c>
      <c r="E958">
        <v>21</v>
      </c>
      <c r="F958" s="3">
        <v>7.71</v>
      </c>
      <c r="G958" s="4">
        <v>73.400000000000006</v>
      </c>
      <c r="H958">
        <v>3</v>
      </c>
      <c r="I958">
        <v>1</v>
      </c>
      <c r="J958">
        <v>4</v>
      </c>
      <c r="K958" s="4">
        <v>88.7</v>
      </c>
      <c r="L958" s="4">
        <v>78.2</v>
      </c>
      <c r="M958" s="4">
        <v>80.599999999999994</v>
      </c>
      <c r="N958">
        <v>0</v>
      </c>
      <c r="O958" t="s">
        <v>58</v>
      </c>
      <c r="P958" t="s">
        <v>104</v>
      </c>
      <c r="Q958" t="s">
        <v>105</v>
      </c>
      <c r="R958" t="s">
        <v>80</v>
      </c>
      <c r="S958" s="3">
        <v>16.829999999999998</v>
      </c>
      <c r="T958" s="5">
        <v>45924</v>
      </c>
      <c r="U958">
        <v>1</v>
      </c>
      <c r="V958">
        <v>2025</v>
      </c>
      <c r="X958">
        <f t="shared" si="42"/>
        <v>7.7099041999999995</v>
      </c>
      <c r="Y958">
        <f t="shared" si="43"/>
        <v>16.829904199999998</v>
      </c>
      <c r="Z958">
        <f t="shared" si="44"/>
        <v>78.199904200000006</v>
      </c>
    </row>
    <row r="959" spans="1:26" x14ac:dyDescent="0.3">
      <c r="A959" t="s">
        <v>1049</v>
      </c>
      <c r="B959" t="s">
        <v>63</v>
      </c>
      <c r="C959" t="s">
        <v>56</v>
      </c>
      <c r="D959" t="s">
        <v>57</v>
      </c>
      <c r="E959">
        <v>20</v>
      </c>
      <c r="F959" s="3">
        <v>7.68</v>
      </c>
      <c r="G959" s="4">
        <v>85.1</v>
      </c>
      <c r="H959">
        <v>0</v>
      </c>
      <c r="I959">
        <v>3</v>
      </c>
      <c r="J959">
        <v>3</v>
      </c>
      <c r="K959" s="4">
        <v>57.9</v>
      </c>
      <c r="L959" s="4">
        <v>46.6</v>
      </c>
      <c r="M959" s="4">
        <v>63.3</v>
      </c>
      <c r="N959">
        <v>1</v>
      </c>
      <c r="O959" t="s">
        <v>58</v>
      </c>
      <c r="P959" t="s">
        <v>75</v>
      </c>
      <c r="Q959" t="s">
        <v>71</v>
      </c>
      <c r="R959" t="s">
        <v>80</v>
      </c>
      <c r="S959" s="3">
        <v>5.53</v>
      </c>
      <c r="T959" s="5">
        <v>45927</v>
      </c>
      <c r="U959">
        <v>1</v>
      </c>
      <c r="V959">
        <v>2025</v>
      </c>
      <c r="X959">
        <f t="shared" si="42"/>
        <v>7.6799040999999999</v>
      </c>
      <c r="Y959">
        <f t="shared" si="43"/>
        <v>5.5299041000000004</v>
      </c>
      <c r="Z959">
        <f t="shared" si="44"/>
        <v>46.599904100000003</v>
      </c>
    </row>
    <row r="960" spans="1:26" x14ac:dyDescent="0.3">
      <c r="A960" t="s">
        <v>1050</v>
      </c>
      <c r="B960" t="s">
        <v>67</v>
      </c>
      <c r="C960" t="s">
        <v>84</v>
      </c>
      <c r="D960" t="s">
        <v>69</v>
      </c>
      <c r="E960">
        <v>22</v>
      </c>
      <c r="F960" s="3">
        <v>7.76</v>
      </c>
      <c r="G960" s="4">
        <v>73.099999999999994</v>
      </c>
      <c r="H960">
        <v>1</v>
      </c>
      <c r="I960">
        <v>1</v>
      </c>
      <c r="J960">
        <v>3</v>
      </c>
      <c r="K960" s="4">
        <v>76.2</v>
      </c>
      <c r="L960" s="4">
        <v>80.3</v>
      </c>
      <c r="M960" s="4">
        <v>60.5</v>
      </c>
      <c r="N960">
        <v>0</v>
      </c>
      <c r="O960" t="s">
        <v>64</v>
      </c>
      <c r="P960" t="s">
        <v>65</v>
      </c>
      <c r="S960" s="3">
        <v>0</v>
      </c>
      <c r="T960" s="5"/>
      <c r="U960">
        <v>0</v>
      </c>
      <c r="V960">
        <v>2023</v>
      </c>
      <c r="X960">
        <f t="shared" si="42"/>
        <v>7.7599039999999997</v>
      </c>
      <c r="Y960">
        <f t="shared" si="43"/>
        <v>-9.6000000000000002E-5</v>
      </c>
      <c r="Z960">
        <f t="shared" si="44"/>
        <v>80.299903999999998</v>
      </c>
    </row>
    <row r="961" spans="1:26" x14ac:dyDescent="0.3">
      <c r="A961" t="s">
        <v>1051</v>
      </c>
      <c r="B961" t="s">
        <v>107</v>
      </c>
      <c r="C961" t="s">
        <v>68</v>
      </c>
      <c r="D961" t="s">
        <v>57</v>
      </c>
      <c r="E961">
        <v>23</v>
      </c>
      <c r="F961" s="3">
        <v>8.3000000000000007</v>
      </c>
      <c r="G961" s="4">
        <v>74.3</v>
      </c>
      <c r="H961">
        <v>2</v>
      </c>
      <c r="I961">
        <v>4</v>
      </c>
      <c r="J961">
        <v>2</v>
      </c>
      <c r="K961" s="4">
        <v>74.099999999999994</v>
      </c>
      <c r="L961" s="4">
        <v>61.6</v>
      </c>
      <c r="M961" s="4">
        <v>100</v>
      </c>
      <c r="N961">
        <v>0</v>
      </c>
      <c r="O961" t="s">
        <v>58</v>
      </c>
      <c r="P961" t="s">
        <v>59</v>
      </c>
      <c r="Q961" t="s">
        <v>60</v>
      </c>
      <c r="R961" t="s">
        <v>130</v>
      </c>
      <c r="S961" s="3">
        <v>21.64</v>
      </c>
      <c r="T961" s="5">
        <v>44472</v>
      </c>
      <c r="U961">
        <v>1</v>
      </c>
      <c r="V961">
        <v>2021</v>
      </c>
      <c r="X961">
        <f t="shared" si="42"/>
        <v>8.2999039000000003</v>
      </c>
      <c r="Y961">
        <f t="shared" si="43"/>
        <v>21.6399039</v>
      </c>
      <c r="Z961">
        <f t="shared" si="44"/>
        <v>61.599903900000001</v>
      </c>
    </row>
    <row r="962" spans="1:26" x14ac:dyDescent="0.3">
      <c r="A962" t="s">
        <v>1052</v>
      </c>
      <c r="B962" t="s">
        <v>55</v>
      </c>
      <c r="C962" t="s">
        <v>84</v>
      </c>
      <c r="D962" t="s">
        <v>57</v>
      </c>
      <c r="E962">
        <v>22</v>
      </c>
      <c r="F962" s="3">
        <v>7.71</v>
      </c>
      <c r="G962" s="4">
        <v>74.400000000000006</v>
      </c>
      <c r="H962">
        <v>0</v>
      </c>
      <c r="I962">
        <v>3</v>
      </c>
      <c r="J962">
        <v>1</v>
      </c>
      <c r="K962" s="4">
        <v>76.3</v>
      </c>
      <c r="L962" s="4">
        <v>74.5</v>
      </c>
      <c r="M962" s="4">
        <v>79.099999999999994</v>
      </c>
      <c r="N962">
        <v>0</v>
      </c>
      <c r="O962" t="s">
        <v>58</v>
      </c>
      <c r="P962" t="s">
        <v>79</v>
      </c>
      <c r="Q962" t="s">
        <v>71</v>
      </c>
      <c r="R962" t="s">
        <v>80</v>
      </c>
      <c r="S962" s="3">
        <v>6.05</v>
      </c>
      <c r="T962" s="5">
        <v>45602</v>
      </c>
      <c r="U962">
        <v>1</v>
      </c>
      <c r="V962">
        <v>2024</v>
      </c>
      <c r="X962">
        <f t="shared" ref="X962:X1025" si="45">F962-ROW()*0.0000001</f>
        <v>7.7099038000000002</v>
      </c>
      <c r="Y962">
        <f t="shared" ref="Y962:Y1025" si="46">S962-ROW()*0.0000001</f>
        <v>6.0499038000000001</v>
      </c>
      <c r="Z962">
        <f t="shared" ref="Z962:Z1025" si="47">L962-ROW()*0.0000001</f>
        <v>74.499903799999998</v>
      </c>
    </row>
    <row r="963" spans="1:26" x14ac:dyDescent="0.3">
      <c r="A963" t="s">
        <v>1053</v>
      </c>
      <c r="B963" t="s">
        <v>82</v>
      </c>
      <c r="C963" t="s">
        <v>84</v>
      </c>
      <c r="D963" t="s">
        <v>69</v>
      </c>
      <c r="E963">
        <v>23</v>
      </c>
      <c r="F963" s="3">
        <v>7.24</v>
      </c>
      <c r="G963" s="4">
        <v>100</v>
      </c>
      <c r="H963">
        <v>0</v>
      </c>
      <c r="I963">
        <v>2</v>
      </c>
      <c r="J963">
        <v>5</v>
      </c>
      <c r="K963" s="4">
        <v>55.3</v>
      </c>
      <c r="L963" s="4">
        <v>100</v>
      </c>
      <c r="M963" s="4">
        <v>71.099999999999994</v>
      </c>
      <c r="N963">
        <v>0</v>
      </c>
      <c r="O963" t="s">
        <v>58</v>
      </c>
      <c r="P963" t="s">
        <v>79</v>
      </c>
      <c r="Q963" t="s">
        <v>71</v>
      </c>
      <c r="R963" t="s">
        <v>80</v>
      </c>
      <c r="S963" s="3">
        <v>6.25</v>
      </c>
      <c r="T963" s="5">
        <v>44777</v>
      </c>
      <c r="U963">
        <v>3</v>
      </c>
      <c r="V963">
        <v>2022</v>
      </c>
      <c r="X963">
        <f t="shared" si="45"/>
        <v>7.2399037000000002</v>
      </c>
      <c r="Y963">
        <f t="shared" si="46"/>
        <v>6.2499037</v>
      </c>
      <c r="Z963">
        <f t="shared" si="47"/>
        <v>99.999903700000004</v>
      </c>
    </row>
    <row r="964" spans="1:26" x14ac:dyDescent="0.3">
      <c r="A964" t="s">
        <v>1054</v>
      </c>
      <c r="B964" t="s">
        <v>82</v>
      </c>
      <c r="C964" t="s">
        <v>68</v>
      </c>
      <c r="D964" t="s">
        <v>57</v>
      </c>
      <c r="E964">
        <v>22</v>
      </c>
      <c r="F964" s="3">
        <v>7.06</v>
      </c>
      <c r="G964" s="4">
        <v>79.7</v>
      </c>
      <c r="H964">
        <v>2</v>
      </c>
      <c r="I964">
        <v>2</v>
      </c>
      <c r="J964">
        <v>4</v>
      </c>
      <c r="K964" s="4">
        <v>76.900000000000006</v>
      </c>
      <c r="L964" s="4">
        <v>64.7</v>
      </c>
      <c r="M964" s="4">
        <v>65.7</v>
      </c>
      <c r="N964">
        <v>0</v>
      </c>
      <c r="O964" t="s">
        <v>58</v>
      </c>
      <c r="P964" t="s">
        <v>95</v>
      </c>
      <c r="Q964" t="s">
        <v>93</v>
      </c>
      <c r="R964" t="s">
        <v>109</v>
      </c>
      <c r="S964" s="3">
        <v>6.88</v>
      </c>
      <c r="T964" s="5">
        <v>44821</v>
      </c>
      <c r="U964">
        <v>2</v>
      </c>
      <c r="V964">
        <v>2022</v>
      </c>
      <c r="X964">
        <f t="shared" si="45"/>
        <v>7.0599035999999993</v>
      </c>
      <c r="Y964">
        <f t="shared" si="46"/>
        <v>6.8799035999999996</v>
      </c>
      <c r="Z964">
        <f t="shared" si="47"/>
        <v>64.699903599999999</v>
      </c>
    </row>
    <row r="965" spans="1:26" x14ac:dyDescent="0.3">
      <c r="A965" t="s">
        <v>1055</v>
      </c>
      <c r="B965" t="s">
        <v>63</v>
      </c>
      <c r="C965" t="s">
        <v>56</v>
      </c>
      <c r="D965" t="s">
        <v>69</v>
      </c>
      <c r="E965">
        <v>21</v>
      </c>
      <c r="F965" s="3">
        <v>8.82</v>
      </c>
      <c r="G965" s="4">
        <v>75.7</v>
      </c>
      <c r="H965">
        <v>2</v>
      </c>
      <c r="I965">
        <v>0</v>
      </c>
      <c r="J965">
        <v>4</v>
      </c>
      <c r="K965" s="4">
        <v>75.900000000000006</v>
      </c>
      <c r="L965" s="4">
        <v>58.7</v>
      </c>
      <c r="M965" s="4">
        <v>63</v>
      </c>
      <c r="N965">
        <v>2</v>
      </c>
      <c r="O965" t="s">
        <v>64</v>
      </c>
      <c r="P965" t="s">
        <v>65</v>
      </c>
      <c r="S965" s="3">
        <v>0</v>
      </c>
      <c r="T965" s="5"/>
      <c r="U965">
        <v>0</v>
      </c>
      <c r="V965">
        <v>2025</v>
      </c>
      <c r="X965">
        <f t="shared" si="45"/>
        <v>8.8199035000000006</v>
      </c>
      <c r="Y965">
        <f t="shared" si="46"/>
        <v>-9.6500000000000001E-5</v>
      </c>
      <c r="Z965">
        <f t="shared" si="47"/>
        <v>58.699903500000005</v>
      </c>
    </row>
    <row r="966" spans="1:26" x14ac:dyDescent="0.3">
      <c r="A966" t="s">
        <v>1056</v>
      </c>
      <c r="B966" t="s">
        <v>67</v>
      </c>
      <c r="C966" t="s">
        <v>56</v>
      </c>
      <c r="D966" t="s">
        <v>57</v>
      </c>
      <c r="E966">
        <v>20</v>
      </c>
      <c r="F966" s="3">
        <v>8.59</v>
      </c>
      <c r="G966" s="4">
        <v>82</v>
      </c>
      <c r="H966">
        <v>2</v>
      </c>
      <c r="I966">
        <v>0</v>
      </c>
      <c r="J966">
        <v>3</v>
      </c>
      <c r="K966" s="4">
        <v>89.9</v>
      </c>
      <c r="L966" s="4">
        <v>63.5</v>
      </c>
      <c r="M966" s="4">
        <v>73.400000000000006</v>
      </c>
      <c r="N966">
        <v>0</v>
      </c>
      <c r="O966" t="s">
        <v>64</v>
      </c>
      <c r="P966" t="s">
        <v>65</v>
      </c>
      <c r="S966" s="3">
        <v>0</v>
      </c>
      <c r="T966" s="5"/>
      <c r="U966">
        <v>0</v>
      </c>
      <c r="V966">
        <v>2023</v>
      </c>
      <c r="X966">
        <f t="shared" si="45"/>
        <v>8.5899034000000007</v>
      </c>
      <c r="Y966">
        <f t="shared" si="46"/>
        <v>-9.659999999999999E-5</v>
      </c>
      <c r="Z966">
        <f t="shared" si="47"/>
        <v>63.499903400000001</v>
      </c>
    </row>
    <row r="967" spans="1:26" x14ac:dyDescent="0.3">
      <c r="A967" t="s">
        <v>1057</v>
      </c>
      <c r="B967" t="s">
        <v>82</v>
      </c>
      <c r="C967" t="s">
        <v>56</v>
      </c>
      <c r="D967" t="s">
        <v>57</v>
      </c>
      <c r="E967">
        <v>22</v>
      </c>
      <c r="F967" s="3">
        <v>10</v>
      </c>
      <c r="G967" s="4">
        <v>80</v>
      </c>
      <c r="H967">
        <v>2</v>
      </c>
      <c r="I967">
        <v>1</v>
      </c>
      <c r="J967">
        <v>2</v>
      </c>
      <c r="K967" s="4">
        <v>92.8</v>
      </c>
      <c r="L967" s="4">
        <v>47.5</v>
      </c>
      <c r="M967" s="4">
        <v>72.900000000000006</v>
      </c>
      <c r="N967">
        <v>0</v>
      </c>
      <c r="O967" t="s">
        <v>58</v>
      </c>
      <c r="P967" t="s">
        <v>59</v>
      </c>
      <c r="Q967" t="s">
        <v>60</v>
      </c>
      <c r="R967" t="s">
        <v>72</v>
      </c>
      <c r="S967" s="3">
        <v>20.88</v>
      </c>
      <c r="T967" s="5">
        <v>44885</v>
      </c>
      <c r="U967">
        <v>1</v>
      </c>
      <c r="V967">
        <v>2022</v>
      </c>
      <c r="X967">
        <f t="shared" si="45"/>
        <v>9.9999032999999997</v>
      </c>
      <c r="Y967">
        <f t="shared" si="46"/>
        <v>20.879903299999999</v>
      </c>
      <c r="Z967">
        <f t="shared" si="47"/>
        <v>47.4999033</v>
      </c>
    </row>
    <row r="968" spans="1:26" x14ac:dyDescent="0.3">
      <c r="A968" t="s">
        <v>1058</v>
      </c>
      <c r="B968" t="s">
        <v>107</v>
      </c>
      <c r="C968" t="s">
        <v>78</v>
      </c>
      <c r="D968" t="s">
        <v>57</v>
      </c>
      <c r="E968">
        <v>20</v>
      </c>
      <c r="F968" s="3">
        <v>7.4</v>
      </c>
      <c r="G968" s="4">
        <v>89.3</v>
      </c>
      <c r="H968">
        <v>1</v>
      </c>
      <c r="I968">
        <v>3</v>
      </c>
      <c r="J968">
        <v>3</v>
      </c>
      <c r="K968" s="4">
        <v>73.2</v>
      </c>
      <c r="L968" s="4">
        <v>54.9</v>
      </c>
      <c r="M968" s="4">
        <v>79.3</v>
      </c>
      <c r="N968">
        <v>2</v>
      </c>
      <c r="O968" t="s">
        <v>58</v>
      </c>
      <c r="P968" t="s">
        <v>90</v>
      </c>
      <c r="Q968" t="s">
        <v>60</v>
      </c>
      <c r="R968" t="s">
        <v>130</v>
      </c>
      <c r="S968" s="3">
        <v>6.8</v>
      </c>
      <c r="T968" s="5">
        <v>44426</v>
      </c>
      <c r="U968">
        <v>1</v>
      </c>
      <c r="V968">
        <v>2021</v>
      </c>
      <c r="X968">
        <f t="shared" si="45"/>
        <v>7.3999032000000007</v>
      </c>
      <c r="Y968">
        <f t="shared" si="46"/>
        <v>6.7999032000000001</v>
      </c>
      <c r="Z968">
        <f t="shared" si="47"/>
        <v>54.899903199999997</v>
      </c>
    </row>
    <row r="969" spans="1:26" x14ac:dyDescent="0.3">
      <c r="A969" t="s">
        <v>1059</v>
      </c>
      <c r="B969" t="s">
        <v>63</v>
      </c>
      <c r="C969" t="s">
        <v>74</v>
      </c>
      <c r="D969" t="s">
        <v>57</v>
      </c>
      <c r="E969">
        <v>23</v>
      </c>
      <c r="F969" s="3">
        <v>7.08</v>
      </c>
      <c r="G969" s="4">
        <v>63.6</v>
      </c>
      <c r="H969">
        <v>2</v>
      </c>
      <c r="I969">
        <v>2</v>
      </c>
      <c r="J969">
        <v>3</v>
      </c>
      <c r="K969" s="4">
        <v>71.2</v>
      </c>
      <c r="L969" s="4">
        <v>86</v>
      </c>
      <c r="M969" s="4">
        <v>58.4</v>
      </c>
      <c r="N969">
        <v>0</v>
      </c>
      <c r="O969" t="s">
        <v>58</v>
      </c>
      <c r="P969" t="s">
        <v>70</v>
      </c>
      <c r="Q969" t="s">
        <v>71</v>
      </c>
      <c r="R969" t="s">
        <v>76</v>
      </c>
      <c r="S969" s="3">
        <v>7.15</v>
      </c>
      <c r="T969" s="5">
        <v>45955</v>
      </c>
      <c r="U969">
        <v>2</v>
      </c>
      <c r="V969">
        <v>2025</v>
      </c>
      <c r="X969">
        <f t="shared" si="45"/>
        <v>7.0799031000000001</v>
      </c>
      <c r="Y969">
        <f t="shared" si="46"/>
        <v>7.1499031000000004</v>
      </c>
      <c r="Z969">
        <f t="shared" si="47"/>
        <v>85.999903099999997</v>
      </c>
    </row>
    <row r="970" spans="1:26" x14ac:dyDescent="0.3">
      <c r="A970" t="s">
        <v>1060</v>
      </c>
      <c r="B970" t="s">
        <v>55</v>
      </c>
      <c r="C970" t="s">
        <v>74</v>
      </c>
      <c r="D970" t="s">
        <v>57</v>
      </c>
      <c r="E970">
        <v>21</v>
      </c>
      <c r="F970" s="3">
        <v>8.06</v>
      </c>
      <c r="G970" s="4">
        <v>73.400000000000006</v>
      </c>
      <c r="H970">
        <v>0</v>
      </c>
      <c r="I970">
        <v>1</v>
      </c>
      <c r="J970">
        <v>5</v>
      </c>
      <c r="K970" s="4">
        <v>54.6</v>
      </c>
      <c r="L970" s="4">
        <v>40.4</v>
      </c>
      <c r="M970" s="4">
        <v>58.9</v>
      </c>
      <c r="N970">
        <v>0</v>
      </c>
      <c r="O970" t="s">
        <v>58</v>
      </c>
      <c r="P970" t="s">
        <v>90</v>
      </c>
      <c r="Q970" t="s">
        <v>60</v>
      </c>
      <c r="R970" t="s">
        <v>109</v>
      </c>
      <c r="S970" s="3">
        <v>7.43</v>
      </c>
      <c r="T970" s="5">
        <v>45514</v>
      </c>
      <c r="U970">
        <v>2</v>
      </c>
      <c r="V970">
        <v>2024</v>
      </c>
      <c r="X970">
        <f t="shared" si="45"/>
        <v>8.0599030000000003</v>
      </c>
      <c r="Y970">
        <f t="shared" si="46"/>
        <v>7.4299029999999995</v>
      </c>
      <c r="Z970">
        <f t="shared" si="47"/>
        <v>40.399903000000002</v>
      </c>
    </row>
    <row r="971" spans="1:26" x14ac:dyDescent="0.3">
      <c r="A971" t="s">
        <v>1061</v>
      </c>
      <c r="B971" t="s">
        <v>63</v>
      </c>
      <c r="C971" t="s">
        <v>68</v>
      </c>
      <c r="D971" t="s">
        <v>69</v>
      </c>
      <c r="E971">
        <v>20</v>
      </c>
      <c r="F971" s="3">
        <v>8.0399999999999991</v>
      </c>
      <c r="G971" s="4">
        <v>89.6</v>
      </c>
      <c r="H971">
        <v>1</v>
      </c>
      <c r="I971">
        <v>3</v>
      </c>
      <c r="J971">
        <v>6</v>
      </c>
      <c r="K971" s="4">
        <v>65.2</v>
      </c>
      <c r="L971" s="4">
        <v>60.6</v>
      </c>
      <c r="M971" s="4">
        <v>77.099999999999994</v>
      </c>
      <c r="N971">
        <v>1</v>
      </c>
      <c r="O971" t="s">
        <v>58</v>
      </c>
      <c r="P971" t="s">
        <v>112</v>
      </c>
      <c r="Q971" t="s">
        <v>93</v>
      </c>
      <c r="R971" t="s">
        <v>80</v>
      </c>
      <c r="S971" s="3">
        <v>6.4</v>
      </c>
      <c r="T971" s="5">
        <v>45984</v>
      </c>
      <c r="U971">
        <v>3</v>
      </c>
      <c r="V971">
        <v>2025</v>
      </c>
      <c r="X971">
        <f t="shared" si="45"/>
        <v>8.0399028999999995</v>
      </c>
      <c r="Y971">
        <f t="shared" si="46"/>
        <v>6.3999029000000007</v>
      </c>
      <c r="Z971">
        <f t="shared" si="47"/>
        <v>60.599902900000004</v>
      </c>
    </row>
    <row r="972" spans="1:26" x14ac:dyDescent="0.3">
      <c r="A972" t="s">
        <v>1062</v>
      </c>
      <c r="B972" t="s">
        <v>55</v>
      </c>
      <c r="C972" t="s">
        <v>84</v>
      </c>
      <c r="D972" t="s">
        <v>57</v>
      </c>
      <c r="E972">
        <v>22</v>
      </c>
      <c r="F972" s="3">
        <v>8.2200000000000006</v>
      </c>
      <c r="G972" s="4">
        <v>77.599999999999994</v>
      </c>
      <c r="H972">
        <v>1</v>
      </c>
      <c r="I972">
        <v>1</v>
      </c>
      <c r="J972">
        <v>5</v>
      </c>
      <c r="K972" s="4">
        <v>61.6</v>
      </c>
      <c r="L972" s="4">
        <v>73.599999999999994</v>
      </c>
      <c r="M972" s="4">
        <v>78.599999999999994</v>
      </c>
      <c r="N972">
        <v>2</v>
      </c>
      <c r="O972" t="s">
        <v>58</v>
      </c>
      <c r="P972" t="s">
        <v>87</v>
      </c>
      <c r="Q972" t="s">
        <v>71</v>
      </c>
      <c r="R972" t="s">
        <v>76</v>
      </c>
      <c r="S972" s="3">
        <v>7.1</v>
      </c>
      <c r="T972" s="5">
        <v>45518</v>
      </c>
      <c r="U972">
        <v>1</v>
      </c>
      <c r="V972">
        <v>2024</v>
      </c>
      <c r="X972">
        <f t="shared" si="45"/>
        <v>8.2199027999999998</v>
      </c>
      <c r="Y972">
        <f t="shared" si="46"/>
        <v>7.0999027999999997</v>
      </c>
      <c r="Z972">
        <f t="shared" si="47"/>
        <v>73.599902799999995</v>
      </c>
    </row>
    <row r="973" spans="1:26" x14ac:dyDescent="0.3">
      <c r="A973" t="s">
        <v>1063</v>
      </c>
      <c r="B973" t="s">
        <v>63</v>
      </c>
      <c r="C973" t="s">
        <v>56</v>
      </c>
      <c r="D973" t="s">
        <v>69</v>
      </c>
      <c r="E973">
        <v>20</v>
      </c>
      <c r="F973" s="3">
        <v>8.41</v>
      </c>
      <c r="G973" s="4">
        <v>75.2</v>
      </c>
      <c r="H973">
        <v>0</v>
      </c>
      <c r="I973">
        <v>3</v>
      </c>
      <c r="J973">
        <v>4</v>
      </c>
      <c r="K973" s="4">
        <v>81.7</v>
      </c>
      <c r="L973" s="4">
        <v>63.9</v>
      </c>
      <c r="M973" s="4">
        <v>84.8</v>
      </c>
      <c r="N973">
        <v>1</v>
      </c>
      <c r="O973" t="s">
        <v>58</v>
      </c>
      <c r="P973" t="s">
        <v>112</v>
      </c>
      <c r="Q973" t="s">
        <v>93</v>
      </c>
      <c r="R973" t="s">
        <v>85</v>
      </c>
      <c r="S973" s="3">
        <v>6.45</v>
      </c>
      <c r="T973" s="5">
        <v>45920</v>
      </c>
      <c r="U973">
        <v>1</v>
      </c>
      <c r="V973">
        <v>2025</v>
      </c>
      <c r="X973">
        <f t="shared" si="45"/>
        <v>8.4099027</v>
      </c>
      <c r="Y973">
        <f t="shared" si="46"/>
        <v>6.4499027</v>
      </c>
      <c r="Z973">
        <f t="shared" si="47"/>
        <v>63.899902699999998</v>
      </c>
    </row>
    <row r="974" spans="1:26" x14ac:dyDescent="0.3">
      <c r="A974" t="s">
        <v>1064</v>
      </c>
      <c r="B974" t="s">
        <v>63</v>
      </c>
      <c r="C974" t="s">
        <v>56</v>
      </c>
      <c r="D974" t="s">
        <v>57</v>
      </c>
      <c r="E974">
        <v>20</v>
      </c>
      <c r="F974" s="3">
        <v>8.2100000000000009</v>
      </c>
      <c r="G974" s="4">
        <v>74.8</v>
      </c>
      <c r="H974">
        <v>1</v>
      </c>
      <c r="I974">
        <v>2</v>
      </c>
      <c r="J974">
        <v>4</v>
      </c>
      <c r="K974" s="4">
        <v>72.3</v>
      </c>
      <c r="L974" s="4">
        <v>90.2</v>
      </c>
      <c r="M974" s="4">
        <v>93.9</v>
      </c>
      <c r="N974">
        <v>1</v>
      </c>
      <c r="O974" t="s">
        <v>58</v>
      </c>
      <c r="P974" t="s">
        <v>75</v>
      </c>
      <c r="Q974" t="s">
        <v>71</v>
      </c>
      <c r="R974" t="s">
        <v>85</v>
      </c>
      <c r="S974" s="3">
        <v>5.56</v>
      </c>
      <c r="T974" s="5">
        <v>45987</v>
      </c>
      <c r="U974">
        <v>1</v>
      </c>
      <c r="V974">
        <v>2025</v>
      </c>
      <c r="X974">
        <f t="shared" si="45"/>
        <v>8.2099026000000013</v>
      </c>
      <c r="Y974">
        <f t="shared" si="46"/>
        <v>5.5599026</v>
      </c>
      <c r="Z974">
        <f t="shared" si="47"/>
        <v>90.199902600000001</v>
      </c>
    </row>
    <row r="975" spans="1:26" x14ac:dyDescent="0.3">
      <c r="A975" t="s">
        <v>1065</v>
      </c>
      <c r="B975" t="s">
        <v>63</v>
      </c>
      <c r="C975" t="s">
        <v>56</v>
      </c>
      <c r="D975" t="s">
        <v>57</v>
      </c>
      <c r="E975">
        <v>23</v>
      </c>
      <c r="F975" s="3">
        <v>8.6199999999999992</v>
      </c>
      <c r="G975" s="4">
        <v>88.5</v>
      </c>
      <c r="H975">
        <v>1</v>
      </c>
      <c r="I975">
        <v>2</v>
      </c>
      <c r="J975">
        <v>6</v>
      </c>
      <c r="K975" s="4">
        <v>54.3</v>
      </c>
      <c r="L975" s="4">
        <v>67.5</v>
      </c>
      <c r="M975" s="4">
        <v>70.8</v>
      </c>
      <c r="N975">
        <v>0</v>
      </c>
      <c r="O975" t="s">
        <v>64</v>
      </c>
      <c r="P975" t="s">
        <v>65</v>
      </c>
      <c r="S975" s="3">
        <v>0</v>
      </c>
      <c r="T975" s="5"/>
      <c r="U975">
        <v>0</v>
      </c>
      <c r="V975">
        <v>2025</v>
      </c>
      <c r="X975">
        <f t="shared" si="45"/>
        <v>8.6199024999999985</v>
      </c>
      <c r="Y975">
        <f t="shared" si="46"/>
        <v>-9.7499999999999998E-5</v>
      </c>
      <c r="Z975">
        <f t="shared" si="47"/>
        <v>67.499902500000005</v>
      </c>
    </row>
    <row r="976" spans="1:26" x14ac:dyDescent="0.3">
      <c r="A976" t="s">
        <v>1066</v>
      </c>
      <c r="B976" t="s">
        <v>55</v>
      </c>
      <c r="C976" t="s">
        <v>84</v>
      </c>
      <c r="D976" t="s">
        <v>69</v>
      </c>
      <c r="E976">
        <v>21</v>
      </c>
      <c r="F976" s="3">
        <v>8.74</v>
      </c>
      <c r="G976" s="4">
        <v>88.1</v>
      </c>
      <c r="H976">
        <v>1</v>
      </c>
      <c r="I976">
        <v>1</v>
      </c>
      <c r="J976">
        <v>4</v>
      </c>
      <c r="K976" s="4">
        <v>56.2</v>
      </c>
      <c r="L976" s="4">
        <v>64.900000000000006</v>
      </c>
      <c r="M976" s="4">
        <v>82.1</v>
      </c>
      <c r="N976">
        <v>0</v>
      </c>
      <c r="O976" t="s">
        <v>58</v>
      </c>
      <c r="P976" t="s">
        <v>79</v>
      </c>
      <c r="Q976" t="s">
        <v>71</v>
      </c>
      <c r="R976" t="s">
        <v>72</v>
      </c>
      <c r="S976" s="3">
        <v>6.58</v>
      </c>
      <c r="T976" s="5">
        <v>45599</v>
      </c>
      <c r="U976">
        <v>1</v>
      </c>
      <c r="V976">
        <v>2024</v>
      </c>
      <c r="X976">
        <f t="shared" si="45"/>
        <v>8.7399024000000001</v>
      </c>
      <c r="Y976">
        <f t="shared" si="46"/>
        <v>6.5799023999999999</v>
      </c>
      <c r="Z976">
        <f t="shared" si="47"/>
        <v>64.899902400000002</v>
      </c>
    </row>
    <row r="977" spans="1:26" x14ac:dyDescent="0.3">
      <c r="A977" t="s">
        <v>1067</v>
      </c>
      <c r="B977" t="s">
        <v>55</v>
      </c>
      <c r="C977" t="s">
        <v>89</v>
      </c>
      <c r="D977" t="s">
        <v>57</v>
      </c>
      <c r="E977">
        <v>21</v>
      </c>
      <c r="F977" s="3">
        <v>8.75</v>
      </c>
      <c r="G977" s="4">
        <v>90.6</v>
      </c>
      <c r="H977">
        <v>1</v>
      </c>
      <c r="I977">
        <v>4</v>
      </c>
      <c r="J977">
        <v>4</v>
      </c>
      <c r="K977" s="4">
        <v>100</v>
      </c>
      <c r="L977" s="4">
        <v>72.2</v>
      </c>
      <c r="M977" s="4">
        <v>61.5</v>
      </c>
      <c r="N977">
        <v>1</v>
      </c>
      <c r="O977" t="s">
        <v>58</v>
      </c>
      <c r="P977" t="s">
        <v>79</v>
      </c>
      <c r="Q977" t="s">
        <v>71</v>
      </c>
      <c r="R977" t="s">
        <v>80</v>
      </c>
      <c r="S977" s="3">
        <v>7.13</v>
      </c>
      <c r="T977" s="5">
        <v>45603</v>
      </c>
      <c r="U977">
        <v>1</v>
      </c>
      <c r="V977">
        <v>2024</v>
      </c>
      <c r="X977">
        <f t="shared" si="45"/>
        <v>8.7499023000000005</v>
      </c>
      <c r="Y977">
        <f t="shared" si="46"/>
        <v>7.1299022999999995</v>
      </c>
      <c r="Z977">
        <f t="shared" si="47"/>
        <v>72.199902300000005</v>
      </c>
    </row>
    <row r="978" spans="1:26" x14ac:dyDescent="0.3">
      <c r="A978" t="s">
        <v>1068</v>
      </c>
      <c r="B978" t="s">
        <v>63</v>
      </c>
      <c r="C978" t="s">
        <v>74</v>
      </c>
      <c r="D978" t="s">
        <v>69</v>
      </c>
      <c r="E978">
        <v>20</v>
      </c>
      <c r="F978" s="3">
        <v>5.61</v>
      </c>
      <c r="G978" s="4">
        <v>71.5</v>
      </c>
      <c r="H978">
        <v>2</v>
      </c>
      <c r="I978">
        <v>0</v>
      </c>
      <c r="J978">
        <v>4</v>
      </c>
      <c r="K978" s="4">
        <v>62</v>
      </c>
      <c r="L978" s="4">
        <v>74.099999999999994</v>
      </c>
      <c r="M978" s="4">
        <v>43</v>
      </c>
      <c r="N978">
        <v>1</v>
      </c>
      <c r="O978" t="s">
        <v>58</v>
      </c>
      <c r="P978" t="s">
        <v>104</v>
      </c>
      <c r="Q978" t="s">
        <v>105</v>
      </c>
      <c r="R978" t="s">
        <v>85</v>
      </c>
      <c r="S978" s="3">
        <v>14.94</v>
      </c>
      <c r="T978" s="5">
        <v>45915</v>
      </c>
      <c r="U978">
        <v>1</v>
      </c>
      <c r="V978">
        <v>2025</v>
      </c>
      <c r="X978">
        <f t="shared" si="45"/>
        <v>5.6099022000000005</v>
      </c>
      <c r="Y978">
        <f t="shared" si="46"/>
        <v>14.939902199999999</v>
      </c>
      <c r="Z978">
        <f t="shared" si="47"/>
        <v>74.099902199999988</v>
      </c>
    </row>
    <row r="979" spans="1:26" x14ac:dyDescent="0.3">
      <c r="A979" t="s">
        <v>1069</v>
      </c>
      <c r="B979" t="s">
        <v>82</v>
      </c>
      <c r="C979" t="s">
        <v>56</v>
      </c>
      <c r="D979" t="s">
        <v>69</v>
      </c>
      <c r="E979">
        <v>20</v>
      </c>
      <c r="F979" s="3">
        <v>7.86</v>
      </c>
      <c r="G979" s="4">
        <v>71</v>
      </c>
      <c r="H979">
        <v>2</v>
      </c>
      <c r="I979">
        <v>0</v>
      </c>
      <c r="J979">
        <v>4</v>
      </c>
      <c r="K979" s="4">
        <v>77.5</v>
      </c>
      <c r="L979" s="4">
        <v>70</v>
      </c>
      <c r="M979" s="4">
        <v>62.2</v>
      </c>
      <c r="N979">
        <v>0</v>
      </c>
      <c r="O979" t="s">
        <v>64</v>
      </c>
      <c r="P979" t="s">
        <v>65</v>
      </c>
      <c r="S979" s="3">
        <v>0</v>
      </c>
      <c r="T979" s="5"/>
      <c r="U979">
        <v>0</v>
      </c>
      <c r="V979">
        <v>2022</v>
      </c>
      <c r="X979">
        <f t="shared" si="45"/>
        <v>7.8599021000000002</v>
      </c>
      <c r="Y979">
        <f t="shared" si="46"/>
        <v>-9.7899999999999994E-5</v>
      </c>
      <c r="Z979">
        <f t="shared" si="47"/>
        <v>69.9999021</v>
      </c>
    </row>
    <row r="980" spans="1:26" x14ac:dyDescent="0.3">
      <c r="A980" t="s">
        <v>1070</v>
      </c>
      <c r="B980" t="s">
        <v>67</v>
      </c>
      <c r="C980" t="s">
        <v>74</v>
      </c>
      <c r="D980" t="s">
        <v>69</v>
      </c>
      <c r="E980">
        <v>23</v>
      </c>
      <c r="F980" s="3">
        <v>6.82</v>
      </c>
      <c r="G980" s="4">
        <v>92.2</v>
      </c>
      <c r="H980">
        <v>1</v>
      </c>
      <c r="I980">
        <v>2</v>
      </c>
      <c r="J980">
        <v>4</v>
      </c>
      <c r="K980" s="4">
        <v>68.3</v>
      </c>
      <c r="L980" s="4">
        <v>68.900000000000006</v>
      </c>
      <c r="M980" s="4">
        <v>68.3</v>
      </c>
      <c r="N980">
        <v>1</v>
      </c>
      <c r="O980" t="s">
        <v>58</v>
      </c>
      <c r="P980" t="s">
        <v>112</v>
      </c>
      <c r="Q980" t="s">
        <v>93</v>
      </c>
      <c r="R980" t="s">
        <v>130</v>
      </c>
      <c r="S980" s="3">
        <v>6.03</v>
      </c>
      <c r="T980" s="5">
        <v>45199</v>
      </c>
      <c r="U980">
        <v>1</v>
      </c>
      <c r="V980">
        <v>2023</v>
      </c>
      <c r="X980">
        <f t="shared" si="45"/>
        <v>6.8199019999999999</v>
      </c>
      <c r="Y980">
        <f t="shared" si="46"/>
        <v>6.0299019999999999</v>
      </c>
      <c r="Z980">
        <f t="shared" si="47"/>
        <v>68.899902000000012</v>
      </c>
    </row>
    <row r="981" spans="1:26" x14ac:dyDescent="0.3">
      <c r="A981" t="s">
        <v>1071</v>
      </c>
      <c r="B981" t="s">
        <v>67</v>
      </c>
      <c r="C981" t="s">
        <v>56</v>
      </c>
      <c r="D981" t="s">
        <v>57</v>
      </c>
      <c r="E981">
        <v>20</v>
      </c>
      <c r="F981" s="3">
        <v>8.6</v>
      </c>
      <c r="G981" s="4">
        <v>83.8</v>
      </c>
      <c r="H981">
        <v>1</v>
      </c>
      <c r="I981">
        <v>3</v>
      </c>
      <c r="J981">
        <v>4</v>
      </c>
      <c r="K981" s="4">
        <v>64.5</v>
      </c>
      <c r="L981" s="4">
        <v>40.700000000000003</v>
      </c>
      <c r="M981" s="4">
        <v>99.8</v>
      </c>
      <c r="N981">
        <v>1</v>
      </c>
      <c r="O981" t="s">
        <v>58</v>
      </c>
      <c r="P981" t="s">
        <v>75</v>
      </c>
      <c r="Q981" t="s">
        <v>71</v>
      </c>
      <c r="R981" t="s">
        <v>80</v>
      </c>
      <c r="S981" s="3">
        <v>4.92</v>
      </c>
      <c r="T981" s="5">
        <v>45140</v>
      </c>
      <c r="U981">
        <v>1</v>
      </c>
      <c r="V981">
        <v>2023</v>
      </c>
      <c r="X981">
        <f t="shared" si="45"/>
        <v>8.599901899999999</v>
      </c>
      <c r="Y981">
        <f t="shared" si="46"/>
        <v>4.9199019000000002</v>
      </c>
      <c r="Z981">
        <f t="shared" si="47"/>
        <v>40.6999019</v>
      </c>
    </row>
    <row r="982" spans="1:26" x14ac:dyDescent="0.3">
      <c r="A982" t="s">
        <v>1072</v>
      </c>
      <c r="B982" t="s">
        <v>67</v>
      </c>
      <c r="C982" t="s">
        <v>84</v>
      </c>
      <c r="D982" t="s">
        <v>69</v>
      </c>
      <c r="E982">
        <v>23</v>
      </c>
      <c r="F982" s="3">
        <v>5.6</v>
      </c>
      <c r="G982" s="4">
        <v>76.5</v>
      </c>
      <c r="H982">
        <v>1</v>
      </c>
      <c r="I982">
        <v>0</v>
      </c>
      <c r="J982">
        <v>4</v>
      </c>
      <c r="K982" s="4">
        <v>84.4</v>
      </c>
      <c r="L982" s="4">
        <v>53</v>
      </c>
      <c r="M982" s="4">
        <v>54</v>
      </c>
      <c r="N982">
        <v>0</v>
      </c>
      <c r="O982" t="s">
        <v>64</v>
      </c>
      <c r="P982" t="s">
        <v>65</v>
      </c>
      <c r="S982" s="3">
        <v>0</v>
      </c>
      <c r="T982" s="5"/>
      <c r="U982">
        <v>0</v>
      </c>
      <c r="V982">
        <v>2023</v>
      </c>
      <c r="X982">
        <f t="shared" si="45"/>
        <v>5.5999017999999996</v>
      </c>
      <c r="Y982">
        <f t="shared" si="46"/>
        <v>-9.8200000000000002E-5</v>
      </c>
      <c r="Z982">
        <f t="shared" si="47"/>
        <v>52.999901800000004</v>
      </c>
    </row>
    <row r="983" spans="1:26" x14ac:dyDescent="0.3">
      <c r="A983" t="s">
        <v>1073</v>
      </c>
      <c r="B983" t="s">
        <v>55</v>
      </c>
      <c r="C983" t="s">
        <v>101</v>
      </c>
      <c r="D983" t="s">
        <v>69</v>
      </c>
      <c r="E983">
        <v>21</v>
      </c>
      <c r="F983" s="3">
        <v>8.9700000000000006</v>
      </c>
      <c r="G983" s="4">
        <v>80.599999999999994</v>
      </c>
      <c r="H983">
        <v>0</v>
      </c>
      <c r="I983">
        <v>3</v>
      </c>
      <c r="J983">
        <v>5</v>
      </c>
      <c r="K983" s="4">
        <v>61.6</v>
      </c>
      <c r="L983" s="4">
        <v>78.7</v>
      </c>
      <c r="M983" s="4">
        <v>82.9</v>
      </c>
      <c r="N983">
        <v>2</v>
      </c>
      <c r="O983" t="s">
        <v>58</v>
      </c>
      <c r="P983" t="s">
        <v>90</v>
      </c>
      <c r="Q983" t="s">
        <v>60</v>
      </c>
      <c r="R983" t="s">
        <v>130</v>
      </c>
      <c r="S983" s="3">
        <v>8.99</v>
      </c>
      <c r="T983" s="5">
        <v>45538</v>
      </c>
      <c r="U983">
        <v>2</v>
      </c>
      <c r="V983">
        <v>2024</v>
      </c>
      <c r="X983">
        <f t="shared" si="45"/>
        <v>8.9699017000000012</v>
      </c>
      <c r="Y983">
        <f t="shared" si="46"/>
        <v>8.9899017000000008</v>
      </c>
      <c r="Z983">
        <f t="shared" si="47"/>
        <v>78.699901699999998</v>
      </c>
    </row>
    <row r="984" spans="1:26" x14ac:dyDescent="0.3">
      <c r="A984" t="s">
        <v>1074</v>
      </c>
      <c r="B984" t="s">
        <v>55</v>
      </c>
      <c r="C984" t="s">
        <v>68</v>
      </c>
      <c r="D984" t="s">
        <v>69</v>
      </c>
      <c r="E984">
        <v>21</v>
      </c>
      <c r="F984" s="3">
        <v>6.87</v>
      </c>
      <c r="G984" s="4">
        <v>70.900000000000006</v>
      </c>
      <c r="H984">
        <v>2</v>
      </c>
      <c r="I984">
        <v>3</v>
      </c>
      <c r="J984">
        <v>3</v>
      </c>
      <c r="K984" s="4">
        <v>63.8</v>
      </c>
      <c r="L984" s="4">
        <v>85.1</v>
      </c>
      <c r="M984" s="4">
        <v>66.900000000000006</v>
      </c>
      <c r="N984">
        <v>0</v>
      </c>
      <c r="O984" t="s">
        <v>64</v>
      </c>
      <c r="P984" t="s">
        <v>65</v>
      </c>
      <c r="S984" s="3">
        <v>0</v>
      </c>
      <c r="T984" s="5"/>
      <c r="U984">
        <v>0</v>
      </c>
      <c r="V984">
        <v>2024</v>
      </c>
      <c r="X984">
        <f t="shared" si="45"/>
        <v>6.8699016000000004</v>
      </c>
      <c r="Y984">
        <f t="shared" si="46"/>
        <v>-9.8399999999999993E-5</v>
      </c>
      <c r="Z984">
        <f t="shared" si="47"/>
        <v>85.099901599999995</v>
      </c>
    </row>
    <row r="985" spans="1:26" x14ac:dyDescent="0.3">
      <c r="A985" t="s">
        <v>1075</v>
      </c>
      <c r="B985" t="s">
        <v>82</v>
      </c>
      <c r="C985" t="s">
        <v>101</v>
      </c>
      <c r="D985" t="s">
        <v>57</v>
      </c>
      <c r="E985">
        <v>23</v>
      </c>
      <c r="F985" s="3">
        <v>6.67</v>
      </c>
      <c r="G985" s="4">
        <v>77.2</v>
      </c>
      <c r="H985">
        <v>0</v>
      </c>
      <c r="I985">
        <v>2</v>
      </c>
      <c r="J985">
        <v>5</v>
      </c>
      <c r="K985" s="4">
        <v>87.2</v>
      </c>
      <c r="L985" s="4">
        <v>89.2</v>
      </c>
      <c r="M985" s="4">
        <v>80</v>
      </c>
      <c r="N985">
        <v>0</v>
      </c>
      <c r="O985" t="s">
        <v>58</v>
      </c>
      <c r="P985" t="s">
        <v>104</v>
      </c>
      <c r="Q985" t="s">
        <v>105</v>
      </c>
      <c r="R985" t="s">
        <v>72</v>
      </c>
      <c r="S985" s="3">
        <v>14.46</v>
      </c>
      <c r="T985" s="5">
        <v>44843</v>
      </c>
      <c r="U985">
        <v>1</v>
      </c>
      <c r="V985">
        <v>2022</v>
      </c>
      <c r="X985">
        <f t="shared" si="45"/>
        <v>6.6699014999999999</v>
      </c>
      <c r="Y985">
        <f t="shared" si="46"/>
        <v>14.459901500000001</v>
      </c>
      <c r="Z985">
        <f t="shared" si="47"/>
        <v>89.19990150000001</v>
      </c>
    </row>
    <row r="986" spans="1:26" x14ac:dyDescent="0.3">
      <c r="A986" t="s">
        <v>1076</v>
      </c>
      <c r="B986" t="s">
        <v>67</v>
      </c>
      <c r="C986" t="s">
        <v>56</v>
      </c>
      <c r="D986" t="s">
        <v>57</v>
      </c>
      <c r="E986">
        <v>20</v>
      </c>
      <c r="F986" s="3">
        <v>7.97</v>
      </c>
      <c r="G986" s="4">
        <v>83.4</v>
      </c>
      <c r="H986">
        <v>0</v>
      </c>
      <c r="I986">
        <v>2</v>
      </c>
      <c r="J986">
        <v>2</v>
      </c>
      <c r="K986" s="4">
        <v>62.6</v>
      </c>
      <c r="L986" s="4">
        <v>48.3</v>
      </c>
      <c r="M986" s="4">
        <v>74.5</v>
      </c>
      <c r="N986">
        <v>0</v>
      </c>
      <c r="O986" t="s">
        <v>64</v>
      </c>
      <c r="P986" t="s">
        <v>65</v>
      </c>
      <c r="S986" s="3">
        <v>0</v>
      </c>
      <c r="T986" s="5"/>
      <c r="U986">
        <v>0</v>
      </c>
      <c r="V986">
        <v>2023</v>
      </c>
      <c r="X986">
        <f t="shared" si="45"/>
        <v>7.9699013999999995</v>
      </c>
      <c r="Y986">
        <f t="shared" si="46"/>
        <v>-9.8599999999999998E-5</v>
      </c>
      <c r="Z986">
        <f t="shared" si="47"/>
        <v>48.299901399999996</v>
      </c>
    </row>
    <row r="987" spans="1:26" x14ac:dyDescent="0.3">
      <c r="A987" t="s">
        <v>1077</v>
      </c>
      <c r="B987" t="s">
        <v>67</v>
      </c>
      <c r="C987" t="s">
        <v>78</v>
      </c>
      <c r="D987" t="s">
        <v>57</v>
      </c>
      <c r="E987">
        <v>21</v>
      </c>
      <c r="F987" s="3">
        <v>7.31</v>
      </c>
      <c r="G987" s="4">
        <v>85.2</v>
      </c>
      <c r="H987">
        <v>0</v>
      </c>
      <c r="I987">
        <v>1</v>
      </c>
      <c r="J987">
        <v>5</v>
      </c>
      <c r="K987" s="4">
        <v>48.3</v>
      </c>
      <c r="L987" s="4">
        <v>57.4</v>
      </c>
      <c r="M987" s="4">
        <v>63</v>
      </c>
      <c r="N987">
        <v>1</v>
      </c>
      <c r="O987" t="s">
        <v>58</v>
      </c>
      <c r="P987" t="s">
        <v>75</v>
      </c>
      <c r="Q987" t="s">
        <v>71</v>
      </c>
      <c r="R987" t="s">
        <v>76</v>
      </c>
      <c r="S987" s="3">
        <v>4.1500000000000004</v>
      </c>
      <c r="T987" s="5">
        <v>45203</v>
      </c>
      <c r="U987">
        <v>2</v>
      </c>
      <c r="V987">
        <v>2023</v>
      </c>
      <c r="X987">
        <f t="shared" si="45"/>
        <v>7.3099012999999999</v>
      </c>
      <c r="Y987">
        <f t="shared" si="46"/>
        <v>4.1499013000000007</v>
      </c>
      <c r="Z987">
        <f t="shared" si="47"/>
        <v>57.399901299999996</v>
      </c>
    </row>
    <row r="988" spans="1:26" x14ac:dyDescent="0.3">
      <c r="A988" t="s">
        <v>1078</v>
      </c>
      <c r="B988" t="s">
        <v>63</v>
      </c>
      <c r="C988" t="s">
        <v>101</v>
      </c>
      <c r="D988" t="s">
        <v>57</v>
      </c>
      <c r="E988">
        <v>22</v>
      </c>
      <c r="F988" s="3">
        <v>9.25</v>
      </c>
      <c r="G988" s="4">
        <v>81.2</v>
      </c>
      <c r="H988">
        <v>2</v>
      </c>
      <c r="I988">
        <v>1</v>
      </c>
      <c r="J988">
        <v>3</v>
      </c>
      <c r="K988" s="4">
        <v>52.2</v>
      </c>
      <c r="L988" s="4">
        <v>92.4</v>
      </c>
      <c r="M988" s="4">
        <v>86.3</v>
      </c>
      <c r="N988">
        <v>0</v>
      </c>
      <c r="O988" t="s">
        <v>58</v>
      </c>
      <c r="P988" t="s">
        <v>75</v>
      </c>
      <c r="Q988" t="s">
        <v>71</v>
      </c>
      <c r="R988" t="s">
        <v>61</v>
      </c>
      <c r="S988" s="3">
        <v>7.39</v>
      </c>
      <c r="T988" s="5">
        <v>45904</v>
      </c>
      <c r="U988">
        <v>1</v>
      </c>
      <c r="V988">
        <v>2025</v>
      </c>
      <c r="X988">
        <f t="shared" si="45"/>
        <v>9.2499012</v>
      </c>
      <c r="Y988">
        <f t="shared" si="46"/>
        <v>7.3899011999999997</v>
      </c>
      <c r="Z988">
        <f t="shared" si="47"/>
        <v>92.399901200000002</v>
      </c>
    </row>
    <row r="989" spans="1:26" x14ac:dyDescent="0.3">
      <c r="A989" t="s">
        <v>1079</v>
      </c>
      <c r="B989" t="s">
        <v>55</v>
      </c>
      <c r="C989" t="s">
        <v>74</v>
      </c>
      <c r="D989" t="s">
        <v>57</v>
      </c>
      <c r="E989">
        <v>23</v>
      </c>
      <c r="F989" s="3">
        <v>8.8800000000000008</v>
      </c>
      <c r="G989" s="4">
        <v>80.3</v>
      </c>
      <c r="H989">
        <v>0</v>
      </c>
      <c r="I989">
        <v>2</v>
      </c>
      <c r="J989">
        <v>3</v>
      </c>
      <c r="K989" s="4">
        <v>75.2</v>
      </c>
      <c r="L989" s="4">
        <v>64.3</v>
      </c>
      <c r="M989" s="4">
        <v>79.400000000000006</v>
      </c>
      <c r="N989">
        <v>1</v>
      </c>
      <c r="O989" t="s">
        <v>58</v>
      </c>
      <c r="P989" t="s">
        <v>112</v>
      </c>
      <c r="Q989" t="s">
        <v>93</v>
      </c>
      <c r="R989" t="s">
        <v>61</v>
      </c>
      <c r="S989" s="3">
        <v>6.31</v>
      </c>
      <c r="T989" s="5">
        <v>45552</v>
      </c>
      <c r="U989">
        <v>1</v>
      </c>
      <c r="V989">
        <v>2024</v>
      </c>
      <c r="X989">
        <f t="shared" si="45"/>
        <v>8.8799011000000014</v>
      </c>
      <c r="Y989">
        <f t="shared" si="46"/>
        <v>6.3099010999999994</v>
      </c>
      <c r="Z989">
        <f t="shared" si="47"/>
        <v>64.2999011</v>
      </c>
    </row>
    <row r="990" spans="1:26" x14ac:dyDescent="0.3">
      <c r="A990" t="s">
        <v>1080</v>
      </c>
      <c r="B990" t="s">
        <v>67</v>
      </c>
      <c r="C990" t="s">
        <v>78</v>
      </c>
      <c r="D990" t="s">
        <v>57</v>
      </c>
      <c r="E990">
        <v>21</v>
      </c>
      <c r="F990" s="3">
        <v>7.19</v>
      </c>
      <c r="G990" s="4">
        <v>88.6</v>
      </c>
      <c r="H990">
        <v>2</v>
      </c>
      <c r="I990">
        <v>0</v>
      </c>
      <c r="J990">
        <v>5</v>
      </c>
      <c r="K990" s="4">
        <v>58.2</v>
      </c>
      <c r="L990" s="4">
        <v>79.3</v>
      </c>
      <c r="M990" s="4">
        <v>73.8</v>
      </c>
      <c r="N990">
        <v>1</v>
      </c>
      <c r="O990" t="s">
        <v>58</v>
      </c>
      <c r="P990" t="s">
        <v>87</v>
      </c>
      <c r="Q990" t="s">
        <v>71</v>
      </c>
      <c r="R990" t="s">
        <v>109</v>
      </c>
      <c r="S990" s="3">
        <v>6.2</v>
      </c>
      <c r="T990" s="5">
        <v>45185</v>
      </c>
      <c r="U990">
        <v>1</v>
      </c>
      <c r="V990">
        <v>2023</v>
      </c>
      <c r="X990">
        <f t="shared" si="45"/>
        <v>7.1899010000000008</v>
      </c>
      <c r="Y990">
        <f t="shared" si="46"/>
        <v>6.1999010000000006</v>
      </c>
      <c r="Z990">
        <f t="shared" si="47"/>
        <v>79.299900999999991</v>
      </c>
    </row>
    <row r="991" spans="1:26" x14ac:dyDescent="0.3">
      <c r="A991" t="s">
        <v>1081</v>
      </c>
      <c r="B991" t="s">
        <v>82</v>
      </c>
      <c r="C991" t="s">
        <v>74</v>
      </c>
      <c r="D991" t="s">
        <v>69</v>
      </c>
      <c r="E991">
        <v>21</v>
      </c>
      <c r="F991" s="3">
        <v>8.59</v>
      </c>
      <c r="G991" s="4">
        <v>81.099999999999994</v>
      </c>
      <c r="H991">
        <v>0</v>
      </c>
      <c r="I991">
        <v>2</v>
      </c>
      <c r="J991">
        <v>4</v>
      </c>
      <c r="K991" s="4">
        <v>83.8</v>
      </c>
      <c r="L991" s="4">
        <v>100</v>
      </c>
      <c r="M991" s="4">
        <v>77.5</v>
      </c>
      <c r="N991">
        <v>0</v>
      </c>
      <c r="O991" t="s">
        <v>58</v>
      </c>
      <c r="P991" t="s">
        <v>59</v>
      </c>
      <c r="Q991" t="s">
        <v>60</v>
      </c>
      <c r="R991" t="s">
        <v>72</v>
      </c>
      <c r="S991" s="3">
        <v>20.48</v>
      </c>
      <c r="T991" s="5">
        <v>44863</v>
      </c>
      <c r="U991">
        <v>1</v>
      </c>
      <c r="V991">
        <v>2022</v>
      </c>
      <c r="X991">
        <f t="shared" si="45"/>
        <v>8.5899009</v>
      </c>
      <c r="Y991">
        <f t="shared" si="46"/>
        <v>20.479900900000001</v>
      </c>
      <c r="Z991">
        <f t="shared" si="47"/>
        <v>99.9999009</v>
      </c>
    </row>
    <row r="992" spans="1:26" x14ac:dyDescent="0.3">
      <c r="A992" t="s">
        <v>1082</v>
      </c>
      <c r="B992" t="s">
        <v>82</v>
      </c>
      <c r="C992" t="s">
        <v>74</v>
      </c>
      <c r="D992" t="s">
        <v>69</v>
      </c>
      <c r="E992">
        <v>21</v>
      </c>
      <c r="F992" s="3">
        <v>7.16</v>
      </c>
      <c r="G992" s="4">
        <v>78</v>
      </c>
      <c r="H992">
        <v>2</v>
      </c>
      <c r="I992">
        <v>1</v>
      </c>
      <c r="J992">
        <v>3</v>
      </c>
      <c r="K992" s="4">
        <v>68.3</v>
      </c>
      <c r="L992" s="4">
        <v>85.7</v>
      </c>
      <c r="M992" s="4">
        <v>68.900000000000006</v>
      </c>
      <c r="N992">
        <v>2</v>
      </c>
      <c r="O992" t="s">
        <v>58</v>
      </c>
      <c r="P992" t="s">
        <v>87</v>
      </c>
      <c r="Q992" t="s">
        <v>71</v>
      </c>
      <c r="R992" t="s">
        <v>80</v>
      </c>
      <c r="S992" s="3">
        <v>7.46</v>
      </c>
      <c r="T992" s="5">
        <v>44866</v>
      </c>
      <c r="U992">
        <v>1</v>
      </c>
      <c r="V992">
        <v>2022</v>
      </c>
      <c r="X992">
        <f t="shared" si="45"/>
        <v>7.1599008</v>
      </c>
      <c r="Y992">
        <f t="shared" si="46"/>
        <v>7.4599007999999998</v>
      </c>
      <c r="Z992">
        <f t="shared" si="47"/>
        <v>85.699900800000009</v>
      </c>
    </row>
    <row r="993" spans="1:26" x14ac:dyDescent="0.3">
      <c r="A993" t="s">
        <v>1083</v>
      </c>
      <c r="B993" t="s">
        <v>67</v>
      </c>
      <c r="C993" t="s">
        <v>56</v>
      </c>
      <c r="D993" t="s">
        <v>69</v>
      </c>
      <c r="E993">
        <v>22</v>
      </c>
      <c r="F993" s="3">
        <v>7.15</v>
      </c>
      <c r="G993" s="4">
        <v>75.099999999999994</v>
      </c>
      <c r="H993">
        <v>3</v>
      </c>
      <c r="I993">
        <v>2</v>
      </c>
      <c r="J993">
        <v>3</v>
      </c>
      <c r="K993" s="4">
        <v>78.7</v>
      </c>
      <c r="L993" s="4">
        <v>66.8</v>
      </c>
      <c r="M993" s="4">
        <v>50.8</v>
      </c>
      <c r="N993">
        <v>0</v>
      </c>
      <c r="O993" t="s">
        <v>58</v>
      </c>
      <c r="P993" t="s">
        <v>70</v>
      </c>
      <c r="Q993" t="s">
        <v>71</v>
      </c>
      <c r="R993" t="s">
        <v>72</v>
      </c>
      <c r="S993" s="3">
        <v>5.54</v>
      </c>
      <c r="T993" s="5">
        <v>45149</v>
      </c>
      <c r="U993">
        <v>2</v>
      </c>
      <c r="V993">
        <v>2023</v>
      </c>
      <c r="X993">
        <f t="shared" si="45"/>
        <v>7.1499007000000008</v>
      </c>
      <c r="Y993">
        <f t="shared" si="46"/>
        <v>5.5399007000000005</v>
      </c>
      <c r="Z993">
        <f t="shared" si="47"/>
        <v>66.799900699999995</v>
      </c>
    </row>
    <row r="994" spans="1:26" x14ac:dyDescent="0.3">
      <c r="A994" t="s">
        <v>1084</v>
      </c>
      <c r="B994" t="s">
        <v>55</v>
      </c>
      <c r="C994" t="s">
        <v>68</v>
      </c>
      <c r="D994" t="s">
        <v>57</v>
      </c>
      <c r="E994">
        <v>22</v>
      </c>
      <c r="F994" s="3">
        <v>8.2899999999999991</v>
      </c>
      <c r="G994" s="4">
        <v>66.099999999999994</v>
      </c>
      <c r="H994">
        <v>1</v>
      </c>
      <c r="I994">
        <v>2</v>
      </c>
      <c r="J994">
        <v>6</v>
      </c>
      <c r="K994" s="4">
        <v>73</v>
      </c>
      <c r="L994" s="4">
        <v>67.900000000000006</v>
      </c>
      <c r="M994" s="4">
        <v>75.3</v>
      </c>
      <c r="N994">
        <v>0</v>
      </c>
      <c r="O994" t="s">
        <v>64</v>
      </c>
      <c r="P994" t="s">
        <v>65</v>
      </c>
      <c r="S994" s="3">
        <v>0</v>
      </c>
      <c r="T994" s="5"/>
      <c r="U994">
        <v>0</v>
      </c>
      <c r="V994">
        <v>2024</v>
      </c>
      <c r="X994">
        <f t="shared" si="45"/>
        <v>8.2899005999999993</v>
      </c>
      <c r="Y994">
        <f t="shared" si="46"/>
        <v>-9.939999999999999E-5</v>
      </c>
      <c r="Z994">
        <f t="shared" si="47"/>
        <v>67.899900600000009</v>
      </c>
    </row>
    <row r="995" spans="1:26" x14ac:dyDescent="0.3">
      <c r="A995" t="s">
        <v>1085</v>
      </c>
      <c r="B995" t="s">
        <v>82</v>
      </c>
      <c r="C995" t="s">
        <v>78</v>
      </c>
      <c r="D995" t="s">
        <v>57</v>
      </c>
      <c r="E995">
        <v>22</v>
      </c>
      <c r="F995" s="3">
        <v>8.9600000000000009</v>
      </c>
      <c r="G995" s="4">
        <v>87.8</v>
      </c>
      <c r="H995">
        <v>2</v>
      </c>
      <c r="I995">
        <v>4</v>
      </c>
      <c r="J995">
        <v>2</v>
      </c>
      <c r="K995" s="4">
        <v>82.8</v>
      </c>
      <c r="L995" s="4">
        <v>77.900000000000006</v>
      </c>
      <c r="M995" s="4">
        <v>100</v>
      </c>
      <c r="N995">
        <v>0</v>
      </c>
      <c r="O995" t="s">
        <v>58</v>
      </c>
      <c r="P995" t="s">
        <v>59</v>
      </c>
      <c r="Q995" t="s">
        <v>60</v>
      </c>
      <c r="R995" t="s">
        <v>130</v>
      </c>
      <c r="S995" s="3">
        <v>21.15</v>
      </c>
      <c r="T995" s="5">
        <v>44888</v>
      </c>
      <c r="U995">
        <v>1</v>
      </c>
      <c r="V995">
        <v>2022</v>
      </c>
      <c r="X995">
        <f t="shared" si="45"/>
        <v>8.9599005000000016</v>
      </c>
      <c r="Y995">
        <f t="shared" si="46"/>
        <v>21.149900499999998</v>
      </c>
      <c r="Z995">
        <f t="shared" si="47"/>
        <v>77.899900500000001</v>
      </c>
    </row>
    <row r="996" spans="1:26" x14ac:dyDescent="0.3">
      <c r="A996" t="s">
        <v>1086</v>
      </c>
      <c r="B996" t="s">
        <v>63</v>
      </c>
      <c r="C996" t="s">
        <v>84</v>
      </c>
      <c r="D996" t="s">
        <v>69</v>
      </c>
      <c r="E996">
        <v>20</v>
      </c>
      <c r="F996" s="3">
        <v>7.25</v>
      </c>
      <c r="G996" s="4">
        <v>95.2</v>
      </c>
      <c r="H996">
        <v>2</v>
      </c>
      <c r="I996">
        <v>2</v>
      </c>
      <c r="J996">
        <v>1</v>
      </c>
      <c r="K996" s="4">
        <v>94.4</v>
      </c>
      <c r="L996" s="4">
        <v>41.2</v>
      </c>
      <c r="M996" s="4">
        <v>84.1</v>
      </c>
      <c r="N996">
        <v>0</v>
      </c>
      <c r="O996" t="s">
        <v>58</v>
      </c>
      <c r="P996" t="s">
        <v>79</v>
      </c>
      <c r="Q996" t="s">
        <v>71</v>
      </c>
      <c r="R996" t="s">
        <v>61</v>
      </c>
      <c r="S996" s="3">
        <v>4.0599999999999996</v>
      </c>
      <c r="T996" s="5">
        <v>45873</v>
      </c>
      <c r="U996">
        <v>2</v>
      </c>
      <c r="V996">
        <v>2025</v>
      </c>
      <c r="X996">
        <f t="shared" si="45"/>
        <v>7.2499003999999996</v>
      </c>
      <c r="Y996">
        <f t="shared" si="46"/>
        <v>4.0599003999999992</v>
      </c>
      <c r="Z996">
        <f t="shared" si="47"/>
        <v>41.199900400000004</v>
      </c>
    </row>
    <row r="997" spans="1:26" x14ac:dyDescent="0.3">
      <c r="A997" t="s">
        <v>1087</v>
      </c>
      <c r="B997" t="s">
        <v>82</v>
      </c>
      <c r="C997" t="s">
        <v>89</v>
      </c>
      <c r="D997" t="s">
        <v>69</v>
      </c>
      <c r="E997">
        <v>23</v>
      </c>
      <c r="F997" s="3">
        <v>7.32</v>
      </c>
      <c r="G997" s="4">
        <v>74.599999999999994</v>
      </c>
      <c r="H997">
        <v>2</v>
      </c>
      <c r="I997">
        <v>1</v>
      </c>
      <c r="J997">
        <v>4</v>
      </c>
      <c r="K997" s="4">
        <v>75.900000000000006</v>
      </c>
      <c r="L997" s="4">
        <v>76.599999999999994</v>
      </c>
      <c r="M997" s="4">
        <v>77.5</v>
      </c>
      <c r="N997">
        <v>0</v>
      </c>
      <c r="O997" t="s">
        <v>64</v>
      </c>
      <c r="P997" t="s">
        <v>65</v>
      </c>
      <c r="S997" s="3">
        <v>0</v>
      </c>
      <c r="T997" s="5"/>
      <c r="U997">
        <v>0</v>
      </c>
      <c r="V997">
        <v>2022</v>
      </c>
      <c r="X997">
        <f t="shared" si="45"/>
        <v>7.3199003000000005</v>
      </c>
      <c r="Y997">
        <f t="shared" si="46"/>
        <v>-9.9699999999999998E-5</v>
      </c>
      <c r="Z997">
        <f t="shared" si="47"/>
        <v>76.599900299999987</v>
      </c>
    </row>
    <row r="998" spans="1:26" x14ac:dyDescent="0.3">
      <c r="A998" t="s">
        <v>1088</v>
      </c>
      <c r="B998" t="s">
        <v>107</v>
      </c>
      <c r="C998" t="s">
        <v>101</v>
      </c>
      <c r="D998" t="s">
        <v>69</v>
      </c>
      <c r="E998">
        <v>20</v>
      </c>
      <c r="F998" s="3">
        <v>7.92</v>
      </c>
      <c r="G998" s="4">
        <v>70.599999999999994</v>
      </c>
      <c r="H998">
        <v>2</v>
      </c>
      <c r="I998">
        <v>0</v>
      </c>
      <c r="J998">
        <v>4</v>
      </c>
      <c r="K998" s="4">
        <v>75.2</v>
      </c>
      <c r="L998" s="4">
        <v>65.8</v>
      </c>
      <c r="M998" s="4">
        <v>78.599999999999994</v>
      </c>
      <c r="N998">
        <v>1</v>
      </c>
      <c r="O998" t="s">
        <v>58</v>
      </c>
      <c r="P998" t="s">
        <v>112</v>
      </c>
      <c r="Q998" t="s">
        <v>93</v>
      </c>
      <c r="R998" t="s">
        <v>80</v>
      </c>
      <c r="S998" s="3">
        <v>7.26</v>
      </c>
      <c r="T998" s="5">
        <v>44441</v>
      </c>
      <c r="U998">
        <v>1</v>
      </c>
      <c r="V998">
        <v>2021</v>
      </c>
      <c r="X998">
        <f t="shared" si="45"/>
        <v>7.9199001999999998</v>
      </c>
      <c r="Y998">
        <f t="shared" si="46"/>
        <v>7.2599001999999997</v>
      </c>
      <c r="Z998">
        <f t="shared" si="47"/>
        <v>65.799900199999996</v>
      </c>
    </row>
    <row r="999" spans="1:26" x14ac:dyDescent="0.3">
      <c r="A999" t="s">
        <v>1089</v>
      </c>
      <c r="B999" t="s">
        <v>107</v>
      </c>
      <c r="C999" t="s">
        <v>101</v>
      </c>
      <c r="D999" t="s">
        <v>69</v>
      </c>
      <c r="E999">
        <v>22</v>
      </c>
      <c r="F999" s="3">
        <v>6.85</v>
      </c>
      <c r="G999" s="4">
        <v>76.400000000000006</v>
      </c>
      <c r="H999">
        <v>1</v>
      </c>
      <c r="I999">
        <v>2</v>
      </c>
      <c r="J999">
        <v>5</v>
      </c>
      <c r="K999" s="4">
        <v>83.6</v>
      </c>
      <c r="L999" s="4">
        <v>68.8</v>
      </c>
      <c r="M999" s="4">
        <v>74</v>
      </c>
      <c r="N999">
        <v>1</v>
      </c>
      <c r="O999" t="s">
        <v>58</v>
      </c>
      <c r="P999" t="s">
        <v>104</v>
      </c>
      <c r="Q999" t="s">
        <v>105</v>
      </c>
      <c r="R999" t="s">
        <v>72</v>
      </c>
      <c r="S999" s="3">
        <v>14.12</v>
      </c>
      <c r="T999" s="5">
        <v>44442</v>
      </c>
      <c r="U999">
        <v>1</v>
      </c>
      <c r="V999">
        <v>2021</v>
      </c>
      <c r="X999">
        <f t="shared" si="45"/>
        <v>6.8499000999999993</v>
      </c>
      <c r="Y999">
        <f t="shared" si="46"/>
        <v>14.119900099999999</v>
      </c>
      <c r="Z999">
        <f t="shared" si="47"/>
        <v>68.799900100000002</v>
      </c>
    </row>
    <row r="1000" spans="1:26" x14ac:dyDescent="0.3">
      <c r="A1000" t="s">
        <v>1090</v>
      </c>
      <c r="B1000" t="s">
        <v>55</v>
      </c>
      <c r="C1000" t="s">
        <v>56</v>
      </c>
      <c r="D1000" t="s">
        <v>57</v>
      </c>
      <c r="E1000">
        <v>23</v>
      </c>
      <c r="F1000" s="3">
        <v>9.06</v>
      </c>
      <c r="G1000" s="4">
        <v>84.6</v>
      </c>
      <c r="H1000">
        <v>1</v>
      </c>
      <c r="I1000">
        <v>2</v>
      </c>
      <c r="J1000">
        <v>5</v>
      </c>
      <c r="K1000" s="4">
        <v>60.1</v>
      </c>
      <c r="L1000" s="4">
        <v>71.599999999999994</v>
      </c>
      <c r="M1000" s="4">
        <v>47.1</v>
      </c>
      <c r="N1000">
        <v>0</v>
      </c>
      <c r="O1000" t="s">
        <v>58</v>
      </c>
      <c r="P1000" t="s">
        <v>90</v>
      </c>
      <c r="Q1000" t="s">
        <v>60</v>
      </c>
      <c r="R1000" t="s">
        <v>109</v>
      </c>
      <c r="S1000" s="3">
        <v>8.59</v>
      </c>
      <c r="T1000" s="5">
        <v>45599</v>
      </c>
      <c r="U1000">
        <v>1</v>
      </c>
      <c r="V1000">
        <v>2024</v>
      </c>
      <c r="X1000">
        <f t="shared" si="45"/>
        <v>9.0599000000000007</v>
      </c>
      <c r="Y1000">
        <f t="shared" si="46"/>
        <v>8.5899000000000001</v>
      </c>
      <c r="Z1000">
        <f t="shared" si="47"/>
        <v>71.599899999999991</v>
      </c>
    </row>
    <row r="1001" spans="1:26" x14ac:dyDescent="0.3">
      <c r="A1001" t="s">
        <v>1091</v>
      </c>
      <c r="B1001" t="s">
        <v>67</v>
      </c>
      <c r="C1001" t="s">
        <v>68</v>
      </c>
      <c r="D1001" t="s">
        <v>69</v>
      </c>
      <c r="E1001">
        <v>20</v>
      </c>
      <c r="F1001" s="3">
        <v>6.84</v>
      </c>
      <c r="G1001" s="4">
        <v>77.5</v>
      </c>
      <c r="H1001">
        <v>3</v>
      </c>
      <c r="I1001">
        <v>2</v>
      </c>
      <c r="J1001">
        <v>5</v>
      </c>
      <c r="K1001" s="4">
        <v>75.599999999999994</v>
      </c>
      <c r="L1001" s="4">
        <v>93.5</v>
      </c>
      <c r="M1001" s="4">
        <v>61.4</v>
      </c>
      <c r="N1001">
        <v>1</v>
      </c>
      <c r="O1001" t="s">
        <v>58</v>
      </c>
      <c r="P1001" t="s">
        <v>59</v>
      </c>
      <c r="Q1001" t="s">
        <v>60</v>
      </c>
      <c r="R1001" t="s">
        <v>72</v>
      </c>
      <c r="S1001" s="3">
        <v>19.920000000000002</v>
      </c>
      <c r="T1001" s="5">
        <v>45212</v>
      </c>
      <c r="U1001">
        <v>1</v>
      </c>
      <c r="V1001">
        <v>2023</v>
      </c>
      <c r="X1001">
        <f t="shared" si="45"/>
        <v>6.8398998999999998</v>
      </c>
      <c r="Y1001">
        <f t="shared" si="46"/>
        <v>19.919899900000001</v>
      </c>
      <c r="Z1001">
        <f t="shared" si="47"/>
        <v>93.499899900000003</v>
      </c>
    </row>
    <row r="1002" spans="1:26" x14ac:dyDescent="0.3">
      <c r="A1002" t="s">
        <v>1092</v>
      </c>
      <c r="B1002" t="s">
        <v>55</v>
      </c>
      <c r="C1002" t="s">
        <v>56</v>
      </c>
      <c r="D1002" t="s">
        <v>57</v>
      </c>
      <c r="E1002">
        <v>20</v>
      </c>
      <c r="F1002" s="3">
        <v>7.08</v>
      </c>
      <c r="G1002" s="4">
        <v>77.3</v>
      </c>
      <c r="H1002">
        <v>1</v>
      </c>
      <c r="I1002">
        <v>2</v>
      </c>
      <c r="J1002">
        <v>6</v>
      </c>
      <c r="K1002" s="4">
        <v>55.1</v>
      </c>
      <c r="L1002" s="4">
        <v>73.8</v>
      </c>
      <c r="M1002" s="4">
        <v>73.2</v>
      </c>
      <c r="N1002">
        <v>0</v>
      </c>
      <c r="O1002" t="s">
        <v>58</v>
      </c>
      <c r="P1002" t="s">
        <v>79</v>
      </c>
      <c r="Q1002" t="s">
        <v>71</v>
      </c>
      <c r="R1002" t="s">
        <v>61</v>
      </c>
      <c r="S1002" s="3">
        <v>5.31</v>
      </c>
      <c r="T1002" s="5">
        <v>45539</v>
      </c>
      <c r="U1002">
        <v>1</v>
      </c>
      <c r="V1002">
        <v>2024</v>
      </c>
      <c r="X1002">
        <f t="shared" si="45"/>
        <v>7.0798997999999997</v>
      </c>
      <c r="Y1002">
        <f t="shared" si="46"/>
        <v>5.3098997999999993</v>
      </c>
      <c r="Z1002">
        <f t="shared" si="47"/>
        <v>73.799899799999992</v>
      </c>
    </row>
    <row r="1003" spans="1:26" x14ac:dyDescent="0.3">
      <c r="A1003" t="s">
        <v>1093</v>
      </c>
      <c r="B1003" t="s">
        <v>55</v>
      </c>
      <c r="C1003" t="s">
        <v>78</v>
      </c>
      <c r="D1003" t="s">
        <v>57</v>
      </c>
      <c r="E1003">
        <v>20</v>
      </c>
      <c r="F1003" s="3">
        <v>9.24</v>
      </c>
      <c r="G1003" s="4">
        <v>81.3</v>
      </c>
      <c r="H1003">
        <v>3</v>
      </c>
      <c r="I1003">
        <v>3</v>
      </c>
      <c r="J1003">
        <v>5</v>
      </c>
      <c r="K1003" s="4">
        <v>57.4</v>
      </c>
      <c r="L1003" s="4">
        <v>73.5</v>
      </c>
      <c r="M1003" s="4">
        <v>85.1</v>
      </c>
      <c r="N1003">
        <v>0</v>
      </c>
      <c r="O1003" t="s">
        <v>58</v>
      </c>
      <c r="P1003" t="s">
        <v>59</v>
      </c>
      <c r="Q1003" t="s">
        <v>60</v>
      </c>
      <c r="R1003" t="s">
        <v>72</v>
      </c>
      <c r="S1003" s="3">
        <v>21.59</v>
      </c>
      <c r="T1003" s="5">
        <v>45557</v>
      </c>
      <c r="U1003">
        <v>1</v>
      </c>
      <c r="V1003">
        <v>2024</v>
      </c>
      <c r="X1003">
        <f t="shared" si="45"/>
        <v>9.2398997000000005</v>
      </c>
      <c r="Y1003">
        <f t="shared" si="46"/>
        <v>21.5898997</v>
      </c>
      <c r="Z1003">
        <f t="shared" si="47"/>
        <v>73.4998997</v>
      </c>
    </row>
    <row r="1004" spans="1:26" x14ac:dyDescent="0.3">
      <c r="A1004" t="s">
        <v>1094</v>
      </c>
      <c r="B1004" t="s">
        <v>55</v>
      </c>
      <c r="C1004" t="s">
        <v>84</v>
      </c>
      <c r="D1004" t="s">
        <v>69</v>
      </c>
      <c r="E1004">
        <v>22</v>
      </c>
      <c r="F1004" s="3">
        <v>7.84</v>
      </c>
      <c r="G1004" s="4">
        <v>82.9</v>
      </c>
      <c r="H1004">
        <v>1</v>
      </c>
      <c r="I1004">
        <v>4</v>
      </c>
      <c r="J1004">
        <v>3</v>
      </c>
      <c r="K1004" s="4">
        <v>61.3</v>
      </c>
      <c r="L1004" s="4">
        <v>80.7</v>
      </c>
      <c r="M1004" s="4">
        <v>96</v>
      </c>
      <c r="N1004">
        <v>1</v>
      </c>
      <c r="O1004" t="s">
        <v>64</v>
      </c>
      <c r="P1004" t="s">
        <v>65</v>
      </c>
      <c r="S1004" s="3">
        <v>0</v>
      </c>
      <c r="T1004" s="5"/>
      <c r="U1004">
        <v>0</v>
      </c>
      <c r="V1004">
        <v>2024</v>
      </c>
      <c r="X1004">
        <f t="shared" si="45"/>
        <v>7.8398995999999999</v>
      </c>
      <c r="Y1004">
        <f t="shared" si="46"/>
        <v>-1.004E-4</v>
      </c>
      <c r="Z1004">
        <f t="shared" si="47"/>
        <v>80.699899600000009</v>
      </c>
    </row>
    <row r="1005" spans="1:26" x14ac:dyDescent="0.3">
      <c r="A1005" t="s">
        <v>1095</v>
      </c>
      <c r="B1005" t="s">
        <v>55</v>
      </c>
      <c r="C1005" t="s">
        <v>56</v>
      </c>
      <c r="D1005" t="s">
        <v>57</v>
      </c>
      <c r="E1005">
        <v>21</v>
      </c>
      <c r="F1005" s="3">
        <v>9.4</v>
      </c>
      <c r="G1005" s="4">
        <v>85.3</v>
      </c>
      <c r="H1005">
        <v>1</v>
      </c>
      <c r="I1005">
        <v>0</v>
      </c>
      <c r="J1005">
        <v>3</v>
      </c>
      <c r="K1005" s="4">
        <v>85.8</v>
      </c>
      <c r="L1005" s="4">
        <v>71.099999999999994</v>
      </c>
      <c r="M1005" s="4">
        <v>61.1</v>
      </c>
      <c r="N1005">
        <v>0</v>
      </c>
      <c r="O1005" t="s">
        <v>58</v>
      </c>
      <c r="P1005" t="s">
        <v>59</v>
      </c>
      <c r="Q1005" t="s">
        <v>60</v>
      </c>
      <c r="R1005" t="s">
        <v>109</v>
      </c>
      <c r="S1005" s="3">
        <v>20.440000000000001</v>
      </c>
      <c r="T1005" s="5">
        <v>45527</v>
      </c>
      <c r="U1005">
        <v>3</v>
      </c>
      <c r="V1005">
        <v>2024</v>
      </c>
      <c r="X1005">
        <f t="shared" si="45"/>
        <v>9.3998995000000001</v>
      </c>
      <c r="Y1005">
        <f t="shared" si="46"/>
        <v>20.439899500000003</v>
      </c>
      <c r="Z1005">
        <f t="shared" si="47"/>
        <v>71.099899499999992</v>
      </c>
    </row>
    <row r="1006" spans="1:26" x14ac:dyDescent="0.3">
      <c r="A1006" t="s">
        <v>1096</v>
      </c>
      <c r="B1006" t="s">
        <v>63</v>
      </c>
      <c r="C1006" t="s">
        <v>78</v>
      </c>
      <c r="D1006" t="s">
        <v>57</v>
      </c>
      <c r="E1006">
        <v>23</v>
      </c>
      <c r="F1006" s="3">
        <v>7.45</v>
      </c>
      <c r="G1006" s="4">
        <v>79.3</v>
      </c>
      <c r="H1006">
        <v>2</v>
      </c>
      <c r="I1006">
        <v>3</v>
      </c>
      <c r="J1006">
        <v>4</v>
      </c>
      <c r="K1006" s="4">
        <v>66</v>
      </c>
      <c r="L1006" s="4">
        <v>79.900000000000006</v>
      </c>
      <c r="M1006" s="4">
        <v>81.900000000000006</v>
      </c>
      <c r="N1006">
        <v>0</v>
      </c>
      <c r="O1006" t="s">
        <v>58</v>
      </c>
      <c r="P1006" t="s">
        <v>70</v>
      </c>
      <c r="Q1006" t="s">
        <v>71</v>
      </c>
      <c r="R1006" t="s">
        <v>61</v>
      </c>
      <c r="S1006" s="3">
        <v>6.59</v>
      </c>
      <c r="T1006" s="5">
        <v>45918</v>
      </c>
      <c r="U1006">
        <v>3</v>
      </c>
      <c r="V1006">
        <v>2025</v>
      </c>
      <c r="X1006">
        <f t="shared" si="45"/>
        <v>7.4498994000000005</v>
      </c>
      <c r="Y1006">
        <f t="shared" si="46"/>
        <v>6.5898994000000002</v>
      </c>
      <c r="Z1006">
        <f t="shared" si="47"/>
        <v>79.89989940000001</v>
      </c>
    </row>
    <row r="1007" spans="1:26" x14ac:dyDescent="0.3">
      <c r="A1007" t="s">
        <v>1097</v>
      </c>
      <c r="B1007" t="s">
        <v>63</v>
      </c>
      <c r="C1007" t="s">
        <v>89</v>
      </c>
      <c r="D1007" t="s">
        <v>57</v>
      </c>
      <c r="E1007">
        <v>22</v>
      </c>
      <c r="F1007" s="3">
        <v>9.92</v>
      </c>
      <c r="G1007" s="4">
        <v>79.2</v>
      </c>
      <c r="H1007">
        <v>2</v>
      </c>
      <c r="I1007">
        <v>0</v>
      </c>
      <c r="J1007">
        <v>4</v>
      </c>
      <c r="K1007" s="4">
        <v>57.1</v>
      </c>
      <c r="L1007" s="4">
        <v>68.3</v>
      </c>
      <c r="M1007" s="4">
        <v>47.2</v>
      </c>
      <c r="N1007">
        <v>1</v>
      </c>
      <c r="O1007" t="s">
        <v>58</v>
      </c>
      <c r="P1007" t="s">
        <v>90</v>
      </c>
      <c r="Q1007" t="s">
        <v>60</v>
      </c>
      <c r="R1007" t="s">
        <v>85</v>
      </c>
      <c r="S1007" s="3">
        <v>9.43</v>
      </c>
      <c r="T1007" s="5">
        <v>45945</v>
      </c>
      <c r="U1007">
        <v>3</v>
      </c>
      <c r="V1007">
        <v>2025</v>
      </c>
      <c r="X1007">
        <f t="shared" si="45"/>
        <v>9.9198992999999991</v>
      </c>
      <c r="Y1007">
        <f t="shared" si="46"/>
        <v>9.4298992999999989</v>
      </c>
      <c r="Z1007">
        <f t="shared" si="47"/>
        <v>68.299899299999993</v>
      </c>
    </row>
    <row r="1008" spans="1:26" x14ac:dyDescent="0.3">
      <c r="A1008" t="s">
        <v>1098</v>
      </c>
      <c r="B1008" t="s">
        <v>82</v>
      </c>
      <c r="C1008" t="s">
        <v>89</v>
      </c>
      <c r="D1008" t="s">
        <v>57</v>
      </c>
      <c r="E1008">
        <v>23</v>
      </c>
      <c r="F1008" s="3">
        <v>8.1999999999999993</v>
      </c>
      <c r="G1008" s="4">
        <v>64.7</v>
      </c>
      <c r="H1008">
        <v>1</v>
      </c>
      <c r="I1008">
        <v>2</v>
      </c>
      <c r="J1008">
        <v>2</v>
      </c>
      <c r="K1008" s="4">
        <v>78.599999999999994</v>
      </c>
      <c r="L1008" s="4">
        <v>87.5</v>
      </c>
      <c r="M1008" s="4">
        <v>70</v>
      </c>
      <c r="N1008">
        <v>0</v>
      </c>
      <c r="O1008" t="s">
        <v>58</v>
      </c>
      <c r="P1008" t="s">
        <v>90</v>
      </c>
      <c r="Q1008" t="s">
        <v>60</v>
      </c>
      <c r="R1008" t="s">
        <v>72</v>
      </c>
      <c r="S1008" s="3">
        <v>8.98</v>
      </c>
      <c r="T1008" s="5">
        <v>44866</v>
      </c>
      <c r="U1008">
        <v>1</v>
      </c>
      <c r="V1008">
        <v>2022</v>
      </c>
      <c r="X1008">
        <f t="shared" si="45"/>
        <v>8.1998991999999991</v>
      </c>
      <c r="Y1008">
        <f t="shared" si="46"/>
        <v>8.9798992000000002</v>
      </c>
      <c r="Z1008">
        <f t="shared" si="47"/>
        <v>87.499899200000002</v>
      </c>
    </row>
    <row r="1009" spans="1:26" x14ac:dyDescent="0.3">
      <c r="A1009" t="s">
        <v>1099</v>
      </c>
      <c r="B1009" t="s">
        <v>107</v>
      </c>
      <c r="C1009" t="s">
        <v>74</v>
      </c>
      <c r="D1009" t="s">
        <v>69</v>
      </c>
      <c r="E1009">
        <v>22</v>
      </c>
      <c r="F1009" s="3">
        <v>6.97</v>
      </c>
      <c r="G1009" s="4">
        <v>90.4</v>
      </c>
      <c r="H1009">
        <v>0</v>
      </c>
      <c r="I1009">
        <v>2</v>
      </c>
      <c r="J1009">
        <v>4</v>
      </c>
      <c r="K1009" s="4">
        <v>44.9</v>
      </c>
      <c r="L1009" s="4">
        <v>89.2</v>
      </c>
      <c r="M1009" s="4">
        <v>73.7</v>
      </c>
      <c r="N1009">
        <v>2</v>
      </c>
      <c r="O1009" t="s">
        <v>64</v>
      </c>
      <c r="P1009" t="s">
        <v>65</v>
      </c>
      <c r="S1009" s="3">
        <v>0</v>
      </c>
      <c r="T1009" s="5"/>
      <c r="U1009">
        <v>0</v>
      </c>
      <c r="V1009">
        <v>2021</v>
      </c>
      <c r="X1009">
        <f t="shared" si="45"/>
        <v>6.9698991000000001</v>
      </c>
      <c r="Y1009">
        <f t="shared" si="46"/>
        <v>-1.009E-4</v>
      </c>
      <c r="Z1009">
        <f t="shared" si="47"/>
        <v>89.199899099999996</v>
      </c>
    </row>
    <row r="1010" spans="1:26" x14ac:dyDescent="0.3">
      <c r="A1010" t="s">
        <v>1100</v>
      </c>
      <c r="B1010" t="s">
        <v>55</v>
      </c>
      <c r="C1010" t="s">
        <v>74</v>
      </c>
      <c r="D1010" t="s">
        <v>57</v>
      </c>
      <c r="E1010">
        <v>20</v>
      </c>
      <c r="F1010" s="3">
        <v>6.96</v>
      </c>
      <c r="G1010" s="4">
        <v>84.3</v>
      </c>
      <c r="H1010">
        <v>2</v>
      </c>
      <c r="I1010">
        <v>3</v>
      </c>
      <c r="J1010">
        <v>5</v>
      </c>
      <c r="K1010" s="4">
        <v>41.8</v>
      </c>
      <c r="L1010" s="4">
        <v>80.099999999999994</v>
      </c>
      <c r="M1010" s="4">
        <v>94.2</v>
      </c>
      <c r="N1010">
        <v>0</v>
      </c>
      <c r="O1010" t="s">
        <v>58</v>
      </c>
      <c r="P1010" t="s">
        <v>59</v>
      </c>
      <c r="Q1010" t="s">
        <v>60</v>
      </c>
      <c r="R1010" t="s">
        <v>72</v>
      </c>
      <c r="S1010" s="3">
        <v>19.600000000000001</v>
      </c>
      <c r="T1010" s="5">
        <v>45581</v>
      </c>
      <c r="U1010">
        <v>2</v>
      </c>
      <c r="V1010">
        <v>2024</v>
      </c>
      <c r="X1010">
        <f t="shared" si="45"/>
        <v>6.9598990000000001</v>
      </c>
      <c r="Y1010">
        <f t="shared" si="46"/>
        <v>19.599899000000001</v>
      </c>
      <c r="Z1010">
        <f t="shared" si="47"/>
        <v>80.099898999999994</v>
      </c>
    </row>
    <row r="1011" spans="1:26" x14ac:dyDescent="0.3">
      <c r="A1011" t="s">
        <v>1101</v>
      </c>
      <c r="B1011" t="s">
        <v>82</v>
      </c>
      <c r="C1011" t="s">
        <v>56</v>
      </c>
      <c r="D1011" t="s">
        <v>57</v>
      </c>
      <c r="E1011">
        <v>20</v>
      </c>
      <c r="F1011" s="3">
        <v>6.34</v>
      </c>
      <c r="G1011" s="4">
        <v>95.6</v>
      </c>
      <c r="H1011">
        <v>3</v>
      </c>
      <c r="I1011">
        <v>1</v>
      </c>
      <c r="J1011">
        <v>3</v>
      </c>
      <c r="K1011" s="4">
        <v>64.5</v>
      </c>
      <c r="L1011" s="4">
        <v>35.6</v>
      </c>
      <c r="M1011" s="4">
        <v>64.2</v>
      </c>
      <c r="N1011">
        <v>0</v>
      </c>
      <c r="O1011" t="s">
        <v>58</v>
      </c>
      <c r="P1011" t="s">
        <v>90</v>
      </c>
      <c r="Q1011" t="s">
        <v>60</v>
      </c>
      <c r="R1011" t="s">
        <v>72</v>
      </c>
      <c r="S1011" s="3">
        <v>7.64</v>
      </c>
      <c r="T1011" s="5">
        <v>44873</v>
      </c>
      <c r="U1011">
        <v>1</v>
      </c>
      <c r="V1011">
        <v>2022</v>
      </c>
      <c r="X1011">
        <f t="shared" si="45"/>
        <v>6.3398988999999997</v>
      </c>
      <c r="Y1011">
        <f t="shared" si="46"/>
        <v>7.6398988999999995</v>
      </c>
      <c r="Z1011">
        <f t="shared" si="47"/>
        <v>35.599898899999999</v>
      </c>
    </row>
    <row r="1012" spans="1:26" x14ac:dyDescent="0.3">
      <c r="A1012" t="s">
        <v>1102</v>
      </c>
      <c r="B1012" t="s">
        <v>107</v>
      </c>
      <c r="C1012" t="s">
        <v>56</v>
      </c>
      <c r="D1012" t="s">
        <v>57</v>
      </c>
      <c r="E1012">
        <v>21</v>
      </c>
      <c r="F1012" s="3">
        <v>6.44</v>
      </c>
      <c r="G1012" s="4">
        <v>86.6</v>
      </c>
      <c r="H1012">
        <v>2</v>
      </c>
      <c r="I1012">
        <v>3</v>
      </c>
      <c r="J1012">
        <v>4</v>
      </c>
      <c r="K1012" s="4">
        <v>64.2</v>
      </c>
      <c r="L1012" s="4">
        <v>72.599999999999994</v>
      </c>
      <c r="M1012" s="4">
        <v>69.8</v>
      </c>
      <c r="N1012">
        <v>0</v>
      </c>
      <c r="O1012" t="s">
        <v>58</v>
      </c>
      <c r="P1012" t="s">
        <v>79</v>
      </c>
      <c r="Q1012" t="s">
        <v>71</v>
      </c>
      <c r="R1012" t="s">
        <v>80</v>
      </c>
      <c r="S1012" s="3">
        <v>5.81</v>
      </c>
      <c r="T1012" s="5">
        <v>44519</v>
      </c>
      <c r="U1012">
        <v>2</v>
      </c>
      <c r="V1012">
        <v>2021</v>
      </c>
      <c r="X1012">
        <f t="shared" si="45"/>
        <v>6.4398988000000008</v>
      </c>
      <c r="Y1012">
        <f t="shared" si="46"/>
        <v>5.8098988</v>
      </c>
      <c r="Z1012">
        <f t="shared" si="47"/>
        <v>72.599898799999991</v>
      </c>
    </row>
    <row r="1013" spans="1:26" x14ac:dyDescent="0.3">
      <c r="A1013" t="s">
        <v>1103</v>
      </c>
      <c r="B1013" t="s">
        <v>67</v>
      </c>
      <c r="C1013" t="s">
        <v>56</v>
      </c>
      <c r="D1013" t="s">
        <v>57</v>
      </c>
      <c r="E1013">
        <v>21</v>
      </c>
      <c r="F1013" s="3">
        <v>7.06</v>
      </c>
      <c r="G1013" s="4">
        <v>81.3</v>
      </c>
      <c r="H1013">
        <v>1</v>
      </c>
      <c r="I1013">
        <v>1</v>
      </c>
      <c r="J1013">
        <v>4</v>
      </c>
      <c r="K1013" s="4">
        <v>82.6</v>
      </c>
      <c r="L1013" s="4">
        <v>41.1</v>
      </c>
      <c r="M1013" s="4">
        <v>85.9</v>
      </c>
      <c r="N1013">
        <v>0</v>
      </c>
      <c r="O1013" t="s">
        <v>64</v>
      </c>
      <c r="P1013" t="s">
        <v>65</v>
      </c>
      <c r="S1013" s="3">
        <v>0</v>
      </c>
      <c r="T1013" s="5"/>
      <c r="U1013">
        <v>0</v>
      </c>
      <c r="V1013">
        <v>2023</v>
      </c>
      <c r="X1013">
        <f t="shared" si="45"/>
        <v>7.0598986999999997</v>
      </c>
      <c r="Y1013">
        <f t="shared" si="46"/>
        <v>-1.013E-4</v>
      </c>
      <c r="Z1013">
        <f t="shared" si="47"/>
        <v>41.099898700000004</v>
      </c>
    </row>
    <row r="1014" spans="1:26" x14ac:dyDescent="0.3">
      <c r="A1014" t="s">
        <v>1104</v>
      </c>
      <c r="B1014" t="s">
        <v>63</v>
      </c>
      <c r="C1014" t="s">
        <v>89</v>
      </c>
      <c r="D1014" t="s">
        <v>57</v>
      </c>
      <c r="E1014">
        <v>23</v>
      </c>
      <c r="F1014" s="3">
        <v>6.76</v>
      </c>
      <c r="G1014" s="4">
        <v>68.599999999999994</v>
      </c>
      <c r="H1014">
        <v>1</v>
      </c>
      <c r="I1014">
        <v>1</v>
      </c>
      <c r="J1014">
        <v>3</v>
      </c>
      <c r="K1014" s="4">
        <v>84.8</v>
      </c>
      <c r="L1014" s="4">
        <v>75.7</v>
      </c>
      <c r="M1014" s="4">
        <v>65.2</v>
      </c>
      <c r="N1014">
        <v>1</v>
      </c>
      <c r="O1014" t="s">
        <v>64</v>
      </c>
      <c r="P1014" t="s">
        <v>65</v>
      </c>
      <c r="S1014" s="3">
        <v>0</v>
      </c>
      <c r="T1014" s="5"/>
      <c r="U1014">
        <v>0</v>
      </c>
      <c r="V1014">
        <v>2025</v>
      </c>
      <c r="X1014">
        <f t="shared" si="45"/>
        <v>6.7598985999999996</v>
      </c>
      <c r="Y1014">
        <f t="shared" si="46"/>
        <v>-1.014E-4</v>
      </c>
      <c r="Z1014">
        <f t="shared" si="47"/>
        <v>75.699898599999997</v>
      </c>
    </row>
    <row r="1015" spans="1:26" x14ac:dyDescent="0.3">
      <c r="A1015" t="s">
        <v>1105</v>
      </c>
      <c r="B1015" t="s">
        <v>107</v>
      </c>
      <c r="C1015" t="s">
        <v>56</v>
      </c>
      <c r="D1015" t="s">
        <v>69</v>
      </c>
      <c r="E1015">
        <v>21</v>
      </c>
      <c r="F1015" s="3">
        <v>5.33</v>
      </c>
      <c r="G1015" s="4">
        <v>67.3</v>
      </c>
      <c r="H1015">
        <v>3</v>
      </c>
      <c r="I1015">
        <v>1</v>
      </c>
      <c r="J1015">
        <v>4</v>
      </c>
      <c r="K1015" s="4">
        <v>66.599999999999994</v>
      </c>
      <c r="L1015" s="4">
        <v>94</v>
      </c>
      <c r="M1015" s="4">
        <v>67.599999999999994</v>
      </c>
      <c r="N1015">
        <v>0</v>
      </c>
      <c r="O1015" t="s">
        <v>58</v>
      </c>
      <c r="P1015" t="s">
        <v>92</v>
      </c>
      <c r="Q1015" t="s">
        <v>93</v>
      </c>
      <c r="R1015" t="s">
        <v>109</v>
      </c>
      <c r="S1015" s="3">
        <v>10.14</v>
      </c>
      <c r="T1015" s="5">
        <v>44451</v>
      </c>
      <c r="U1015">
        <v>1</v>
      </c>
      <c r="V1015">
        <v>2021</v>
      </c>
      <c r="X1015">
        <f t="shared" si="45"/>
        <v>5.3298984999999997</v>
      </c>
      <c r="Y1015">
        <f t="shared" si="46"/>
        <v>10.139898500000001</v>
      </c>
      <c r="Z1015">
        <f t="shared" si="47"/>
        <v>93.9998985</v>
      </c>
    </row>
    <row r="1016" spans="1:26" x14ac:dyDescent="0.3">
      <c r="A1016" t="s">
        <v>1106</v>
      </c>
      <c r="B1016" t="s">
        <v>67</v>
      </c>
      <c r="C1016" t="s">
        <v>101</v>
      </c>
      <c r="D1016" t="s">
        <v>57</v>
      </c>
      <c r="E1016">
        <v>21</v>
      </c>
      <c r="F1016" s="3">
        <v>8.41</v>
      </c>
      <c r="G1016" s="4">
        <v>91.4</v>
      </c>
      <c r="H1016">
        <v>0</v>
      </c>
      <c r="I1016">
        <v>3</v>
      </c>
      <c r="J1016">
        <v>3</v>
      </c>
      <c r="K1016" s="4">
        <v>65.099999999999994</v>
      </c>
      <c r="L1016" s="4">
        <v>87.1</v>
      </c>
      <c r="M1016" s="4">
        <v>56.7</v>
      </c>
      <c r="N1016">
        <v>0</v>
      </c>
      <c r="O1016" t="s">
        <v>58</v>
      </c>
      <c r="P1016" t="s">
        <v>70</v>
      </c>
      <c r="Q1016" t="s">
        <v>71</v>
      </c>
      <c r="R1016" t="s">
        <v>109</v>
      </c>
      <c r="S1016" s="3">
        <v>5.94</v>
      </c>
      <c r="T1016" s="5">
        <v>45235</v>
      </c>
      <c r="U1016">
        <v>1</v>
      </c>
      <c r="V1016">
        <v>2023</v>
      </c>
      <c r="X1016">
        <f t="shared" si="45"/>
        <v>8.4098983999999994</v>
      </c>
      <c r="Y1016">
        <f t="shared" si="46"/>
        <v>5.9398984000000006</v>
      </c>
      <c r="Z1016">
        <f t="shared" si="47"/>
        <v>87.099898400000001</v>
      </c>
    </row>
    <row r="1017" spans="1:26" x14ac:dyDescent="0.3">
      <c r="A1017" t="s">
        <v>1107</v>
      </c>
      <c r="B1017" t="s">
        <v>107</v>
      </c>
      <c r="C1017" t="s">
        <v>68</v>
      </c>
      <c r="D1017" t="s">
        <v>69</v>
      </c>
      <c r="E1017">
        <v>23</v>
      </c>
      <c r="F1017" s="3">
        <v>8.35</v>
      </c>
      <c r="G1017" s="4">
        <v>87.1</v>
      </c>
      <c r="H1017">
        <v>1</v>
      </c>
      <c r="I1017">
        <v>0</v>
      </c>
      <c r="J1017">
        <v>4</v>
      </c>
      <c r="K1017" s="4">
        <v>57.1</v>
      </c>
      <c r="L1017" s="4">
        <v>66</v>
      </c>
      <c r="M1017" s="4">
        <v>81.5</v>
      </c>
      <c r="N1017">
        <v>1</v>
      </c>
      <c r="O1017" t="s">
        <v>58</v>
      </c>
      <c r="P1017" t="s">
        <v>87</v>
      </c>
      <c r="Q1017" t="s">
        <v>71</v>
      </c>
      <c r="R1017" t="s">
        <v>61</v>
      </c>
      <c r="S1017" s="3">
        <v>6.43</v>
      </c>
      <c r="T1017" s="5">
        <v>44467</v>
      </c>
      <c r="U1017">
        <v>3</v>
      </c>
      <c r="V1017">
        <v>2021</v>
      </c>
      <c r="X1017">
        <f t="shared" si="45"/>
        <v>8.3498982999999996</v>
      </c>
      <c r="Y1017">
        <f t="shared" si="46"/>
        <v>6.4298982999999996</v>
      </c>
      <c r="Z1017">
        <f t="shared" si="47"/>
        <v>65.999898299999998</v>
      </c>
    </row>
    <row r="1018" spans="1:26" x14ac:dyDescent="0.3">
      <c r="A1018" t="s">
        <v>1108</v>
      </c>
      <c r="B1018" t="s">
        <v>63</v>
      </c>
      <c r="C1018" t="s">
        <v>78</v>
      </c>
      <c r="D1018" t="s">
        <v>69</v>
      </c>
      <c r="E1018">
        <v>22</v>
      </c>
      <c r="F1018" s="3">
        <v>7.93</v>
      </c>
      <c r="G1018" s="4">
        <v>95.2</v>
      </c>
      <c r="H1018">
        <v>0</v>
      </c>
      <c r="I1018">
        <v>1</v>
      </c>
      <c r="J1018">
        <v>5</v>
      </c>
      <c r="K1018" s="4">
        <v>66.5</v>
      </c>
      <c r="L1018" s="4">
        <v>67.599999999999994</v>
      </c>
      <c r="M1018" s="4">
        <v>56.8</v>
      </c>
      <c r="N1018">
        <v>0</v>
      </c>
      <c r="O1018" t="s">
        <v>58</v>
      </c>
      <c r="P1018" t="s">
        <v>104</v>
      </c>
      <c r="Q1018" t="s">
        <v>105</v>
      </c>
      <c r="R1018" t="s">
        <v>109</v>
      </c>
      <c r="S1018" s="3">
        <v>13.2</v>
      </c>
      <c r="T1018" s="5">
        <v>45955</v>
      </c>
      <c r="U1018">
        <v>1</v>
      </c>
      <c r="V1018">
        <v>2025</v>
      </c>
      <c r="X1018">
        <f t="shared" si="45"/>
        <v>7.9298981999999993</v>
      </c>
      <c r="Y1018">
        <f t="shared" si="46"/>
        <v>13.1998982</v>
      </c>
      <c r="Z1018">
        <f t="shared" si="47"/>
        <v>67.599898199999998</v>
      </c>
    </row>
    <row r="1019" spans="1:26" x14ac:dyDescent="0.3">
      <c r="A1019" t="s">
        <v>1109</v>
      </c>
      <c r="B1019" t="s">
        <v>63</v>
      </c>
      <c r="C1019" t="s">
        <v>68</v>
      </c>
      <c r="D1019" t="s">
        <v>69</v>
      </c>
      <c r="E1019">
        <v>21</v>
      </c>
      <c r="F1019" s="3">
        <v>6.63</v>
      </c>
      <c r="G1019" s="4">
        <v>90.4</v>
      </c>
      <c r="H1019">
        <v>1</v>
      </c>
      <c r="I1019">
        <v>1</v>
      </c>
      <c r="J1019">
        <v>5</v>
      </c>
      <c r="K1019" s="4">
        <v>32.200000000000003</v>
      </c>
      <c r="L1019" s="4">
        <v>42.4</v>
      </c>
      <c r="M1019" s="4">
        <v>86.6</v>
      </c>
      <c r="N1019">
        <v>1</v>
      </c>
      <c r="O1019" t="s">
        <v>64</v>
      </c>
      <c r="P1019" t="s">
        <v>65</v>
      </c>
      <c r="S1019" s="3">
        <v>0</v>
      </c>
      <c r="T1019" s="5"/>
      <c r="U1019">
        <v>0</v>
      </c>
      <c r="V1019">
        <v>2025</v>
      </c>
      <c r="X1019">
        <f t="shared" si="45"/>
        <v>6.6298981000000001</v>
      </c>
      <c r="Y1019">
        <f t="shared" si="46"/>
        <v>-1.019E-4</v>
      </c>
      <c r="Z1019">
        <f t="shared" si="47"/>
        <v>42.399898100000001</v>
      </c>
    </row>
    <row r="1020" spans="1:26" x14ac:dyDescent="0.3">
      <c r="A1020" t="s">
        <v>1110</v>
      </c>
      <c r="B1020" t="s">
        <v>82</v>
      </c>
      <c r="C1020" t="s">
        <v>89</v>
      </c>
      <c r="D1020" t="s">
        <v>57</v>
      </c>
      <c r="E1020">
        <v>22</v>
      </c>
      <c r="F1020" s="3">
        <v>9.1300000000000008</v>
      </c>
      <c r="G1020" s="4">
        <v>78.7</v>
      </c>
      <c r="H1020">
        <v>1</v>
      </c>
      <c r="I1020">
        <v>1</v>
      </c>
      <c r="J1020">
        <v>3</v>
      </c>
      <c r="K1020" s="4">
        <v>61.7</v>
      </c>
      <c r="L1020" s="4">
        <v>70.2</v>
      </c>
      <c r="M1020" s="4">
        <v>59</v>
      </c>
      <c r="N1020">
        <v>3</v>
      </c>
      <c r="O1020" t="s">
        <v>58</v>
      </c>
      <c r="P1020" t="s">
        <v>75</v>
      </c>
      <c r="Q1020" t="s">
        <v>71</v>
      </c>
      <c r="R1020" t="s">
        <v>80</v>
      </c>
      <c r="S1020" s="3">
        <v>6.32</v>
      </c>
      <c r="T1020" s="5">
        <v>44847</v>
      </c>
      <c r="U1020">
        <v>2</v>
      </c>
      <c r="V1020">
        <v>2022</v>
      </c>
      <c r="X1020">
        <f t="shared" si="45"/>
        <v>9.1298980000000007</v>
      </c>
      <c r="Y1020">
        <f t="shared" si="46"/>
        <v>6.3198980000000002</v>
      </c>
      <c r="Z1020">
        <f t="shared" si="47"/>
        <v>70.199898000000005</v>
      </c>
    </row>
    <row r="1021" spans="1:26" x14ac:dyDescent="0.3">
      <c r="A1021" t="s">
        <v>1111</v>
      </c>
      <c r="B1021" t="s">
        <v>55</v>
      </c>
      <c r="C1021" t="s">
        <v>84</v>
      </c>
      <c r="D1021" t="s">
        <v>57</v>
      </c>
      <c r="E1021">
        <v>20</v>
      </c>
      <c r="F1021" s="3">
        <v>7.49</v>
      </c>
      <c r="G1021" s="4">
        <v>61.3</v>
      </c>
      <c r="H1021">
        <v>1</v>
      </c>
      <c r="I1021">
        <v>0</v>
      </c>
      <c r="J1021">
        <v>2</v>
      </c>
      <c r="K1021" s="4">
        <v>66.900000000000006</v>
      </c>
      <c r="L1021" s="4">
        <v>66.900000000000006</v>
      </c>
      <c r="M1021" s="4">
        <v>64.900000000000006</v>
      </c>
      <c r="N1021">
        <v>0</v>
      </c>
      <c r="O1021" t="s">
        <v>58</v>
      </c>
      <c r="P1021" t="s">
        <v>90</v>
      </c>
      <c r="Q1021" t="s">
        <v>60</v>
      </c>
      <c r="R1021" t="s">
        <v>85</v>
      </c>
      <c r="S1021" s="3">
        <v>9.57</v>
      </c>
      <c r="T1021" s="5">
        <v>45543</v>
      </c>
      <c r="U1021">
        <v>1</v>
      </c>
      <c r="V1021">
        <v>2024</v>
      </c>
      <c r="X1021">
        <f t="shared" si="45"/>
        <v>7.4898978999999999</v>
      </c>
      <c r="Y1021">
        <f t="shared" si="46"/>
        <v>9.5698979000000008</v>
      </c>
      <c r="Z1021">
        <f t="shared" si="47"/>
        <v>66.899897899999999</v>
      </c>
    </row>
    <row r="1022" spans="1:26" x14ac:dyDescent="0.3">
      <c r="A1022" t="s">
        <v>1112</v>
      </c>
      <c r="B1022" t="s">
        <v>107</v>
      </c>
      <c r="C1022" t="s">
        <v>56</v>
      </c>
      <c r="D1022" t="s">
        <v>69</v>
      </c>
      <c r="E1022">
        <v>21</v>
      </c>
      <c r="F1022" s="3">
        <v>6.9</v>
      </c>
      <c r="G1022" s="4">
        <v>87.4</v>
      </c>
      <c r="H1022">
        <v>2</v>
      </c>
      <c r="I1022">
        <v>1</v>
      </c>
      <c r="J1022">
        <v>5</v>
      </c>
      <c r="K1022" s="4">
        <v>57</v>
      </c>
      <c r="L1022" s="4">
        <v>51.2</v>
      </c>
      <c r="M1022" s="4">
        <v>59.9</v>
      </c>
      <c r="N1022">
        <v>1</v>
      </c>
      <c r="O1022" t="s">
        <v>64</v>
      </c>
      <c r="P1022" t="s">
        <v>65</v>
      </c>
      <c r="S1022" s="3">
        <v>0</v>
      </c>
      <c r="T1022" s="5"/>
      <c r="U1022">
        <v>0</v>
      </c>
      <c r="V1022">
        <v>2021</v>
      </c>
      <c r="X1022">
        <f t="shared" si="45"/>
        <v>6.8998978000000006</v>
      </c>
      <c r="Y1022">
        <f t="shared" si="46"/>
        <v>-1.0219999999999999E-4</v>
      </c>
      <c r="Z1022">
        <f t="shared" si="47"/>
        <v>51.199897800000002</v>
      </c>
    </row>
    <row r="1023" spans="1:26" x14ac:dyDescent="0.3">
      <c r="A1023" t="s">
        <v>1113</v>
      </c>
      <c r="B1023" t="s">
        <v>107</v>
      </c>
      <c r="C1023" t="s">
        <v>74</v>
      </c>
      <c r="D1023" t="s">
        <v>57</v>
      </c>
      <c r="E1023">
        <v>20</v>
      </c>
      <c r="F1023" s="3">
        <v>7.86</v>
      </c>
      <c r="G1023" s="4">
        <v>72.900000000000006</v>
      </c>
      <c r="H1023">
        <v>1</v>
      </c>
      <c r="I1023">
        <v>2</v>
      </c>
      <c r="J1023">
        <v>3</v>
      </c>
      <c r="K1023" s="4">
        <v>59</v>
      </c>
      <c r="L1023" s="4">
        <v>55.3</v>
      </c>
      <c r="M1023" s="4">
        <v>70.599999999999994</v>
      </c>
      <c r="N1023">
        <v>1</v>
      </c>
      <c r="O1023" t="s">
        <v>58</v>
      </c>
      <c r="P1023" t="s">
        <v>87</v>
      </c>
      <c r="Q1023" t="s">
        <v>71</v>
      </c>
      <c r="R1023" t="s">
        <v>80</v>
      </c>
      <c r="S1023" s="3">
        <v>5.75</v>
      </c>
      <c r="T1023" s="5">
        <v>44502</v>
      </c>
      <c r="U1023">
        <v>2</v>
      </c>
      <c r="V1023">
        <v>2021</v>
      </c>
      <c r="X1023">
        <f t="shared" si="45"/>
        <v>7.8598977000000003</v>
      </c>
      <c r="Y1023">
        <f t="shared" si="46"/>
        <v>5.7498977</v>
      </c>
      <c r="Z1023">
        <f t="shared" si="47"/>
        <v>55.299897699999995</v>
      </c>
    </row>
    <row r="1024" spans="1:26" x14ac:dyDescent="0.3">
      <c r="A1024" t="s">
        <v>1114</v>
      </c>
      <c r="B1024" t="s">
        <v>67</v>
      </c>
      <c r="C1024" t="s">
        <v>78</v>
      </c>
      <c r="D1024" t="s">
        <v>69</v>
      </c>
      <c r="E1024">
        <v>20</v>
      </c>
      <c r="F1024" s="3">
        <v>7.81</v>
      </c>
      <c r="G1024" s="4">
        <v>80.3</v>
      </c>
      <c r="H1024">
        <v>1</v>
      </c>
      <c r="I1024">
        <v>2</v>
      </c>
      <c r="J1024">
        <v>2</v>
      </c>
      <c r="K1024" s="4">
        <v>63.8</v>
      </c>
      <c r="L1024" s="4">
        <v>52</v>
      </c>
      <c r="M1024" s="4">
        <v>86.9</v>
      </c>
      <c r="N1024">
        <v>1</v>
      </c>
      <c r="O1024" t="s">
        <v>64</v>
      </c>
      <c r="P1024" t="s">
        <v>65</v>
      </c>
      <c r="S1024" s="3">
        <v>0</v>
      </c>
      <c r="T1024" s="5"/>
      <c r="U1024">
        <v>0</v>
      </c>
      <c r="V1024">
        <v>2023</v>
      </c>
      <c r="X1024">
        <f t="shared" si="45"/>
        <v>7.8098975999999993</v>
      </c>
      <c r="Y1024">
        <f t="shared" si="46"/>
        <v>-1.024E-4</v>
      </c>
      <c r="Z1024">
        <f t="shared" si="47"/>
        <v>51.999897599999997</v>
      </c>
    </row>
    <row r="1025" spans="1:26" x14ac:dyDescent="0.3">
      <c r="A1025" t="s">
        <v>1115</v>
      </c>
      <c r="B1025" t="s">
        <v>63</v>
      </c>
      <c r="C1025" t="s">
        <v>56</v>
      </c>
      <c r="D1025" t="s">
        <v>69</v>
      </c>
      <c r="E1025">
        <v>22</v>
      </c>
      <c r="F1025" s="3">
        <v>5.4</v>
      </c>
      <c r="G1025" s="4">
        <v>85.7</v>
      </c>
      <c r="H1025">
        <v>1</v>
      </c>
      <c r="I1025">
        <v>1</v>
      </c>
      <c r="J1025">
        <v>3</v>
      </c>
      <c r="K1025" s="4">
        <v>67.900000000000006</v>
      </c>
      <c r="L1025" s="4">
        <v>100</v>
      </c>
      <c r="M1025" s="4">
        <v>65.599999999999994</v>
      </c>
      <c r="N1025">
        <v>0</v>
      </c>
      <c r="O1025" t="s">
        <v>64</v>
      </c>
      <c r="P1025" t="s">
        <v>65</v>
      </c>
      <c r="S1025" s="3">
        <v>0</v>
      </c>
      <c r="T1025" s="5"/>
      <c r="U1025">
        <v>0</v>
      </c>
      <c r="V1025">
        <v>2025</v>
      </c>
      <c r="X1025">
        <f t="shared" si="45"/>
        <v>5.3998975000000007</v>
      </c>
      <c r="Y1025">
        <f t="shared" si="46"/>
        <v>-1.025E-4</v>
      </c>
      <c r="Z1025">
        <f t="shared" si="47"/>
        <v>99.999897500000003</v>
      </c>
    </row>
    <row r="1026" spans="1:26" x14ac:dyDescent="0.3">
      <c r="A1026" t="s">
        <v>1116</v>
      </c>
      <c r="B1026" t="s">
        <v>107</v>
      </c>
      <c r="C1026" t="s">
        <v>56</v>
      </c>
      <c r="D1026" t="s">
        <v>69</v>
      </c>
      <c r="E1026">
        <v>23</v>
      </c>
      <c r="F1026" s="3">
        <v>7.62</v>
      </c>
      <c r="G1026" s="4">
        <v>76.3</v>
      </c>
      <c r="H1026">
        <v>3</v>
      </c>
      <c r="I1026">
        <v>2</v>
      </c>
      <c r="J1026">
        <v>5</v>
      </c>
      <c r="K1026" s="4">
        <v>80.099999999999994</v>
      </c>
      <c r="L1026" s="4">
        <v>71.8</v>
      </c>
      <c r="M1026" s="4">
        <v>62.2</v>
      </c>
      <c r="N1026">
        <v>1</v>
      </c>
      <c r="O1026" t="s">
        <v>58</v>
      </c>
      <c r="P1026" t="s">
        <v>104</v>
      </c>
      <c r="Q1026" t="s">
        <v>105</v>
      </c>
      <c r="R1026" t="s">
        <v>72</v>
      </c>
      <c r="S1026" s="3">
        <v>17.05</v>
      </c>
      <c r="T1026" s="5">
        <v>44430</v>
      </c>
      <c r="U1026">
        <v>1</v>
      </c>
      <c r="V1026">
        <v>2021</v>
      </c>
      <c r="X1026">
        <f t="shared" ref="X1026:X1089" si="48">F1026-ROW()*0.0000001</f>
        <v>7.6198974000000002</v>
      </c>
      <c r="Y1026">
        <f t="shared" ref="Y1026:Y1089" si="49">S1026-ROW()*0.0000001</f>
        <v>17.049897399999999</v>
      </c>
      <c r="Z1026">
        <f t="shared" ref="Z1026:Z1089" si="50">L1026-ROW()*0.0000001</f>
        <v>71.799897399999992</v>
      </c>
    </row>
    <row r="1027" spans="1:26" x14ac:dyDescent="0.3">
      <c r="A1027" t="s">
        <v>1117</v>
      </c>
      <c r="B1027" t="s">
        <v>63</v>
      </c>
      <c r="C1027" t="s">
        <v>74</v>
      </c>
      <c r="D1027" t="s">
        <v>69</v>
      </c>
      <c r="E1027">
        <v>21</v>
      </c>
      <c r="F1027" s="3">
        <v>7.76</v>
      </c>
      <c r="G1027" s="4">
        <v>74.599999999999994</v>
      </c>
      <c r="H1027">
        <v>2</v>
      </c>
      <c r="I1027">
        <v>1</v>
      </c>
      <c r="J1027">
        <v>5</v>
      </c>
      <c r="K1027" s="4">
        <v>74</v>
      </c>
      <c r="L1027" s="4">
        <v>81.3</v>
      </c>
      <c r="M1027" s="4">
        <v>73.8</v>
      </c>
      <c r="N1027">
        <v>0</v>
      </c>
      <c r="O1027" t="s">
        <v>58</v>
      </c>
      <c r="P1027" t="s">
        <v>112</v>
      </c>
      <c r="Q1027" t="s">
        <v>93</v>
      </c>
      <c r="R1027" t="s">
        <v>85</v>
      </c>
      <c r="S1027" s="3">
        <v>6.28</v>
      </c>
      <c r="T1027" s="5">
        <v>45957</v>
      </c>
      <c r="U1027">
        <v>1</v>
      </c>
      <c r="V1027">
        <v>2025</v>
      </c>
      <c r="X1027">
        <f t="shared" si="48"/>
        <v>7.7598972999999996</v>
      </c>
      <c r="Y1027">
        <f t="shared" si="49"/>
        <v>6.2798973</v>
      </c>
      <c r="Z1027">
        <f t="shared" si="50"/>
        <v>81.299897299999998</v>
      </c>
    </row>
    <row r="1028" spans="1:26" x14ac:dyDescent="0.3">
      <c r="A1028" t="s">
        <v>1118</v>
      </c>
      <c r="B1028" t="s">
        <v>107</v>
      </c>
      <c r="C1028" t="s">
        <v>56</v>
      </c>
      <c r="D1028" t="s">
        <v>57</v>
      </c>
      <c r="E1028">
        <v>22</v>
      </c>
      <c r="F1028" s="3">
        <v>7.31</v>
      </c>
      <c r="G1028" s="4">
        <v>79.2</v>
      </c>
      <c r="H1028">
        <v>0</v>
      </c>
      <c r="I1028">
        <v>1</v>
      </c>
      <c r="J1028">
        <v>6</v>
      </c>
      <c r="K1028" s="4">
        <v>80.3</v>
      </c>
      <c r="L1028" s="4">
        <v>83.7</v>
      </c>
      <c r="M1028" s="4">
        <v>73.2</v>
      </c>
      <c r="N1028">
        <v>0</v>
      </c>
      <c r="O1028" t="s">
        <v>58</v>
      </c>
      <c r="P1028" t="s">
        <v>75</v>
      </c>
      <c r="Q1028" t="s">
        <v>71</v>
      </c>
      <c r="R1028" t="s">
        <v>72</v>
      </c>
      <c r="S1028" s="3">
        <v>5.53</v>
      </c>
      <c r="T1028" s="5">
        <v>44466</v>
      </c>
      <c r="U1028">
        <v>2</v>
      </c>
      <c r="V1028">
        <v>2021</v>
      </c>
      <c r="X1028">
        <f t="shared" si="48"/>
        <v>7.3098972</v>
      </c>
      <c r="Y1028">
        <f t="shared" si="49"/>
        <v>5.5298972000000006</v>
      </c>
      <c r="Z1028">
        <f t="shared" si="50"/>
        <v>83.699897200000009</v>
      </c>
    </row>
    <row r="1029" spans="1:26" x14ac:dyDescent="0.3">
      <c r="A1029" t="s">
        <v>1119</v>
      </c>
      <c r="B1029" t="s">
        <v>82</v>
      </c>
      <c r="C1029" t="s">
        <v>89</v>
      </c>
      <c r="D1029" t="s">
        <v>57</v>
      </c>
      <c r="E1029">
        <v>23</v>
      </c>
      <c r="F1029" s="3">
        <v>6.46</v>
      </c>
      <c r="G1029" s="4">
        <v>63.6</v>
      </c>
      <c r="H1029">
        <v>0</v>
      </c>
      <c r="I1029">
        <v>3</v>
      </c>
      <c r="J1029">
        <v>2</v>
      </c>
      <c r="K1029" s="4">
        <v>76</v>
      </c>
      <c r="L1029" s="4">
        <v>94.2</v>
      </c>
      <c r="M1029" s="4">
        <v>82.1</v>
      </c>
      <c r="N1029">
        <v>0</v>
      </c>
      <c r="O1029" t="s">
        <v>64</v>
      </c>
      <c r="P1029" t="s">
        <v>65</v>
      </c>
      <c r="S1029" s="3">
        <v>0</v>
      </c>
      <c r="T1029" s="5"/>
      <c r="U1029">
        <v>0</v>
      </c>
      <c r="V1029">
        <v>2022</v>
      </c>
      <c r="X1029">
        <f t="shared" si="48"/>
        <v>6.4598971000000001</v>
      </c>
      <c r="Y1029">
        <f t="shared" si="49"/>
        <v>-1.0289999999999999E-4</v>
      </c>
      <c r="Z1029">
        <f t="shared" si="50"/>
        <v>94.199897100000001</v>
      </c>
    </row>
    <row r="1030" spans="1:26" x14ac:dyDescent="0.3">
      <c r="A1030" t="s">
        <v>1120</v>
      </c>
      <c r="B1030" t="s">
        <v>55</v>
      </c>
      <c r="C1030" t="s">
        <v>56</v>
      </c>
      <c r="D1030" t="s">
        <v>69</v>
      </c>
      <c r="E1030">
        <v>20</v>
      </c>
      <c r="F1030" s="3">
        <v>6.49</v>
      </c>
      <c r="G1030" s="4">
        <v>72.7</v>
      </c>
      <c r="H1030">
        <v>1</v>
      </c>
      <c r="I1030">
        <v>2</v>
      </c>
      <c r="J1030">
        <v>3</v>
      </c>
      <c r="K1030" s="4">
        <v>69.599999999999994</v>
      </c>
      <c r="L1030" s="4">
        <v>93.7</v>
      </c>
      <c r="M1030" s="4">
        <v>58.2</v>
      </c>
      <c r="N1030">
        <v>0</v>
      </c>
      <c r="O1030" t="s">
        <v>64</v>
      </c>
      <c r="P1030" t="s">
        <v>65</v>
      </c>
      <c r="S1030" s="3">
        <v>0</v>
      </c>
      <c r="T1030" s="5"/>
      <c r="U1030">
        <v>0</v>
      </c>
      <c r="V1030">
        <v>2024</v>
      </c>
      <c r="X1030">
        <f t="shared" si="48"/>
        <v>6.489897</v>
      </c>
      <c r="Y1030">
        <f t="shared" si="49"/>
        <v>-1.03E-4</v>
      </c>
      <c r="Z1030">
        <f t="shared" si="50"/>
        <v>93.699897000000007</v>
      </c>
    </row>
    <row r="1031" spans="1:26" x14ac:dyDescent="0.3">
      <c r="A1031" t="s">
        <v>1121</v>
      </c>
      <c r="B1031" t="s">
        <v>107</v>
      </c>
      <c r="C1031" t="s">
        <v>84</v>
      </c>
      <c r="D1031" t="s">
        <v>57</v>
      </c>
      <c r="E1031">
        <v>21</v>
      </c>
      <c r="F1031" s="3">
        <v>8.11</v>
      </c>
      <c r="G1031" s="4">
        <v>72.599999999999994</v>
      </c>
      <c r="H1031">
        <v>2</v>
      </c>
      <c r="I1031">
        <v>4</v>
      </c>
      <c r="J1031">
        <v>4</v>
      </c>
      <c r="K1031" s="4">
        <v>99.2</v>
      </c>
      <c r="L1031" s="4">
        <v>84.2</v>
      </c>
      <c r="M1031" s="4">
        <v>76.900000000000006</v>
      </c>
      <c r="N1031">
        <v>1</v>
      </c>
      <c r="O1031" t="s">
        <v>58</v>
      </c>
      <c r="P1031" t="s">
        <v>70</v>
      </c>
      <c r="Q1031" t="s">
        <v>71</v>
      </c>
      <c r="R1031" t="s">
        <v>61</v>
      </c>
      <c r="S1031" s="3">
        <v>5.16</v>
      </c>
      <c r="T1031" s="5">
        <v>44418</v>
      </c>
      <c r="U1031">
        <v>2</v>
      </c>
      <c r="V1031">
        <v>2021</v>
      </c>
      <c r="X1031">
        <f t="shared" si="48"/>
        <v>8.109896899999999</v>
      </c>
      <c r="Y1031">
        <f t="shared" si="49"/>
        <v>5.1598969000000006</v>
      </c>
      <c r="Z1031">
        <f t="shared" si="50"/>
        <v>84.199896899999999</v>
      </c>
    </row>
    <row r="1032" spans="1:26" x14ac:dyDescent="0.3">
      <c r="A1032" t="s">
        <v>1122</v>
      </c>
      <c r="B1032" t="s">
        <v>63</v>
      </c>
      <c r="C1032" t="s">
        <v>101</v>
      </c>
      <c r="D1032" t="s">
        <v>57</v>
      </c>
      <c r="E1032">
        <v>20</v>
      </c>
      <c r="F1032" s="3">
        <v>8.34</v>
      </c>
      <c r="G1032" s="4">
        <v>79.900000000000006</v>
      </c>
      <c r="H1032">
        <v>1</v>
      </c>
      <c r="I1032">
        <v>1</v>
      </c>
      <c r="J1032">
        <v>5</v>
      </c>
      <c r="K1032" s="4">
        <v>58</v>
      </c>
      <c r="L1032" s="4">
        <v>47.2</v>
      </c>
      <c r="M1032" s="4">
        <v>88.9</v>
      </c>
      <c r="N1032">
        <v>0</v>
      </c>
      <c r="O1032" t="s">
        <v>58</v>
      </c>
      <c r="P1032" t="s">
        <v>92</v>
      </c>
      <c r="Q1032" t="s">
        <v>93</v>
      </c>
      <c r="R1032" t="s">
        <v>109</v>
      </c>
      <c r="S1032" s="3">
        <v>7.8</v>
      </c>
      <c r="T1032" s="5">
        <v>45967</v>
      </c>
      <c r="U1032">
        <v>2</v>
      </c>
      <c r="V1032">
        <v>2025</v>
      </c>
      <c r="X1032">
        <f t="shared" si="48"/>
        <v>8.3398968</v>
      </c>
      <c r="Y1032">
        <f t="shared" si="49"/>
        <v>7.7998968</v>
      </c>
      <c r="Z1032">
        <f t="shared" si="50"/>
        <v>47.199896800000005</v>
      </c>
    </row>
    <row r="1033" spans="1:26" x14ac:dyDescent="0.3">
      <c r="A1033" t="s">
        <v>1123</v>
      </c>
      <c r="B1033" t="s">
        <v>82</v>
      </c>
      <c r="C1033" t="s">
        <v>78</v>
      </c>
      <c r="D1033" t="s">
        <v>69</v>
      </c>
      <c r="E1033">
        <v>20</v>
      </c>
      <c r="F1033" s="3">
        <v>7.25</v>
      </c>
      <c r="G1033" s="4">
        <v>73.5</v>
      </c>
      <c r="H1033">
        <v>1</v>
      </c>
      <c r="I1033">
        <v>3</v>
      </c>
      <c r="J1033">
        <v>3</v>
      </c>
      <c r="K1033" s="4">
        <v>55.2</v>
      </c>
      <c r="L1033" s="4">
        <v>84.3</v>
      </c>
      <c r="M1033" s="4">
        <v>61.8</v>
      </c>
      <c r="N1033">
        <v>1</v>
      </c>
      <c r="O1033" t="s">
        <v>64</v>
      </c>
      <c r="P1033" t="s">
        <v>65</v>
      </c>
      <c r="S1033" s="3">
        <v>0</v>
      </c>
      <c r="T1033" s="5"/>
      <c r="U1033">
        <v>0</v>
      </c>
      <c r="V1033">
        <v>2022</v>
      </c>
      <c r="X1033">
        <f t="shared" si="48"/>
        <v>7.2498966999999999</v>
      </c>
      <c r="Y1033">
        <f t="shared" si="49"/>
        <v>-1.0329999999999999E-4</v>
      </c>
      <c r="Z1033">
        <f t="shared" si="50"/>
        <v>84.299896699999991</v>
      </c>
    </row>
    <row r="1034" spans="1:26" x14ac:dyDescent="0.3">
      <c r="A1034" t="s">
        <v>1124</v>
      </c>
      <c r="B1034" t="s">
        <v>107</v>
      </c>
      <c r="C1034" t="s">
        <v>89</v>
      </c>
      <c r="D1034" t="s">
        <v>69</v>
      </c>
      <c r="E1034">
        <v>21</v>
      </c>
      <c r="F1034" s="3">
        <v>7.99</v>
      </c>
      <c r="G1034" s="4">
        <v>77.400000000000006</v>
      </c>
      <c r="H1034">
        <v>2</v>
      </c>
      <c r="I1034">
        <v>3</v>
      </c>
      <c r="J1034">
        <v>3</v>
      </c>
      <c r="K1034" s="4">
        <v>65.900000000000006</v>
      </c>
      <c r="L1034" s="4">
        <v>64</v>
      </c>
      <c r="M1034" s="4">
        <v>76.3</v>
      </c>
      <c r="N1034">
        <v>0</v>
      </c>
      <c r="O1034" t="s">
        <v>58</v>
      </c>
      <c r="P1034" t="s">
        <v>87</v>
      </c>
      <c r="Q1034" t="s">
        <v>71</v>
      </c>
      <c r="R1034" t="s">
        <v>109</v>
      </c>
      <c r="S1034" s="3">
        <v>5.56</v>
      </c>
      <c r="T1034" s="5">
        <v>44433</v>
      </c>
      <c r="U1034">
        <v>1</v>
      </c>
      <c r="V1034">
        <v>2021</v>
      </c>
      <c r="X1034">
        <f t="shared" si="48"/>
        <v>7.9898965999999998</v>
      </c>
      <c r="Y1034">
        <f t="shared" si="49"/>
        <v>5.5598965999999992</v>
      </c>
      <c r="Z1034">
        <f t="shared" si="50"/>
        <v>63.9998966</v>
      </c>
    </row>
    <row r="1035" spans="1:26" x14ac:dyDescent="0.3">
      <c r="A1035" t="s">
        <v>1125</v>
      </c>
      <c r="B1035" t="s">
        <v>67</v>
      </c>
      <c r="C1035" t="s">
        <v>101</v>
      </c>
      <c r="D1035" t="s">
        <v>69</v>
      </c>
      <c r="E1035">
        <v>23</v>
      </c>
      <c r="F1035" s="3">
        <v>7.24</v>
      </c>
      <c r="G1035" s="4">
        <v>78</v>
      </c>
      <c r="H1035">
        <v>2</v>
      </c>
      <c r="I1035">
        <v>4</v>
      </c>
      <c r="J1035">
        <v>3</v>
      </c>
      <c r="K1035" s="4">
        <v>67.2</v>
      </c>
      <c r="L1035" s="4">
        <v>51.1</v>
      </c>
      <c r="M1035" s="4">
        <v>61.8</v>
      </c>
      <c r="N1035">
        <v>0</v>
      </c>
      <c r="O1035" t="s">
        <v>58</v>
      </c>
      <c r="P1035" t="s">
        <v>92</v>
      </c>
      <c r="Q1035" t="s">
        <v>93</v>
      </c>
      <c r="R1035" t="s">
        <v>61</v>
      </c>
      <c r="S1035" s="3">
        <v>7.77</v>
      </c>
      <c r="T1035" s="5">
        <v>45159</v>
      </c>
      <c r="U1035">
        <v>1</v>
      </c>
      <c r="V1035">
        <v>2023</v>
      </c>
      <c r="X1035">
        <f t="shared" si="48"/>
        <v>7.2398965000000004</v>
      </c>
      <c r="Y1035">
        <f t="shared" si="49"/>
        <v>7.7698964999999998</v>
      </c>
      <c r="Z1035">
        <f t="shared" si="50"/>
        <v>51.0998965</v>
      </c>
    </row>
    <row r="1036" spans="1:26" x14ac:dyDescent="0.3">
      <c r="A1036" t="s">
        <v>1126</v>
      </c>
      <c r="B1036" t="s">
        <v>55</v>
      </c>
      <c r="C1036" t="s">
        <v>56</v>
      </c>
      <c r="D1036" t="s">
        <v>69</v>
      </c>
      <c r="E1036">
        <v>23</v>
      </c>
      <c r="F1036" s="3">
        <v>6.88</v>
      </c>
      <c r="G1036" s="4">
        <v>100</v>
      </c>
      <c r="H1036">
        <v>1</v>
      </c>
      <c r="I1036">
        <v>4</v>
      </c>
      <c r="J1036">
        <v>5</v>
      </c>
      <c r="K1036" s="4">
        <v>69.900000000000006</v>
      </c>
      <c r="L1036" s="4">
        <v>64.400000000000006</v>
      </c>
      <c r="M1036" s="4">
        <v>87.1</v>
      </c>
      <c r="N1036">
        <v>3</v>
      </c>
      <c r="O1036" t="s">
        <v>58</v>
      </c>
      <c r="P1036" t="s">
        <v>59</v>
      </c>
      <c r="Q1036" t="s">
        <v>60</v>
      </c>
      <c r="R1036" t="s">
        <v>61</v>
      </c>
      <c r="S1036" s="3">
        <v>19.22</v>
      </c>
      <c r="T1036" s="5">
        <v>45565</v>
      </c>
      <c r="U1036">
        <v>2</v>
      </c>
      <c r="V1036">
        <v>2024</v>
      </c>
      <c r="X1036">
        <f t="shared" si="48"/>
        <v>6.8798963999999998</v>
      </c>
      <c r="Y1036">
        <f t="shared" si="49"/>
        <v>19.2198964</v>
      </c>
      <c r="Z1036">
        <f t="shared" si="50"/>
        <v>64.399896400000003</v>
      </c>
    </row>
    <row r="1037" spans="1:26" x14ac:dyDescent="0.3">
      <c r="A1037" t="s">
        <v>1127</v>
      </c>
      <c r="B1037" t="s">
        <v>107</v>
      </c>
      <c r="C1037" t="s">
        <v>101</v>
      </c>
      <c r="D1037" t="s">
        <v>57</v>
      </c>
      <c r="E1037">
        <v>21</v>
      </c>
      <c r="F1037" s="3">
        <v>7.84</v>
      </c>
      <c r="G1037" s="4">
        <v>88.9</v>
      </c>
      <c r="H1037">
        <v>0</v>
      </c>
      <c r="I1037">
        <v>0</v>
      </c>
      <c r="J1037">
        <v>3</v>
      </c>
      <c r="K1037" s="4">
        <v>54.6</v>
      </c>
      <c r="L1037" s="4">
        <v>72.3</v>
      </c>
      <c r="M1037" s="4">
        <v>94.3</v>
      </c>
      <c r="N1037">
        <v>0</v>
      </c>
      <c r="O1037" t="s">
        <v>58</v>
      </c>
      <c r="P1037" t="s">
        <v>92</v>
      </c>
      <c r="Q1037" t="s">
        <v>93</v>
      </c>
      <c r="R1037" t="s">
        <v>85</v>
      </c>
      <c r="S1037" s="3">
        <v>10.25</v>
      </c>
      <c r="T1037" s="5">
        <v>44526</v>
      </c>
      <c r="U1037">
        <v>1</v>
      </c>
      <c r="V1037">
        <v>2021</v>
      </c>
      <c r="X1037">
        <f t="shared" si="48"/>
        <v>7.8398962999999995</v>
      </c>
      <c r="Y1037">
        <f t="shared" si="49"/>
        <v>10.2498963</v>
      </c>
      <c r="Z1037">
        <f t="shared" si="50"/>
        <v>72.2998963</v>
      </c>
    </row>
    <row r="1038" spans="1:26" x14ac:dyDescent="0.3">
      <c r="A1038" t="s">
        <v>1128</v>
      </c>
      <c r="B1038" t="s">
        <v>82</v>
      </c>
      <c r="C1038" t="s">
        <v>101</v>
      </c>
      <c r="D1038" t="s">
        <v>69</v>
      </c>
      <c r="E1038">
        <v>21</v>
      </c>
      <c r="F1038" s="3">
        <v>6.62</v>
      </c>
      <c r="G1038" s="4">
        <v>80.900000000000006</v>
      </c>
      <c r="H1038">
        <v>0</v>
      </c>
      <c r="I1038">
        <v>0</v>
      </c>
      <c r="J1038">
        <v>6</v>
      </c>
      <c r="K1038" s="4">
        <v>95.4</v>
      </c>
      <c r="L1038" s="4">
        <v>31.5</v>
      </c>
      <c r="M1038" s="4">
        <v>59.7</v>
      </c>
      <c r="N1038">
        <v>0</v>
      </c>
      <c r="O1038" t="s">
        <v>64</v>
      </c>
      <c r="P1038" t="s">
        <v>65</v>
      </c>
      <c r="S1038" s="3">
        <v>0</v>
      </c>
      <c r="T1038" s="5"/>
      <c r="U1038">
        <v>0</v>
      </c>
      <c r="V1038">
        <v>2022</v>
      </c>
      <c r="X1038">
        <f t="shared" si="48"/>
        <v>6.6198962000000003</v>
      </c>
      <c r="Y1038">
        <f t="shared" si="49"/>
        <v>-1.0379999999999999E-4</v>
      </c>
      <c r="Z1038">
        <f t="shared" si="50"/>
        <v>31.499896199999998</v>
      </c>
    </row>
    <row r="1039" spans="1:26" x14ac:dyDescent="0.3">
      <c r="A1039" t="s">
        <v>1129</v>
      </c>
      <c r="B1039" t="s">
        <v>67</v>
      </c>
      <c r="C1039" t="s">
        <v>78</v>
      </c>
      <c r="D1039" t="s">
        <v>69</v>
      </c>
      <c r="E1039">
        <v>22</v>
      </c>
      <c r="F1039" s="3">
        <v>9.35</v>
      </c>
      <c r="G1039" s="4">
        <v>86</v>
      </c>
      <c r="H1039">
        <v>1</v>
      </c>
      <c r="I1039">
        <v>2</v>
      </c>
      <c r="J1039">
        <v>4</v>
      </c>
      <c r="K1039" s="4">
        <v>63.2</v>
      </c>
      <c r="L1039" s="4">
        <v>76</v>
      </c>
      <c r="M1039" s="4">
        <v>77.5</v>
      </c>
      <c r="N1039">
        <v>0</v>
      </c>
      <c r="O1039" t="s">
        <v>58</v>
      </c>
      <c r="P1039" t="s">
        <v>90</v>
      </c>
      <c r="Q1039" t="s">
        <v>60</v>
      </c>
      <c r="R1039" t="s">
        <v>76</v>
      </c>
      <c r="S1039" s="3">
        <v>9.27</v>
      </c>
      <c r="T1039" s="5">
        <v>45215</v>
      </c>
      <c r="U1039">
        <v>1</v>
      </c>
      <c r="V1039">
        <v>2023</v>
      </c>
      <c r="X1039">
        <f t="shared" si="48"/>
        <v>9.3498961000000005</v>
      </c>
      <c r="Y1039">
        <f t="shared" si="49"/>
        <v>9.2698961000000004</v>
      </c>
      <c r="Z1039">
        <f t="shared" si="50"/>
        <v>75.999896100000001</v>
      </c>
    </row>
    <row r="1040" spans="1:26" x14ac:dyDescent="0.3">
      <c r="A1040" t="s">
        <v>1130</v>
      </c>
      <c r="B1040" t="s">
        <v>82</v>
      </c>
      <c r="C1040" t="s">
        <v>89</v>
      </c>
      <c r="D1040" t="s">
        <v>69</v>
      </c>
      <c r="E1040">
        <v>22</v>
      </c>
      <c r="F1040" s="3">
        <v>6.36</v>
      </c>
      <c r="G1040" s="4">
        <v>90.3</v>
      </c>
      <c r="H1040">
        <v>1</v>
      </c>
      <c r="I1040">
        <v>1</v>
      </c>
      <c r="J1040">
        <v>3</v>
      </c>
      <c r="K1040" s="4">
        <v>54.5</v>
      </c>
      <c r="L1040" s="4">
        <v>87.1</v>
      </c>
      <c r="M1040" s="4">
        <v>78.3</v>
      </c>
      <c r="N1040">
        <v>0</v>
      </c>
      <c r="O1040" t="s">
        <v>64</v>
      </c>
      <c r="P1040" t="s">
        <v>65</v>
      </c>
      <c r="S1040" s="3">
        <v>0</v>
      </c>
      <c r="T1040" s="5"/>
      <c r="U1040">
        <v>0</v>
      </c>
      <c r="V1040">
        <v>2022</v>
      </c>
      <c r="X1040">
        <f t="shared" si="48"/>
        <v>6.359896</v>
      </c>
      <c r="Y1040">
        <f t="shared" si="49"/>
        <v>-1.0399999999999999E-4</v>
      </c>
      <c r="Z1040">
        <f t="shared" si="50"/>
        <v>87.099896000000001</v>
      </c>
    </row>
    <row r="1041" spans="1:26" x14ac:dyDescent="0.3">
      <c r="A1041" t="s">
        <v>1131</v>
      </c>
      <c r="B1041" t="s">
        <v>82</v>
      </c>
      <c r="C1041" t="s">
        <v>56</v>
      </c>
      <c r="D1041" t="s">
        <v>57</v>
      </c>
      <c r="E1041">
        <v>20</v>
      </c>
      <c r="F1041" s="3">
        <v>7.91</v>
      </c>
      <c r="G1041" s="4">
        <v>84.6</v>
      </c>
      <c r="H1041">
        <v>3</v>
      </c>
      <c r="I1041">
        <v>3</v>
      </c>
      <c r="J1041">
        <v>3</v>
      </c>
      <c r="K1041" s="4">
        <v>71.7</v>
      </c>
      <c r="L1041" s="4">
        <v>71.3</v>
      </c>
      <c r="M1041" s="4">
        <v>75.599999999999994</v>
      </c>
      <c r="N1041">
        <v>0</v>
      </c>
      <c r="O1041" t="s">
        <v>58</v>
      </c>
      <c r="P1041" t="s">
        <v>104</v>
      </c>
      <c r="Q1041" t="s">
        <v>105</v>
      </c>
      <c r="R1041" t="s">
        <v>85</v>
      </c>
      <c r="S1041" s="3">
        <v>15.82</v>
      </c>
      <c r="T1041" s="5">
        <v>44779</v>
      </c>
      <c r="U1041">
        <v>2</v>
      </c>
      <c r="V1041">
        <v>2022</v>
      </c>
      <c r="X1041">
        <f t="shared" si="48"/>
        <v>7.9098959000000004</v>
      </c>
      <c r="Y1041">
        <f t="shared" si="49"/>
        <v>15.819895900000001</v>
      </c>
      <c r="Z1041">
        <f t="shared" si="50"/>
        <v>71.299895899999996</v>
      </c>
    </row>
    <row r="1042" spans="1:26" x14ac:dyDescent="0.3">
      <c r="A1042" t="s">
        <v>1132</v>
      </c>
      <c r="B1042" t="s">
        <v>67</v>
      </c>
      <c r="C1042" t="s">
        <v>68</v>
      </c>
      <c r="D1042" t="s">
        <v>57</v>
      </c>
      <c r="E1042">
        <v>21</v>
      </c>
      <c r="F1042" s="3">
        <v>7.79</v>
      </c>
      <c r="G1042" s="4">
        <v>72.7</v>
      </c>
      <c r="H1042">
        <v>0</v>
      </c>
      <c r="I1042">
        <v>0</v>
      </c>
      <c r="J1042">
        <v>1</v>
      </c>
      <c r="K1042" s="4">
        <v>83.3</v>
      </c>
      <c r="L1042" s="4">
        <v>53.8</v>
      </c>
      <c r="M1042" s="4">
        <v>71.3</v>
      </c>
      <c r="N1042">
        <v>1</v>
      </c>
      <c r="O1042" t="s">
        <v>58</v>
      </c>
      <c r="P1042" t="s">
        <v>92</v>
      </c>
      <c r="Q1042" t="s">
        <v>93</v>
      </c>
      <c r="R1042" t="s">
        <v>85</v>
      </c>
      <c r="S1042" s="3">
        <v>7.65</v>
      </c>
      <c r="T1042" s="5">
        <v>45139</v>
      </c>
      <c r="U1042">
        <v>1</v>
      </c>
      <c r="V1042">
        <v>2023</v>
      </c>
      <c r="X1042">
        <f t="shared" si="48"/>
        <v>7.7898958</v>
      </c>
      <c r="Y1042">
        <f t="shared" si="49"/>
        <v>7.6498958000000004</v>
      </c>
      <c r="Z1042">
        <f t="shared" si="50"/>
        <v>53.799895799999994</v>
      </c>
    </row>
    <row r="1043" spans="1:26" x14ac:dyDescent="0.3">
      <c r="A1043" t="s">
        <v>1133</v>
      </c>
      <c r="B1043" t="s">
        <v>82</v>
      </c>
      <c r="C1043" t="s">
        <v>101</v>
      </c>
      <c r="D1043" t="s">
        <v>69</v>
      </c>
      <c r="E1043">
        <v>23</v>
      </c>
      <c r="F1043" s="3">
        <v>7.71</v>
      </c>
      <c r="G1043" s="4">
        <v>80.8</v>
      </c>
      <c r="H1043">
        <v>2</v>
      </c>
      <c r="I1043">
        <v>3</v>
      </c>
      <c r="J1043">
        <v>4</v>
      </c>
      <c r="K1043" s="4">
        <v>90.6</v>
      </c>
      <c r="L1043" s="4">
        <v>79.099999999999994</v>
      </c>
      <c r="M1043" s="4">
        <v>67.099999999999994</v>
      </c>
      <c r="N1043">
        <v>0</v>
      </c>
      <c r="O1043" t="s">
        <v>58</v>
      </c>
      <c r="P1043" t="s">
        <v>87</v>
      </c>
      <c r="Q1043" t="s">
        <v>71</v>
      </c>
      <c r="R1043" t="s">
        <v>72</v>
      </c>
      <c r="S1043" s="3">
        <v>9.43</v>
      </c>
      <c r="T1043" s="5">
        <v>44801</v>
      </c>
      <c r="U1043">
        <v>3</v>
      </c>
      <c r="V1043">
        <v>2022</v>
      </c>
      <c r="X1043">
        <f t="shared" si="48"/>
        <v>7.7098956999999997</v>
      </c>
      <c r="Y1043">
        <f t="shared" si="49"/>
        <v>9.4298956999999994</v>
      </c>
      <c r="Z1043">
        <f t="shared" si="50"/>
        <v>79.09989569999999</v>
      </c>
    </row>
    <row r="1044" spans="1:26" x14ac:dyDescent="0.3">
      <c r="A1044" t="s">
        <v>1134</v>
      </c>
      <c r="B1044" t="s">
        <v>67</v>
      </c>
      <c r="C1044" t="s">
        <v>56</v>
      </c>
      <c r="D1044" t="s">
        <v>57</v>
      </c>
      <c r="E1044">
        <v>20</v>
      </c>
      <c r="F1044" s="3">
        <v>8.99</v>
      </c>
      <c r="G1044" s="4">
        <v>73.2</v>
      </c>
      <c r="H1044">
        <v>1</v>
      </c>
      <c r="I1044">
        <v>0</v>
      </c>
      <c r="J1044">
        <v>5</v>
      </c>
      <c r="K1044" s="4">
        <v>34.4</v>
      </c>
      <c r="L1044" s="4">
        <v>69.599999999999994</v>
      </c>
      <c r="M1044" s="4">
        <v>55.2</v>
      </c>
      <c r="N1044">
        <v>1</v>
      </c>
      <c r="O1044" t="s">
        <v>58</v>
      </c>
      <c r="P1044" t="s">
        <v>59</v>
      </c>
      <c r="Q1044" t="s">
        <v>60</v>
      </c>
      <c r="R1044" t="s">
        <v>109</v>
      </c>
      <c r="S1044" s="3">
        <v>20.94</v>
      </c>
      <c r="T1044" s="5">
        <v>45224</v>
      </c>
      <c r="U1044">
        <v>2</v>
      </c>
      <c r="V1044">
        <v>2023</v>
      </c>
      <c r="X1044">
        <f t="shared" si="48"/>
        <v>8.9898956000000005</v>
      </c>
      <c r="Y1044">
        <f t="shared" si="49"/>
        <v>20.9398956</v>
      </c>
      <c r="Z1044">
        <f t="shared" si="50"/>
        <v>69.599895599999996</v>
      </c>
    </row>
    <row r="1045" spans="1:26" x14ac:dyDescent="0.3">
      <c r="A1045" t="s">
        <v>1135</v>
      </c>
      <c r="B1045" t="s">
        <v>107</v>
      </c>
      <c r="C1045" t="s">
        <v>101</v>
      </c>
      <c r="D1045" t="s">
        <v>57</v>
      </c>
      <c r="E1045">
        <v>20</v>
      </c>
      <c r="F1045" s="3">
        <v>5.23</v>
      </c>
      <c r="G1045" s="4">
        <v>79</v>
      </c>
      <c r="H1045">
        <v>1</v>
      </c>
      <c r="I1045">
        <v>1</v>
      </c>
      <c r="J1045">
        <v>1</v>
      </c>
      <c r="K1045" s="4">
        <v>78.7</v>
      </c>
      <c r="L1045" s="4">
        <v>96.1</v>
      </c>
      <c r="M1045" s="4">
        <v>72.099999999999994</v>
      </c>
      <c r="N1045">
        <v>0</v>
      </c>
      <c r="O1045" t="s">
        <v>58</v>
      </c>
      <c r="P1045" t="s">
        <v>90</v>
      </c>
      <c r="Q1045" t="s">
        <v>60</v>
      </c>
      <c r="R1045" t="s">
        <v>130</v>
      </c>
      <c r="S1045" s="3">
        <v>7.95</v>
      </c>
      <c r="T1045" s="5">
        <v>44419</v>
      </c>
      <c r="U1045">
        <v>2</v>
      </c>
      <c r="V1045">
        <v>2021</v>
      </c>
      <c r="X1045">
        <f t="shared" si="48"/>
        <v>5.2298955000000005</v>
      </c>
      <c r="Y1045">
        <f t="shared" si="49"/>
        <v>7.9498955000000002</v>
      </c>
      <c r="Z1045">
        <f t="shared" si="50"/>
        <v>96.099895499999988</v>
      </c>
    </row>
    <row r="1046" spans="1:26" x14ac:dyDescent="0.3">
      <c r="A1046" t="s">
        <v>1136</v>
      </c>
      <c r="B1046" t="s">
        <v>67</v>
      </c>
      <c r="C1046" t="s">
        <v>56</v>
      </c>
      <c r="D1046" t="s">
        <v>69</v>
      </c>
      <c r="E1046">
        <v>20</v>
      </c>
      <c r="F1046" s="3">
        <v>8.02</v>
      </c>
      <c r="G1046" s="4">
        <v>80.599999999999994</v>
      </c>
      <c r="H1046">
        <v>2</v>
      </c>
      <c r="I1046">
        <v>5</v>
      </c>
      <c r="J1046">
        <v>4</v>
      </c>
      <c r="K1046" s="4">
        <v>92.6</v>
      </c>
      <c r="L1046" s="4">
        <v>35.5</v>
      </c>
      <c r="M1046" s="4">
        <v>84.4</v>
      </c>
      <c r="N1046">
        <v>0</v>
      </c>
      <c r="O1046" t="s">
        <v>58</v>
      </c>
      <c r="P1046" t="s">
        <v>79</v>
      </c>
      <c r="Q1046" t="s">
        <v>71</v>
      </c>
      <c r="R1046" t="s">
        <v>61</v>
      </c>
      <c r="S1046" s="3">
        <v>5.84</v>
      </c>
      <c r="T1046" s="5">
        <v>45177</v>
      </c>
      <c r="U1046">
        <v>2</v>
      </c>
      <c r="V1046">
        <v>2023</v>
      </c>
      <c r="X1046">
        <f t="shared" si="48"/>
        <v>8.0198953999999993</v>
      </c>
      <c r="Y1046">
        <f t="shared" si="49"/>
        <v>5.8398953999999996</v>
      </c>
      <c r="Z1046">
        <f t="shared" si="50"/>
        <v>35.4998954</v>
      </c>
    </row>
    <row r="1047" spans="1:26" x14ac:dyDescent="0.3">
      <c r="A1047" t="s">
        <v>1137</v>
      </c>
      <c r="B1047" t="s">
        <v>67</v>
      </c>
      <c r="C1047" t="s">
        <v>56</v>
      </c>
      <c r="D1047" t="s">
        <v>57</v>
      </c>
      <c r="E1047">
        <v>20</v>
      </c>
      <c r="F1047" s="3">
        <v>7.4</v>
      </c>
      <c r="G1047" s="4">
        <v>91.5</v>
      </c>
      <c r="H1047">
        <v>2</v>
      </c>
      <c r="I1047">
        <v>0</v>
      </c>
      <c r="J1047">
        <v>5</v>
      </c>
      <c r="K1047" s="4">
        <v>59.7</v>
      </c>
      <c r="L1047" s="4">
        <v>31.4</v>
      </c>
      <c r="M1047" s="4">
        <v>87.2</v>
      </c>
      <c r="N1047">
        <v>1</v>
      </c>
      <c r="O1047" t="s">
        <v>64</v>
      </c>
      <c r="P1047" t="s">
        <v>65</v>
      </c>
      <c r="S1047" s="3">
        <v>0</v>
      </c>
      <c r="T1047" s="5"/>
      <c r="U1047">
        <v>0</v>
      </c>
      <c r="V1047">
        <v>2023</v>
      </c>
      <c r="X1047">
        <f t="shared" si="48"/>
        <v>7.3998953000000007</v>
      </c>
      <c r="Y1047">
        <f t="shared" si="49"/>
        <v>-1.047E-4</v>
      </c>
      <c r="Z1047">
        <f t="shared" si="50"/>
        <v>31.399895299999997</v>
      </c>
    </row>
    <row r="1048" spans="1:26" x14ac:dyDescent="0.3">
      <c r="A1048" t="s">
        <v>1138</v>
      </c>
      <c r="B1048" t="s">
        <v>55</v>
      </c>
      <c r="C1048" t="s">
        <v>56</v>
      </c>
      <c r="D1048" t="s">
        <v>57</v>
      </c>
      <c r="E1048">
        <v>23</v>
      </c>
      <c r="F1048" s="3">
        <v>8.18</v>
      </c>
      <c r="G1048" s="4">
        <v>74.900000000000006</v>
      </c>
      <c r="H1048">
        <v>3</v>
      </c>
      <c r="I1048">
        <v>1</v>
      </c>
      <c r="J1048">
        <v>3</v>
      </c>
      <c r="K1048" s="4">
        <v>64.8</v>
      </c>
      <c r="L1048" s="4">
        <v>68.5</v>
      </c>
      <c r="M1048" s="4">
        <v>76.2</v>
      </c>
      <c r="N1048">
        <v>0</v>
      </c>
      <c r="O1048" t="s">
        <v>64</v>
      </c>
      <c r="P1048" t="s">
        <v>65</v>
      </c>
      <c r="S1048" s="3">
        <v>0</v>
      </c>
      <c r="T1048" s="5"/>
      <c r="U1048">
        <v>0</v>
      </c>
      <c r="V1048">
        <v>2024</v>
      </c>
      <c r="X1048">
        <f t="shared" si="48"/>
        <v>8.1798951999999989</v>
      </c>
      <c r="Y1048">
        <f t="shared" si="49"/>
        <v>-1.048E-4</v>
      </c>
      <c r="Z1048">
        <f t="shared" si="50"/>
        <v>68.499895199999997</v>
      </c>
    </row>
    <row r="1049" spans="1:26" x14ac:dyDescent="0.3">
      <c r="A1049" t="s">
        <v>1139</v>
      </c>
      <c r="B1049" t="s">
        <v>67</v>
      </c>
      <c r="C1049" t="s">
        <v>56</v>
      </c>
      <c r="D1049" t="s">
        <v>57</v>
      </c>
      <c r="E1049">
        <v>20</v>
      </c>
      <c r="F1049" s="3">
        <v>7.7</v>
      </c>
      <c r="G1049" s="4">
        <v>74.099999999999994</v>
      </c>
      <c r="H1049">
        <v>0</v>
      </c>
      <c r="I1049">
        <v>0</v>
      </c>
      <c r="J1049">
        <v>3</v>
      </c>
      <c r="K1049" s="4">
        <v>54.7</v>
      </c>
      <c r="L1049" s="4">
        <v>63.1</v>
      </c>
      <c r="M1049" s="4">
        <v>62.1</v>
      </c>
      <c r="N1049">
        <v>3</v>
      </c>
      <c r="O1049" t="s">
        <v>64</v>
      </c>
      <c r="P1049" t="s">
        <v>65</v>
      </c>
      <c r="S1049" s="3">
        <v>0</v>
      </c>
      <c r="T1049" s="5"/>
      <c r="U1049">
        <v>0</v>
      </c>
      <c r="V1049">
        <v>2023</v>
      </c>
      <c r="X1049">
        <f t="shared" si="48"/>
        <v>7.6998951</v>
      </c>
      <c r="Y1049">
        <f t="shared" si="49"/>
        <v>-1.049E-4</v>
      </c>
      <c r="Z1049">
        <f t="shared" si="50"/>
        <v>63.099895100000005</v>
      </c>
    </row>
    <row r="1050" spans="1:26" x14ac:dyDescent="0.3">
      <c r="A1050" t="s">
        <v>1140</v>
      </c>
      <c r="B1050" t="s">
        <v>67</v>
      </c>
      <c r="C1050" t="s">
        <v>68</v>
      </c>
      <c r="D1050" t="s">
        <v>57</v>
      </c>
      <c r="E1050">
        <v>21</v>
      </c>
      <c r="F1050" s="3">
        <v>7.58</v>
      </c>
      <c r="G1050" s="4">
        <v>75.5</v>
      </c>
      <c r="H1050">
        <v>0</v>
      </c>
      <c r="I1050">
        <v>3</v>
      </c>
      <c r="J1050">
        <v>3</v>
      </c>
      <c r="K1050" s="4">
        <v>60.2</v>
      </c>
      <c r="L1050" s="4">
        <v>74</v>
      </c>
      <c r="M1050" s="4">
        <v>58.6</v>
      </c>
      <c r="N1050">
        <v>1</v>
      </c>
      <c r="O1050" t="s">
        <v>58</v>
      </c>
      <c r="P1050" t="s">
        <v>95</v>
      </c>
      <c r="Q1050" t="s">
        <v>93</v>
      </c>
      <c r="R1050" t="s">
        <v>61</v>
      </c>
      <c r="S1050" s="3">
        <v>6.21</v>
      </c>
      <c r="T1050" s="5">
        <v>45214</v>
      </c>
      <c r="U1050">
        <v>1</v>
      </c>
      <c r="V1050">
        <v>2023</v>
      </c>
      <c r="X1050">
        <f t="shared" si="48"/>
        <v>7.5798950000000005</v>
      </c>
      <c r="Y1050">
        <f t="shared" si="49"/>
        <v>6.2098950000000004</v>
      </c>
      <c r="Z1050">
        <f t="shared" si="50"/>
        <v>73.999894999999995</v>
      </c>
    </row>
    <row r="1051" spans="1:26" x14ac:dyDescent="0.3">
      <c r="A1051" t="s">
        <v>1141</v>
      </c>
      <c r="B1051" t="s">
        <v>107</v>
      </c>
      <c r="C1051" t="s">
        <v>56</v>
      </c>
      <c r="D1051" t="s">
        <v>69</v>
      </c>
      <c r="E1051">
        <v>22</v>
      </c>
      <c r="F1051" s="3">
        <v>6.56</v>
      </c>
      <c r="G1051" s="4">
        <v>76.5</v>
      </c>
      <c r="H1051">
        <v>0</v>
      </c>
      <c r="I1051">
        <v>3</v>
      </c>
      <c r="J1051">
        <v>3</v>
      </c>
      <c r="K1051" s="4">
        <v>53.1</v>
      </c>
      <c r="L1051" s="4">
        <v>76.3</v>
      </c>
      <c r="M1051" s="4">
        <v>66.599999999999994</v>
      </c>
      <c r="N1051">
        <v>0</v>
      </c>
      <c r="O1051" t="s">
        <v>64</v>
      </c>
      <c r="P1051" t="s">
        <v>65</v>
      </c>
      <c r="S1051" s="3">
        <v>0</v>
      </c>
      <c r="T1051" s="5"/>
      <c r="U1051">
        <v>0</v>
      </c>
      <c r="V1051">
        <v>2021</v>
      </c>
      <c r="X1051">
        <f t="shared" si="48"/>
        <v>6.5598948999999998</v>
      </c>
      <c r="Y1051">
        <f t="shared" si="49"/>
        <v>-1.0509999999999999E-4</v>
      </c>
      <c r="Z1051">
        <f t="shared" si="50"/>
        <v>76.299894899999998</v>
      </c>
    </row>
    <row r="1052" spans="1:26" x14ac:dyDescent="0.3">
      <c r="A1052" t="s">
        <v>1142</v>
      </c>
      <c r="B1052" t="s">
        <v>55</v>
      </c>
      <c r="C1052" t="s">
        <v>84</v>
      </c>
      <c r="D1052" t="s">
        <v>57</v>
      </c>
      <c r="E1052">
        <v>23</v>
      </c>
      <c r="F1052" s="3">
        <v>7.04</v>
      </c>
      <c r="G1052" s="4">
        <v>79.099999999999994</v>
      </c>
      <c r="H1052">
        <v>1</v>
      </c>
      <c r="I1052">
        <v>3</v>
      </c>
      <c r="J1052">
        <v>4</v>
      </c>
      <c r="K1052" s="4">
        <v>81.099999999999994</v>
      </c>
      <c r="L1052" s="4">
        <v>92.8</v>
      </c>
      <c r="M1052" s="4">
        <v>51.1</v>
      </c>
      <c r="N1052">
        <v>0</v>
      </c>
      <c r="O1052" t="s">
        <v>58</v>
      </c>
      <c r="P1052" t="s">
        <v>70</v>
      </c>
      <c r="Q1052" t="s">
        <v>71</v>
      </c>
      <c r="R1052" t="s">
        <v>72</v>
      </c>
      <c r="S1052" s="3">
        <v>5.29</v>
      </c>
      <c r="T1052" s="5">
        <v>45595</v>
      </c>
      <c r="U1052">
        <v>2</v>
      </c>
      <c r="V1052">
        <v>2024</v>
      </c>
      <c r="X1052">
        <f t="shared" si="48"/>
        <v>7.0398947999999999</v>
      </c>
      <c r="Y1052">
        <f t="shared" si="49"/>
        <v>5.2898947999999999</v>
      </c>
      <c r="Z1052">
        <f t="shared" si="50"/>
        <v>92.799894800000004</v>
      </c>
    </row>
    <row r="1053" spans="1:26" x14ac:dyDescent="0.3">
      <c r="A1053" t="s">
        <v>1143</v>
      </c>
      <c r="B1053" t="s">
        <v>63</v>
      </c>
      <c r="C1053" t="s">
        <v>89</v>
      </c>
      <c r="D1053" t="s">
        <v>57</v>
      </c>
      <c r="E1053">
        <v>21</v>
      </c>
      <c r="F1053" s="3">
        <v>10</v>
      </c>
      <c r="G1053" s="4">
        <v>85</v>
      </c>
      <c r="H1053">
        <v>1</v>
      </c>
      <c r="I1053">
        <v>2</v>
      </c>
      <c r="J1053">
        <v>2</v>
      </c>
      <c r="K1053" s="4">
        <v>66.5</v>
      </c>
      <c r="L1053" s="4">
        <v>66.400000000000006</v>
      </c>
      <c r="M1053" s="4">
        <v>43.7</v>
      </c>
      <c r="N1053">
        <v>0</v>
      </c>
      <c r="O1053" t="s">
        <v>58</v>
      </c>
      <c r="P1053" t="s">
        <v>104</v>
      </c>
      <c r="Q1053" t="s">
        <v>105</v>
      </c>
      <c r="R1053" t="s">
        <v>130</v>
      </c>
      <c r="S1053" s="3">
        <v>16.88</v>
      </c>
      <c r="T1053" s="5">
        <v>45927</v>
      </c>
      <c r="U1053">
        <v>1</v>
      </c>
      <c r="V1053">
        <v>2025</v>
      </c>
      <c r="X1053">
        <f t="shared" si="48"/>
        <v>9.9998947000000005</v>
      </c>
      <c r="Y1053">
        <f t="shared" si="49"/>
        <v>16.879894699999998</v>
      </c>
      <c r="Z1053">
        <f t="shared" si="50"/>
        <v>66.399894700000004</v>
      </c>
    </row>
    <row r="1054" spans="1:26" x14ac:dyDescent="0.3">
      <c r="A1054" t="s">
        <v>1144</v>
      </c>
      <c r="B1054" t="s">
        <v>107</v>
      </c>
      <c r="C1054" t="s">
        <v>56</v>
      </c>
      <c r="D1054" t="s">
        <v>69</v>
      </c>
      <c r="E1054">
        <v>21</v>
      </c>
      <c r="F1054" s="3">
        <v>8.18</v>
      </c>
      <c r="G1054" s="4">
        <v>74.900000000000006</v>
      </c>
      <c r="H1054">
        <v>2</v>
      </c>
      <c r="I1054">
        <v>1</v>
      </c>
      <c r="J1054">
        <v>3</v>
      </c>
      <c r="K1054" s="4">
        <v>25.9</v>
      </c>
      <c r="L1054" s="4">
        <v>76.7</v>
      </c>
      <c r="M1054" s="4">
        <v>57.9</v>
      </c>
      <c r="N1054">
        <v>0</v>
      </c>
      <c r="O1054" t="s">
        <v>58</v>
      </c>
      <c r="P1054" t="s">
        <v>70</v>
      </c>
      <c r="Q1054" t="s">
        <v>71</v>
      </c>
      <c r="R1054" t="s">
        <v>109</v>
      </c>
      <c r="S1054" s="3">
        <v>6.33</v>
      </c>
      <c r="T1054" s="5">
        <v>44458</v>
      </c>
      <c r="U1054">
        <v>1</v>
      </c>
      <c r="V1054">
        <v>2021</v>
      </c>
      <c r="X1054">
        <f t="shared" si="48"/>
        <v>8.179894599999999</v>
      </c>
      <c r="Y1054">
        <f t="shared" si="49"/>
        <v>6.3298946000000003</v>
      </c>
      <c r="Z1054">
        <f t="shared" si="50"/>
        <v>76.699894600000007</v>
      </c>
    </row>
    <row r="1055" spans="1:26" x14ac:dyDescent="0.3">
      <c r="A1055" t="s">
        <v>1145</v>
      </c>
      <c r="B1055" t="s">
        <v>107</v>
      </c>
      <c r="C1055" t="s">
        <v>78</v>
      </c>
      <c r="D1055" t="s">
        <v>69</v>
      </c>
      <c r="E1055">
        <v>21</v>
      </c>
      <c r="F1055" s="3">
        <v>8.6</v>
      </c>
      <c r="G1055" s="4">
        <v>83</v>
      </c>
      <c r="H1055">
        <v>1</v>
      </c>
      <c r="I1055">
        <v>0</v>
      </c>
      <c r="J1055">
        <v>6</v>
      </c>
      <c r="K1055" s="4">
        <v>59.6</v>
      </c>
      <c r="L1055" s="4">
        <v>50.3</v>
      </c>
      <c r="M1055" s="4">
        <v>77.7</v>
      </c>
      <c r="N1055">
        <v>0</v>
      </c>
      <c r="O1055" t="s">
        <v>58</v>
      </c>
      <c r="P1055" t="s">
        <v>92</v>
      </c>
      <c r="Q1055" t="s">
        <v>93</v>
      </c>
      <c r="R1055" t="s">
        <v>76</v>
      </c>
      <c r="S1055" s="3">
        <v>8.59</v>
      </c>
      <c r="T1055" s="5">
        <v>44449</v>
      </c>
      <c r="U1055">
        <v>1</v>
      </c>
      <c r="V1055">
        <v>2021</v>
      </c>
      <c r="X1055">
        <f t="shared" si="48"/>
        <v>8.5998944999999996</v>
      </c>
      <c r="Y1055">
        <f t="shared" si="49"/>
        <v>8.5898944999999998</v>
      </c>
      <c r="Z1055">
        <f t="shared" si="50"/>
        <v>50.299894500000001</v>
      </c>
    </row>
    <row r="1056" spans="1:26" x14ac:dyDescent="0.3">
      <c r="A1056" t="s">
        <v>1146</v>
      </c>
      <c r="B1056" t="s">
        <v>63</v>
      </c>
      <c r="C1056" t="s">
        <v>84</v>
      </c>
      <c r="D1056" t="s">
        <v>69</v>
      </c>
      <c r="E1056">
        <v>22</v>
      </c>
      <c r="F1056" s="3">
        <v>7.33</v>
      </c>
      <c r="G1056" s="4">
        <v>83.1</v>
      </c>
      <c r="H1056">
        <v>3</v>
      </c>
      <c r="I1056">
        <v>1</v>
      </c>
      <c r="J1056">
        <v>1</v>
      </c>
      <c r="K1056" s="4">
        <v>58.3</v>
      </c>
      <c r="L1056" s="4">
        <v>100</v>
      </c>
      <c r="M1056" s="4">
        <v>54.3</v>
      </c>
      <c r="N1056">
        <v>2</v>
      </c>
      <c r="O1056" t="s">
        <v>58</v>
      </c>
      <c r="P1056" t="s">
        <v>87</v>
      </c>
      <c r="Q1056" t="s">
        <v>71</v>
      </c>
      <c r="R1056" t="s">
        <v>80</v>
      </c>
      <c r="S1056" s="3">
        <v>7.21</v>
      </c>
      <c r="T1056" s="5">
        <v>45967</v>
      </c>
      <c r="U1056">
        <v>3</v>
      </c>
      <c r="V1056">
        <v>2025</v>
      </c>
      <c r="X1056">
        <f t="shared" si="48"/>
        <v>7.3298943999999997</v>
      </c>
      <c r="Y1056">
        <f t="shared" si="49"/>
        <v>7.2098943999999996</v>
      </c>
      <c r="Z1056">
        <f t="shared" si="50"/>
        <v>99.999894400000002</v>
      </c>
    </row>
    <row r="1057" spans="1:26" x14ac:dyDescent="0.3">
      <c r="A1057" t="s">
        <v>1147</v>
      </c>
      <c r="B1057" t="s">
        <v>67</v>
      </c>
      <c r="C1057" t="s">
        <v>78</v>
      </c>
      <c r="D1057" t="s">
        <v>57</v>
      </c>
      <c r="E1057">
        <v>22</v>
      </c>
      <c r="F1057" s="3">
        <v>6.88</v>
      </c>
      <c r="G1057" s="4">
        <v>87</v>
      </c>
      <c r="H1057">
        <v>1</v>
      </c>
      <c r="I1057">
        <v>2</v>
      </c>
      <c r="J1057">
        <v>2</v>
      </c>
      <c r="K1057" s="4">
        <v>80</v>
      </c>
      <c r="L1057" s="4">
        <v>86.6</v>
      </c>
      <c r="M1057" s="4">
        <v>77.900000000000006</v>
      </c>
      <c r="N1057">
        <v>0</v>
      </c>
      <c r="O1057" t="s">
        <v>64</v>
      </c>
      <c r="P1057" t="s">
        <v>65</v>
      </c>
      <c r="S1057" s="3">
        <v>0</v>
      </c>
      <c r="T1057" s="5"/>
      <c r="U1057">
        <v>0</v>
      </c>
      <c r="V1057">
        <v>2023</v>
      </c>
      <c r="X1057">
        <f t="shared" si="48"/>
        <v>6.8798943000000001</v>
      </c>
      <c r="Y1057">
        <f t="shared" si="49"/>
        <v>-1.0569999999999999E-4</v>
      </c>
      <c r="Z1057">
        <f t="shared" si="50"/>
        <v>86.599894299999988</v>
      </c>
    </row>
    <row r="1058" spans="1:26" x14ac:dyDescent="0.3">
      <c r="A1058" t="s">
        <v>1148</v>
      </c>
      <c r="B1058" t="s">
        <v>82</v>
      </c>
      <c r="C1058" t="s">
        <v>56</v>
      </c>
      <c r="D1058" t="s">
        <v>57</v>
      </c>
      <c r="E1058">
        <v>22</v>
      </c>
      <c r="F1058" s="3">
        <v>8.35</v>
      </c>
      <c r="G1058" s="4">
        <v>80.099999999999994</v>
      </c>
      <c r="H1058">
        <v>2</v>
      </c>
      <c r="I1058">
        <v>2</v>
      </c>
      <c r="J1058">
        <v>5</v>
      </c>
      <c r="K1058" s="4">
        <v>67.099999999999994</v>
      </c>
      <c r="L1058" s="4">
        <v>83.2</v>
      </c>
      <c r="M1058" s="4">
        <v>64.099999999999994</v>
      </c>
      <c r="N1058">
        <v>0</v>
      </c>
      <c r="O1058" t="s">
        <v>58</v>
      </c>
      <c r="P1058" t="s">
        <v>104</v>
      </c>
      <c r="Q1058" t="s">
        <v>105</v>
      </c>
      <c r="R1058" t="s">
        <v>61</v>
      </c>
      <c r="S1058" s="3">
        <v>16.13</v>
      </c>
      <c r="T1058" s="5">
        <v>44807</v>
      </c>
      <c r="U1058">
        <v>3</v>
      </c>
      <c r="V1058">
        <v>2022</v>
      </c>
      <c r="X1058">
        <f t="shared" si="48"/>
        <v>8.3498941999999996</v>
      </c>
      <c r="Y1058">
        <f t="shared" si="49"/>
        <v>16.129894199999999</v>
      </c>
      <c r="Z1058">
        <f t="shared" si="50"/>
        <v>83.199894200000003</v>
      </c>
    </row>
    <row r="1059" spans="1:26" x14ac:dyDescent="0.3">
      <c r="A1059" t="s">
        <v>1149</v>
      </c>
      <c r="B1059" t="s">
        <v>55</v>
      </c>
      <c r="C1059" t="s">
        <v>84</v>
      </c>
      <c r="D1059" t="s">
        <v>69</v>
      </c>
      <c r="E1059">
        <v>21</v>
      </c>
      <c r="F1059" s="3">
        <v>5.94</v>
      </c>
      <c r="G1059" s="4">
        <v>89.5</v>
      </c>
      <c r="H1059">
        <v>1</v>
      </c>
      <c r="I1059">
        <v>1</v>
      </c>
      <c r="J1059">
        <v>2</v>
      </c>
      <c r="K1059" s="4">
        <v>66.7</v>
      </c>
      <c r="L1059" s="4">
        <v>57.9</v>
      </c>
      <c r="M1059" s="4">
        <v>88.4</v>
      </c>
      <c r="N1059">
        <v>1</v>
      </c>
      <c r="O1059" t="s">
        <v>58</v>
      </c>
      <c r="P1059" t="s">
        <v>59</v>
      </c>
      <c r="Q1059" t="s">
        <v>60</v>
      </c>
      <c r="R1059" t="s">
        <v>61</v>
      </c>
      <c r="S1059" s="3">
        <v>16.62</v>
      </c>
      <c r="T1059" s="5">
        <v>45570</v>
      </c>
      <c r="U1059">
        <v>2</v>
      </c>
      <c r="V1059">
        <v>2024</v>
      </c>
      <c r="X1059">
        <f t="shared" si="48"/>
        <v>5.9398941000000001</v>
      </c>
      <c r="Y1059">
        <f t="shared" si="49"/>
        <v>16.6198941</v>
      </c>
      <c r="Z1059">
        <f t="shared" si="50"/>
        <v>57.899894099999997</v>
      </c>
    </row>
    <row r="1060" spans="1:26" x14ac:dyDescent="0.3">
      <c r="A1060" t="s">
        <v>1150</v>
      </c>
      <c r="B1060" t="s">
        <v>82</v>
      </c>
      <c r="C1060" t="s">
        <v>101</v>
      </c>
      <c r="D1060" t="s">
        <v>57</v>
      </c>
      <c r="E1060">
        <v>22</v>
      </c>
      <c r="F1060" s="3">
        <v>7.06</v>
      </c>
      <c r="G1060" s="4">
        <v>85.3</v>
      </c>
      <c r="H1060">
        <v>0</v>
      </c>
      <c r="I1060">
        <v>0</v>
      </c>
      <c r="J1060">
        <v>3</v>
      </c>
      <c r="K1060" s="4">
        <v>77</v>
      </c>
      <c r="L1060" s="4">
        <v>90.4</v>
      </c>
      <c r="M1060" s="4">
        <v>66.8</v>
      </c>
      <c r="N1060">
        <v>0</v>
      </c>
      <c r="O1060" t="s">
        <v>64</v>
      </c>
      <c r="P1060" t="s">
        <v>65</v>
      </c>
      <c r="S1060" s="3">
        <v>0</v>
      </c>
      <c r="T1060" s="5"/>
      <c r="U1060">
        <v>0</v>
      </c>
      <c r="V1060">
        <v>2022</v>
      </c>
      <c r="X1060">
        <f t="shared" si="48"/>
        <v>7.0598939999999999</v>
      </c>
      <c r="Y1060">
        <f t="shared" si="49"/>
        <v>-1.06E-4</v>
      </c>
      <c r="Z1060">
        <f t="shared" si="50"/>
        <v>90.399894000000003</v>
      </c>
    </row>
    <row r="1061" spans="1:26" x14ac:dyDescent="0.3">
      <c r="A1061" t="s">
        <v>1151</v>
      </c>
      <c r="B1061" t="s">
        <v>63</v>
      </c>
      <c r="C1061" t="s">
        <v>56</v>
      </c>
      <c r="D1061" t="s">
        <v>69</v>
      </c>
      <c r="E1061">
        <v>20</v>
      </c>
      <c r="F1061" s="3">
        <v>7.33</v>
      </c>
      <c r="G1061" s="4">
        <v>84.9</v>
      </c>
      <c r="H1061">
        <v>2</v>
      </c>
      <c r="I1061">
        <v>1</v>
      </c>
      <c r="J1061">
        <v>3</v>
      </c>
      <c r="K1061" s="4">
        <v>82.8</v>
      </c>
      <c r="L1061" s="4">
        <v>85.2</v>
      </c>
      <c r="M1061" s="4">
        <v>68.5</v>
      </c>
      <c r="N1061">
        <v>0</v>
      </c>
      <c r="O1061" t="s">
        <v>58</v>
      </c>
      <c r="P1061" t="s">
        <v>90</v>
      </c>
      <c r="Q1061" t="s">
        <v>60</v>
      </c>
      <c r="R1061" t="s">
        <v>85</v>
      </c>
      <c r="S1061" s="3">
        <v>7.85</v>
      </c>
      <c r="T1061" s="5">
        <v>45947</v>
      </c>
      <c r="U1061">
        <v>1</v>
      </c>
      <c r="V1061">
        <v>2025</v>
      </c>
      <c r="X1061">
        <f t="shared" si="48"/>
        <v>7.3298939000000001</v>
      </c>
      <c r="Y1061">
        <f t="shared" si="49"/>
        <v>7.8498938999999996</v>
      </c>
      <c r="Z1061">
        <f t="shared" si="50"/>
        <v>85.199893900000006</v>
      </c>
    </row>
    <row r="1062" spans="1:26" x14ac:dyDescent="0.3">
      <c r="A1062" t="s">
        <v>1152</v>
      </c>
      <c r="B1062" t="s">
        <v>107</v>
      </c>
      <c r="C1062" t="s">
        <v>56</v>
      </c>
      <c r="D1062" t="s">
        <v>57</v>
      </c>
      <c r="E1062">
        <v>22</v>
      </c>
      <c r="F1062" s="3">
        <v>8.5</v>
      </c>
      <c r="G1062" s="4">
        <v>77</v>
      </c>
      <c r="H1062">
        <v>0</v>
      </c>
      <c r="I1062">
        <v>1</v>
      </c>
      <c r="J1062">
        <v>6</v>
      </c>
      <c r="K1062" s="4">
        <v>71.7</v>
      </c>
      <c r="L1062" s="4">
        <v>79.599999999999994</v>
      </c>
      <c r="M1062" s="4">
        <v>65</v>
      </c>
      <c r="N1062">
        <v>0</v>
      </c>
      <c r="O1062" t="s">
        <v>58</v>
      </c>
      <c r="P1062" t="s">
        <v>70</v>
      </c>
      <c r="Q1062" t="s">
        <v>71</v>
      </c>
      <c r="R1062" t="s">
        <v>76</v>
      </c>
      <c r="S1062" s="3">
        <v>5.61</v>
      </c>
      <c r="T1062" s="5">
        <v>44511</v>
      </c>
      <c r="U1062">
        <v>1</v>
      </c>
      <c r="V1062">
        <v>2021</v>
      </c>
      <c r="X1062">
        <f t="shared" si="48"/>
        <v>8.4998938000000006</v>
      </c>
      <c r="Y1062">
        <f t="shared" si="49"/>
        <v>5.6098938</v>
      </c>
      <c r="Z1062">
        <f t="shared" si="50"/>
        <v>79.59989379999999</v>
      </c>
    </row>
    <row r="1063" spans="1:26" x14ac:dyDescent="0.3">
      <c r="A1063" t="s">
        <v>1153</v>
      </c>
      <c r="B1063" t="s">
        <v>107</v>
      </c>
      <c r="C1063" t="s">
        <v>68</v>
      </c>
      <c r="D1063" t="s">
        <v>57</v>
      </c>
      <c r="E1063">
        <v>23</v>
      </c>
      <c r="F1063" s="3">
        <v>8.02</v>
      </c>
      <c r="G1063" s="4">
        <v>84.5</v>
      </c>
      <c r="H1063">
        <v>2</v>
      </c>
      <c r="I1063">
        <v>0</v>
      </c>
      <c r="J1063">
        <v>2</v>
      </c>
      <c r="K1063" s="4">
        <v>58.8</v>
      </c>
      <c r="L1063" s="4">
        <v>68.5</v>
      </c>
      <c r="M1063" s="4">
        <v>65.2</v>
      </c>
      <c r="N1063">
        <v>0</v>
      </c>
      <c r="O1063" t="s">
        <v>58</v>
      </c>
      <c r="P1063" t="s">
        <v>90</v>
      </c>
      <c r="Q1063" t="s">
        <v>60</v>
      </c>
      <c r="R1063" t="s">
        <v>76</v>
      </c>
      <c r="S1063" s="3">
        <v>9.2100000000000009</v>
      </c>
      <c r="T1063" s="5">
        <v>44473</v>
      </c>
      <c r="U1063">
        <v>1</v>
      </c>
      <c r="V1063">
        <v>2021</v>
      </c>
      <c r="X1063">
        <f t="shared" si="48"/>
        <v>8.019893699999999</v>
      </c>
      <c r="Y1063">
        <f t="shared" si="49"/>
        <v>9.2098937000000003</v>
      </c>
      <c r="Z1063">
        <f t="shared" si="50"/>
        <v>68.499893700000001</v>
      </c>
    </row>
    <row r="1064" spans="1:26" x14ac:dyDescent="0.3">
      <c r="A1064" t="s">
        <v>1154</v>
      </c>
      <c r="B1064" t="s">
        <v>55</v>
      </c>
      <c r="C1064" t="s">
        <v>56</v>
      </c>
      <c r="D1064" t="s">
        <v>69</v>
      </c>
      <c r="E1064">
        <v>21</v>
      </c>
      <c r="F1064" s="3">
        <v>7.22</v>
      </c>
      <c r="G1064" s="4">
        <v>85.2</v>
      </c>
      <c r="H1064">
        <v>1</v>
      </c>
      <c r="I1064">
        <v>1</v>
      </c>
      <c r="J1064">
        <v>6</v>
      </c>
      <c r="K1064" s="4">
        <v>46.9</v>
      </c>
      <c r="L1064" s="4">
        <v>54.2</v>
      </c>
      <c r="M1064" s="4">
        <v>75.099999999999994</v>
      </c>
      <c r="N1064">
        <v>0</v>
      </c>
      <c r="O1064" t="s">
        <v>58</v>
      </c>
      <c r="P1064" t="s">
        <v>70</v>
      </c>
      <c r="Q1064" t="s">
        <v>71</v>
      </c>
      <c r="R1064" t="s">
        <v>109</v>
      </c>
      <c r="S1064" s="3">
        <v>5.7</v>
      </c>
      <c r="T1064" s="5">
        <v>45596</v>
      </c>
      <c r="U1064">
        <v>3</v>
      </c>
      <c r="V1064">
        <v>2024</v>
      </c>
      <c r="X1064">
        <f t="shared" si="48"/>
        <v>7.2198935999999998</v>
      </c>
      <c r="Y1064">
        <f t="shared" si="49"/>
        <v>5.6998936000000002</v>
      </c>
      <c r="Z1064">
        <f t="shared" si="50"/>
        <v>54.199893600000003</v>
      </c>
    </row>
    <row r="1065" spans="1:26" x14ac:dyDescent="0.3">
      <c r="A1065" t="s">
        <v>1155</v>
      </c>
      <c r="B1065" t="s">
        <v>107</v>
      </c>
      <c r="C1065" t="s">
        <v>101</v>
      </c>
      <c r="D1065" t="s">
        <v>69</v>
      </c>
      <c r="E1065">
        <v>21</v>
      </c>
      <c r="F1065" s="3">
        <v>7.98</v>
      </c>
      <c r="G1065" s="4">
        <v>76.599999999999994</v>
      </c>
      <c r="H1065">
        <v>2</v>
      </c>
      <c r="I1065">
        <v>0</v>
      </c>
      <c r="J1065">
        <v>4</v>
      </c>
      <c r="K1065" s="4">
        <v>88.3</v>
      </c>
      <c r="L1065" s="4">
        <v>69.2</v>
      </c>
      <c r="M1065" s="4">
        <v>77.400000000000006</v>
      </c>
      <c r="N1065">
        <v>0</v>
      </c>
      <c r="O1065" t="s">
        <v>64</v>
      </c>
      <c r="P1065" t="s">
        <v>65</v>
      </c>
      <c r="S1065" s="3">
        <v>0</v>
      </c>
      <c r="T1065" s="5"/>
      <c r="U1065">
        <v>0</v>
      </c>
      <c r="V1065">
        <v>2021</v>
      </c>
      <c r="X1065">
        <f t="shared" si="48"/>
        <v>7.9798935000000002</v>
      </c>
      <c r="Y1065">
        <f t="shared" si="49"/>
        <v>-1.065E-4</v>
      </c>
      <c r="Z1065">
        <f t="shared" si="50"/>
        <v>69.199893500000002</v>
      </c>
    </row>
    <row r="1066" spans="1:26" x14ac:dyDescent="0.3">
      <c r="A1066" t="s">
        <v>1156</v>
      </c>
      <c r="B1066" t="s">
        <v>107</v>
      </c>
      <c r="C1066" t="s">
        <v>74</v>
      </c>
      <c r="D1066" t="s">
        <v>69</v>
      </c>
      <c r="E1066">
        <v>20</v>
      </c>
      <c r="F1066" s="3">
        <v>7.38</v>
      </c>
      <c r="G1066" s="4">
        <v>92.7</v>
      </c>
      <c r="H1066">
        <v>2</v>
      </c>
      <c r="I1066">
        <v>3</v>
      </c>
      <c r="J1066">
        <v>4</v>
      </c>
      <c r="K1066" s="4">
        <v>100</v>
      </c>
      <c r="L1066" s="4">
        <v>58.2</v>
      </c>
      <c r="M1066" s="4">
        <v>73.5</v>
      </c>
      <c r="N1066">
        <v>1</v>
      </c>
      <c r="O1066" t="s">
        <v>58</v>
      </c>
      <c r="P1066" t="s">
        <v>87</v>
      </c>
      <c r="Q1066" t="s">
        <v>71</v>
      </c>
      <c r="R1066" t="s">
        <v>76</v>
      </c>
      <c r="S1066" s="3">
        <v>6</v>
      </c>
      <c r="T1066" s="5">
        <v>44435</v>
      </c>
      <c r="U1066">
        <v>1</v>
      </c>
      <c r="V1066">
        <v>2021</v>
      </c>
      <c r="X1066">
        <f t="shared" si="48"/>
        <v>7.3798934000000003</v>
      </c>
      <c r="Y1066">
        <f t="shared" si="49"/>
        <v>5.9998934000000004</v>
      </c>
      <c r="Z1066">
        <f t="shared" si="50"/>
        <v>58.199893400000001</v>
      </c>
    </row>
    <row r="1067" spans="1:26" x14ac:dyDescent="0.3">
      <c r="A1067" t="s">
        <v>1157</v>
      </c>
      <c r="B1067" t="s">
        <v>55</v>
      </c>
      <c r="C1067" t="s">
        <v>84</v>
      </c>
      <c r="D1067" t="s">
        <v>57</v>
      </c>
      <c r="E1067">
        <v>22</v>
      </c>
      <c r="F1067" s="3">
        <v>8.61</v>
      </c>
      <c r="G1067" s="4">
        <v>100</v>
      </c>
      <c r="H1067">
        <v>1</v>
      </c>
      <c r="I1067">
        <v>1</v>
      </c>
      <c r="J1067">
        <v>4</v>
      </c>
      <c r="K1067" s="4">
        <v>69.7</v>
      </c>
      <c r="L1067" s="4">
        <v>75.7</v>
      </c>
      <c r="M1067" s="4">
        <v>58.7</v>
      </c>
      <c r="N1067">
        <v>0</v>
      </c>
      <c r="O1067" t="s">
        <v>58</v>
      </c>
      <c r="P1067" t="s">
        <v>75</v>
      </c>
      <c r="Q1067" t="s">
        <v>71</v>
      </c>
      <c r="R1067" t="s">
        <v>76</v>
      </c>
      <c r="S1067" s="3">
        <v>5.68</v>
      </c>
      <c r="T1067" s="5">
        <v>45534</v>
      </c>
      <c r="U1067">
        <v>1</v>
      </c>
      <c r="V1067">
        <v>2024</v>
      </c>
      <c r="X1067">
        <f t="shared" si="48"/>
        <v>8.6098932999999995</v>
      </c>
      <c r="Y1067">
        <f t="shared" si="49"/>
        <v>5.6798932999999998</v>
      </c>
      <c r="Z1067">
        <f t="shared" si="50"/>
        <v>75.699893299999999</v>
      </c>
    </row>
    <row r="1068" spans="1:26" x14ac:dyDescent="0.3">
      <c r="A1068" t="s">
        <v>1158</v>
      </c>
      <c r="B1068" t="s">
        <v>55</v>
      </c>
      <c r="C1068" t="s">
        <v>89</v>
      </c>
      <c r="D1068" t="s">
        <v>57</v>
      </c>
      <c r="E1068">
        <v>22</v>
      </c>
      <c r="F1068" s="3">
        <v>7.86</v>
      </c>
      <c r="G1068" s="4">
        <v>76.099999999999994</v>
      </c>
      <c r="H1068">
        <v>1</v>
      </c>
      <c r="I1068">
        <v>3</v>
      </c>
      <c r="J1068">
        <v>1</v>
      </c>
      <c r="K1068" s="4">
        <v>72.400000000000006</v>
      </c>
      <c r="L1068" s="4">
        <v>53.5</v>
      </c>
      <c r="M1068" s="4">
        <v>78.900000000000006</v>
      </c>
      <c r="N1068">
        <v>1</v>
      </c>
      <c r="O1068" t="s">
        <v>58</v>
      </c>
      <c r="P1068" t="s">
        <v>104</v>
      </c>
      <c r="Q1068" t="s">
        <v>105</v>
      </c>
      <c r="R1068" t="s">
        <v>130</v>
      </c>
      <c r="S1068" s="3">
        <v>14.27</v>
      </c>
      <c r="T1068" s="5">
        <v>45590</v>
      </c>
      <c r="U1068">
        <v>2</v>
      </c>
      <c r="V1068">
        <v>2024</v>
      </c>
      <c r="X1068">
        <f t="shared" si="48"/>
        <v>7.8598932000000001</v>
      </c>
      <c r="Y1068">
        <f t="shared" si="49"/>
        <v>14.2698932</v>
      </c>
      <c r="Z1068">
        <f t="shared" si="50"/>
        <v>53.499893200000002</v>
      </c>
    </row>
    <row r="1069" spans="1:26" x14ac:dyDescent="0.3">
      <c r="A1069" t="s">
        <v>1159</v>
      </c>
      <c r="B1069" t="s">
        <v>63</v>
      </c>
      <c r="C1069" t="s">
        <v>56</v>
      </c>
      <c r="D1069" t="s">
        <v>57</v>
      </c>
      <c r="E1069">
        <v>23</v>
      </c>
      <c r="F1069" s="3">
        <v>9.2100000000000009</v>
      </c>
      <c r="G1069" s="4">
        <v>77.8</v>
      </c>
      <c r="H1069">
        <v>0</v>
      </c>
      <c r="I1069">
        <v>2</v>
      </c>
      <c r="J1069">
        <v>2</v>
      </c>
      <c r="K1069" s="4">
        <v>89.1</v>
      </c>
      <c r="L1069" s="4">
        <v>59.2</v>
      </c>
      <c r="M1069" s="4">
        <v>59.5</v>
      </c>
      <c r="N1069">
        <v>0</v>
      </c>
      <c r="O1069" t="s">
        <v>58</v>
      </c>
      <c r="P1069" t="s">
        <v>104</v>
      </c>
      <c r="Q1069" t="s">
        <v>105</v>
      </c>
      <c r="R1069" t="s">
        <v>85</v>
      </c>
      <c r="S1069" s="3">
        <v>14.16</v>
      </c>
      <c r="T1069" s="5">
        <v>45945</v>
      </c>
      <c r="U1069">
        <v>1</v>
      </c>
      <c r="V1069">
        <v>2025</v>
      </c>
      <c r="X1069">
        <f t="shared" si="48"/>
        <v>9.2098931000000004</v>
      </c>
      <c r="Y1069">
        <f t="shared" si="49"/>
        <v>14.1598931</v>
      </c>
      <c r="Z1069">
        <f t="shared" si="50"/>
        <v>59.199893100000004</v>
      </c>
    </row>
    <row r="1070" spans="1:26" x14ac:dyDescent="0.3">
      <c r="A1070" t="s">
        <v>1160</v>
      </c>
      <c r="B1070" t="s">
        <v>107</v>
      </c>
      <c r="C1070" t="s">
        <v>56</v>
      </c>
      <c r="D1070" t="s">
        <v>57</v>
      </c>
      <c r="E1070">
        <v>20</v>
      </c>
      <c r="F1070" s="3">
        <v>7.4</v>
      </c>
      <c r="G1070" s="4">
        <v>78</v>
      </c>
      <c r="H1070">
        <v>1</v>
      </c>
      <c r="I1070">
        <v>2</v>
      </c>
      <c r="J1070">
        <v>3</v>
      </c>
      <c r="K1070" s="4">
        <v>44</v>
      </c>
      <c r="L1070" s="4">
        <v>38.700000000000003</v>
      </c>
      <c r="M1070" s="4">
        <v>60.9</v>
      </c>
      <c r="N1070">
        <v>0</v>
      </c>
      <c r="O1070" t="s">
        <v>58</v>
      </c>
      <c r="P1070" t="s">
        <v>59</v>
      </c>
      <c r="Q1070" t="s">
        <v>60</v>
      </c>
      <c r="R1070" t="s">
        <v>72</v>
      </c>
      <c r="S1070" s="3">
        <v>17.850000000000001</v>
      </c>
      <c r="T1070" s="5">
        <v>44409</v>
      </c>
      <c r="U1070">
        <v>2</v>
      </c>
      <c r="V1070">
        <v>2021</v>
      </c>
      <c r="X1070">
        <f t="shared" si="48"/>
        <v>7.3998930000000005</v>
      </c>
      <c r="Y1070">
        <f t="shared" si="49"/>
        <v>17.849893000000002</v>
      </c>
      <c r="Z1070">
        <f t="shared" si="50"/>
        <v>38.699893000000003</v>
      </c>
    </row>
    <row r="1071" spans="1:26" x14ac:dyDescent="0.3">
      <c r="A1071" t="s">
        <v>1161</v>
      </c>
      <c r="B1071" t="s">
        <v>107</v>
      </c>
      <c r="C1071" t="s">
        <v>89</v>
      </c>
      <c r="D1071" t="s">
        <v>57</v>
      </c>
      <c r="E1071">
        <v>23</v>
      </c>
      <c r="F1071" s="3">
        <v>8.75</v>
      </c>
      <c r="G1071" s="4">
        <v>70.2</v>
      </c>
      <c r="H1071">
        <v>0</v>
      </c>
      <c r="I1071">
        <v>0</v>
      </c>
      <c r="J1071">
        <v>2</v>
      </c>
      <c r="K1071" s="4">
        <v>81.400000000000006</v>
      </c>
      <c r="L1071" s="4">
        <v>78</v>
      </c>
      <c r="M1071" s="4">
        <v>67.2</v>
      </c>
      <c r="N1071">
        <v>0</v>
      </c>
      <c r="O1071" t="s">
        <v>58</v>
      </c>
      <c r="P1071" t="s">
        <v>70</v>
      </c>
      <c r="Q1071" t="s">
        <v>71</v>
      </c>
      <c r="R1071" t="s">
        <v>109</v>
      </c>
      <c r="S1071" s="3">
        <v>6.74</v>
      </c>
      <c r="T1071" s="5">
        <v>44505</v>
      </c>
      <c r="U1071">
        <v>2</v>
      </c>
      <c r="V1071">
        <v>2021</v>
      </c>
      <c r="X1071">
        <f t="shared" si="48"/>
        <v>8.7498929000000008</v>
      </c>
      <c r="Y1071">
        <f t="shared" si="49"/>
        <v>6.7398929000000001</v>
      </c>
      <c r="Z1071">
        <f t="shared" si="50"/>
        <v>77.999892900000006</v>
      </c>
    </row>
    <row r="1072" spans="1:26" x14ac:dyDescent="0.3">
      <c r="A1072" t="s">
        <v>1162</v>
      </c>
      <c r="B1072" t="s">
        <v>63</v>
      </c>
      <c r="C1072" t="s">
        <v>78</v>
      </c>
      <c r="D1072" t="s">
        <v>57</v>
      </c>
      <c r="E1072">
        <v>23</v>
      </c>
      <c r="F1072" s="3">
        <v>7.73</v>
      </c>
      <c r="G1072" s="4">
        <v>74.099999999999994</v>
      </c>
      <c r="H1072">
        <v>1</v>
      </c>
      <c r="I1072">
        <v>2</v>
      </c>
      <c r="J1072">
        <v>6</v>
      </c>
      <c r="K1072" s="4">
        <v>73.3</v>
      </c>
      <c r="L1072" s="4">
        <v>76.5</v>
      </c>
      <c r="M1072" s="4">
        <v>83.3</v>
      </c>
      <c r="N1072">
        <v>0</v>
      </c>
      <c r="O1072" t="s">
        <v>58</v>
      </c>
      <c r="P1072" t="s">
        <v>90</v>
      </c>
      <c r="Q1072" t="s">
        <v>60</v>
      </c>
      <c r="R1072" t="s">
        <v>72</v>
      </c>
      <c r="S1072" s="3">
        <v>8.85</v>
      </c>
      <c r="T1072" s="5">
        <v>45910</v>
      </c>
      <c r="U1072">
        <v>1</v>
      </c>
      <c r="V1072">
        <v>2025</v>
      </c>
      <c r="X1072">
        <f t="shared" si="48"/>
        <v>7.7298928</v>
      </c>
      <c r="Y1072">
        <f t="shared" si="49"/>
        <v>8.8498927999999992</v>
      </c>
      <c r="Z1072">
        <f t="shared" si="50"/>
        <v>76.499892799999998</v>
      </c>
    </row>
    <row r="1073" spans="1:26" x14ac:dyDescent="0.3">
      <c r="A1073" t="s">
        <v>1163</v>
      </c>
      <c r="B1073" t="s">
        <v>67</v>
      </c>
      <c r="C1073" t="s">
        <v>101</v>
      </c>
      <c r="D1073" t="s">
        <v>57</v>
      </c>
      <c r="E1073">
        <v>21</v>
      </c>
      <c r="F1073" s="3">
        <v>7.02</v>
      </c>
      <c r="G1073" s="4">
        <v>89.7</v>
      </c>
      <c r="H1073">
        <v>0</v>
      </c>
      <c r="I1073">
        <v>1</v>
      </c>
      <c r="J1073">
        <v>4</v>
      </c>
      <c r="K1073" s="4">
        <v>57.2</v>
      </c>
      <c r="L1073" s="4">
        <v>62.4</v>
      </c>
      <c r="M1073" s="4">
        <v>60.3</v>
      </c>
      <c r="N1073">
        <v>0</v>
      </c>
      <c r="O1073" t="s">
        <v>58</v>
      </c>
      <c r="P1073" t="s">
        <v>75</v>
      </c>
      <c r="Q1073" t="s">
        <v>71</v>
      </c>
      <c r="R1073" t="s">
        <v>130</v>
      </c>
      <c r="S1073" s="3">
        <v>3.28</v>
      </c>
      <c r="T1073" s="5">
        <v>45250</v>
      </c>
      <c r="U1073">
        <v>2</v>
      </c>
      <c r="V1073">
        <v>2023</v>
      </c>
      <c r="X1073">
        <f t="shared" si="48"/>
        <v>7.0198926999999998</v>
      </c>
      <c r="Y1073">
        <f t="shared" si="49"/>
        <v>3.2798927</v>
      </c>
      <c r="Z1073">
        <f t="shared" si="50"/>
        <v>62.399892699999995</v>
      </c>
    </row>
    <row r="1074" spans="1:26" x14ac:dyDescent="0.3">
      <c r="A1074" t="s">
        <v>1164</v>
      </c>
      <c r="B1074" t="s">
        <v>67</v>
      </c>
      <c r="C1074" t="s">
        <v>74</v>
      </c>
      <c r="D1074" t="s">
        <v>69</v>
      </c>
      <c r="E1074">
        <v>21</v>
      </c>
      <c r="F1074" s="3">
        <v>9.99</v>
      </c>
      <c r="G1074" s="4">
        <v>81.3</v>
      </c>
      <c r="H1074">
        <v>3</v>
      </c>
      <c r="I1074">
        <v>0</v>
      </c>
      <c r="J1074">
        <v>4</v>
      </c>
      <c r="K1074" s="4">
        <v>60.7</v>
      </c>
      <c r="L1074" s="4">
        <v>33.4</v>
      </c>
      <c r="M1074" s="4">
        <v>78.400000000000006</v>
      </c>
      <c r="N1074">
        <v>0</v>
      </c>
      <c r="O1074" t="s">
        <v>58</v>
      </c>
      <c r="P1074" t="s">
        <v>59</v>
      </c>
      <c r="Q1074" t="s">
        <v>60</v>
      </c>
      <c r="R1074" t="s">
        <v>130</v>
      </c>
      <c r="S1074" s="3">
        <v>21.01</v>
      </c>
      <c r="T1074" s="5">
        <v>45251</v>
      </c>
      <c r="U1074">
        <v>1</v>
      </c>
      <c r="V1074">
        <v>2023</v>
      </c>
      <c r="X1074">
        <f t="shared" si="48"/>
        <v>9.989892600000001</v>
      </c>
      <c r="Y1074">
        <f t="shared" si="49"/>
        <v>21.009892600000001</v>
      </c>
      <c r="Z1074">
        <f t="shared" si="50"/>
        <v>33.399892600000001</v>
      </c>
    </row>
    <row r="1075" spans="1:26" x14ac:dyDescent="0.3">
      <c r="A1075" t="s">
        <v>1165</v>
      </c>
      <c r="B1075" t="s">
        <v>67</v>
      </c>
      <c r="C1075" t="s">
        <v>56</v>
      </c>
      <c r="D1075" t="s">
        <v>69</v>
      </c>
      <c r="E1075">
        <v>22</v>
      </c>
      <c r="F1075" s="3">
        <v>8.83</v>
      </c>
      <c r="G1075" s="4">
        <v>99.3</v>
      </c>
      <c r="H1075">
        <v>1</v>
      </c>
      <c r="I1075">
        <v>4</v>
      </c>
      <c r="J1075">
        <v>5</v>
      </c>
      <c r="K1075" s="4">
        <v>49.6</v>
      </c>
      <c r="L1075" s="4">
        <v>44.7</v>
      </c>
      <c r="M1075" s="4">
        <v>43.2</v>
      </c>
      <c r="N1075">
        <v>0</v>
      </c>
      <c r="O1075" t="s">
        <v>58</v>
      </c>
      <c r="P1075" t="s">
        <v>79</v>
      </c>
      <c r="Q1075" t="s">
        <v>71</v>
      </c>
      <c r="R1075" t="s">
        <v>80</v>
      </c>
      <c r="S1075" s="3">
        <v>7.03</v>
      </c>
      <c r="T1075" s="5">
        <v>45200</v>
      </c>
      <c r="U1075">
        <v>1</v>
      </c>
      <c r="V1075">
        <v>2023</v>
      </c>
      <c r="X1075">
        <f t="shared" si="48"/>
        <v>8.8298924999999997</v>
      </c>
      <c r="Y1075">
        <f t="shared" si="49"/>
        <v>7.0298924999999999</v>
      </c>
      <c r="Z1075">
        <f t="shared" si="50"/>
        <v>44.699892500000004</v>
      </c>
    </row>
    <row r="1076" spans="1:26" x14ac:dyDescent="0.3">
      <c r="A1076" t="s">
        <v>1166</v>
      </c>
      <c r="B1076" t="s">
        <v>63</v>
      </c>
      <c r="C1076" t="s">
        <v>56</v>
      </c>
      <c r="D1076" t="s">
        <v>69</v>
      </c>
      <c r="E1076">
        <v>22</v>
      </c>
      <c r="F1076" s="3">
        <v>7.86</v>
      </c>
      <c r="G1076" s="4">
        <v>79.400000000000006</v>
      </c>
      <c r="H1076">
        <v>3</v>
      </c>
      <c r="I1076">
        <v>2</v>
      </c>
      <c r="J1076">
        <v>6</v>
      </c>
      <c r="K1076" s="4">
        <v>83.8</v>
      </c>
      <c r="L1076" s="4">
        <v>71.5</v>
      </c>
      <c r="M1076" s="4">
        <v>80.099999999999994</v>
      </c>
      <c r="N1076">
        <v>1</v>
      </c>
      <c r="O1076" t="s">
        <v>58</v>
      </c>
      <c r="P1076" t="s">
        <v>95</v>
      </c>
      <c r="Q1076" t="s">
        <v>93</v>
      </c>
      <c r="R1076" t="s">
        <v>85</v>
      </c>
      <c r="S1076" s="3">
        <v>7.25</v>
      </c>
      <c r="T1076" s="5">
        <v>45870</v>
      </c>
      <c r="U1076">
        <v>2</v>
      </c>
      <c r="V1076">
        <v>2025</v>
      </c>
      <c r="X1076">
        <f t="shared" si="48"/>
        <v>7.8598924000000006</v>
      </c>
      <c r="Y1076">
        <f t="shared" si="49"/>
        <v>7.2498924000000002</v>
      </c>
      <c r="Z1076">
        <f t="shared" si="50"/>
        <v>71.499892399999993</v>
      </c>
    </row>
    <row r="1077" spans="1:26" x14ac:dyDescent="0.3">
      <c r="A1077" t="s">
        <v>1167</v>
      </c>
      <c r="B1077" t="s">
        <v>107</v>
      </c>
      <c r="C1077" t="s">
        <v>78</v>
      </c>
      <c r="D1077" t="s">
        <v>57</v>
      </c>
      <c r="E1077">
        <v>23</v>
      </c>
      <c r="F1077" s="3">
        <v>8.34</v>
      </c>
      <c r="G1077" s="4">
        <v>85.7</v>
      </c>
      <c r="H1077">
        <v>0</v>
      </c>
      <c r="I1077">
        <v>1</v>
      </c>
      <c r="J1077">
        <v>6</v>
      </c>
      <c r="K1077" s="4">
        <v>53.4</v>
      </c>
      <c r="L1077" s="4">
        <v>85</v>
      </c>
      <c r="M1077" s="4">
        <v>86.5</v>
      </c>
      <c r="N1077">
        <v>3</v>
      </c>
      <c r="O1077" t="s">
        <v>58</v>
      </c>
      <c r="P1077" t="s">
        <v>59</v>
      </c>
      <c r="Q1077" t="s">
        <v>60</v>
      </c>
      <c r="R1077" t="s">
        <v>76</v>
      </c>
      <c r="S1077" s="3">
        <v>21.07</v>
      </c>
      <c r="T1077" s="5">
        <v>44413</v>
      </c>
      <c r="U1077">
        <v>1</v>
      </c>
      <c r="V1077">
        <v>2021</v>
      </c>
      <c r="X1077">
        <f t="shared" si="48"/>
        <v>8.3398923000000007</v>
      </c>
      <c r="Y1077">
        <f t="shared" si="49"/>
        <v>21.069892299999999</v>
      </c>
      <c r="Z1077">
        <f t="shared" si="50"/>
        <v>84.999892299999999</v>
      </c>
    </row>
    <row r="1078" spans="1:26" x14ac:dyDescent="0.3">
      <c r="A1078" t="s">
        <v>1168</v>
      </c>
      <c r="B1078" t="s">
        <v>63</v>
      </c>
      <c r="C1078" t="s">
        <v>56</v>
      </c>
      <c r="D1078" t="s">
        <v>69</v>
      </c>
      <c r="E1078">
        <v>22</v>
      </c>
      <c r="F1078" s="3">
        <v>6.68</v>
      </c>
      <c r="G1078" s="4">
        <v>73.900000000000006</v>
      </c>
      <c r="H1078">
        <v>2</v>
      </c>
      <c r="I1078">
        <v>2</v>
      </c>
      <c r="J1078">
        <v>5</v>
      </c>
      <c r="K1078" s="4">
        <v>73.8</v>
      </c>
      <c r="L1078" s="4">
        <v>55.1</v>
      </c>
      <c r="M1078" s="4">
        <v>81.3</v>
      </c>
      <c r="N1078">
        <v>0</v>
      </c>
      <c r="O1078" t="s">
        <v>64</v>
      </c>
      <c r="P1078" t="s">
        <v>65</v>
      </c>
      <c r="S1078" s="3">
        <v>0</v>
      </c>
      <c r="T1078" s="5"/>
      <c r="U1078">
        <v>0</v>
      </c>
      <c r="V1078">
        <v>2025</v>
      </c>
      <c r="X1078">
        <f t="shared" si="48"/>
        <v>6.6798921999999994</v>
      </c>
      <c r="Y1078">
        <f t="shared" si="49"/>
        <v>-1.0779999999999999E-4</v>
      </c>
      <c r="Z1078">
        <f t="shared" si="50"/>
        <v>55.099892199999999</v>
      </c>
    </row>
    <row r="1079" spans="1:26" x14ac:dyDescent="0.3">
      <c r="A1079" t="s">
        <v>1169</v>
      </c>
      <c r="B1079" t="s">
        <v>63</v>
      </c>
      <c r="C1079" t="s">
        <v>68</v>
      </c>
      <c r="D1079" t="s">
        <v>57</v>
      </c>
      <c r="E1079">
        <v>23</v>
      </c>
      <c r="F1079" s="3">
        <v>6.71</v>
      </c>
      <c r="G1079" s="4">
        <v>81</v>
      </c>
      <c r="H1079">
        <v>1</v>
      </c>
      <c r="I1079">
        <v>1</v>
      </c>
      <c r="J1079">
        <v>3</v>
      </c>
      <c r="K1079" s="4">
        <v>45.2</v>
      </c>
      <c r="L1079" s="4">
        <v>88.1</v>
      </c>
      <c r="M1079" s="4">
        <v>73.400000000000006</v>
      </c>
      <c r="N1079">
        <v>2</v>
      </c>
      <c r="O1079" t="s">
        <v>58</v>
      </c>
      <c r="P1079" t="s">
        <v>75</v>
      </c>
      <c r="Q1079" t="s">
        <v>71</v>
      </c>
      <c r="R1079" t="s">
        <v>109</v>
      </c>
      <c r="S1079" s="3">
        <v>4.59</v>
      </c>
      <c r="T1079" s="5">
        <v>45874</v>
      </c>
      <c r="U1079">
        <v>1</v>
      </c>
      <c r="V1079">
        <v>2025</v>
      </c>
      <c r="X1079">
        <f t="shared" si="48"/>
        <v>6.7098921000000002</v>
      </c>
      <c r="Y1079">
        <f t="shared" si="49"/>
        <v>4.5898921000000001</v>
      </c>
      <c r="Z1079">
        <f t="shared" si="50"/>
        <v>88.099892099999991</v>
      </c>
    </row>
    <row r="1080" spans="1:26" x14ac:dyDescent="0.3">
      <c r="A1080" t="s">
        <v>1170</v>
      </c>
      <c r="B1080" t="s">
        <v>67</v>
      </c>
      <c r="C1080" t="s">
        <v>89</v>
      </c>
      <c r="D1080" t="s">
        <v>57</v>
      </c>
      <c r="E1080">
        <v>22</v>
      </c>
      <c r="F1080" s="3">
        <v>8.65</v>
      </c>
      <c r="G1080" s="4">
        <v>82.8</v>
      </c>
      <c r="H1080">
        <v>1</v>
      </c>
      <c r="I1080">
        <v>3</v>
      </c>
      <c r="J1080">
        <v>2</v>
      </c>
      <c r="K1080" s="4">
        <v>87.5</v>
      </c>
      <c r="L1080" s="4">
        <v>95.2</v>
      </c>
      <c r="M1080" s="4">
        <v>65.7</v>
      </c>
      <c r="N1080">
        <v>0</v>
      </c>
      <c r="O1080" t="s">
        <v>58</v>
      </c>
      <c r="P1080" t="s">
        <v>75</v>
      </c>
      <c r="Q1080" t="s">
        <v>71</v>
      </c>
      <c r="R1080" t="s">
        <v>85</v>
      </c>
      <c r="S1080" s="3">
        <v>7.32</v>
      </c>
      <c r="T1080" s="5">
        <v>45209</v>
      </c>
      <c r="U1080">
        <v>1</v>
      </c>
      <c r="V1080">
        <v>2023</v>
      </c>
      <c r="X1080">
        <f t="shared" si="48"/>
        <v>8.6498919999999995</v>
      </c>
      <c r="Y1080">
        <f t="shared" si="49"/>
        <v>7.3198920000000003</v>
      </c>
      <c r="Z1080">
        <f t="shared" si="50"/>
        <v>95.199892000000006</v>
      </c>
    </row>
    <row r="1081" spans="1:26" x14ac:dyDescent="0.3">
      <c r="A1081" t="s">
        <v>1171</v>
      </c>
      <c r="B1081" t="s">
        <v>82</v>
      </c>
      <c r="C1081" t="s">
        <v>84</v>
      </c>
      <c r="D1081" t="s">
        <v>69</v>
      </c>
      <c r="E1081">
        <v>22</v>
      </c>
      <c r="F1081" s="3">
        <v>7.65</v>
      </c>
      <c r="G1081" s="4">
        <v>63.1</v>
      </c>
      <c r="H1081">
        <v>2</v>
      </c>
      <c r="I1081">
        <v>2</v>
      </c>
      <c r="J1081">
        <v>2</v>
      </c>
      <c r="K1081" s="4">
        <v>65.099999999999994</v>
      </c>
      <c r="L1081" s="4">
        <v>76.8</v>
      </c>
      <c r="M1081" s="4">
        <v>62.7</v>
      </c>
      <c r="N1081">
        <v>0</v>
      </c>
      <c r="O1081" t="s">
        <v>58</v>
      </c>
      <c r="P1081" t="s">
        <v>75</v>
      </c>
      <c r="Q1081" t="s">
        <v>71</v>
      </c>
      <c r="R1081" t="s">
        <v>76</v>
      </c>
      <c r="S1081" s="3">
        <v>6.3</v>
      </c>
      <c r="T1081" s="5">
        <v>44857</v>
      </c>
      <c r="U1081">
        <v>1</v>
      </c>
      <c r="V1081">
        <v>2022</v>
      </c>
      <c r="X1081">
        <f t="shared" si="48"/>
        <v>7.6498919000000001</v>
      </c>
      <c r="Y1081">
        <f t="shared" si="49"/>
        <v>6.2998918999999995</v>
      </c>
      <c r="Z1081">
        <f t="shared" si="50"/>
        <v>76.799891899999992</v>
      </c>
    </row>
    <row r="1082" spans="1:26" x14ac:dyDescent="0.3">
      <c r="A1082" t="s">
        <v>1172</v>
      </c>
      <c r="B1082" t="s">
        <v>107</v>
      </c>
      <c r="C1082" t="s">
        <v>74</v>
      </c>
      <c r="D1082" t="s">
        <v>57</v>
      </c>
      <c r="E1082">
        <v>21</v>
      </c>
      <c r="F1082" s="3">
        <v>7.51</v>
      </c>
      <c r="G1082" s="4">
        <v>74.599999999999994</v>
      </c>
      <c r="H1082">
        <v>3</v>
      </c>
      <c r="I1082">
        <v>0</v>
      </c>
      <c r="J1082">
        <v>1</v>
      </c>
      <c r="K1082" s="4">
        <v>83</v>
      </c>
      <c r="L1082" s="4">
        <v>85.6</v>
      </c>
      <c r="M1082" s="4">
        <v>63.8</v>
      </c>
      <c r="N1082">
        <v>0</v>
      </c>
      <c r="O1082" t="s">
        <v>64</v>
      </c>
      <c r="P1082" t="s">
        <v>65</v>
      </c>
      <c r="S1082" s="3">
        <v>0</v>
      </c>
      <c r="T1082" s="5"/>
      <c r="U1082">
        <v>0</v>
      </c>
      <c r="V1082">
        <v>2021</v>
      </c>
      <c r="X1082">
        <f t="shared" si="48"/>
        <v>7.5098918000000001</v>
      </c>
      <c r="Y1082">
        <f t="shared" si="49"/>
        <v>-1.082E-4</v>
      </c>
      <c r="Z1082">
        <f t="shared" si="50"/>
        <v>85.599891799999995</v>
      </c>
    </row>
    <row r="1083" spans="1:26" x14ac:dyDescent="0.3">
      <c r="A1083" t="s">
        <v>1173</v>
      </c>
      <c r="B1083" t="s">
        <v>67</v>
      </c>
      <c r="C1083" t="s">
        <v>56</v>
      </c>
      <c r="D1083" t="s">
        <v>57</v>
      </c>
      <c r="E1083">
        <v>21</v>
      </c>
      <c r="F1083" s="3">
        <v>7.39</v>
      </c>
      <c r="G1083" s="4">
        <v>87.7</v>
      </c>
      <c r="H1083">
        <v>1</v>
      </c>
      <c r="I1083">
        <v>1</v>
      </c>
      <c r="J1083">
        <v>1</v>
      </c>
      <c r="K1083" s="4">
        <v>65</v>
      </c>
      <c r="L1083" s="4">
        <v>53.1</v>
      </c>
      <c r="M1083" s="4">
        <v>66.8</v>
      </c>
      <c r="N1083">
        <v>0</v>
      </c>
      <c r="O1083" t="s">
        <v>58</v>
      </c>
      <c r="P1083" t="s">
        <v>70</v>
      </c>
      <c r="Q1083" t="s">
        <v>71</v>
      </c>
      <c r="R1083" t="s">
        <v>80</v>
      </c>
      <c r="S1083" s="3">
        <v>4.18</v>
      </c>
      <c r="T1083" s="5">
        <v>45187</v>
      </c>
      <c r="U1083">
        <v>1</v>
      </c>
      <c r="V1083">
        <v>2023</v>
      </c>
      <c r="X1083">
        <f t="shared" si="48"/>
        <v>7.3898916999999997</v>
      </c>
      <c r="Y1083">
        <f t="shared" si="49"/>
        <v>4.1798916999999998</v>
      </c>
      <c r="Z1083">
        <f t="shared" si="50"/>
        <v>53.099891700000001</v>
      </c>
    </row>
    <row r="1084" spans="1:26" x14ac:dyDescent="0.3">
      <c r="A1084" t="s">
        <v>1174</v>
      </c>
      <c r="B1084" t="s">
        <v>82</v>
      </c>
      <c r="C1084" t="s">
        <v>89</v>
      </c>
      <c r="D1084" t="s">
        <v>57</v>
      </c>
      <c r="E1084">
        <v>21</v>
      </c>
      <c r="F1084" s="3">
        <v>7.79</v>
      </c>
      <c r="G1084" s="4">
        <v>87.2</v>
      </c>
      <c r="H1084">
        <v>3</v>
      </c>
      <c r="I1084">
        <v>2</v>
      </c>
      <c r="J1084">
        <v>6</v>
      </c>
      <c r="K1084" s="4">
        <v>59.5</v>
      </c>
      <c r="L1084" s="4">
        <v>43.3</v>
      </c>
      <c r="M1084" s="4">
        <v>85.2</v>
      </c>
      <c r="N1084">
        <v>0</v>
      </c>
      <c r="O1084" t="s">
        <v>58</v>
      </c>
      <c r="P1084" t="s">
        <v>59</v>
      </c>
      <c r="Q1084" t="s">
        <v>60</v>
      </c>
      <c r="R1084" t="s">
        <v>61</v>
      </c>
      <c r="S1084" s="3">
        <v>19.64</v>
      </c>
      <c r="T1084" s="5">
        <v>44843</v>
      </c>
      <c r="U1084">
        <v>1</v>
      </c>
      <c r="V1084">
        <v>2022</v>
      </c>
      <c r="X1084">
        <f t="shared" si="48"/>
        <v>7.7898915999999998</v>
      </c>
      <c r="Y1084">
        <f t="shared" si="49"/>
        <v>19.639891600000002</v>
      </c>
      <c r="Z1084">
        <f t="shared" si="50"/>
        <v>43.299891599999995</v>
      </c>
    </row>
    <row r="1085" spans="1:26" x14ac:dyDescent="0.3">
      <c r="A1085" t="s">
        <v>1175</v>
      </c>
      <c r="B1085" t="s">
        <v>82</v>
      </c>
      <c r="C1085" t="s">
        <v>89</v>
      </c>
      <c r="D1085" t="s">
        <v>57</v>
      </c>
      <c r="E1085">
        <v>21</v>
      </c>
      <c r="F1085" s="3">
        <v>7.42</v>
      </c>
      <c r="G1085" s="4">
        <v>70.8</v>
      </c>
      <c r="H1085">
        <v>2</v>
      </c>
      <c r="I1085">
        <v>2</v>
      </c>
      <c r="J1085">
        <v>6</v>
      </c>
      <c r="K1085" s="4">
        <v>49.2</v>
      </c>
      <c r="L1085" s="4">
        <v>97.9</v>
      </c>
      <c r="M1085" s="4">
        <v>72.599999999999994</v>
      </c>
      <c r="N1085">
        <v>2</v>
      </c>
      <c r="O1085" t="s">
        <v>64</v>
      </c>
      <c r="P1085" t="s">
        <v>65</v>
      </c>
      <c r="S1085" s="3">
        <v>0</v>
      </c>
      <c r="T1085" s="5"/>
      <c r="U1085">
        <v>0</v>
      </c>
      <c r="V1085">
        <v>2022</v>
      </c>
      <c r="X1085">
        <f t="shared" si="48"/>
        <v>7.4198915000000003</v>
      </c>
      <c r="Y1085">
        <f t="shared" si="49"/>
        <v>-1.0849999999999999E-4</v>
      </c>
      <c r="Z1085">
        <f t="shared" si="50"/>
        <v>97.89989150000001</v>
      </c>
    </row>
    <row r="1086" spans="1:26" x14ac:dyDescent="0.3">
      <c r="A1086" t="s">
        <v>1176</v>
      </c>
      <c r="B1086" t="s">
        <v>55</v>
      </c>
      <c r="C1086" t="s">
        <v>74</v>
      </c>
      <c r="D1086" t="s">
        <v>69</v>
      </c>
      <c r="E1086">
        <v>20</v>
      </c>
      <c r="F1086" s="3">
        <v>5.82</v>
      </c>
      <c r="G1086" s="4">
        <v>78.8</v>
      </c>
      <c r="H1086">
        <v>3</v>
      </c>
      <c r="I1086">
        <v>2</v>
      </c>
      <c r="J1086">
        <v>4</v>
      </c>
      <c r="K1086" s="4">
        <v>82.8</v>
      </c>
      <c r="L1086" s="4">
        <v>55.1</v>
      </c>
      <c r="M1086" s="4">
        <v>83.4</v>
      </c>
      <c r="N1086">
        <v>0</v>
      </c>
      <c r="O1086" t="s">
        <v>64</v>
      </c>
      <c r="P1086" t="s">
        <v>65</v>
      </c>
      <c r="S1086" s="3">
        <v>0</v>
      </c>
      <c r="T1086" s="5"/>
      <c r="U1086">
        <v>0</v>
      </c>
      <c r="V1086">
        <v>2024</v>
      </c>
      <c r="X1086">
        <f t="shared" si="48"/>
        <v>5.8198914000000004</v>
      </c>
      <c r="Y1086">
        <f t="shared" si="49"/>
        <v>-1.086E-4</v>
      </c>
      <c r="Z1086">
        <f t="shared" si="50"/>
        <v>55.099891400000004</v>
      </c>
    </row>
    <row r="1087" spans="1:26" x14ac:dyDescent="0.3">
      <c r="A1087" t="s">
        <v>1177</v>
      </c>
      <c r="B1087" t="s">
        <v>107</v>
      </c>
      <c r="C1087" t="s">
        <v>84</v>
      </c>
      <c r="D1087" t="s">
        <v>69</v>
      </c>
      <c r="E1087">
        <v>21</v>
      </c>
      <c r="F1087" s="3">
        <v>8.92</v>
      </c>
      <c r="G1087" s="4">
        <v>60.7</v>
      </c>
      <c r="H1087">
        <v>1</v>
      </c>
      <c r="I1087">
        <v>3</v>
      </c>
      <c r="J1087">
        <v>4</v>
      </c>
      <c r="K1087" s="4">
        <v>62.9</v>
      </c>
      <c r="L1087" s="4">
        <v>87.3</v>
      </c>
      <c r="M1087" s="4">
        <v>100</v>
      </c>
      <c r="N1087">
        <v>0</v>
      </c>
      <c r="O1087" t="s">
        <v>58</v>
      </c>
      <c r="P1087" t="s">
        <v>59</v>
      </c>
      <c r="Q1087" t="s">
        <v>60</v>
      </c>
      <c r="R1087" t="s">
        <v>130</v>
      </c>
      <c r="S1087" s="3">
        <v>20.45</v>
      </c>
      <c r="T1087" s="5">
        <v>44411</v>
      </c>
      <c r="U1087">
        <v>1</v>
      </c>
      <c r="V1087">
        <v>2021</v>
      </c>
      <c r="X1087">
        <f t="shared" si="48"/>
        <v>8.9198912999999997</v>
      </c>
      <c r="Y1087">
        <f t="shared" si="49"/>
        <v>20.449891300000001</v>
      </c>
      <c r="Z1087">
        <f t="shared" si="50"/>
        <v>87.299891299999999</v>
      </c>
    </row>
    <row r="1088" spans="1:26" x14ac:dyDescent="0.3">
      <c r="A1088" t="s">
        <v>1178</v>
      </c>
      <c r="B1088" t="s">
        <v>82</v>
      </c>
      <c r="C1088" t="s">
        <v>101</v>
      </c>
      <c r="D1088" t="s">
        <v>69</v>
      </c>
      <c r="E1088">
        <v>20</v>
      </c>
      <c r="F1088" s="3">
        <v>7.55</v>
      </c>
      <c r="G1088" s="4">
        <v>82</v>
      </c>
      <c r="H1088">
        <v>3</v>
      </c>
      <c r="I1088">
        <v>3</v>
      </c>
      <c r="J1088">
        <v>4</v>
      </c>
      <c r="K1088" s="4">
        <v>72.2</v>
      </c>
      <c r="L1088" s="4">
        <v>76.3</v>
      </c>
      <c r="M1088" s="4">
        <v>93.8</v>
      </c>
      <c r="N1088">
        <v>0</v>
      </c>
      <c r="O1088" t="s">
        <v>58</v>
      </c>
      <c r="P1088" t="s">
        <v>90</v>
      </c>
      <c r="Q1088" t="s">
        <v>60</v>
      </c>
      <c r="R1088" t="s">
        <v>80</v>
      </c>
      <c r="S1088" s="3">
        <v>8.9</v>
      </c>
      <c r="T1088" s="5">
        <v>44812</v>
      </c>
      <c r="U1088">
        <v>2</v>
      </c>
      <c r="V1088">
        <v>2022</v>
      </c>
      <c r="X1088">
        <f t="shared" si="48"/>
        <v>7.5498912000000002</v>
      </c>
      <c r="Y1088">
        <f t="shared" si="49"/>
        <v>8.8998912000000008</v>
      </c>
      <c r="Z1088">
        <f t="shared" si="50"/>
        <v>76.29989119999999</v>
      </c>
    </row>
    <row r="1089" spans="1:26" x14ac:dyDescent="0.3">
      <c r="A1089" t="s">
        <v>1179</v>
      </c>
      <c r="B1089" t="s">
        <v>67</v>
      </c>
      <c r="C1089" t="s">
        <v>56</v>
      </c>
      <c r="D1089" t="s">
        <v>57</v>
      </c>
      <c r="E1089">
        <v>21</v>
      </c>
      <c r="F1089" s="3">
        <v>9.3000000000000007</v>
      </c>
      <c r="G1089" s="4">
        <v>93.3</v>
      </c>
      <c r="H1089">
        <v>2</v>
      </c>
      <c r="I1089">
        <v>1</v>
      </c>
      <c r="J1089">
        <v>3</v>
      </c>
      <c r="K1089" s="4">
        <v>58.1</v>
      </c>
      <c r="L1089" s="4">
        <v>96.4</v>
      </c>
      <c r="M1089" s="4">
        <v>73.8</v>
      </c>
      <c r="N1089">
        <v>0</v>
      </c>
      <c r="O1089" t="s">
        <v>64</v>
      </c>
      <c r="P1089" t="s">
        <v>65</v>
      </c>
      <c r="S1089" s="3">
        <v>0</v>
      </c>
      <c r="T1089" s="5"/>
      <c r="U1089">
        <v>0</v>
      </c>
      <c r="V1089">
        <v>2023</v>
      </c>
      <c r="X1089">
        <f t="shared" si="48"/>
        <v>9.2998911</v>
      </c>
      <c r="Y1089">
        <f t="shared" si="49"/>
        <v>-1.0889999999999999E-4</v>
      </c>
      <c r="Z1089">
        <f t="shared" si="50"/>
        <v>96.399891100000005</v>
      </c>
    </row>
    <row r="1090" spans="1:26" x14ac:dyDescent="0.3">
      <c r="A1090" t="s">
        <v>1180</v>
      </c>
      <c r="B1090" t="s">
        <v>55</v>
      </c>
      <c r="C1090" t="s">
        <v>56</v>
      </c>
      <c r="D1090" t="s">
        <v>69</v>
      </c>
      <c r="E1090">
        <v>22</v>
      </c>
      <c r="F1090" s="3">
        <v>6.06</v>
      </c>
      <c r="G1090" s="4">
        <v>93.7</v>
      </c>
      <c r="H1090">
        <v>0</v>
      </c>
      <c r="I1090">
        <v>4</v>
      </c>
      <c r="J1090">
        <v>6</v>
      </c>
      <c r="K1090" s="4">
        <v>67.8</v>
      </c>
      <c r="L1090" s="4">
        <v>81.599999999999994</v>
      </c>
      <c r="M1090" s="4">
        <v>67.3</v>
      </c>
      <c r="N1090">
        <v>1</v>
      </c>
      <c r="O1090" t="s">
        <v>58</v>
      </c>
      <c r="P1090" t="s">
        <v>59</v>
      </c>
      <c r="Q1090" t="s">
        <v>60</v>
      </c>
      <c r="R1090" t="s">
        <v>130</v>
      </c>
      <c r="S1090" s="3">
        <v>17.66</v>
      </c>
      <c r="T1090" s="5">
        <v>45553</v>
      </c>
      <c r="U1090">
        <v>1</v>
      </c>
      <c r="V1090">
        <v>2024</v>
      </c>
      <c r="X1090">
        <f t="shared" ref="X1090:X1153" si="51">F1090-ROW()*0.0000001</f>
        <v>6.0598909999999995</v>
      </c>
      <c r="Y1090">
        <f t="shared" ref="Y1090:Y1153" si="52">S1090-ROW()*0.0000001</f>
        <v>17.659891000000002</v>
      </c>
      <c r="Z1090">
        <f t="shared" ref="Z1090:Z1153" si="53">L1090-ROW()*0.0000001</f>
        <v>81.599891</v>
      </c>
    </row>
    <row r="1091" spans="1:26" x14ac:dyDescent="0.3">
      <c r="A1091" t="s">
        <v>1181</v>
      </c>
      <c r="B1091" t="s">
        <v>107</v>
      </c>
      <c r="C1091" t="s">
        <v>68</v>
      </c>
      <c r="D1091" t="s">
        <v>57</v>
      </c>
      <c r="E1091">
        <v>23</v>
      </c>
      <c r="F1091" s="3">
        <v>6.06</v>
      </c>
      <c r="G1091" s="4">
        <v>93.4</v>
      </c>
      <c r="H1091">
        <v>1</v>
      </c>
      <c r="I1091">
        <v>0</v>
      </c>
      <c r="J1091">
        <v>3</v>
      </c>
      <c r="K1091" s="4">
        <v>70.900000000000006</v>
      </c>
      <c r="L1091" s="4">
        <v>52.4</v>
      </c>
      <c r="M1091" s="4">
        <v>84</v>
      </c>
      <c r="N1091">
        <v>0</v>
      </c>
      <c r="O1091" t="s">
        <v>64</v>
      </c>
      <c r="P1091" t="s">
        <v>65</v>
      </c>
      <c r="S1091" s="3">
        <v>0</v>
      </c>
      <c r="T1091" s="5"/>
      <c r="U1091">
        <v>0</v>
      </c>
      <c r="V1091">
        <v>2021</v>
      </c>
      <c r="X1091">
        <f t="shared" si="51"/>
        <v>6.0598908999999992</v>
      </c>
      <c r="Y1091">
        <f t="shared" si="52"/>
        <v>-1.091E-4</v>
      </c>
      <c r="Z1091">
        <f t="shared" si="53"/>
        <v>52.399890899999995</v>
      </c>
    </row>
    <row r="1092" spans="1:26" x14ac:dyDescent="0.3">
      <c r="A1092" t="s">
        <v>1182</v>
      </c>
      <c r="B1092" t="s">
        <v>63</v>
      </c>
      <c r="C1092" t="s">
        <v>78</v>
      </c>
      <c r="D1092" t="s">
        <v>57</v>
      </c>
      <c r="E1092">
        <v>22</v>
      </c>
      <c r="F1092" s="3">
        <v>7.4</v>
      </c>
      <c r="G1092" s="4">
        <v>86.7</v>
      </c>
      <c r="H1092">
        <v>1</v>
      </c>
      <c r="I1092">
        <v>2</v>
      </c>
      <c r="J1092">
        <v>5</v>
      </c>
      <c r="K1092" s="4">
        <v>43.4</v>
      </c>
      <c r="L1092" s="4">
        <v>64.8</v>
      </c>
      <c r="M1092" s="4">
        <v>84</v>
      </c>
      <c r="N1092">
        <v>0</v>
      </c>
      <c r="O1092" t="s">
        <v>58</v>
      </c>
      <c r="P1092" t="s">
        <v>59</v>
      </c>
      <c r="Q1092" t="s">
        <v>60</v>
      </c>
      <c r="R1092" t="s">
        <v>109</v>
      </c>
      <c r="S1092" s="3">
        <v>19.75</v>
      </c>
      <c r="T1092" s="5">
        <v>45889</v>
      </c>
      <c r="U1092">
        <v>1</v>
      </c>
      <c r="V1092">
        <v>2025</v>
      </c>
      <c r="X1092">
        <f t="shared" si="51"/>
        <v>7.3998908000000005</v>
      </c>
      <c r="Y1092">
        <f t="shared" si="52"/>
        <v>19.749890799999999</v>
      </c>
      <c r="Z1092">
        <f t="shared" si="53"/>
        <v>64.7998908</v>
      </c>
    </row>
    <row r="1093" spans="1:26" x14ac:dyDescent="0.3">
      <c r="A1093" t="s">
        <v>1183</v>
      </c>
      <c r="B1093" t="s">
        <v>67</v>
      </c>
      <c r="C1093" t="s">
        <v>56</v>
      </c>
      <c r="D1093" t="s">
        <v>69</v>
      </c>
      <c r="E1093">
        <v>22</v>
      </c>
      <c r="F1093" s="3">
        <v>8.5299999999999994</v>
      </c>
      <c r="G1093" s="4">
        <v>92.4</v>
      </c>
      <c r="H1093">
        <v>1</v>
      </c>
      <c r="I1093">
        <v>4</v>
      </c>
      <c r="J1093">
        <v>3</v>
      </c>
      <c r="K1093" s="4">
        <v>58.5</v>
      </c>
      <c r="L1093" s="4">
        <v>80.5</v>
      </c>
      <c r="M1093" s="4">
        <v>80.5</v>
      </c>
      <c r="N1093">
        <v>2</v>
      </c>
      <c r="O1093" t="s">
        <v>58</v>
      </c>
      <c r="P1093" t="s">
        <v>70</v>
      </c>
      <c r="Q1093" t="s">
        <v>71</v>
      </c>
      <c r="R1093" t="s">
        <v>76</v>
      </c>
      <c r="S1093" s="3">
        <v>6.13</v>
      </c>
      <c r="T1093" s="5">
        <v>45196</v>
      </c>
      <c r="U1093">
        <v>1</v>
      </c>
      <c r="V1093">
        <v>2023</v>
      </c>
      <c r="X1093">
        <f t="shared" si="51"/>
        <v>8.5298906999999993</v>
      </c>
      <c r="Y1093">
        <f t="shared" si="52"/>
        <v>6.1298906999999998</v>
      </c>
      <c r="Z1093">
        <f t="shared" si="53"/>
        <v>80.499890699999995</v>
      </c>
    </row>
    <row r="1094" spans="1:26" x14ac:dyDescent="0.3">
      <c r="A1094" t="s">
        <v>1184</v>
      </c>
      <c r="B1094" t="s">
        <v>82</v>
      </c>
      <c r="C1094" t="s">
        <v>78</v>
      </c>
      <c r="D1094" t="s">
        <v>57</v>
      </c>
      <c r="E1094">
        <v>20</v>
      </c>
      <c r="F1094" s="3">
        <v>6.55</v>
      </c>
      <c r="G1094" s="4">
        <v>80.3</v>
      </c>
      <c r="H1094">
        <v>2</v>
      </c>
      <c r="I1094">
        <v>2</v>
      </c>
      <c r="J1094">
        <v>5</v>
      </c>
      <c r="K1094" s="4">
        <v>90.1</v>
      </c>
      <c r="L1094" s="4">
        <v>61.8</v>
      </c>
      <c r="M1094" s="4">
        <v>91.7</v>
      </c>
      <c r="N1094">
        <v>0</v>
      </c>
      <c r="O1094" t="s">
        <v>58</v>
      </c>
      <c r="P1094" t="s">
        <v>75</v>
      </c>
      <c r="Q1094" t="s">
        <v>71</v>
      </c>
      <c r="R1094" t="s">
        <v>109</v>
      </c>
      <c r="S1094" s="3">
        <v>4.43</v>
      </c>
      <c r="T1094" s="5">
        <v>44817</v>
      </c>
      <c r="U1094">
        <v>1</v>
      </c>
      <c r="V1094">
        <v>2022</v>
      </c>
      <c r="X1094">
        <f t="shared" si="51"/>
        <v>6.5498905999999995</v>
      </c>
      <c r="Y1094">
        <f t="shared" si="52"/>
        <v>4.4298905999999993</v>
      </c>
      <c r="Z1094">
        <f t="shared" si="53"/>
        <v>61.799890599999998</v>
      </c>
    </row>
    <row r="1095" spans="1:26" x14ac:dyDescent="0.3">
      <c r="A1095" t="s">
        <v>1185</v>
      </c>
      <c r="B1095" t="s">
        <v>82</v>
      </c>
      <c r="C1095" t="s">
        <v>89</v>
      </c>
      <c r="D1095" t="s">
        <v>69</v>
      </c>
      <c r="E1095">
        <v>21</v>
      </c>
      <c r="F1095" s="3">
        <v>6.52</v>
      </c>
      <c r="G1095" s="4">
        <v>77.3</v>
      </c>
      <c r="H1095">
        <v>2</v>
      </c>
      <c r="I1095">
        <v>2</v>
      </c>
      <c r="J1095">
        <v>4</v>
      </c>
      <c r="K1095" s="4">
        <v>56.6</v>
      </c>
      <c r="L1095" s="4">
        <v>85.7</v>
      </c>
      <c r="M1095" s="4">
        <v>62.7</v>
      </c>
      <c r="N1095">
        <v>0</v>
      </c>
      <c r="O1095" t="s">
        <v>58</v>
      </c>
      <c r="P1095" t="s">
        <v>75</v>
      </c>
      <c r="Q1095" t="s">
        <v>71</v>
      </c>
      <c r="R1095" t="s">
        <v>76</v>
      </c>
      <c r="S1095" s="3">
        <v>7.87</v>
      </c>
      <c r="T1095" s="5">
        <v>44782</v>
      </c>
      <c r="U1095">
        <v>2</v>
      </c>
      <c r="V1095">
        <v>2022</v>
      </c>
      <c r="X1095">
        <f t="shared" si="51"/>
        <v>6.5198904999999998</v>
      </c>
      <c r="Y1095">
        <f t="shared" si="52"/>
        <v>7.8698905000000003</v>
      </c>
      <c r="Z1095">
        <f t="shared" si="53"/>
        <v>85.699890500000009</v>
      </c>
    </row>
    <row r="1096" spans="1:26" x14ac:dyDescent="0.3">
      <c r="A1096" t="s">
        <v>1186</v>
      </c>
      <c r="B1096" t="s">
        <v>67</v>
      </c>
      <c r="C1096" t="s">
        <v>56</v>
      </c>
      <c r="D1096" t="s">
        <v>57</v>
      </c>
      <c r="E1096">
        <v>23</v>
      </c>
      <c r="F1096" s="3">
        <v>7.98</v>
      </c>
      <c r="G1096" s="4">
        <v>92.3</v>
      </c>
      <c r="H1096">
        <v>2</v>
      </c>
      <c r="I1096">
        <v>0</v>
      </c>
      <c r="J1096">
        <v>4</v>
      </c>
      <c r="K1096" s="4">
        <v>80.599999999999994</v>
      </c>
      <c r="L1096" s="4">
        <v>71.400000000000006</v>
      </c>
      <c r="M1096" s="4">
        <v>77.400000000000006</v>
      </c>
      <c r="N1096">
        <v>1</v>
      </c>
      <c r="O1096" t="s">
        <v>58</v>
      </c>
      <c r="P1096" t="s">
        <v>70</v>
      </c>
      <c r="Q1096" t="s">
        <v>71</v>
      </c>
      <c r="R1096" t="s">
        <v>72</v>
      </c>
      <c r="S1096" s="3">
        <v>4.78</v>
      </c>
      <c r="T1096" s="5">
        <v>45201</v>
      </c>
      <c r="U1096">
        <v>1</v>
      </c>
      <c r="V1096">
        <v>2023</v>
      </c>
      <c r="X1096">
        <f t="shared" si="51"/>
        <v>7.9798904000000004</v>
      </c>
      <c r="Y1096">
        <f t="shared" si="52"/>
        <v>4.7798904000000002</v>
      </c>
      <c r="Z1096">
        <f t="shared" si="53"/>
        <v>71.399890400000004</v>
      </c>
    </row>
    <row r="1097" spans="1:26" x14ac:dyDescent="0.3">
      <c r="A1097" t="s">
        <v>1187</v>
      </c>
      <c r="B1097" t="s">
        <v>82</v>
      </c>
      <c r="C1097" t="s">
        <v>78</v>
      </c>
      <c r="D1097" t="s">
        <v>69</v>
      </c>
      <c r="E1097">
        <v>23</v>
      </c>
      <c r="F1097" s="3">
        <v>7.37</v>
      </c>
      <c r="G1097" s="4">
        <v>84.6</v>
      </c>
      <c r="H1097">
        <v>1</v>
      </c>
      <c r="I1097">
        <v>3</v>
      </c>
      <c r="J1097">
        <v>2</v>
      </c>
      <c r="K1097" s="4">
        <v>72.599999999999994</v>
      </c>
      <c r="L1097" s="4">
        <v>86</v>
      </c>
      <c r="M1097" s="4">
        <v>73.599999999999994</v>
      </c>
      <c r="N1097">
        <v>0</v>
      </c>
      <c r="O1097" t="s">
        <v>58</v>
      </c>
      <c r="P1097" t="s">
        <v>90</v>
      </c>
      <c r="Q1097" t="s">
        <v>60</v>
      </c>
      <c r="R1097" t="s">
        <v>80</v>
      </c>
      <c r="S1097" s="3">
        <v>8.01</v>
      </c>
      <c r="T1097" s="5">
        <v>44835</v>
      </c>
      <c r="U1097">
        <v>1</v>
      </c>
      <c r="V1097">
        <v>2022</v>
      </c>
      <c r="X1097">
        <f t="shared" si="51"/>
        <v>7.3698902999999998</v>
      </c>
      <c r="Y1097">
        <f t="shared" si="52"/>
        <v>8.0098903000000004</v>
      </c>
      <c r="Z1097">
        <f t="shared" si="53"/>
        <v>85.999890300000004</v>
      </c>
    </row>
    <row r="1098" spans="1:26" x14ac:dyDescent="0.3">
      <c r="A1098" t="s">
        <v>1188</v>
      </c>
      <c r="B1098" t="s">
        <v>55</v>
      </c>
      <c r="C1098" t="s">
        <v>84</v>
      </c>
      <c r="D1098" t="s">
        <v>69</v>
      </c>
      <c r="E1098">
        <v>21</v>
      </c>
      <c r="F1098" s="3">
        <v>8.14</v>
      </c>
      <c r="G1098" s="4">
        <v>65.8</v>
      </c>
      <c r="H1098">
        <v>0</v>
      </c>
      <c r="I1098">
        <v>1</v>
      </c>
      <c r="J1098">
        <v>3</v>
      </c>
      <c r="K1098" s="4">
        <v>75.2</v>
      </c>
      <c r="L1098" s="4">
        <v>86.9</v>
      </c>
      <c r="M1098" s="4">
        <v>82.2</v>
      </c>
      <c r="N1098">
        <v>1</v>
      </c>
      <c r="O1098" t="s">
        <v>58</v>
      </c>
      <c r="P1098" t="s">
        <v>112</v>
      </c>
      <c r="Q1098" t="s">
        <v>93</v>
      </c>
      <c r="R1098" t="s">
        <v>61</v>
      </c>
      <c r="S1098" s="3">
        <v>6.39</v>
      </c>
      <c r="T1098" s="5">
        <v>45510</v>
      </c>
      <c r="U1098">
        <v>1</v>
      </c>
      <c r="V1098">
        <v>2024</v>
      </c>
      <c r="X1098">
        <f t="shared" si="51"/>
        <v>8.1398902</v>
      </c>
      <c r="Y1098">
        <f t="shared" si="52"/>
        <v>6.3898902</v>
      </c>
      <c r="Z1098">
        <f t="shared" si="53"/>
        <v>86.899890200000002</v>
      </c>
    </row>
    <row r="1099" spans="1:26" x14ac:dyDescent="0.3">
      <c r="A1099" t="s">
        <v>1189</v>
      </c>
      <c r="B1099" t="s">
        <v>107</v>
      </c>
      <c r="C1099" t="s">
        <v>56</v>
      </c>
      <c r="D1099" t="s">
        <v>57</v>
      </c>
      <c r="E1099">
        <v>20</v>
      </c>
      <c r="F1099" s="3">
        <v>7.38</v>
      </c>
      <c r="G1099" s="4">
        <v>92.9</v>
      </c>
      <c r="H1099">
        <v>1</v>
      </c>
      <c r="I1099">
        <v>3</v>
      </c>
      <c r="J1099">
        <v>4</v>
      </c>
      <c r="K1099" s="4">
        <v>76.900000000000006</v>
      </c>
      <c r="L1099" s="4">
        <v>74.7</v>
      </c>
      <c r="M1099" s="4">
        <v>68.5</v>
      </c>
      <c r="N1099">
        <v>0</v>
      </c>
      <c r="O1099" t="s">
        <v>58</v>
      </c>
      <c r="P1099" t="s">
        <v>92</v>
      </c>
      <c r="Q1099" t="s">
        <v>93</v>
      </c>
      <c r="R1099" t="s">
        <v>61</v>
      </c>
      <c r="S1099" s="3">
        <v>7.39</v>
      </c>
      <c r="T1099" s="5">
        <v>44474</v>
      </c>
      <c r="U1099">
        <v>2</v>
      </c>
      <c r="V1099">
        <v>2021</v>
      </c>
      <c r="X1099">
        <f t="shared" si="51"/>
        <v>7.3798900999999999</v>
      </c>
      <c r="Y1099">
        <f t="shared" si="52"/>
        <v>7.3898900999999997</v>
      </c>
      <c r="Z1099">
        <f t="shared" si="53"/>
        <v>74.699890100000005</v>
      </c>
    </row>
    <row r="1100" spans="1:26" x14ac:dyDescent="0.3">
      <c r="A1100" t="s">
        <v>1190</v>
      </c>
      <c r="B1100" t="s">
        <v>55</v>
      </c>
      <c r="C1100" t="s">
        <v>74</v>
      </c>
      <c r="D1100" t="s">
        <v>57</v>
      </c>
      <c r="E1100">
        <v>20</v>
      </c>
      <c r="F1100" s="3">
        <v>8</v>
      </c>
      <c r="G1100" s="4">
        <v>80</v>
      </c>
      <c r="H1100">
        <v>2</v>
      </c>
      <c r="I1100">
        <v>1</v>
      </c>
      <c r="J1100">
        <v>3</v>
      </c>
      <c r="K1100" s="4">
        <v>68.3</v>
      </c>
      <c r="L1100" s="4">
        <v>68</v>
      </c>
      <c r="M1100" s="4">
        <v>78.400000000000006</v>
      </c>
      <c r="N1100">
        <v>0</v>
      </c>
      <c r="O1100" t="s">
        <v>64</v>
      </c>
      <c r="P1100" t="s">
        <v>65</v>
      </c>
      <c r="S1100" s="3">
        <v>0</v>
      </c>
      <c r="T1100" s="5"/>
      <c r="U1100">
        <v>0</v>
      </c>
      <c r="V1100">
        <v>2024</v>
      </c>
      <c r="X1100">
        <f t="shared" si="51"/>
        <v>7.9998899999999997</v>
      </c>
      <c r="Y1100">
        <f t="shared" si="52"/>
        <v>-1.0999999999999999E-4</v>
      </c>
      <c r="Z1100">
        <f t="shared" si="53"/>
        <v>67.999889999999994</v>
      </c>
    </row>
    <row r="1101" spans="1:26" x14ac:dyDescent="0.3">
      <c r="A1101" t="s">
        <v>1191</v>
      </c>
      <c r="B1101" t="s">
        <v>82</v>
      </c>
      <c r="C1101" t="s">
        <v>68</v>
      </c>
      <c r="D1101" t="s">
        <v>69</v>
      </c>
      <c r="E1101">
        <v>20</v>
      </c>
      <c r="F1101" s="3">
        <v>8.8800000000000008</v>
      </c>
      <c r="G1101" s="4">
        <v>76</v>
      </c>
      <c r="H1101">
        <v>0</v>
      </c>
      <c r="I1101">
        <v>0</v>
      </c>
      <c r="J1101">
        <v>5</v>
      </c>
      <c r="K1101" s="4">
        <v>60</v>
      </c>
      <c r="L1101" s="4">
        <v>62</v>
      </c>
      <c r="M1101" s="4">
        <v>52.5</v>
      </c>
      <c r="N1101">
        <v>0</v>
      </c>
      <c r="O1101" t="s">
        <v>58</v>
      </c>
      <c r="P1101" t="s">
        <v>90</v>
      </c>
      <c r="Q1101" t="s">
        <v>60</v>
      </c>
      <c r="R1101" t="s">
        <v>130</v>
      </c>
      <c r="S1101" s="3">
        <v>9.26</v>
      </c>
      <c r="T1101" s="5">
        <v>44878</v>
      </c>
      <c r="U1101">
        <v>1</v>
      </c>
      <c r="V1101">
        <v>2022</v>
      </c>
      <c r="X1101">
        <f t="shared" si="51"/>
        <v>8.8798899000000002</v>
      </c>
      <c r="Y1101">
        <f t="shared" si="52"/>
        <v>9.2598898999999992</v>
      </c>
      <c r="Z1101">
        <f t="shared" si="53"/>
        <v>61.999889899999999</v>
      </c>
    </row>
    <row r="1102" spans="1:26" x14ac:dyDescent="0.3">
      <c r="A1102" t="s">
        <v>1192</v>
      </c>
      <c r="B1102" t="s">
        <v>63</v>
      </c>
      <c r="C1102" t="s">
        <v>84</v>
      </c>
      <c r="D1102" t="s">
        <v>57</v>
      </c>
      <c r="E1102">
        <v>23</v>
      </c>
      <c r="F1102" s="3">
        <v>6.55</v>
      </c>
      <c r="G1102" s="4">
        <v>90.8</v>
      </c>
      <c r="H1102">
        <v>1</v>
      </c>
      <c r="I1102">
        <v>1</v>
      </c>
      <c r="J1102">
        <v>5</v>
      </c>
      <c r="K1102" s="4">
        <v>57.6</v>
      </c>
      <c r="L1102" s="4">
        <v>52.8</v>
      </c>
      <c r="M1102" s="4">
        <v>73.8</v>
      </c>
      <c r="N1102">
        <v>1</v>
      </c>
      <c r="O1102" t="s">
        <v>58</v>
      </c>
      <c r="P1102" t="s">
        <v>112</v>
      </c>
      <c r="Q1102" t="s">
        <v>93</v>
      </c>
      <c r="R1102" t="s">
        <v>76</v>
      </c>
      <c r="S1102" s="3">
        <v>6.22</v>
      </c>
      <c r="T1102" s="5">
        <v>45912</v>
      </c>
      <c r="U1102">
        <v>1</v>
      </c>
      <c r="V1102">
        <v>2025</v>
      </c>
      <c r="X1102">
        <f t="shared" si="51"/>
        <v>6.5498897999999999</v>
      </c>
      <c r="Y1102">
        <f t="shared" si="52"/>
        <v>6.2198897999999998</v>
      </c>
      <c r="Z1102">
        <f t="shared" si="53"/>
        <v>52.799889799999995</v>
      </c>
    </row>
    <row r="1103" spans="1:26" x14ac:dyDescent="0.3">
      <c r="A1103" t="s">
        <v>1193</v>
      </c>
      <c r="B1103" t="s">
        <v>107</v>
      </c>
      <c r="C1103" t="s">
        <v>84</v>
      </c>
      <c r="D1103" t="s">
        <v>57</v>
      </c>
      <c r="E1103">
        <v>20</v>
      </c>
      <c r="F1103" s="3">
        <v>8.7200000000000006</v>
      </c>
      <c r="G1103" s="4">
        <v>89.6</v>
      </c>
      <c r="H1103">
        <v>1</v>
      </c>
      <c r="I1103">
        <v>1</v>
      </c>
      <c r="J1103">
        <v>4</v>
      </c>
      <c r="K1103" s="4">
        <v>63.4</v>
      </c>
      <c r="L1103" s="4">
        <v>95.8</v>
      </c>
      <c r="M1103" s="4">
        <v>94.5</v>
      </c>
      <c r="N1103">
        <v>0</v>
      </c>
      <c r="O1103" t="s">
        <v>58</v>
      </c>
      <c r="P1103" t="s">
        <v>87</v>
      </c>
      <c r="Q1103" t="s">
        <v>71</v>
      </c>
      <c r="R1103" t="s">
        <v>76</v>
      </c>
      <c r="S1103" s="3">
        <v>8.36</v>
      </c>
      <c r="T1103" s="5">
        <v>44472</v>
      </c>
      <c r="U1103">
        <v>1</v>
      </c>
      <c r="V1103">
        <v>2021</v>
      </c>
      <c r="X1103">
        <f t="shared" si="51"/>
        <v>8.7198897000000013</v>
      </c>
      <c r="Y1103">
        <f t="shared" si="52"/>
        <v>8.3598897000000001</v>
      </c>
      <c r="Z1103">
        <f t="shared" si="53"/>
        <v>95.799889699999994</v>
      </c>
    </row>
    <row r="1104" spans="1:26" x14ac:dyDescent="0.3">
      <c r="A1104" t="s">
        <v>1194</v>
      </c>
      <c r="B1104" t="s">
        <v>107</v>
      </c>
      <c r="C1104" t="s">
        <v>68</v>
      </c>
      <c r="D1104" t="s">
        <v>69</v>
      </c>
      <c r="E1104">
        <v>20</v>
      </c>
      <c r="F1104" s="3">
        <v>6.12</v>
      </c>
      <c r="G1104" s="4">
        <v>73.400000000000006</v>
      </c>
      <c r="H1104">
        <v>0</v>
      </c>
      <c r="I1104">
        <v>4</v>
      </c>
      <c r="J1104">
        <v>3</v>
      </c>
      <c r="K1104" s="4">
        <v>85.5</v>
      </c>
      <c r="L1104" s="4">
        <v>71.2</v>
      </c>
      <c r="M1104" s="4">
        <v>67.8</v>
      </c>
      <c r="N1104">
        <v>3</v>
      </c>
      <c r="O1104" t="s">
        <v>64</v>
      </c>
      <c r="P1104" t="s">
        <v>65</v>
      </c>
      <c r="S1104" s="3">
        <v>0</v>
      </c>
      <c r="T1104" s="5"/>
      <c r="U1104">
        <v>0</v>
      </c>
      <c r="V1104">
        <v>2021</v>
      </c>
      <c r="X1104">
        <f t="shared" si="51"/>
        <v>6.1198896000000005</v>
      </c>
      <c r="Y1104">
        <f t="shared" si="52"/>
        <v>-1.104E-4</v>
      </c>
      <c r="Z1104">
        <f t="shared" si="53"/>
        <v>71.199889600000006</v>
      </c>
    </row>
    <row r="1105" spans="1:26" x14ac:dyDescent="0.3">
      <c r="A1105" t="s">
        <v>1195</v>
      </c>
      <c r="B1105" t="s">
        <v>67</v>
      </c>
      <c r="C1105" t="s">
        <v>78</v>
      </c>
      <c r="D1105" t="s">
        <v>57</v>
      </c>
      <c r="E1105">
        <v>23</v>
      </c>
      <c r="F1105" s="3">
        <v>8.1999999999999993</v>
      </c>
      <c r="G1105" s="4">
        <v>80.599999999999994</v>
      </c>
      <c r="H1105">
        <v>1</v>
      </c>
      <c r="I1105">
        <v>4</v>
      </c>
      <c r="J1105">
        <v>5</v>
      </c>
      <c r="K1105" s="4">
        <v>49</v>
      </c>
      <c r="L1105" s="4">
        <v>66.3</v>
      </c>
      <c r="M1105" s="4">
        <v>72.8</v>
      </c>
      <c r="N1105">
        <v>0</v>
      </c>
      <c r="O1105" t="s">
        <v>58</v>
      </c>
      <c r="P1105" t="s">
        <v>79</v>
      </c>
      <c r="Q1105" t="s">
        <v>71</v>
      </c>
      <c r="R1105" t="s">
        <v>61</v>
      </c>
      <c r="S1105" s="3">
        <v>6.12</v>
      </c>
      <c r="T1105" s="5">
        <v>45182</v>
      </c>
      <c r="U1105">
        <v>2</v>
      </c>
      <c r="V1105">
        <v>2023</v>
      </c>
      <c r="X1105">
        <f t="shared" si="51"/>
        <v>8.1998894999999994</v>
      </c>
      <c r="Y1105">
        <f t="shared" si="52"/>
        <v>6.1198895000000002</v>
      </c>
      <c r="Z1105">
        <f t="shared" si="53"/>
        <v>66.299889499999992</v>
      </c>
    </row>
    <row r="1106" spans="1:26" x14ac:dyDescent="0.3">
      <c r="A1106" t="s">
        <v>1196</v>
      </c>
      <c r="B1106" t="s">
        <v>67</v>
      </c>
      <c r="C1106" t="s">
        <v>68</v>
      </c>
      <c r="D1106" t="s">
        <v>69</v>
      </c>
      <c r="E1106">
        <v>23</v>
      </c>
      <c r="F1106" s="3">
        <v>8.93</v>
      </c>
      <c r="G1106" s="4">
        <v>73.8</v>
      </c>
      <c r="H1106">
        <v>0</v>
      </c>
      <c r="I1106">
        <v>2</v>
      </c>
      <c r="J1106">
        <v>2</v>
      </c>
      <c r="K1106" s="4">
        <v>63.6</v>
      </c>
      <c r="L1106" s="4">
        <v>66.5</v>
      </c>
      <c r="M1106" s="4">
        <v>86.8</v>
      </c>
      <c r="N1106">
        <v>1</v>
      </c>
      <c r="O1106" t="s">
        <v>58</v>
      </c>
      <c r="P1106" t="s">
        <v>104</v>
      </c>
      <c r="Q1106" t="s">
        <v>105</v>
      </c>
      <c r="R1106" t="s">
        <v>72</v>
      </c>
      <c r="S1106" s="3">
        <v>15.58</v>
      </c>
      <c r="T1106" s="5">
        <v>45143</v>
      </c>
      <c r="U1106">
        <v>2</v>
      </c>
      <c r="V1106">
        <v>2023</v>
      </c>
      <c r="X1106">
        <f t="shared" si="51"/>
        <v>8.9298894000000004</v>
      </c>
      <c r="Y1106">
        <f t="shared" si="52"/>
        <v>15.579889400000001</v>
      </c>
      <c r="Z1106">
        <f t="shared" si="53"/>
        <v>66.499889400000001</v>
      </c>
    </row>
    <row r="1107" spans="1:26" x14ac:dyDescent="0.3">
      <c r="A1107" t="s">
        <v>1197</v>
      </c>
      <c r="B1107" t="s">
        <v>63</v>
      </c>
      <c r="C1107" t="s">
        <v>68</v>
      </c>
      <c r="D1107" t="s">
        <v>57</v>
      </c>
      <c r="E1107">
        <v>22</v>
      </c>
      <c r="F1107" s="3">
        <v>7.18</v>
      </c>
      <c r="G1107" s="4">
        <v>74.099999999999994</v>
      </c>
      <c r="H1107">
        <v>3</v>
      </c>
      <c r="I1107">
        <v>0</v>
      </c>
      <c r="J1107">
        <v>2</v>
      </c>
      <c r="K1107" s="4">
        <v>46.8</v>
      </c>
      <c r="L1107" s="4">
        <v>69.2</v>
      </c>
      <c r="M1107" s="4">
        <v>79.7</v>
      </c>
      <c r="N1107">
        <v>1</v>
      </c>
      <c r="O1107" t="s">
        <v>58</v>
      </c>
      <c r="P1107" t="s">
        <v>70</v>
      </c>
      <c r="Q1107" t="s">
        <v>71</v>
      </c>
      <c r="R1107" t="s">
        <v>76</v>
      </c>
      <c r="S1107" s="3">
        <v>6.49</v>
      </c>
      <c r="T1107" s="5">
        <v>45882</v>
      </c>
      <c r="U1107">
        <v>1</v>
      </c>
      <c r="V1107">
        <v>2025</v>
      </c>
      <c r="X1107">
        <f t="shared" si="51"/>
        <v>7.1798893000000001</v>
      </c>
      <c r="Y1107">
        <f t="shared" si="52"/>
        <v>6.4898893000000006</v>
      </c>
      <c r="Z1107">
        <f t="shared" si="53"/>
        <v>69.199889300000009</v>
      </c>
    </row>
    <row r="1108" spans="1:26" x14ac:dyDescent="0.3">
      <c r="A1108" t="s">
        <v>1198</v>
      </c>
      <c r="B1108" t="s">
        <v>107</v>
      </c>
      <c r="C1108" t="s">
        <v>74</v>
      </c>
      <c r="D1108" t="s">
        <v>57</v>
      </c>
      <c r="E1108">
        <v>23</v>
      </c>
      <c r="F1108" s="3">
        <v>8.23</v>
      </c>
      <c r="G1108" s="4">
        <v>55.1</v>
      </c>
      <c r="H1108">
        <v>1</v>
      </c>
      <c r="I1108">
        <v>1</v>
      </c>
      <c r="J1108">
        <v>1</v>
      </c>
      <c r="K1108" s="4">
        <v>59.8</v>
      </c>
      <c r="L1108" s="4">
        <v>62.7</v>
      </c>
      <c r="M1108" s="4">
        <v>53.5</v>
      </c>
      <c r="N1108">
        <v>0</v>
      </c>
      <c r="O1108" t="s">
        <v>58</v>
      </c>
      <c r="P1108" t="s">
        <v>95</v>
      </c>
      <c r="Q1108" t="s">
        <v>93</v>
      </c>
      <c r="R1108" t="s">
        <v>109</v>
      </c>
      <c r="S1108" s="3">
        <v>7.62</v>
      </c>
      <c r="T1108" s="5">
        <v>44528</v>
      </c>
      <c r="U1108">
        <v>1</v>
      </c>
      <c r="V1108">
        <v>2021</v>
      </c>
      <c r="X1108">
        <f t="shared" si="51"/>
        <v>8.2298892000000006</v>
      </c>
      <c r="Y1108">
        <f t="shared" si="52"/>
        <v>7.6198892000000003</v>
      </c>
      <c r="Z1108">
        <f t="shared" si="53"/>
        <v>62.699889200000001</v>
      </c>
    </row>
    <row r="1109" spans="1:26" x14ac:dyDescent="0.3">
      <c r="A1109" t="s">
        <v>1199</v>
      </c>
      <c r="B1109" t="s">
        <v>63</v>
      </c>
      <c r="C1109" t="s">
        <v>56</v>
      </c>
      <c r="D1109" t="s">
        <v>69</v>
      </c>
      <c r="E1109">
        <v>21</v>
      </c>
      <c r="F1109" s="3">
        <v>7.21</v>
      </c>
      <c r="G1109" s="4">
        <v>72.900000000000006</v>
      </c>
      <c r="H1109">
        <v>2</v>
      </c>
      <c r="I1109">
        <v>2</v>
      </c>
      <c r="J1109">
        <v>1</v>
      </c>
      <c r="K1109" s="4">
        <v>66.3</v>
      </c>
      <c r="L1109" s="4">
        <v>61.4</v>
      </c>
      <c r="M1109" s="4">
        <v>72.3</v>
      </c>
      <c r="N1109">
        <v>0</v>
      </c>
      <c r="O1109" t="s">
        <v>58</v>
      </c>
      <c r="P1109" t="s">
        <v>104</v>
      </c>
      <c r="Q1109" t="s">
        <v>105</v>
      </c>
      <c r="R1109" t="s">
        <v>76</v>
      </c>
      <c r="S1109" s="3">
        <v>14.77</v>
      </c>
      <c r="T1109" s="5">
        <v>45884</v>
      </c>
      <c r="U1109">
        <v>1</v>
      </c>
      <c r="V1109">
        <v>2025</v>
      </c>
      <c r="X1109">
        <f t="shared" si="51"/>
        <v>7.2098890999999998</v>
      </c>
      <c r="Y1109">
        <f t="shared" si="52"/>
        <v>14.7698891</v>
      </c>
      <c r="Z1109">
        <f t="shared" si="53"/>
        <v>61.399889099999996</v>
      </c>
    </row>
    <row r="1110" spans="1:26" x14ac:dyDescent="0.3">
      <c r="A1110" t="s">
        <v>1200</v>
      </c>
      <c r="B1110" t="s">
        <v>67</v>
      </c>
      <c r="C1110" t="s">
        <v>74</v>
      </c>
      <c r="D1110" t="s">
        <v>57</v>
      </c>
      <c r="E1110">
        <v>23</v>
      </c>
      <c r="F1110" s="3">
        <v>8.18</v>
      </c>
      <c r="G1110" s="4">
        <v>80.5</v>
      </c>
      <c r="H1110">
        <v>0</v>
      </c>
      <c r="I1110">
        <v>0</v>
      </c>
      <c r="J1110">
        <v>4</v>
      </c>
      <c r="K1110" s="4">
        <v>87.5</v>
      </c>
      <c r="L1110" s="4">
        <v>49.5</v>
      </c>
      <c r="M1110" s="4">
        <v>78.599999999999994</v>
      </c>
      <c r="N1110">
        <v>0</v>
      </c>
      <c r="O1110" t="s">
        <v>58</v>
      </c>
      <c r="P1110" t="s">
        <v>75</v>
      </c>
      <c r="Q1110" t="s">
        <v>71</v>
      </c>
      <c r="R1110" t="s">
        <v>80</v>
      </c>
      <c r="S1110" s="3">
        <v>6.02</v>
      </c>
      <c r="T1110" s="5">
        <v>45247</v>
      </c>
      <c r="U1110">
        <v>1</v>
      </c>
      <c r="V1110">
        <v>2023</v>
      </c>
      <c r="X1110">
        <f t="shared" si="51"/>
        <v>8.1798889999999993</v>
      </c>
      <c r="Y1110">
        <f t="shared" si="52"/>
        <v>6.0198889999999992</v>
      </c>
      <c r="Z1110">
        <f t="shared" si="53"/>
        <v>49.499889000000003</v>
      </c>
    </row>
    <row r="1111" spans="1:26" x14ac:dyDescent="0.3">
      <c r="A1111" t="s">
        <v>1201</v>
      </c>
      <c r="B1111" t="s">
        <v>67</v>
      </c>
      <c r="C1111" t="s">
        <v>68</v>
      </c>
      <c r="D1111" t="s">
        <v>57</v>
      </c>
      <c r="E1111">
        <v>23</v>
      </c>
      <c r="F1111" s="3">
        <v>5.62</v>
      </c>
      <c r="G1111" s="4">
        <v>56.5</v>
      </c>
      <c r="H1111">
        <v>2</v>
      </c>
      <c r="I1111">
        <v>3</v>
      </c>
      <c r="J1111">
        <v>3</v>
      </c>
      <c r="K1111" s="4">
        <v>89</v>
      </c>
      <c r="L1111" s="4">
        <v>70.7</v>
      </c>
      <c r="M1111" s="4">
        <v>90.4</v>
      </c>
      <c r="N1111">
        <v>0</v>
      </c>
      <c r="O1111" t="s">
        <v>64</v>
      </c>
      <c r="P1111" t="s">
        <v>65</v>
      </c>
      <c r="S1111" s="3">
        <v>0</v>
      </c>
      <c r="T1111" s="5"/>
      <c r="U1111">
        <v>0</v>
      </c>
      <c r="V1111">
        <v>2023</v>
      </c>
      <c r="X1111">
        <f t="shared" si="51"/>
        <v>5.6198889000000003</v>
      </c>
      <c r="Y1111">
        <f t="shared" si="52"/>
        <v>-1.1109999999999999E-4</v>
      </c>
      <c r="Z1111">
        <f t="shared" si="53"/>
        <v>70.699888900000005</v>
      </c>
    </row>
    <row r="1112" spans="1:26" x14ac:dyDescent="0.3">
      <c r="A1112" t="s">
        <v>1202</v>
      </c>
      <c r="B1112" t="s">
        <v>107</v>
      </c>
      <c r="C1112" t="s">
        <v>56</v>
      </c>
      <c r="D1112" t="s">
        <v>57</v>
      </c>
      <c r="E1112">
        <v>20</v>
      </c>
      <c r="F1112" s="3">
        <v>7.8</v>
      </c>
      <c r="G1112" s="4">
        <v>69.7</v>
      </c>
      <c r="H1112">
        <v>1</v>
      </c>
      <c r="I1112">
        <v>0</v>
      </c>
      <c r="J1112">
        <v>4</v>
      </c>
      <c r="K1112" s="4">
        <v>42.8</v>
      </c>
      <c r="L1112" s="4">
        <v>89.6</v>
      </c>
      <c r="M1112" s="4">
        <v>88.2</v>
      </c>
      <c r="N1112">
        <v>0</v>
      </c>
      <c r="O1112" t="s">
        <v>58</v>
      </c>
      <c r="P1112" t="s">
        <v>75</v>
      </c>
      <c r="Q1112" t="s">
        <v>71</v>
      </c>
      <c r="R1112" t="s">
        <v>61</v>
      </c>
      <c r="S1112" s="3">
        <v>6.9</v>
      </c>
      <c r="T1112" s="5">
        <v>44442</v>
      </c>
      <c r="U1112">
        <v>1</v>
      </c>
      <c r="V1112">
        <v>2021</v>
      </c>
      <c r="X1112">
        <f t="shared" si="51"/>
        <v>7.7998887999999997</v>
      </c>
      <c r="Y1112">
        <f t="shared" si="52"/>
        <v>6.8998888000000003</v>
      </c>
      <c r="Z1112">
        <f t="shared" si="53"/>
        <v>89.599888799999988</v>
      </c>
    </row>
    <row r="1113" spans="1:26" x14ac:dyDescent="0.3">
      <c r="A1113" t="s">
        <v>1203</v>
      </c>
      <c r="B1113" t="s">
        <v>55</v>
      </c>
      <c r="C1113" t="s">
        <v>84</v>
      </c>
      <c r="D1113" t="s">
        <v>57</v>
      </c>
      <c r="E1113">
        <v>22</v>
      </c>
      <c r="F1113" s="3">
        <v>8.01</v>
      </c>
      <c r="G1113" s="4">
        <v>87.5</v>
      </c>
      <c r="H1113">
        <v>2</v>
      </c>
      <c r="I1113">
        <v>3</v>
      </c>
      <c r="J1113">
        <v>4</v>
      </c>
      <c r="K1113" s="4">
        <v>46.8</v>
      </c>
      <c r="L1113" s="4">
        <v>59.2</v>
      </c>
      <c r="M1113" s="4">
        <v>73.2</v>
      </c>
      <c r="N1113">
        <v>0</v>
      </c>
      <c r="O1113" t="s">
        <v>58</v>
      </c>
      <c r="P1113" t="s">
        <v>90</v>
      </c>
      <c r="Q1113" t="s">
        <v>60</v>
      </c>
      <c r="R1113" t="s">
        <v>72</v>
      </c>
      <c r="S1113" s="3">
        <v>9.23</v>
      </c>
      <c r="T1113" s="5">
        <v>45560</v>
      </c>
      <c r="U1113">
        <v>3</v>
      </c>
      <c r="V1113">
        <v>2024</v>
      </c>
      <c r="X1113">
        <f t="shared" si="51"/>
        <v>8.0098886999999994</v>
      </c>
      <c r="Y1113">
        <f t="shared" si="52"/>
        <v>9.2298887000000001</v>
      </c>
      <c r="Z1113">
        <f t="shared" si="53"/>
        <v>59.199888700000002</v>
      </c>
    </row>
    <row r="1114" spans="1:26" x14ac:dyDescent="0.3">
      <c r="A1114" t="s">
        <v>1204</v>
      </c>
      <c r="B1114" t="s">
        <v>82</v>
      </c>
      <c r="C1114" t="s">
        <v>56</v>
      </c>
      <c r="D1114" t="s">
        <v>57</v>
      </c>
      <c r="E1114">
        <v>20</v>
      </c>
      <c r="F1114" s="3">
        <v>8.86</v>
      </c>
      <c r="G1114" s="4">
        <v>69.3</v>
      </c>
      <c r="H1114">
        <v>2</v>
      </c>
      <c r="I1114">
        <v>3</v>
      </c>
      <c r="J1114">
        <v>4</v>
      </c>
      <c r="K1114" s="4">
        <v>65.7</v>
      </c>
      <c r="L1114" s="4">
        <v>78.3</v>
      </c>
      <c r="M1114" s="4">
        <v>81.599999999999994</v>
      </c>
      <c r="N1114">
        <v>0</v>
      </c>
      <c r="O1114" t="s">
        <v>58</v>
      </c>
      <c r="P1114" t="s">
        <v>75</v>
      </c>
      <c r="Q1114" t="s">
        <v>71</v>
      </c>
      <c r="R1114" t="s">
        <v>61</v>
      </c>
      <c r="S1114" s="3">
        <v>6.5</v>
      </c>
      <c r="T1114" s="5">
        <v>44846</v>
      </c>
      <c r="U1114">
        <v>3</v>
      </c>
      <c r="V1114">
        <v>2022</v>
      </c>
      <c r="X1114">
        <f t="shared" si="51"/>
        <v>8.8598885999999997</v>
      </c>
      <c r="Y1114">
        <f t="shared" si="52"/>
        <v>6.4998886000000002</v>
      </c>
      <c r="Z1114">
        <f t="shared" si="53"/>
        <v>78.299888600000003</v>
      </c>
    </row>
    <row r="1115" spans="1:26" x14ac:dyDescent="0.3">
      <c r="A1115" t="s">
        <v>1205</v>
      </c>
      <c r="B1115" t="s">
        <v>67</v>
      </c>
      <c r="C1115" t="s">
        <v>56</v>
      </c>
      <c r="D1115" t="s">
        <v>57</v>
      </c>
      <c r="E1115">
        <v>22</v>
      </c>
      <c r="F1115" s="3">
        <v>8.48</v>
      </c>
      <c r="G1115" s="4">
        <v>80.599999999999994</v>
      </c>
      <c r="H1115">
        <v>1</v>
      </c>
      <c r="I1115">
        <v>2</v>
      </c>
      <c r="J1115">
        <v>3</v>
      </c>
      <c r="K1115" s="4">
        <v>78.7</v>
      </c>
      <c r="L1115" s="4">
        <v>78.599999999999994</v>
      </c>
      <c r="M1115" s="4">
        <v>73.099999999999994</v>
      </c>
      <c r="N1115">
        <v>0</v>
      </c>
      <c r="O1115" t="s">
        <v>58</v>
      </c>
      <c r="P1115" t="s">
        <v>95</v>
      </c>
      <c r="Q1115" t="s">
        <v>93</v>
      </c>
      <c r="R1115" t="s">
        <v>109</v>
      </c>
      <c r="S1115" s="3">
        <v>7.79</v>
      </c>
      <c r="T1115" s="5">
        <v>45228</v>
      </c>
      <c r="U1115">
        <v>2</v>
      </c>
      <c r="V1115">
        <v>2023</v>
      </c>
      <c r="X1115">
        <f t="shared" si="51"/>
        <v>8.4798885000000013</v>
      </c>
      <c r="Y1115">
        <f t="shared" si="52"/>
        <v>7.7898885</v>
      </c>
      <c r="Z1115">
        <f t="shared" si="53"/>
        <v>78.599888499999992</v>
      </c>
    </row>
    <row r="1116" spans="1:26" x14ac:dyDescent="0.3">
      <c r="A1116" t="s">
        <v>1206</v>
      </c>
      <c r="B1116" t="s">
        <v>67</v>
      </c>
      <c r="C1116" t="s">
        <v>68</v>
      </c>
      <c r="D1116" t="s">
        <v>57</v>
      </c>
      <c r="E1116">
        <v>20</v>
      </c>
      <c r="F1116" s="3">
        <v>7.5</v>
      </c>
      <c r="G1116" s="4">
        <v>67.099999999999994</v>
      </c>
      <c r="H1116">
        <v>3</v>
      </c>
      <c r="I1116">
        <v>3</v>
      </c>
      <c r="J1116">
        <v>5</v>
      </c>
      <c r="K1116" s="4">
        <v>45.6</v>
      </c>
      <c r="L1116" s="4">
        <v>76</v>
      </c>
      <c r="M1116" s="4">
        <v>68</v>
      </c>
      <c r="N1116">
        <v>0</v>
      </c>
      <c r="O1116" t="s">
        <v>58</v>
      </c>
      <c r="P1116" t="s">
        <v>95</v>
      </c>
      <c r="Q1116" t="s">
        <v>93</v>
      </c>
      <c r="R1116" t="s">
        <v>72</v>
      </c>
      <c r="S1116" s="3">
        <v>7.91</v>
      </c>
      <c r="T1116" s="5">
        <v>45168</v>
      </c>
      <c r="U1116">
        <v>1</v>
      </c>
      <c r="V1116">
        <v>2023</v>
      </c>
      <c r="X1116">
        <f t="shared" si="51"/>
        <v>7.4998883999999997</v>
      </c>
      <c r="Y1116">
        <f t="shared" si="52"/>
        <v>7.9098883999999998</v>
      </c>
      <c r="Z1116">
        <f t="shared" si="53"/>
        <v>75.999888400000003</v>
      </c>
    </row>
    <row r="1117" spans="1:26" x14ac:dyDescent="0.3">
      <c r="A1117" t="s">
        <v>1207</v>
      </c>
      <c r="B1117" t="s">
        <v>55</v>
      </c>
      <c r="C1117" t="s">
        <v>78</v>
      </c>
      <c r="D1117" t="s">
        <v>57</v>
      </c>
      <c r="E1117">
        <v>21</v>
      </c>
      <c r="F1117" s="3">
        <v>7.89</v>
      </c>
      <c r="G1117" s="4">
        <v>85.7</v>
      </c>
      <c r="H1117">
        <v>1</v>
      </c>
      <c r="I1117">
        <v>3</v>
      </c>
      <c r="J1117">
        <v>4</v>
      </c>
      <c r="K1117" s="4">
        <v>62.8</v>
      </c>
      <c r="L1117" s="4">
        <v>98.1</v>
      </c>
      <c r="M1117" s="4">
        <v>87.2</v>
      </c>
      <c r="N1117">
        <v>0</v>
      </c>
      <c r="O1117" t="s">
        <v>58</v>
      </c>
      <c r="P1117" t="s">
        <v>87</v>
      </c>
      <c r="Q1117" t="s">
        <v>71</v>
      </c>
      <c r="R1117" t="s">
        <v>109</v>
      </c>
      <c r="S1117" s="3">
        <v>7.61</v>
      </c>
      <c r="T1117" s="5">
        <v>45560</v>
      </c>
      <c r="U1117">
        <v>1</v>
      </c>
      <c r="V1117">
        <v>2024</v>
      </c>
      <c r="X1117">
        <f t="shared" si="51"/>
        <v>7.8898883</v>
      </c>
      <c r="Y1117">
        <f t="shared" si="52"/>
        <v>7.6098883000000006</v>
      </c>
      <c r="Z1117">
        <f t="shared" si="53"/>
        <v>98.099888299999989</v>
      </c>
    </row>
    <row r="1118" spans="1:26" x14ac:dyDescent="0.3">
      <c r="A1118" t="s">
        <v>1208</v>
      </c>
      <c r="B1118" t="s">
        <v>55</v>
      </c>
      <c r="C1118" t="s">
        <v>56</v>
      </c>
      <c r="D1118" t="s">
        <v>69</v>
      </c>
      <c r="E1118">
        <v>20</v>
      </c>
      <c r="F1118" s="3">
        <v>6.35</v>
      </c>
      <c r="G1118" s="4">
        <v>79.099999999999994</v>
      </c>
      <c r="H1118">
        <v>2</v>
      </c>
      <c r="I1118">
        <v>2</v>
      </c>
      <c r="J1118">
        <v>3</v>
      </c>
      <c r="K1118" s="4">
        <v>82.5</v>
      </c>
      <c r="L1118" s="4">
        <v>79</v>
      </c>
      <c r="M1118" s="4">
        <v>86.3</v>
      </c>
      <c r="N1118">
        <v>0</v>
      </c>
      <c r="O1118" t="s">
        <v>64</v>
      </c>
      <c r="P1118" t="s">
        <v>65</v>
      </c>
      <c r="S1118" s="3">
        <v>0</v>
      </c>
      <c r="T1118" s="5"/>
      <c r="U1118">
        <v>0</v>
      </c>
      <c r="V1118">
        <v>2024</v>
      </c>
      <c r="X1118">
        <f t="shared" si="51"/>
        <v>6.3498881999999996</v>
      </c>
      <c r="Y1118">
        <f t="shared" si="52"/>
        <v>-1.1179999999999999E-4</v>
      </c>
      <c r="Z1118">
        <f t="shared" si="53"/>
        <v>78.999888200000001</v>
      </c>
    </row>
    <row r="1119" spans="1:26" x14ac:dyDescent="0.3">
      <c r="A1119" t="s">
        <v>1209</v>
      </c>
      <c r="B1119" t="s">
        <v>63</v>
      </c>
      <c r="C1119" t="s">
        <v>74</v>
      </c>
      <c r="D1119" t="s">
        <v>69</v>
      </c>
      <c r="E1119">
        <v>20</v>
      </c>
      <c r="F1119" s="3">
        <v>9.1300000000000008</v>
      </c>
      <c r="G1119" s="4">
        <v>73.7</v>
      </c>
      <c r="H1119">
        <v>1</v>
      </c>
      <c r="I1119">
        <v>2</v>
      </c>
      <c r="J1119">
        <v>4</v>
      </c>
      <c r="K1119" s="4">
        <v>84.2</v>
      </c>
      <c r="L1119" s="4">
        <v>71</v>
      </c>
      <c r="M1119" s="4">
        <v>77.2</v>
      </c>
      <c r="N1119">
        <v>2</v>
      </c>
      <c r="O1119" t="s">
        <v>58</v>
      </c>
      <c r="P1119" t="s">
        <v>70</v>
      </c>
      <c r="Q1119" t="s">
        <v>71</v>
      </c>
      <c r="R1119" t="s">
        <v>85</v>
      </c>
      <c r="S1119" s="3">
        <v>6.96</v>
      </c>
      <c r="T1119" s="5">
        <v>45894</v>
      </c>
      <c r="U1119">
        <v>1</v>
      </c>
      <c r="V1119">
        <v>2025</v>
      </c>
      <c r="X1119">
        <f t="shared" si="51"/>
        <v>9.1298881000000005</v>
      </c>
      <c r="Y1119">
        <f t="shared" si="52"/>
        <v>6.9598880999999997</v>
      </c>
      <c r="Z1119">
        <f t="shared" si="53"/>
        <v>70.999888100000007</v>
      </c>
    </row>
    <row r="1120" spans="1:26" x14ac:dyDescent="0.3">
      <c r="A1120" t="s">
        <v>1210</v>
      </c>
      <c r="B1120" t="s">
        <v>63</v>
      </c>
      <c r="C1120" t="s">
        <v>84</v>
      </c>
      <c r="D1120" t="s">
        <v>57</v>
      </c>
      <c r="E1120">
        <v>21</v>
      </c>
      <c r="F1120" s="3">
        <v>8.27</v>
      </c>
      <c r="G1120" s="4">
        <v>58.2</v>
      </c>
      <c r="H1120">
        <v>3</v>
      </c>
      <c r="I1120">
        <v>1</v>
      </c>
      <c r="J1120">
        <v>2</v>
      </c>
      <c r="K1120" s="4">
        <v>63.7</v>
      </c>
      <c r="L1120" s="4">
        <v>75</v>
      </c>
      <c r="M1120" s="4">
        <v>66.2</v>
      </c>
      <c r="N1120">
        <v>0</v>
      </c>
      <c r="O1120" t="s">
        <v>58</v>
      </c>
      <c r="P1120" t="s">
        <v>59</v>
      </c>
      <c r="Q1120" t="s">
        <v>60</v>
      </c>
      <c r="R1120" t="s">
        <v>109</v>
      </c>
      <c r="S1120" s="3">
        <v>20.5</v>
      </c>
      <c r="T1120" s="5">
        <v>45973</v>
      </c>
      <c r="U1120">
        <v>3</v>
      </c>
      <c r="V1120">
        <v>2025</v>
      </c>
      <c r="X1120">
        <f t="shared" si="51"/>
        <v>8.2698879999999999</v>
      </c>
      <c r="Y1120">
        <f t="shared" si="52"/>
        <v>20.499887999999999</v>
      </c>
      <c r="Z1120">
        <f t="shared" si="53"/>
        <v>74.999887999999999</v>
      </c>
    </row>
    <row r="1121" spans="1:26" x14ac:dyDescent="0.3">
      <c r="A1121" t="s">
        <v>1211</v>
      </c>
      <c r="B1121" t="s">
        <v>82</v>
      </c>
      <c r="C1121" t="s">
        <v>74</v>
      </c>
      <c r="D1121" t="s">
        <v>69</v>
      </c>
      <c r="E1121">
        <v>21</v>
      </c>
      <c r="F1121" s="3">
        <v>5.98</v>
      </c>
      <c r="G1121" s="4">
        <v>74</v>
      </c>
      <c r="H1121">
        <v>2</v>
      </c>
      <c r="I1121">
        <v>4</v>
      </c>
      <c r="J1121">
        <v>3</v>
      </c>
      <c r="K1121" s="4">
        <v>40</v>
      </c>
      <c r="L1121" s="4">
        <v>82.7</v>
      </c>
      <c r="M1121" s="4">
        <v>73.7</v>
      </c>
      <c r="N1121">
        <v>0</v>
      </c>
      <c r="O1121" t="s">
        <v>58</v>
      </c>
      <c r="P1121" t="s">
        <v>79</v>
      </c>
      <c r="Q1121" t="s">
        <v>71</v>
      </c>
      <c r="R1121" t="s">
        <v>61</v>
      </c>
      <c r="S1121" s="3">
        <v>5.69</v>
      </c>
      <c r="T1121" s="5">
        <v>44841</v>
      </c>
      <c r="U1121">
        <v>1</v>
      </c>
      <c r="V1121">
        <v>2022</v>
      </c>
      <c r="X1121">
        <f t="shared" si="51"/>
        <v>5.9798879000000005</v>
      </c>
      <c r="Y1121">
        <f t="shared" si="52"/>
        <v>5.6898879000000004</v>
      </c>
      <c r="Z1121">
        <f t="shared" si="53"/>
        <v>82.699887900000007</v>
      </c>
    </row>
    <row r="1122" spans="1:26" x14ac:dyDescent="0.3">
      <c r="A1122" t="s">
        <v>1212</v>
      </c>
      <c r="B1122" t="s">
        <v>82</v>
      </c>
      <c r="C1122" t="s">
        <v>74</v>
      </c>
      <c r="D1122" t="s">
        <v>69</v>
      </c>
      <c r="E1122">
        <v>23</v>
      </c>
      <c r="F1122" s="3">
        <v>7.87</v>
      </c>
      <c r="G1122" s="4">
        <v>88</v>
      </c>
      <c r="H1122">
        <v>0</v>
      </c>
      <c r="I1122">
        <v>2</v>
      </c>
      <c r="J1122">
        <v>6</v>
      </c>
      <c r="K1122" s="4">
        <v>82.7</v>
      </c>
      <c r="L1122" s="4">
        <v>96.1</v>
      </c>
      <c r="M1122" s="4">
        <v>74.5</v>
      </c>
      <c r="N1122">
        <v>0</v>
      </c>
      <c r="O1122" t="s">
        <v>58</v>
      </c>
      <c r="P1122" t="s">
        <v>112</v>
      </c>
      <c r="Q1122" t="s">
        <v>93</v>
      </c>
      <c r="R1122" t="s">
        <v>61</v>
      </c>
      <c r="S1122" s="3">
        <v>7.3</v>
      </c>
      <c r="T1122" s="5">
        <v>44820</v>
      </c>
      <c r="U1122">
        <v>1</v>
      </c>
      <c r="V1122">
        <v>2022</v>
      </c>
      <c r="X1122">
        <f t="shared" si="51"/>
        <v>7.8698877999999999</v>
      </c>
      <c r="Y1122">
        <f t="shared" si="52"/>
        <v>7.2998877999999996</v>
      </c>
      <c r="Z1122">
        <f t="shared" si="53"/>
        <v>96.099887799999991</v>
      </c>
    </row>
    <row r="1123" spans="1:26" x14ac:dyDescent="0.3">
      <c r="A1123" t="s">
        <v>1213</v>
      </c>
      <c r="B1123" t="s">
        <v>107</v>
      </c>
      <c r="C1123" t="s">
        <v>101</v>
      </c>
      <c r="D1123" t="s">
        <v>57</v>
      </c>
      <c r="E1123">
        <v>20</v>
      </c>
      <c r="F1123" s="3">
        <v>7.94</v>
      </c>
      <c r="G1123" s="4">
        <v>96</v>
      </c>
      <c r="H1123">
        <v>1</v>
      </c>
      <c r="I1123">
        <v>3</v>
      </c>
      <c r="J1123">
        <v>3</v>
      </c>
      <c r="K1123" s="4">
        <v>55.1</v>
      </c>
      <c r="L1123" s="4">
        <v>66.400000000000006</v>
      </c>
      <c r="M1123" s="4">
        <v>85.1</v>
      </c>
      <c r="N1123">
        <v>0</v>
      </c>
      <c r="O1123" t="s">
        <v>58</v>
      </c>
      <c r="P1123" t="s">
        <v>104</v>
      </c>
      <c r="Q1123" t="s">
        <v>105</v>
      </c>
      <c r="R1123" t="s">
        <v>109</v>
      </c>
      <c r="S1123" s="3">
        <v>15.32</v>
      </c>
      <c r="T1123" s="5">
        <v>44436</v>
      </c>
      <c r="U1123">
        <v>1</v>
      </c>
      <c r="V1123">
        <v>2021</v>
      </c>
      <c r="X1123">
        <f t="shared" si="51"/>
        <v>7.9398877000000008</v>
      </c>
      <c r="Y1123">
        <f t="shared" si="52"/>
        <v>15.319887700000001</v>
      </c>
      <c r="Z1123">
        <f t="shared" si="53"/>
        <v>66.399887700000008</v>
      </c>
    </row>
    <row r="1124" spans="1:26" x14ac:dyDescent="0.3">
      <c r="A1124" t="s">
        <v>1214</v>
      </c>
      <c r="B1124" t="s">
        <v>63</v>
      </c>
      <c r="C1124" t="s">
        <v>56</v>
      </c>
      <c r="D1124" t="s">
        <v>69</v>
      </c>
      <c r="E1124">
        <v>21</v>
      </c>
      <c r="F1124" s="3">
        <v>6.95</v>
      </c>
      <c r="G1124" s="4">
        <v>80</v>
      </c>
      <c r="H1124">
        <v>2</v>
      </c>
      <c r="I1124">
        <v>2</v>
      </c>
      <c r="J1124">
        <v>4</v>
      </c>
      <c r="K1124" s="4">
        <v>75.5</v>
      </c>
      <c r="L1124" s="4">
        <v>72.7</v>
      </c>
      <c r="M1124" s="4">
        <v>70.3</v>
      </c>
      <c r="N1124">
        <v>1</v>
      </c>
      <c r="O1124" t="s">
        <v>58</v>
      </c>
      <c r="P1124" t="s">
        <v>104</v>
      </c>
      <c r="Q1124" t="s">
        <v>105</v>
      </c>
      <c r="R1124" t="s">
        <v>85</v>
      </c>
      <c r="S1124" s="3">
        <v>15.02</v>
      </c>
      <c r="T1124" s="5">
        <v>45987</v>
      </c>
      <c r="U1124">
        <v>1</v>
      </c>
      <c r="V1124">
        <v>2025</v>
      </c>
      <c r="X1124">
        <f t="shared" si="51"/>
        <v>6.9498876000000003</v>
      </c>
      <c r="Y1124">
        <f t="shared" si="52"/>
        <v>15.019887599999999</v>
      </c>
      <c r="Z1124">
        <f t="shared" si="53"/>
        <v>72.699887599999997</v>
      </c>
    </row>
    <row r="1125" spans="1:26" x14ac:dyDescent="0.3">
      <c r="A1125" t="s">
        <v>1215</v>
      </c>
      <c r="B1125" t="s">
        <v>67</v>
      </c>
      <c r="C1125" t="s">
        <v>68</v>
      </c>
      <c r="D1125" t="s">
        <v>57</v>
      </c>
      <c r="E1125">
        <v>21</v>
      </c>
      <c r="F1125" s="3">
        <v>7.74</v>
      </c>
      <c r="G1125" s="4">
        <v>81.099999999999994</v>
      </c>
      <c r="H1125">
        <v>2</v>
      </c>
      <c r="I1125">
        <v>1</v>
      </c>
      <c r="J1125">
        <v>3</v>
      </c>
      <c r="K1125" s="4">
        <v>55.4</v>
      </c>
      <c r="L1125" s="4">
        <v>100</v>
      </c>
      <c r="M1125" s="4">
        <v>74.3</v>
      </c>
      <c r="N1125">
        <v>0</v>
      </c>
      <c r="O1125" t="s">
        <v>58</v>
      </c>
      <c r="P1125" t="s">
        <v>79</v>
      </c>
      <c r="Q1125" t="s">
        <v>71</v>
      </c>
      <c r="R1125" t="s">
        <v>76</v>
      </c>
      <c r="S1125" s="3">
        <v>7.29</v>
      </c>
      <c r="T1125" s="5">
        <v>45175</v>
      </c>
      <c r="U1125">
        <v>1</v>
      </c>
      <c r="V1125">
        <v>2023</v>
      </c>
      <c r="X1125">
        <f t="shared" si="51"/>
        <v>7.7398875</v>
      </c>
      <c r="Y1125">
        <f t="shared" si="52"/>
        <v>7.2898874999999999</v>
      </c>
      <c r="Z1125">
        <f t="shared" si="53"/>
        <v>99.9998875</v>
      </c>
    </row>
    <row r="1126" spans="1:26" x14ac:dyDescent="0.3">
      <c r="A1126" t="s">
        <v>1216</v>
      </c>
      <c r="B1126" t="s">
        <v>63</v>
      </c>
      <c r="C1126" t="s">
        <v>74</v>
      </c>
      <c r="D1126" t="s">
        <v>69</v>
      </c>
      <c r="E1126">
        <v>23</v>
      </c>
      <c r="F1126" s="3">
        <v>6.86</v>
      </c>
      <c r="G1126" s="4">
        <v>75.900000000000006</v>
      </c>
      <c r="H1126">
        <v>3</v>
      </c>
      <c r="I1126">
        <v>5</v>
      </c>
      <c r="J1126">
        <v>6</v>
      </c>
      <c r="K1126" s="4">
        <v>69.400000000000006</v>
      </c>
      <c r="L1126" s="4">
        <v>69.3</v>
      </c>
      <c r="M1126" s="4">
        <v>76.2</v>
      </c>
      <c r="N1126">
        <v>2</v>
      </c>
      <c r="O1126" t="s">
        <v>58</v>
      </c>
      <c r="P1126" t="s">
        <v>70</v>
      </c>
      <c r="Q1126" t="s">
        <v>71</v>
      </c>
      <c r="R1126" t="s">
        <v>76</v>
      </c>
      <c r="S1126" s="3">
        <v>6.59</v>
      </c>
      <c r="T1126" s="5">
        <v>45943</v>
      </c>
      <c r="U1126">
        <v>1</v>
      </c>
      <c r="V1126">
        <v>2025</v>
      </c>
      <c r="X1126">
        <f t="shared" si="51"/>
        <v>6.8598874000000007</v>
      </c>
      <c r="Y1126">
        <f t="shared" si="52"/>
        <v>6.5898874000000003</v>
      </c>
      <c r="Z1126">
        <f t="shared" si="53"/>
        <v>69.299887400000003</v>
      </c>
    </row>
    <row r="1127" spans="1:26" x14ac:dyDescent="0.3">
      <c r="A1127" t="s">
        <v>1217</v>
      </c>
      <c r="B1127" t="s">
        <v>67</v>
      </c>
      <c r="C1127" t="s">
        <v>74</v>
      </c>
      <c r="D1127" t="s">
        <v>57</v>
      </c>
      <c r="E1127">
        <v>22</v>
      </c>
      <c r="F1127" s="3">
        <v>6.39</v>
      </c>
      <c r="G1127" s="4">
        <v>93.1</v>
      </c>
      <c r="H1127">
        <v>1</v>
      </c>
      <c r="I1127">
        <v>1</v>
      </c>
      <c r="J1127">
        <v>3</v>
      </c>
      <c r="K1127" s="4">
        <v>72.3</v>
      </c>
      <c r="L1127" s="4">
        <v>68.599999999999994</v>
      </c>
      <c r="M1127" s="4">
        <v>70.8</v>
      </c>
      <c r="N1127">
        <v>0</v>
      </c>
      <c r="O1127" t="s">
        <v>58</v>
      </c>
      <c r="P1127" t="s">
        <v>70</v>
      </c>
      <c r="Q1127" t="s">
        <v>71</v>
      </c>
      <c r="R1127" t="s">
        <v>130</v>
      </c>
      <c r="S1127" s="3">
        <v>4.8600000000000003</v>
      </c>
      <c r="T1127" s="5">
        <v>45211</v>
      </c>
      <c r="U1127">
        <v>2</v>
      </c>
      <c r="V1127">
        <v>2023</v>
      </c>
      <c r="X1127">
        <f t="shared" si="51"/>
        <v>6.3898872999999998</v>
      </c>
      <c r="Y1127">
        <f t="shared" si="52"/>
        <v>4.8598873000000005</v>
      </c>
      <c r="Z1127">
        <f t="shared" si="53"/>
        <v>68.599887299999992</v>
      </c>
    </row>
    <row r="1128" spans="1:26" x14ac:dyDescent="0.3">
      <c r="A1128" t="s">
        <v>1218</v>
      </c>
      <c r="B1128" t="s">
        <v>55</v>
      </c>
      <c r="C1128" t="s">
        <v>74</v>
      </c>
      <c r="D1128" t="s">
        <v>57</v>
      </c>
      <c r="E1128">
        <v>21</v>
      </c>
      <c r="F1128" s="3">
        <v>7.1</v>
      </c>
      <c r="G1128" s="4">
        <v>79.8</v>
      </c>
      <c r="H1128">
        <v>1</v>
      </c>
      <c r="I1128">
        <v>4</v>
      </c>
      <c r="J1128">
        <v>3</v>
      </c>
      <c r="K1128" s="4">
        <v>86</v>
      </c>
      <c r="L1128" s="4">
        <v>57.4</v>
      </c>
      <c r="M1128" s="4">
        <v>77.099999999999994</v>
      </c>
      <c r="N1128">
        <v>0</v>
      </c>
      <c r="O1128" t="s">
        <v>58</v>
      </c>
      <c r="P1128" t="s">
        <v>70</v>
      </c>
      <c r="Q1128" t="s">
        <v>71</v>
      </c>
      <c r="R1128" t="s">
        <v>76</v>
      </c>
      <c r="S1128" s="3">
        <v>4</v>
      </c>
      <c r="T1128" s="5">
        <v>45540</v>
      </c>
      <c r="U1128">
        <v>2</v>
      </c>
      <c r="V1128">
        <v>2024</v>
      </c>
      <c r="X1128">
        <f t="shared" si="51"/>
        <v>7.0998871999999995</v>
      </c>
      <c r="Y1128">
        <f t="shared" si="52"/>
        <v>3.9998871999999999</v>
      </c>
      <c r="Z1128">
        <f t="shared" si="53"/>
        <v>57.399887200000002</v>
      </c>
    </row>
    <row r="1129" spans="1:26" x14ac:dyDescent="0.3">
      <c r="A1129" t="s">
        <v>1219</v>
      </c>
      <c r="B1129" t="s">
        <v>63</v>
      </c>
      <c r="C1129" t="s">
        <v>56</v>
      </c>
      <c r="D1129" t="s">
        <v>69</v>
      </c>
      <c r="E1129">
        <v>21</v>
      </c>
      <c r="F1129" s="3">
        <v>7.8</v>
      </c>
      <c r="G1129" s="4">
        <v>90</v>
      </c>
      <c r="H1129">
        <v>1</v>
      </c>
      <c r="I1129">
        <v>1</v>
      </c>
      <c r="J1129">
        <v>4</v>
      </c>
      <c r="K1129" s="4">
        <v>48.3</v>
      </c>
      <c r="L1129" s="4">
        <v>71.3</v>
      </c>
      <c r="M1129" s="4">
        <v>75.3</v>
      </c>
      <c r="N1129">
        <v>1</v>
      </c>
      <c r="O1129" t="s">
        <v>64</v>
      </c>
      <c r="P1129" t="s">
        <v>65</v>
      </c>
      <c r="S1129" s="3">
        <v>0</v>
      </c>
      <c r="T1129" s="5"/>
      <c r="U1129">
        <v>0</v>
      </c>
      <c r="V1129">
        <v>2025</v>
      </c>
      <c r="X1129">
        <f t="shared" si="51"/>
        <v>7.7998870999999994</v>
      </c>
      <c r="Y1129">
        <f t="shared" si="52"/>
        <v>-1.1289999999999999E-4</v>
      </c>
      <c r="Z1129">
        <f t="shared" si="53"/>
        <v>71.299887099999992</v>
      </c>
    </row>
    <row r="1130" spans="1:26" x14ac:dyDescent="0.3">
      <c r="A1130" t="s">
        <v>1220</v>
      </c>
      <c r="B1130" t="s">
        <v>55</v>
      </c>
      <c r="C1130" t="s">
        <v>74</v>
      </c>
      <c r="D1130" t="s">
        <v>57</v>
      </c>
      <c r="E1130">
        <v>20</v>
      </c>
      <c r="F1130" s="3">
        <v>8.49</v>
      </c>
      <c r="G1130" s="4">
        <v>84.2</v>
      </c>
      <c r="H1130">
        <v>1</v>
      </c>
      <c r="I1130">
        <v>1</v>
      </c>
      <c r="J1130">
        <v>4</v>
      </c>
      <c r="K1130" s="4">
        <v>55.7</v>
      </c>
      <c r="L1130" s="4">
        <v>68.900000000000006</v>
      </c>
      <c r="M1130" s="4">
        <v>64.2</v>
      </c>
      <c r="N1130">
        <v>0</v>
      </c>
      <c r="O1130" t="s">
        <v>58</v>
      </c>
      <c r="P1130" t="s">
        <v>95</v>
      </c>
      <c r="Q1130" t="s">
        <v>93</v>
      </c>
      <c r="R1130" t="s">
        <v>61</v>
      </c>
      <c r="S1130" s="3">
        <v>6.28</v>
      </c>
      <c r="T1130" s="5">
        <v>45598</v>
      </c>
      <c r="U1130">
        <v>1</v>
      </c>
      <c r="V1130">
        <v>2024</v>
      </c>
      <c r="X1130">
        <f t="shared" si="51"/>
        <v>8.4898869999999995</v>
      </c>
      <c r="Y1130">
        <f t="shared" si="52"/>
        <v>6.2798870000000004</v>
      </c>
      <c r="Z1130">
        <f t="shared" si="53"/>
        <v>68.899887000000007</v>
      </c>
    </row>
    <row r="1131" spans="1:26" x14ac:dyDescent="0.3">
      <c r="A1131" t="s">
        <v>1221</v>
      </c>
      <c r="B1131" t="s">
        <v>82</v>
      </c>
      <c r="C1131" t="s">
        <v>56</v>
      </c>
      <c r="D1131" t="s">
        <v>57</v>
      </c>
      <c r="E1131">
        <v>23</v>
      </c>
      <c r="F1131" s="3">
        <v>7.71</v>
      </c>
      <c r="G1131" s="4">
        <v>83.1</v>
      </c>
      <c r="H1131">
        <v>1</v>
      </c>
      <c r="I1131">
        <v>2</v>
      </c>
      <c r="J1131">
        <v>4</v>
      </c>
      <c r="K1131" s="4">
        <v>90.6</v>
      </c>
      <c r="L1131" s="4">
        <v>75.900000000000006</v>
      </c>
      <c r="M1131" s="4">
        <v>67.3</v>
      </c>
      <c r="N1131">
        <v>0</v>
      </c>
      <c r="O1131" t="s">
        <v>64</v>
      </c>
      <c r="P1131" t="s">
        <v>65</v>
      </c>
      <c r="S1131" s="3">
        <v>0</v>
      </c>
      <c r="T1131" s="5"/>
      <c r="U1131">
        <v>0</v>
      </c>
      <c r="V1131">
        <v>2022</v>
      </c>
      <c r="X1131">
        <f t="shared" si="51"/>
        <v>7.7098868999999999</v>
      </c>
      <c r="Y1131">
        <f t="shared" si="52"/>
        <v>-1.131E-4</v>
      </c>
      <c r="Z1131">
        <f t="shared" si="53"/>
        <v>75.899886900000013</v>
      </c>
    </row>
    <row r="1132" spans="1:26" x14ac:dyDescent="0.3">
      <c r="A1132" t="s">
        <v>1222</v>
      </c>
      <c r="B1132" t="s">
        <v>82</v>
      </c>
      <c r="C1132" t="s">
        <v>101</v>
      </c>
      <c r="D1132" t="s">
        <v>69</v>
      </c>
      <c r="E1132">
        <v>20</v>
      </c>
      <c r="F1132" s="3">
        <v>8.49</v>
      </c>
      <c r="G1132" s="4">
        <v>72.8</v>
      </c>
      <c r="H1132">
        <v>1</v>
      </c>
      <c r="I1132">
        <v>4</v>
      </c>
      <c r="J1132">
        <v>4</v>
      </c>
      <c r="K1132" s="4">
        <v>71.2</v>
      </c>
      <c r="L1132" s="4">
        <v>74.099999999999994</v>
      </c>
      <c r="M1132" s="4">
        <v>57.1</v>
      </c>
      <c r="N1132">
        <v>0</v>
      </c>
      <c r="O1132" t="s">
        <v>58</v>
      </c>
      <c r="P1132" t="s">
        <v>59</v>
      </c>
      <c r="Q1132" t="s">
        <v>60</v>
      </c>
      <c r="R1132" t="s">
        <v>130</v>
      </c>
      <c r="S1132" s="3">
        <v>19.18</v>
      </c>
      <c r="T1132" s="5">
        <v>44798</v>
      </c>
      <c r="U1132">
        <v>1</v>
      </c>
      <c r="V1132">
        <v>2022</v>
      </c>
      <c r="X1132">
        <f t="shared" si="51"/>
        <v>8.4898868000000007</v>
      </c>
      <c r="Y1132">
        <f t="shared" si="52"/>
        <v>19.179886799999998</v>
      </c>
      <c r="Z1132">
        <f t="shared" si="53"/>
        <v>74.099886799999993</v>
      </c>
    </row>
    <row r="1133" spans="1:26" x14ac:dyDescent="0.3">
      <c r="A1133" t="s">
        <v>1223</v>
      </c>
      <c r="B1133" t="s">
        <v>107</v>
      </c>
      <c r="C1133" t="s">
        <v>74</v>
      </c>
      <c r="D1133" t="s">
        <v>57</v>
      </c>
      <c r="E1133">
        <v>22</v>
      </c>
      <c r="F1133" s="3">
        <v>8.23</v>
      </c>
      <c r="G1133" s="4">
        <v>98</v>
      </c>
      <c r="H1133">
        <v>1</v>
      </c>
      <c r="I1133">
        <v>4</v>
      </c>
      <c r="J1133">
        <v>3</v>
      </c>
      <c r="K1133" s="4">
        <v>56</v>
      </c>
      <c r="L1133" s="4">
        <v>40.4</v>
      </c>
      <c r="M1133" s="4">
        <v>65.099999999999994</v>
      </c>
      <c r="N1133">
        <v>0</v>
      </c>
      <c r="O1133" t="s">
        <v>58</v>
      </c>
      <c r="P1133" t="s">
        <v>70</v>
      </c>
      <c r="Q1133" t="s">
        <v>71</v>
      </c>
      <c r="R1133" t="s">
        <v>130</v>
      </c>
      <c r="S1133" s="3">
        <v>6.67</v>
      </c>
      <c r="T1133" s="5">
        <v>44483</v>
      </c>
      <c r="U1133">
        <v>1</v>
      </c>
      <c r="V1133">
        <v>2021</v>
      </c>
      <c r="X1133">
        <f t="shared" si="51"/>
        <v>8.2298866999999998</v>
      </c>
      <c r="Y1133">
        <f t="shared" si="52"/>
        <v>6.6698867000000002</v>
      </c>
      <c r="Z1133">
        <f t="shared" si="53"/>
        <v>40.399886699999996</v>
      </c>
    </row>
    <row r="1134" spans="1:26" x14ac:dyDescent="0.3">
      <c r="A1134" t="s">
        <v>1224</v>
      </c>
      <c r="B1134" t="s">
        <v>63</v>
      </c>
      <c r="C1134" t="s">
        <v>68</v>
      </c>
      <c r="D1134" t="s">
        <v>69</v>
      </c>
      <c r="E1134">
        <v>23</v>
      </c>
      <c r="F1134" s="3">
        <v>6.72</v>
      </c>
      <c r="G1134" s="4">
        <v>95.2</v>
      </c>
      <c r="H1134">
        <v>1</v>
      </c>
      <c r="I1134">
        <v>3</v>
      </c>
      <c r="J1134">
        <v>3</v>
      </c>
      <c r="K1134" s="4">
        <v>78.099999999999994</v>
      </c>
      <c r="L1134" s="4">
        <v>50.4</v>
      </c>
      <c r="M1134" s="4">
        <v>91.1</v>
      </c>
      <c r="N1134">
        <v>0</v>
      </c>
      <c r="O1134" t="s">
        <v>58</v>
      </c>
      <c r="P1134" t="s">
        <v>104</v>
      </c>
      <c r="Q1134" t="s">
        <v>105</v>
      </c>
      <c r="R1134" t="s">
        <v>109</v>
      </c>
      <c r="S1134" s="3">
        <v>14.28</v>
      </c>
      <c r="T1134" s="5">
        <v>45910</v>
      </c>
      <c r="U1134">
        <v>2</v>
      </c>
      <c r="V1134">
        <v>2025</v>
      </c>
      <c r="X1134">
        <f t="shared" si="51"/>
        <v>6.7198865999999997</v>
      </c>
      <c r="Y1134">
        <f t="shared" si="52"/>
        <v>14.279886599999999</v>
      </c>
      <c r="Z1134">
        <f t="shared" si="53"/>
        <v>50.399886600000002</v>
      </c>
    </row>
    <row r="1135" spans="1:26" x14ac:dyDescent="0.3">
      <c r="A1135" t="s">
        <v>1225</v>
      </c>
      <c r="B1135" t="s">
        <v>55</v>
      </c>
      <c r="C1135" t="s">
        <v>84</v>
      </c>
      <c r="D1135" t="s">
        <v>69</v>
      </c>
      <c r="E1135">
        <v>20</v>
      </c>
      <c r="F1135" s="3">
        <v>8.23</v>
      </c>
      <c r="G1135" s="4">
        <v>100</v>
      </c>
      <c r="H1135">
        <v>0</v>
      </c>
      <c r="I1135">
        <v>1</v>
      </c>
      <c r="J1135">
        <v>4</v>
      </c>
      <c r="K1135" s="4">
        <v>54</v>
      </c>
      <c r="L1135" s="4">
        <v>67.599999999999994</v>
      </c>
      <c r="M1135" s="4">
        <v>81.900000000000006</v>
      </c>
      <c r="N1135">
        <v>0</v>
      </c>
      <c r="O1135" t="s">
        <v>58</v>
      </c>
      <c r="P1135" t="s">
        <v>90</v>
      </c>
      <c r="Q1135" t="s">
        <v>60</v>
      </c>
      <c r="R1135" t="s">
        <v>109</v>
      </c>
      <c r="S1135" s="3">
        <v>7.79</v>
      </c>
      <c r="T1135" s="5">
        <v>45559</v>
      </c>
      <c r="U1135">
        <v>1</v>
      </c>
      <c r="V1135">
        <v>2024</v>
      </c>
      <c r="X1135">
        <f t="shared" si="51"/>
        <v>8.229886500000001</v>
      </c>
      <c r="Y1135">
        <f t="shared" si="52"/>
        <v>7.7898864999999997</v>
      </c>
      <c r="Z1135">
        <f t="shared" si="53"/>
        <v>67.599886499999997</v>
      </c>
    </row>
    <row r="1136" spans="1:26" x14ac:dyDescent="0.3">
      <c r="A1136" t="s">
        <v>1226</v>
      </c>
      <c r="B1136" t="s">
        <v>67</v>
      </c>
      <c r="C1136" t="s">
        <v>89</v>
      </c>
      <c r="D1136" t="s">
        <v>57</v>
      </c>
      <c r="E1136">
        <v>21</v>
      </c>
      <c r="F1136" s="3">
        <v>8.25</v>
      </c>
      <c r="G1136" s="4">
        <v>72.099999999999994</v>
      </c>
      <c r="H1136">
        <v>2</v>
      </c>
      <c r="I1136">
        <v>0</v>
      </c>
      <c r="J1136">
        <v>4</v>
      </c>
      <c r="K1136" s="4">
        <v>70.7</v>
      </c>
      <c r="L1136" s="4">
        <v>63.6</v>
      </c>
      <c r="M1136" s="4">
        <v>64.400000000000006</v>
      </c>
      <c r="N1136">
        <v>0</v>
      </c>
      <c r="O1136" t="s">
        <v>58</v>
      </c>
      <c r="P1136" t="s">
        <v>87</v>
      </c>
      <c r="Q1136" t="s">
        <v>71</v>
      </c>
      <c r="R1136" t="s">
        <v>76</v>
      </c>
      <c r="S1136" s="3">
        <v>6.27</v>
      </c>
      <c r="T1136" s="5">
        <v>45207</v>
      </c>
      <c r="U1136">
        <v>3</v>
      </c>
      <c r="V1136">
        <v>2023</v>
      </c>
      <c r="X1136">
        <f t="shared" si="51"/>
        <v>8.2498863999999994</v>
      </c>
      <c r="Y1136">
        <f t="shared" si="52"/>
        <v>6.2698863999999999</v>
      </c>
      <c r="Z1136">
        <f t="shared" si="53"/>
        <v>63.599886400000003</v>
      </c>
    </row>
    <row r="1137" spans="1:26" x14ac:dyDescent="0.3">
      <c r="A1137" t="s">
        <v>1227</v>
      </c>
      <c r="B1137" t="s">
        <v>82</v>
      </c>
      <c r="C1137" t="s">
        <v>56</v>
      </c>
      <c r="D1137" t="s">
        <v>57</v>
      </c>
      <c r="E1137">
        <v>21</v>
      </c>
      <c r="F1137" s="3">
        <v>9.2200000000000006</v>
      </c>
      <c r="G1137" s="4">
        <v>84.4</v>
      </c>
      <c r="H1137">
        <v>1</v>
      </c>
      <c r="I1137">
        <v>3</v>
      </c>
      <c r="J1137">
        <v>3</v>
      </c>
      <c r="K1137" s="4">
        <v>58.4</v>
      </c>
      <c r="L1137" s="4">
        <v>54.5</v>
      </c>
      <c r="M1137" s="4">
        <v>71.7</v>
      </c>
      <c r="N1137">
        <v>1</v>
      </c>
      <c r="O1137" t="s">
        <v>58</v>
      </c>
      <c r="P1137" t="s">
        <v>75</v>
      </c>
      <c r="Q1137" t="s">
        <v>71</v>
      </c>
      <c r="R1137" t="s">
        <v>130</v>
      </c>
      <c r="S1137" s="3">
        <v>6.88</v>
      </c>
      <c r="T1137" s="5">
        <v>44864</v>
      </c>
      <c r="U1137">
        <v>1</v>
      </c>
      <c r="V1137">
        <v>2022</v>
      </c>
      <c r="X1137">
        <f t="shared" si="51"/>
        <v>9.2198863000000006</v>
      </c>
      <c r="Y1137">
        <f t="shared" si="52"/>
        <v>6.8798862999999999</v>
      </c>
      <c r="Z1137">
        <f t="shared" si="53"/>
        <v>54.4998863</v>
      </c>
    </row>
    <row r="1138" spans="1:26" x14ac:dyDescent="0.3">
      <c r="A1138" t="s">
        <v>1228</v>
      </c>
      <c r="B1138" t="s">
        <v>82</v>
      </c>
      <c r="C1138" t="s">
        <v>84</v>
      </c>
      <c r="D1138" t="s">
        <v>69</v>
      </c>
      <c r="E1138">
        <v>23</v>
      </c>
      <c r="F1138" s="3">
        <v>8.02</v>
      </c>
      <c r="G1138" s="4">
        <v>74.900000000000006</v>
      </c>
      <c r="H1138">
        <v>1</v>
      </c>
      <c r="I1138">
        <v>2</v>
      </c>
      <c r="J1138">
        <v>4</v>
      </c>
      <c r="K1138" s="4">
        <v>85.4</v>
      </c>
      <c r="L1138" s="4">
        <v>42.4</v>
      </c>
      <c r="M1138" s="4">
        <v>63.6</v>
      </c>
      <c r="N1138">
        <v>1</v>
      </c>
      <c r="O1138" t="s">
        <v>58</v>
      </c>
      <c r="P1138" t="s">
        <v>79</v>
      </c>
      <c r="Q1138" t="s">
        <v>71</v>
      </c>
      <c r="R1138" t="s">
        <v>85</v>
      </c>
      <c r="S1138" s="3">
        <v>5.0599999999999996</v>
      </c>
      <c r="T1138" s="5">
        <v>44860</v>
      </c>
      <c r="U1138">
        <v>2</v>
      </c>
      <c r="V1138">
        <v>2022</v>
      </c>
      <c r="X1138">
        <f t="shared" si="51"/>
        <v>8.0198862000000002</v>
      </c>
      <c r="Y1138">
        <f t="shared" si="52"/>
        <v>5.0598861999999993</v>
      </c>
      <c r="Z1138">
        <f t="shared" si="53"/>
        <v>42.399886199999997</v>
      </c>
    </row>
    <row r="1139" spans="1:26" x14ac:dyDescent="0.3">
      <c r="A1139" t="s">
        <v>1229</v>
      </c>
      <c r="B1139" t="s">
        <v>67</v>
      </c>
      <c r="C1139" t="s">
        <v>56</v>
      </c>
      <c r="D1139" t="s">
        <v>57</v>
      </c>
      <c r="E1139">
        <v>21</v>
      </c>
      <c r="F1139" s="3">
        <v>6.54</v>
      </c>
      <c r="G1139" s="4">
        <v>86</v>
      </c>
      <c r="H1139">
        <v>1</v>
      </c>
      <c r="I1139">
        <v>3</v>
      </c>
      <c r="J1139">
        <v>6</v>
      </c>
      <c r="K1139" s="4">
        <v>56</v>
      </c>
      <c r="L1139" s="4">
        <v>94.4</v>
      </c>
      <c r="M1139" s="4">
        <v>82.7</v>
      </c>
      <c r="N1139">
        <v>2</v>
      </c>
      <c r="O1139" t="s">
        <v>58</v>
      </c>
      <c r="P1139" t="s">
        <v>79</v>
      </c>
      <c r="Q1139" t="s">
        <v>71</v>
      </c>
      <c r="R1139" t="s">
        <v>72</v>
      </c>
      <c r="S1139" s="3">
        <v>5.55</v>
      </c>
      <c r="T1139" s="5">
        <v>45195</v>
      </c>
      <c r="U1139">
        <v>3</v>
      </c>
      <c r="V1139">
        <v>2023</v>
      </c>
      <c r="X1139">
        <f t="shared" si="51"/>
        <v>6.5398861000000004</v>
      </c>
      <c r="Y1139">
        <f t="shared" si="52"/>
        <v>5.5498861000000002</v>
      </c>
      <c r="Z1139">
        <f t="shared" si="53"/>
        <v>94.399886100000003</v>
      </c>
    </row>
    <row r="1140" spans="1:26" x14ac:dyDescent="0.3">
      <c r="A1140" t="s">
        <v>1230</v>
      </c>
      <c r="B1140" t="s">
        <v>55</v>
      </c>
      <c r="C1140" t="s">
        <v>56</v>
      </c>
      <c r="D1140" t="s">
        <v>69</v>
      </c>
      <c r="E1140">
        <v>20</v>
      </c>
      <c r="F1140" s="3">
        <v>7.15</v>
      </c>
      <c r="G1140" s="4">
        <v>84.6</v>
      </c>
      <c r="H1140">
        <v>0</v>
      </c>
      <c r="I1140">
        <v>3</v>
      </c>
      <c r="J1140">
        <v>5</v>
      </c>
      <c r="K1140" s="4">
        <v>30.8</v>
      </c>
      <c r="L1140" s="4">
        <v>94.1</v>
      </c>
      <c r="M1140" s="4">
        <v>77</v>
      </c>
      <c r="N1140">
        <v>0</v>
      </c>
      <c r="O1140" t="s">
        <v>58</v>
      </c>
      <c r="P1140" t="s">
        <v>79</v>
      </c>
      <c r="Q1140" t="s">
        <v>71</v>
      </c>
      <c r="R1140" t="s">
        <v>130</v>
      </c>
      <c r="S1140" s="3">
        <v>5.6</v>
      </c>
      <c r="T1140" s="5">
        <v>45587</v>
      </c>
      <c r="U1140">
        <v>1</v>
      </c>
      <c r="V1140">
        <v>2024</v>
      </c>
      <c r="X1140">
        <f t="shared" si="51"/>
        <v>7.1498860000000004</v>
      </c>
      <c r="Y1140">
        <f t="shared" si="52"/>
        <v>5.5998859999999997</v>
      </c>
      <c r="Z1140">
        <f t="shared" si="53"/>
        <v>94.099885999999998</v>
      </c>
    </row>
    <row r="1141" spans="1:26" x14ac:dyDescent="0.3">
      <c r="A1141" t="s">
        <v>1231</v>
      </c>
      <c r="B1141" t="s">
        <v>55</v>
      </c>
      <c r="C1141" t="s">
        <v>78</v>
      </c>
      <c r="D1141" t="s">
        <v>57</v>
      </c>
      <c r="E1141">
        <v>23</v>
      </c>
      <c r="F1141" s="3">
        <v>5.98</v>
      </c>
      <c r="G1141" s="4">
        <v>78.3</v>
      </c>
      <c r="H1141">
        <v>3</v>
      </c>
      <c r="I1141">
        <v>2</v>
      </c>
      <c r="J1141">
        <v>2</v>
      </c>
      <c r="K1141" s="4">
        <v>61.7</v>
      </c>
      <c r="L1141" s="4">
        <v>81.400000000000006</v>
      </c>
      <c r="M1141" s="4">
        <v>82.2</v>
      </c>
      <c r="N1141">
        <v>0</v>
      </c>
      <c r="O1141" t="s">
        <v>58</v>
      </c>
      <c r="P1141" t="s">
        <v>95</v>
      </c>
      <c r="Q1141" t="s">
        <v>93</v>
      </c>
      <c r="R1141" t="s">
        <v>80</v>
      </c>
      <c r="S1141" s="3">
        <v>6.56</v>
      </c>
      <c r="T1141" s="5">
        <v>45621</v>
      </c>
      <c r="U1141">
        <v>1</v>
      </c>
      <c r="V1141">
        <v>2024</v>
      </c>
      <c r="X1141">
        <f t="shared" si="51"/>
        <v>5.9798859000000002</v>
      </c>
      <c r="Y1141">
        <f t="shared" si="52"/>
        <v>6.5598858999999994</v>
      </c>
      <c r="Z1141">
        <f t="shared" si="53"/>
        <v>81.399885900000001</v>
      </c>
    </row>
    <row r="1142" spans="1:26" x14ac:dyDescent="0.3">
      <c r="A1142" t="s">
        <v>1232</v>
      </c>
      <c r="B1142" t="s">
        <v>63</v>
      </c>
      <c r="C1142" t="s">
        <v>68</v>
      </c>
      <c r="D1142" t="s">
        <v>57</v>
      </c>
      <c r="E1142">
        <v>21</v>
      </c>
      <c r="F1142" s="3">
        <v>8.11</v>
      </c>
      <c r="G1142" s="4">
        <v>79.900000000000006</v>
      </c>
      <c r="H1142">
        <v>1</v>
      </c>
      <c r="I1142">
        <v>3</v>
      </c>
      <c r="J1142">
        <v>3</v>
      </c>
      <c r="K1142" s="4">
        <v>58.7</v>
      </c>
      <c r="L1142" s="4">
        <v>61.2</v>
      </c>
      <c r="M1142" s="4">
        <v>70.2</v>
      </c>
      <c r="N1142">
        <v>0</v>
      </c>
      <c r="O1142" t="s">
        <v>58</v>
      </c>
      <c r="P1142" t="s">
        <v>112</v>
      </c>
      <c r="Q1142" t="s">
        <v>93</v>
      </c>
      <c r="R1142" t="s">
        <v>85</v>
      </c>
      <c r="S1142" s="3">
        <v>6.83</v>
      </c>
      <c r="T1142" s="5">
        <v>45872</v>
      </c>
      <c r="U1142">
        <v>1</v>
      </c>
      <c r="V1142">
        <v>2025</v>
      </c>
      <c r="X1142">
        <f t="shared" si="51"/>
        <v>8.1098857999999989</v>
      </c>
      <c r="Y1142">
        <f t="shared" si="52"/>
        <v>6.8298858000000005</v>
      </c>
      <c r="Z1142">
        <f t="shared" si="53"/>
        <v>61.199885800000004</v>
      </c>
    </row>
    <row r="1143" spans="1:26" x14ac:dyDescent="0.3">
      <c r="A1143" t="s">
        <v>1233</v>
      </c>
      <c r="B1143" t="s">
        <v>63</v>
      </c>
      <c r="C1143" t="s">
        <v>68</v>
      </c>
      <c r="D1143" t="s">
        <v>57</v>
      </c>
      <c r="E1143">
        <v>21</v>
      </c>
      <c r="F1143" s="3">
        <v>9.14</v>
      </c>
      <c r="G1143" s="4">
        <v>100</v>
      </c>
      <c r="H1143">
        <v>2</v>
      </c>
      <c r="I1143">
        <v>3</v>
      </c>
      <c r="J1143">
        <v>3</v>
      </c>
      <c r="K1143" s="4">
        <v>64.599999999999994</v>
      </c>
      <c r="L1143" s="4">
        <v>92</v>
      </c>
      <c r="M1143" s="4">
        <v>86</v>
      </c>
      <c r="N1143">
        <v>1</v>
      </c>
      <c r="O1143" t="s">
        <v>58</v>
      </c>
      <c r="P1143" t="s">
        <v>95</v>
      </c>
      <c r="Q1143" t="s">
        <v>93</v>
      </c>
      <c r="R1143" t="s">
        <v>61</v>
      </c>
      <c r="S1143" s="3">
        <v>9.69</v>
      </c>
      <c r="T1143" s="5">
        <v>45877</v>
      </c>
      <c r="U1143">
        <v>1</v>
      </c>
      <c r="V1143">
        <v>2025</v>
      </c>
      <c r="X1143">
        <f t="shared" si="51"/>
        <v>9.1398857000000007</v>
      </c>
      <c r="Y1143">
        <f t="shared" si="52"/>
        <v>9.6898856999999996</v>
      </c>
      <c r="Z1143">
        <f t="shared" si="53"/>
        <v>91.999885699999993</v>
      </c>
    </row>
    <row r="1144" spans="1:26" x14ac:dyDescent="0.3">
      <c r="A1144" t="s">
        <v>1234</v>
      </c>
      <c r="B1144" t="s">
        <v>107</v>
      </c>
      <c r="C1144" t="s">
        <v>56</v>
      </c>
      <c r="D1144" t="s">
        <v>69</v>
      </c>
      <c r="E1144">
        <v>22</v>
      </c>
      <c r="F1144" s="3">
        <v>5.5</v>
      </c>
      <c r="G1144" s="4">
        <v>80.8</v>
      </c>
      <c r="H1144">
        <v>1</v>
      </c>
      <c r="I1144">
        <v>4</v>
      </c>
      <c r="J1144">
        <v>3</v>
      </c>
      <c r="K1144" s="4">
        <v>75.8</v>
      </c>
      <c r="L1144" s="4">
        <v>59.2</v>
      </c>
      <c r="M1144" s="4">
        <v>59.7</v>
      </c>
      <c r="N1144">
        <v>0</v>
      </c>
      <c r="O1144" t="s">
        <v>64</v>
      </c>
      <c r="P1144" t="s">
        <v>65</v>
      </c>
      <c r="S1144" s="3">
        <v>0</v>
      </c>
      <c r="T1144" s="5"/>
      <c r="U1144">
        <v>0</v>
      </c>
      <c r="V1144">
        <v>2021</v>
      </c>
      <c r="X1144">
        <f t="shared" si="51"/>
        <v>5.4998855999999998</v>
      </c>
      <c r="Y1144">
        <f t="shared" si="52"/>
        <v>-1.1439999999999999E-4</v>
      </c>
      <c r="Z1144">
        <f t="shared" si="53"/>
        <v>59.199885600000002</v>
      </c>
    </row>
    <row r="1145" spans="1:26" x14ac:dyDescent="0.3">
      <c r="A1145" t="s">
        <v>1235</v>
      </c>
      <c r="B1145" t="s">
        <v>82</v>
      </c>
      <c r="C1145" t="s">
        <v>68</v>
      </c>
      <c r="D1145" t="s">
        <v>57</v>
      </c>
      <c r="E1145">
        <v>22</v>
      </c>
      <c r="F1145" s="3">
        <v>9.18</v>
      </c>
      <c r="G1145" s="4">
        <v>62.2</v>
      </c>
      <c r="H1145">
        <v>2</v>
      </c>
      <c r="I1145">
        <v>2</v>
      </c>
      <c r="J1145">
        <v>4</v>
      </c>
      <c r="K1145" s="4">
        <v>51.5</v>
      </c>
      <c r="L1145" s="4">
        <v>76.5</v>
      </c>
      <c r="M1145" s="4">
        <v>66.900000000000006</v>
      </c>
      <c r="N1145">
        <v>0</v>
      </c>
      <c r="O1145" t="s">
        <v>58</v>
      </c>
      <c r="P1145" t="s">
        <v>104</v>
      </c>
      <c r="Q1145" t="s">
        <v>105</v>
      </c>
      <c r="R1145" t="s">
        <v>76</v>
      </c>
      <c r="S1145" s="3">
        <v>17.46</v>
      </c>
      <c r="T1145" s="5">
        <v>44832</v>
      </c>
      <c r="U1145">
        <v>2</v>
      </c>
      <c r="V1145">
        <v>2022</v>
      </c>
      <c r="X1145">
        <f t="shared" si="51"/>
        <v>9.1798854999999993</v>
      </c>
      <c r="Y1145">
        <f t="shared" si="52"/>
        <v>17.459885500000002</v>
      </c>
      <c r="Z1145">
        <f t="shared" si="53"/>
        <v>76.499885500000005</v>
      </c>
    </row>
    <row r="1146" spans="1:26" x14ac:dyDescent="0.3">
      <c r="A1146" t="s">
        <v>1236</v>
      </c>
      <c r="B1146" t="s">
        <v>63</v>
      </c>
      <c r="C1146" t="s">
        <v>74</v>
      </c>
      <c r="D1146" t="s">
        <v>57</v>
      </c>
      <c r="E1146">
        <v>23</v>
      </c>
      <c r="F1146" s="3">
        <v>8.1</v>
      </c>
      <c r="G1146" s="4">
        <v>77.2</v>
      </c>
      <c r="H1146">
        <v>1</v>
      </c>
      <c r="I1146">
        <v>3</v>
      </c>
      <c r="J1146">
        <v>3</v>
      </c>
      <c r="K1146" s="4">
        <v>57.1</v>
      </c>
      <c r="L1146" s="4">
        <v>58.1</v>
      </c>
      <c r="M1146" s="4">
        <v>69.2</v>
      </c>
      <c r="N1146">
        <v>0</v>
      </c>
      <c r="O1146" t="s">
        <v>58</v>
      </c>
      <c r="P1146" t="s">
        <v>70</v>
      </c>
      <c r="Q1146" t="s">
        <v>71</v>
      </c>
      <c r="R1146" t="s">
        <v>76</v>
      </c>
      <c r="S1146" s="3">
        <v>5.31</v>
      </c>
      <c r="T1146" s="5">
        <v>45982</v>
      </c>
      <c r="U1146">
        <v>1</v>
      </c>
      <c r="V1146">
        <v>2025</v>
      </c>
      <c r="X1146">
        <f t="shared" si="51"/>
        <v>8.0998853999999998</v>
      </c>
      <c r="Y1146">
        <f t="shared" si="52"/>
        <v>5.3098853999999998</v>
      </c>
      <c r="Z1146">
        <f t="shared" si="53"/>
        <v>58.099885399999998</v>
      </c>
    </row>
    <row r="1147" spans="1:26" x14ac:dyDescent="0.3">
      <c r="A1147" t="s">
        <v>1237</v>
      </c>
      <c r="B1147" t="s">
        <v>55</v>
      </c>
      <c r="C1147" t="s">
        <v>84</v>
      </c>
      <c r="D1147" t="s">
        <v>57</v>
      </c>
      <c r="E1147">
        <v>22</v>
      </c>
      <c r="F1147" s="3">
        <v>6.68</v>
      </c>
      <c r="G1147" s="4">
        <v>72.099999999999994</v>
      </c>
      <c r="H1147">
        <v>0</v>
      </c>
      <c r="I1147">
        <v>2</v>
      </c>
      <c r="J1147">
        <v>1</v>
      </c>
      <c r="K1147" s="4">
        <v>67.900000000000006</v>
      </c>
      <c r="L1147" s="4">
        <v>70.400000000000006</v>
      </c>
      <c r="M1147" s="4">
        <v>83.6</v>
      </c>
      <c r="N1147">
        <v>0</v>
      </c>
      <c r="O1147" t="s">
        <v>64</v>
      </c>
      <c r="P1147" t="s">
        <v>65</v>
      </c>
      <c r="S1147" s="3">
        <v>0</v>
      </c>
      <c r="T1147" s="5"/>
      <c r="U1147">
        <v>0</v>
      </c>
      <c r="V1147">
        <v>2024</v>
      </c>
      <c r="X1147">
        <f t="shared" si="51"/>
        <v>6.6798852999999996</v>
      </c>
      <c r="Y1147">
        <f t="shared" si="52"/>
        <v>-1.147E-4</v>
      </c>
      <c r="Z1147">
        <f t="shared" si="53"/>
        <v>70.399885300000008</v>
      </c>
    </row>
    <row r="1148" spans="1:26" x14ac:dyDescent="0.3">
      <c r="A1148" t="s">
        <v>1238</v>
      </c>
      <c r="B1148" t="s">
        <v>67</v>
      </c>
      <c r="C1148" t="s">
        <v>56</v>
      </c>
      <c r="D1148" t="s">
        <v>57</v>
      </c>
      <c r="E1148">
        <v>20</v>
      </c>
      <c r="F1148" s="3">
        <v>7.88</v>
      </c>
      <c r="G1148" s="4">
        <v>73.7</v>
      </c>
      <c r="H1148">
        <v>2</v>
      </c>
      <c r="I1148">
        <v>0</v>
      </c>
      <c r="J1148">
        <v>3</v>
      </c>
      <c r="K1148" s="4">
        <v>58.8</v>
      </c>
      <c r="L1148" s="4">
        <v>77.3</v>
      </c>
      <c r="M1148" s="4">
        <v>67.5</v>
      </c>
      <c r="N1148">
        <v>1</v>
      </c>
      <c r="O1148" t="s">
        <v>58</v>
      </c>
      <c r="P1148" t="s">
        <v>104</v>
      </c>
      <c r="Q1148" t="s">
        <v>105</v>
      </c>
      <c r="R1148" t="s">
        <v>109</v>
      </c>
      <c r="S1148" s="3">
        <v>15.55</v>
      </c>
      <c r="T1148" s="5">
        <v>45193</v>
      </c>
      <c r="U1148">
        <v>2</v>
      </c>
      <c r="V1148">
        <v>2023</v>
      </c>
      <c r="X1148">
        <f t="shared" si="51"/>
        <v>7.8798851999999995</v>
      </c>
      <c r="Y1148">
        <f t="shared" si="52"/>
        <v>15.5498852</v>
      </c>
      <c r="Z1148">
        <f t="shared" si="53"/>
        <v>77.299885199999991</v>
      </c>
    </row>
    <row r="1149" spans="1:26" x14ac:dyDescent="0.3">
      <c r="A1149" t="s">
        <v>1239</v>
      </c>
      <c r="B1149" t="s">
        <v>55</v>
      </c>
      <c r="C1149" t="s">
        <v>84</v>
      </c>
      <c r="D1149" t="s">
        <v>57</v>
      </c>
      <c r="E1149">
        <v>21</v>
      </c>
      <c r="F1149" s="3">
        <v>6.71</v>
      </c>
      <c r="G1149" s="4">
        <v>88.4</v>
      </c>
      <c r="H1149">
        <v>1</v>
      </c>
      <c r="I1149">
        <v>1</v>
      </c>
      <c r="J1149">
        <v>3</v>
      </c>
      <c r="K1149" s="4">
        <v>68.900000000000006</v>
      </c>
      <c r="L1149" s="4">
        <v>47.5</v>
      </c>
      <c r="M1149" s="4">
        <v>62.4</v>
      </c>
      <c r="N1149">
        <v>0</v>
      </c>
      <c r="O1149" t="s">
        <v>64</v>
      </c>
      <c r="P1149" t="s">
        <v>65</v>
      </c>
      <c r="S1149" s="3">
        <v>0</v>
      </c>
      <c r="T1149" s="5"/>
      <c r="U1149">
        <v>0</v>
      </c>
      <c r="V1149">
        <v>2024</v>
      </c>
      <c r="X1149">
        <f t="shared" si="51"/>
        <v>6.7098851000000002</v>
      </c>
      <c r="Y1149">
        <f t="shared" si="52"/>
        <v>-1.149E-4</v>
      </c>
      <c r="Z1149">
        <f t="shared" si="53"/>
        <v>47.4998851</v>
      </c>
    </row>
    <row r="1150" spans="1:26" x14ac:dyDescent="0.3">
      <c r="A1150" t="s">
        <v>1240</v>
      </c>
      <c r="B1150" t="s">
        <v>82</v>
      </c>
      <c r="C1150" t="s">
        <v>68</v>
      </c>
      <c r="D1150" t="s">
        <v>57</v>
      </c>
      <c r="E1150">
        <v>21</v>
      </c>
      <c r="F1150" s="3">
        <v>8.0500000000000007</v>
      </c>
      <c r="G1150" s="4">
        <v>90</v>
      </c>
      <c r="H1150">
        <v>2</v>
      </c>
      <c r="I1150">
        <v>0</v>
      </c>
      <c r="J1150">
        <v>3</v>
      </c>
      <c r="K1150" s="4">
        <v>75.5</v>
      </c>
      <c r="L1150" s="4">
        <v>63.7</v>
      </c>
      <c r="M1150" s="4">
        <v>74.099999999999994</v>
      </c>
      <c r="N1150">
        <v>3</v>
      </c>
      <c r="O1150" t="s">
        <v>58</v>
      </c>
      <c r="P1150" t="s">
        <v>112</v>
      </c>
      <c r="Q1150" t="s">
        <v>93</v>
      </c>
      <c r="R1150" t="s">
        <v>80</v>
      </c>
      <c r="S1150" s="3">
        <v>7.28</v>
      </c>
      <c r="T1150" s="5">
        <v>44850</v>
      </c>
      <c r="U1150">
        <v>1</v>
      </c>
      <c r="V1150">
        <v>2022</v>
      </c>
      <c r="X1150">
        <f t="shared" si="51"/>
        <v>8.0498850000000015</v>
      </c>
      <c r="Y1150">
        <f t="shared" si="52"/>
        <v>7.2798850000000002</v>
      </c>
      <c r="Z1150">
        <f t="shared" si="53"/>
        <v>63.699885000000002</v>
      </c>
    </row>
    <row r="1151" spans="1:26" x14ac:dyDescent="0.3">
      <c r="A1151" t="s">
        <v>1241</v>
      </c>
      <c r="B1151" t="s">
        <v>55</v>
      </c>
      <c r="C1151" t="s">
        <v>101</v>
      </c>
      <c r="D1151" t="s">
        <v>57</v>
      </c>
      <c r="E1151">
        <v>21</v>
      </c>
      <c r="F1151" s="3">
        <v>7.71</v>
      </c>
      <c r="G1151" s="4">
        <v>74.400000000000006</v>
      </c>
      <c r="H1151">
        <v>1</v>
      </c>
      <c r="I1151">
        <v>1</v>
      </c>
      <c r="J1151">
        <v>2</v>
      </c>
      <c r="K1151" s="4">
        <v>68.2</v>
      </c>
      <c r="L1151" s="4">
        <v>73.8</v>
      </c>
      <c r="M1151" s="4">
        <v>100</v>
      </c>
      <c r="N1151">
        <v>0</v>
      </c>
      <c r="O1151" t="s">
        <v>58</v>
      </c>
      <c r="P1151" t="s">
        <v>59</v>
      </c>
      <c r="Q1151" t="s">
        <v>60</v>
      </c>
      <c r="R1151" t="s">
        <v>76</v>
      </c>
      <c r="S1151" s="3">
        <v>19.09</v>
      </c>
      <c r="T1151" s="5">
        <v>45598</v>
      </c>
      <c r="U1151">
        <v>1</v>
      </c>
      <c r="V1151">
        <v>2024</v>
      </c>
      <c r="X1151">
        <f t="shared" si="51"/>
        <v>7.7098848999999996</v>
      </c>
      <c r="Y1151">
        <f t="shared" si="52"/>
        <v>19.089884900000001</v>
      </c>
      <c r="Z1151">
        <f t="shared" si="53"/>
        <v>73.799884899999995</v>
      </c>
    </row>
    <row r="1152" spans="1:26" x14ac:dyDescent="0.3">
      <c r="A1152" t="s">
        <v>1242</v>
      </c>
      <c r="B1152" t="s">
        <v>107</v>
      </c>
      <c r="C1152" t="s">
        <v>78</v>
      </c>
      <c r="D1152" t="s">
        <v>57</v>
      </c>
      <c r="E1152">
        <v>23</v>
      </c>
      <c r="F1152" s="3">
        <v>7.95</v>
      </c>
      <c r="G1152" s="4">
        <v>77</v>
      </c>
      <c r="H1152">
        <v>2</v>
      </c>
      <c r="I1152">
        <v>0</v>
      </c>
      <c r="J1152">
        <v>2</v>
      </c>
      <c r="K1152" s="4">
        <v>83.4</v>
      </c>
      <c r="L1152" s="4">
        <v>51.2</v>
      </c>
      <c r="M1152" s="4">
        <v>62.3</v>
      </c>
      <c r="N1152">
        <v>0</v>
      </c>
      <c r="O1152" t="s">
        <v>58</v>
      </c>
      <c r="P1152" t="s">
        <v>95</v>
      </c>
      <c r="Q1152" t="s">
        <v>93</v>
      </c>
      <c r="R1152" t="s">
        <v>61</v>
      </c>
      <c r="S1152" s="3">
        <v>6.28</v>
      </c>
      <c r="T1152" s="5">
        <v>44449</v>
      </c>
      <c r="U1152">
        <v>2</v>
      </c>
      <c r="V1152">
        <v>2021</v>
      </c>
      <c r="X1152">
        <f t="shared" si="51"/>
        <v>7.9498848000000004</v>
      </c>
      <c r="Y1152">
        <f t="shared" si="52"/>
        <v>6.2798848000000005</v>
      </c>
      <c r="Z1152">
        <f t="shared" si="53"/>
        <v>51.1998848</v>
      </c>
    </row>
    <row r="1153" spans="1:26" x14ac:dyDescent="0.3">
      <c r="A1153" t="s">
        <v>1243</v>
      </c>
      <c r="B1153" t="s">
        <v>82</v>
      </c>
      <c r="C1153" t="s">
        <v>78</v>
      </c>
      <c r="D1153" t="s">
        <v>57</v>
      </c>
      <c r="E1153">
        <v>23</v>
      </c>
      <c r="F1153" s="3">
        <v>6.82</v>
      </c>
      <c r="G1153" s="4">
        <v>75.7</v>
      </c>
      <c r="H1153">
        <v>3</v>
      </c>
      <c r="I1153">
        <v>3</v>
      </c>
      <c r="J1153">
        <v>2</v>
      </c>
      <c r="K1153" s="4">
        <v>54.7</v>
      </c>
      <c r="L1153" s="4">
        <v>55.9</v>
      </c>
      <c r="M1153" s="4">
        <v>88.9</v>
      </c>
      <c r="N1153">
        <v>0</v>
      </c>
      <c r="O1153" t="s">
        <v>58</v>
      </c>
      <c r="P1153" t="s">
        <v>104</v>
      </c>
      <c r="Q1153" t="s">
        <v>105</v>
      </c>
      <c r="R1153" t="s">
        <v>130</v>
      </c>
      <c r="S1153" s="3">
        <v>14.64</v>
      </c>
      <c r="T1153" s="5">
        <v>44847</v>
      </c>
      <c r="U1153">
        <v>2</v>
      </c>
      <c r="V1153">
        <v>2022</v>
      </c>
      <c r="X1153">
        <f t="shared" si="51"/>
        <v>6.8198847000000002</v>
      </c>
      <c r="Y1153">
        <f t="shared" si="52"/>
        <v>14.639884700000001</v>
      </c>
      <c r="Z1153">
        <f t="shared" si="53"/>
        <v>55.899884700000001</v>
      </c>
    </row>
    <row r="1154" spans="1:26" x14ac:dyDescent="0.3">
      <c r="A1154" t="s">
        <v>1244</v>
      </c>
      <c r="B1154" t="s">
        <v>67</v>
      </c>
      <c r="C1154" t="s">
        <v>74</v>
      </c>
      <c r="D1154" t="s">
        <v>69</v>
      </c>
      <c r="E1154">
        <v>22</v>
      </c>
      <c r="F1154" s="3">
        <v>6.95</v>
      </c>
      <c r="G1154" s="4">
        <v>95.7</v>
      </c>
      <c r="H1154">
        <v>3</v>
      </c>
      <c r="I1154">
        <v>2</v>
      </c>
      <c r="J1154">
        <v>5</v>
      </c>
      <c r="K1154" s="4">
        <v>59.9</v>
      </c>
      <c r="L1154" s="4">
        <v>73.8</v>
      </c>
      <c r="M1154" s="4">
        <v>73.900000000000006</v>
      </c>
      <c r="N1154">
        <v>0</v>
      </c>
      <c r="O1154" t="s">
        <v>58</v>
      </c>
      <c r="P1154" t="s">
        <v>90</v>
      </c>
      <c r="Q1154" t="s">
        <v>60</v>
      </c>
      <c r="R1154" t="s">
        <v>76</v>
      </c>
      <c r="S1154" s="3">
        <v>8.83</v>
      </c>
      <c r="T1154" s="5">
        <v>45197</v>
      </c>
      <c r="U1154">
        <v>1</v>
      </c>
      <c r="V1154">
        <v>2023</v>
      </c>
      <c r="X1154">
        <f t="shared" ref="X1154:X1217" si="54">F1154-ROW()*0.0000001</f>
        <v>6.9498845999999999</v>
      </c>
      <c r="Y1154">
        <f t="shared" ref="Y1154:Y1217" si="55">S1154-ROW()*0.0000001</f>
        <v>8.8298845999999998</v>
      </c>
      <c r="Z1154">
        <f t="shared" ref="Z1154:Z1217" si="56">L1154-ROW()*0.0000001</f>
        <v>73.799884599999999</v>
      </c>
    </row>
    <row r="1155" spans="1:26" x14ac:dyDescent="0.3">
      <c r="A1155" t="s">
        <v>1245</v>
      </c>
      <c r="B1155" t="s">
        <v>107</v>
      </c>
      <c r="C1155" t="s">
        <v>56</v>
      </c>
      <c r="D1155" t="s">
        <v>69</v>
      </c>
      <c r="E1155">
        <v>21</v>
      </c>
      <c r="F1155" s="3">
        <v>8.1</v>
      </c>
      <c r="G1155" s="4">
        <v>90.3</v>
      </c>
      <c r="H1155">
        <v>1</v>
      </c>
      <c r="I1155">
        <v>1</v>
      </c>
      <c r="J1155">
        <v>5</v>
      </c>
      <c r="K1155" s="4">
        <v>88.9</v>
      </c>
      <c r="L1155" s="4">
        <v>62</v>
      </c>
      <c r="M1155" s="4">
        <v>74.099999999999994</v>
      </c>
      <c r="N1155">
        <v>2</v>
      </c>
      <c r="O1155" t="s">
        <v>58</v>
      </c>
      <c r="P1155" t="s">
        <v>95</v>
      </c>
      <c r="Q1155" t="s">
        <v>93</v>
      </c>
      <c r="R1155" t="s">
        <v>61</v>
      </c>
      <c r="S1155" s="3">
        <v>7.58</v>
      </c>
      <c r="T1155" s="5">
        <v>44442</v>
      </c>
      <c r="U1155">
        <v>2</v>
      </c>
      <c r="V1155">
        <v>2021</v>
      </c>
      <c r="X1155">
        <f t="shared" si="54"/>
        <v>8.0998844999999999</v>
      </c>
      <c r="Y1155">
        <f t="shared" si="55"/>
        <v>7.5798845000000004</v>
      </c>
      <c r="Z1155">
        <f t="shared" si="56"/>
        <v>61.9998845</v>
      </c>
    </row>
    <row r="1156" spans="1:26" x14ac:dyDescent="0.3">
      <c r="A1156" t="s">
        <v>1246</v>
      </c>
      <c r="B1156" t="s">
        <v>82</v>
      </c>
      <c r="C1156" t="s">
        <v>56</v>
      </c>
      <c r="D1156" t="s">
        <v>57</v>
      </c>
      <c r="E1156">
        <v>21</v>
      </c>
      <c r="F1156" s="3">
        <v>7.2</v>
      </c>
      <c r="G1156" s="4">
        <v>88.1</v>
      </c>
      <c r="H1156">
        <v>1</v>
      </c>
      <c r="I1156">
        <v>2</v>
      </c>
      <c r="J1156">
        <v>3</v>
      </c>
      <c r="K1156" s="4">
        <v>57.7</v>
      </c>
      <c r="L1156" s="4">
        <v>51.6</v>
      </c>
      <c r="M1156" s="4">
        <v>66.8</v>
      </c>
      <c r="N1156">
        <v>0</v>
      </c>
      <c r="O1156" t="s">
        <v>58</v>
      </c>
      <c r="P1156" t="s">
        <v>79</v>
      </c>
      <c r="Q1156" t="s">
        <v>71</v>
      </c>
      <c r="R1156" t="s">
        <v>109</v>
      </c>
      <c r="S1156" s="3">
        <v>5.62</v>
      </c>
      <c r="T1156" s="5">
        <v>44803</v>
      </c>
      <c r="U1156">
        <v>2</v>
      </c>
      <c r="V1156">
        <v>2022</v>
      </c>
      <c r="X1156">
        <f t="shared" si="54"/>
        <v>7.1998844000000002</v>
      </c>
      <c r="Y1156">
        <f t="shared" si="55"/>
        <v>5.6198844000000001</v>
      </c>
      <c r="Z1156">
        <f t="shared" si="56"/>
        <v>51.599884400000001</v>
      </c>
    </row>
    <row r="1157" spans="1:26" x14ac:dyDescent="0.3">
      <c r="A1157" t="s">
        <v>1247</v>
      </c>
      <c r="B1157" t="s">
        <v>67</v>
      </c>
      <c r="C1157" t="s">
        <v>101</v>
      </c>
      <c r="D1157" t="s">
        <v>57</v>
      </c>
      <c r="E1157">
        <v>21</v>
      </c>
      <c r="F1157" s="3">
        <v>7.78</v>
      </c>
      <c r="G1157" s="4">
        <v>72.7</v>
      </c>
      <c r="H1157">
        <v>3</v>
      </c>
      <c r="I1157">
        <v>2</v>
      </c>
      <c r="J1157">
        <v>5</v>
      </c>
      <c r="K1157" s="4">
        <v>100</v>
      </c>
      <c r="L1157" s="4">
        <v>70.400000000000006</v>
      </c>
      <c r="M1157" s="4">
        <v>81.5</v>
      </c>
      <c r="N1157">
        <v>1</v>
      </c>
      <c r="O1157" t="s">
        <v>64</v>
      </c>
      <c r="P1157" t="s">
        <v>65</v>
      </c>
      <c r="S1157" s="3">
        <v>0</v>
      </c>
      <c r="T1157" s="5"/>
      <c r="U1157">
        <v>0</v>
      </c>
      <c r="V1157">
        <v>2023</v>
      </c>
      <c r="X1157">
        <f t="shared" si="54"/>
        <v>7.7798843</v>
      </c>
      <c r="Y1157">
        <f t="shared" si="55"/>
        <v>-1.1569999999999999E-4</v>
      </c>
      <c r="Z1157">
        <f t="shared" si="56"/>
        <v>70.399884300000011</v>
      </c>
    </row>
    <row r="1158" spans="1:26" x14ac:dyDescent="0.3">
      <c r="A1158" t="s">
        <v>1248</v>
      </c>
      <c r="B1158" t="s">
        <v>107</v>
      </c>
      <c r="C1158" t="s">
        <v>101</v>
      </c>
      <c r="D1158" t="s">
        <v>57</v>
      </c>
      <c r="E1158">
        <v>21</v>
      </c>
      <c r="F1158" s="3">
        <v>8.06</v>
      </c>
      <c r="G1158" s="4">
        <v>66.599999999999994</v>
      </c>
      <c r="H1158">
        <v>2</v>
      </c>
      <c r="I1158">
        <v>0</v>
      </c>
      <c r="J1158">
        <v>3</v>
      </c>
      <c r="K1158" s="4">
        <v>81.5</v>
      </c>
      <c r="L1158" s="4">
        <v>76.5</v>
      </c>
      <c r="M1158" s="4">
        <v>86.5</v>
      </c>
      <c r="N1158">
        <v>3</v>
      </c>
      <c r="O1158" t="s">
        <v>58</v>
      </c>
      <c r="P1158" t="s">
        <v>70</v>
      </c>
      <c r="Q1158" t="s">
        <v>71</v>
      </c>
      <c r="R1158" t="s">
        <v>85</v>
      </c>
      <c r="S1158" s="3">
        <v>7.9</v>
      </c>
      <c r="T1158" s="5">
        <v>44470</v>
      </c>
      <c r="U1158">
        <v>1</v>
      </c>
      <c r="V1158">
        <v>2021</v>
      </c>
      <c r="X1158">
        <f t="shared" si="54"/>
        <v>8.0598842000000008</v>
      </c>
      <c r="Y1158">
        <f t="shared" si="55"/>
        <v>7.8998842000000007</v>
      </c>
      <c r="Z1158">
        <f t="shared" si="56"/>
        <v>76.499884199999997</v>
      </c>
    </row>
    <row r="1159" spans="1:26" x14ac:dyDescent="0.3">
      <c r="A1159" t="s">
        <v>1249</v>
      </c>
      <c r="B1159" t="s">
        <v>107</v>
      </c>
      <c r="C1159" t="s">
        <v>68</v>
      </c>
      <c r="D1159" t="s">
        <v>69</v>
      </c>
      <c r="E1159">
        <v>21</v>
      </c>
      <c r="F1159" s="3">
        <v>7.45</v>
      </c>
      <c r="G1159" s="4">
        <v>93.1</v>
      </c>
      <c r="H1159">
        <v>0</v>
      </c>
      <c r="I1159">
        <v>1</v>
      </c>
      <c r="J1159">
        <v>4</v>
      </c>
      <c r="K1159" s="4">
        <v>56.5</v>
      </c>
      <c r="L1159" s="4">
        <v>100</v>
      </c>
      <c r="M1159" s="4">
        <v>92.1</v>
      </c>
      <c r="N1159">
        <v>0</v>
      </c>
      <c r="O1159" t="s">
        <v>58</v>
      </c>
      <c r="P1159" t="s">
        <v>104</v>
      </c>
      <c r="Q1159" t="s">
        <v>105</v>
      </c>
      <c r="R1159" t="s">
        <v>72</v>
      </c>
      <c r="S1159" s="3">
        <v>17.68</v>
      </c>
      <c r="T1159" s="5">
        <v>44478</v>
      </c>
      <c r="U1159">
        <v>1</v>
      </c>
      <c r="V1159">
        <v>2021</v>
      </c>
      <c r="X1159">
        <f t="shared" si="54"/>
        <v>7.4498841000000002</v>
      </c>
      <c r="Y1159">
        <f t="shared" si="55"/>
        <v>17.679884099999999</v>
      </c>
      <c r="Z1159">
        <f t="shared" si="56"/>
        <v>99.999884100000003</v>
      </c>
    </row>
    <row r="1160" spans="1:26" x14ac:dyDescent="0.3">
      <c r="A1160" t="s">
        <v>1250</v>
      </c>
      <c r="B1160" t="s">
        <v>82</v>
      </c>
      <c r="C1160" t="s">
        <v>56</v>
      </c>
      <c r="D1160" t="s">
        <v>57</v>
      </c>
      <c r="E1160">
        <v>20</v>
      </c>
      <c r="F1160" s="3">
        <v>8.69</v>
      </c>
      <c r="G1160" s="4">
        <v>99.3</v>
      </c>
      <c r="H1160">
        <v>1</v>
      </c>
      <c r="I1160">
        <v>3</v>
      </c>
      <c r="J1160">
        <v>2</v>
      </c>
      <c r="K1160" s="4">
        <v>76.2</v>
      </c>
      <c r="L1160" s="4">
        <v>71.3</v>
      </c>
      <c r="M1160" s="4">
        <v>77.400000000000006</v>
      </c>
      <c r="N1160">
        <v>0</v>
      </c>
      <c r="O1160" t="s">
        <v>58</v>
      </c>
      <c r="P1160" t="s">
        <v>59</v>
      </c>
      <c r="Q1160" t="s">
        <v>60</v>
      </c>
      <c r="R1160" t="s">
        <v>61</v>
      </c>
      <c r="S1160" s="3">
        <v>20</v>
      </c>
      <c r="T1160" s="5">
        <v>44828</v>
      </c>
      <c r="U1160">
        <v>3</v>
      </c>
      <c r="V1160">
        <v>2022</v>
      </c>
      <c r="X1160">
        <f t="shared" si="54"/>
        <v>8.6898839999999993</v>
      </c>
      <c r="Y1160">
        <f t="shared" si="55"/>
        <v>19.999884000000002</v>
      </c>
      <c r="Z1160">
        <f t="shared" si="56"/>
        <v>71.299883999999992</v>
      </c>
    </row>
    <row r="1161" spans="1:26" x14ac:dyDescent="0.3">
      <c r="A1161" t="s">
        <v>1251</v>
      </c>
      <c r="B1161" t="s">
        <v>63</v>
      </c>
      <c r="C1161" t="s">
        <v>74</v>
      </c>
      <c r="D1161" t="s">
        <v>57</v>
      </c>
      <c r="E1161">
        <v>21</v>
      </c>
      <c r="F1161" s="3">
        <v>7.48</v>
      </c>
      <c r="G1161" s="4">
        <v>66.2</v>
      </c>
      <c r="H1161">
        <v>1</v>
      </c>
      <c r="I1161">
        <v>3</v>
      </c>
      <c r="J1161">
        <v>5</v>
      </c>
      <c r="K1161" s="4">
        <v>72.2</v>
      </c>
      <c r="L1161" s="4">
        <v>70.2</v>
      </c>
      <c r="M1161" s="4">
        <v>65.7</v>
      </c>
      <c r="N1161">
        <v>0</v>
      </c>
      <c r="O1161" t="s">
        <v>58</v>
      </c>
      <c r="P1161" t="s">
        <v>79</v>
      </c>
      <c r="Q1161" t="s">
        <v>71</v>
      </c>
      <c r="R1161" t="s">
        <v>109</v>
      </c>
      <c r="S1161" s="3">
        <v>5.86</v>
      </c>
      <c r="T1161" s="5">
        <v>45985</v>
      </c>
      <c r="U1161">
        <v>1</v>
      </c>
      <c r="V1161">
        <v>2025</v>
      </c>
      <c r="X1161">
        <f t="shared" si="54"/>
        <v>7.4798839000000008</v>
      </c>
      <c r="Y1161">
        <f t="shared" si="55"/>
        <v>5.8598839000000007</v>
      </c>
      <c r="Z1161">
        <f t="shared" si="56"/>
        <v>70.199883900000003</v>
      </c>
    </row>
    <row r="1162" spans="1:26" x14ac:dyDescent="0.3">
      <c r="A1162" t="s">
        <v>1252</v>
      </c>
      <c r="B1162" t="s">
        <v>107</v>
      </c>
      <c r="C1162" t="s">
        <v>89</v>
      </c>
      <c r="D1162" t="s">
        <v>69</v>
      </c>
      <c r="E1162">
        <v>20</v>
      </c>
      <c r="F1162" s="3">
        <v>7.46</v>
      </c>
      <c r="G1162" s="4">
        <v>100</v>
      </c>
      <c r="H1162">
        <v>3</v>
      </c>
      <c r="I1162">
        <v>2</v>
      </c>
      <c r="J1162">
        <v>2</v>
      </c>
      <c r="K1162" s="4">
        <v>47.6</v>
      </c>
      <c r="L1162" s="4">
        <v>65.7</v>
      </c>
      <c r="M1162" s="4">
        <v>95.4</v>
      </c>
      <c r="N1162">
        <v>0</v>
      </c>
      <c r="O1162" t="s">
        <v>64</v>
      </c>
      <c r="P1162" t="s">
        <v>65</v>
      </c>
      <c r="S1162" s="3">
        <v>0</v>
      </c>
      <c r="T1162" s="5"/>
      <c r="U1162">
        <v>0</v>
      </c>
      <c r="V1162">
        <v>2021</v>
      </c>
      <c r="X1162">
        <f t="shared" si="54"/>
        <v>7.4598838000000001</v>
      </c>
      <c r="Y1162">
        <f t="shared" si="55"/>
        <v>-1.1619999999999999E-4</v>
      </c>
      <c r="Z1162">
        <f t="shared" si="56"/>
        <v>65.699883800000009</v>
      </c>
    </row>
    <row r="1163" spans="1:26" x14ac:dyDescent="0.3">
      <c r="A1163" t="s">
        <v>1253</v>
      </c>
      <c r="B1163" t="s">
        <v>107</v>
      </c>
      <c r="C1163" t="s">
        <v>68</v>
      </c>
      <c r="D1163" t="s">
        <v>57</v>
      </c>
      <c r="E1163">
        <v>21</v>
      </c>
      <c r="F1163" s="3">
        <v>7.08</v>
      </c>
      <c r="G1163" s="4">
        <v>81</v>
      </c>
      <c r="H1163">
        <v>0</v>
      </c>
      <c r="I1163">
        <v>2</v>
      </c>
      <c r="J1163">
        <v>1</v>
      </c>
      <c r="K1163" s="4">
        <v>89.6</v>
      </c>
      <c r="L1163" s="4">
        <v>87.2</v>
      </c>
      <c r="M1163" s="4">
        <v>68.599999999999994</v>
      </c>
      <c r="N1163">
        <v>0</v>
      </c>
      <c r="O1163" t="s">
        <v>58</v>
      </c>
      <c r="P1163" t="s">
        <v>79</v>
      </c>
      <c r="Q1163" t="s">
        <v>71</v>
      </c>
      <c r="R1163" t="s">
        <v>80</v>
      </c>
      <c r="S1163" s="3">
        <v>6.33</v>
      </c>
      <c r="T1163" s="5">
        <v>44489</v>
      </c>
      <c r="U1163">
        <v>2</v>
      </c>
      <c r="V1163">
        <v>2021</v>
      </c>
      <c r="X1163">
        <f t="shared" si="54"/>
        <v>7.0798836999999999</v>
      </c>
      <c r="Y1163">
        <f t="shared" si="55"/>
        <v>6.3298836999999999</v>
      </c>
      <c r="Z1163">
        <f t="shared" si="56"/>
        <v>87.199883700000001</v>
      </c>
    </row>
    <row r="1164" spans="1:26" x14ac:dyDescent="0.3">
      <c r="A1164" t="s">
        <v>1254</v>
      </c>
      <c r="B1164" t="s">
        <v>67</v>
      </c>
      <c r="C1164" t="s">
        <v>101</v>
      </c>
      <c r="D1164" t="s">
        <v>57</v>
      </c>
      <c r="E1164">
        <v>23</v>
      </c>
      <c r="F1164" s="3">
        <v>8.59</v>
      </c>
      <c r="G1164" s="4">
        <v>83.5</v>
      </c>
      <c r="H1164">
        <v>1</v>
      </c>
      <c r="I1164">
        <v>1</v>
      </c>
      <c r="J1164">
        <v>3</v>
      </c>
      <c r="K1164" s="4">
        <v>79.5</v>
      </c>
      <c r="L1164" s="4">
        <v>74.900000000000006</v>
      </c>
      <c r="M1164" s="4">
        <v>64.7</v>
      </c>
      <c r="N1164">
        <v>0</v>
      </c>
      <c r="O1164" t="s">
        <v>58</v>
      </c>
      <c r="P1164" t="s">
        <v>75</v>
      </c>
      <c r="Q1164" t="s">
        <v>71</v>
      </c>
      <c r="R1164" t="s">
        <v>61</v>
      </c>
      <c r="S1164" s="3">
        <v>6.35</v>
      </c>
      <c r="T1164" s="5">
        <v>45238</v>
      </c>
      <c r="U1164">
        <v>3</v>
      </c>
      <c r="V1164">
        <v>2023</v>
      </c>
      <c r="X1164">
        <f t="shared" si="54"/>
        <v>8.5898836000000003</v>
      </c>
      <c r="Y1164">
        <f t="shared" si="55"/>
        <v>6.3498836000000001</v>
      </c>
      <c r="Z1164">
        <f t="shared" si="56"/>
        <v>74.89988360000001</v>
      </c>
    </row>
    <row r="1165" spans="1:26" x14ac:dyDescent="0.3">
      <c r="A1165" t="s">
        <v>1255</v>
      </c>
      <c r="B1165" t="s">
        <v>55</v>
      </c>
      <c r="C1165" t="s">
        <v>84</v>
      </c>
      <c r="D1165" t="s">
        <v>57</v>
      </c>
      <c r="E1165">
        <v>23</v>
      </c>
      <c r="F1165" s="3">
        <v>7.01</v>
      </c>
      <c r="G1165" s="4">
        <v>70.099999999999994</v>
      </c>
      <c r="H1165">
        <v>2</v>
      </c>
      <c r="I1165">
        <v>2</v>
      </c>
      <c r="J1165">
        <v>6</v>
      </c>
      <c r="K1165" s="4">
        <v>88.7</v>
      </c>
      <c r="L1165" s="4">
        <v>82.5</v>
      </c>
      <c r="M1165" s="4">
        <v>77.5</v>
      </c>
      <c r="N1165">
        <v>0</v>
      </c>
      <c r="O1165" t="s">
        <v>64</v>
      </c>
      <c r="P1165" t="s">
        <v>65</v>
      </c>
      <c r="S1165" s="3">
        <v>0</v>
      </c>
      <c r="T1165" s="5"/>
      <c r="U1165">
        <v>0</v>
      </c>
      <c r="V1165">
        <v>2024</v>
      </c>
      <c r="X1165">
        <f t="shared" si="54"/>
        <v>7.0098834999999999</v>
      </c>
      <c r="Y1165">
        <f t="shared" si="55"/>
        <v>-1.165E-4</v>
      </c>
      <c r="Z1165">
        <f t="shared" si="56"/>
        <v>82.499883499999996</v>
      </c>
    </row>
    <row r="1166" spans="1:26" x14ac:dyDescent="0.3">
      <c r="A1166" t="s">
        <v>1256</v>
      </c>
      <c r="B1166" t="s">
        <v>82</v>
      </c>
      <c r="C1166" t="s">
        <v>56</v>
      </c>
      <c r="D1166" t="s">
        <v>69</v>
      </c>
      <c r="E1166">
        <v>20</v>
      </c>
      <c r="F1166" s="3">
        <v>8.7799999999999994</v>
      </c>
      <c r="G1166" s="4">
        <v>66</v>
      </c>
      <c r="H1166">
        <v>3</v>
      </c>
      <c r="I1166">
        <v>2</v>
      </c>
      <c r="J1166">
        <v>2</v>
      </c>
      <c r="K1166" s="4">
        <v>82.7</v>
      </c>
      <c r="L1166" s="4">
        <v>73.3</v>
      </c>
      <c r="M1166" s="4">
        <v>62.4</v>
      </c>
      <c r="N1166">
        <v>0</v>
      </c>
      <c r="O1166" t="s">
        <v>58</v>
      </c>
      <c r="P1166" t="s">
        <v>75</v>
      </c>
      <c r="Q1166" t="s">
        <v>71</v>
      </c>
      <c r="R1166" t="s">
        <v>72</v>
      </c>
      <c r="S1166" s="3">
        <v>7.31</v>
      </c>
      <c r="T1166" s="5">
        <v>44869</v>
      </c>
      <c r="U1166">
        <v>3</v>
      </c>
      <c r="V1166">
        <v>2022</v>
      </c>
      <c r="X1166">
        <f t="shared" si="54"/>
        <v>8.7798833999999992</v>
      </c>
      <c r="Y1166">
        <f t="shared" si="55"/>
        <v>7.3098833999999995</v>
      </c>
      <c r="Z1166">
        <f t="shared" si="56"/>
        <v>73.299883399999999</v>
      </c>
    </row>
    <row r="1167" spans="1:26" x14ac:dyDescent="0.3">
      <c r="A1167" t="s">
        <v>1257</v>
      </c>
      <c r="B1167" t="s">
        <v>82</v>
      </c>
      <c r="C1167" t="s">
        <v>68</v>
      </c>
      <c r="D1167" t="s">
        <v>57</v>
      </c>
      <c r="E1167">
        <v>21</v>
      </c>
      <c r="F1167" s="3">
        <v>7.8</v>
      </c>
      <c r="G1167" s="4">
        <v>61.6</v>
      </c>
      <c r="H1167">
        <v>2</v>
      </c>
      <c r="I1167">
        <v>3</v>
      </c>
      <c r="J1167">
        <v>3</v>
      </c>
      <c r="K1167" s="4">
        <v>72.900000000000006</v>
      </c>
      <c r="L1167" s="4">
        <v>83.7</v>
      </c>
      <c r="M1167" s="4">
        <v>68</v>
      </c>
      <c r="N1167">
        <v>1</v>
      </c>
      <c r="O1167" t="s">
        <v>58</v>
      </c>
      <c r="P1167" t="s">
        <v>75</v>
      </c>
      <c r="Q1167" t="s">
        <v>71</v>
      </c>
      <c r="R1167" t="s">
        <v>76</v>
      </c>
      <c r="S1167" s="3">
        <v>7.89</v>
      </c>
      <c r="T1167" s="5">
        <v>44795</v>
      </c>
      <c r="U1167">
        <v>1</v>
      </c>
      <c r="V1167">
        <v>2022</v>
      </c>
      <c r="X1167">
        <f t="shared" si="54"/>
        <v>7.7998832999999994</v>
      </c>
      <c r="Y1167">
        <f t="shared" si="55"/>
        <v>7.8898832999999993</v>
      </c>
      <c r="Z1167">
        <f t="shared" si="56"/>
        <v>83.699883299999996</v>
      </c>
    </row>
    <row r="1168" spans="1:26" x14ac:dyDescent="0.3">
      <c r="A1168" t="s">
        <v>1258</v>
      </c>
      <c r="B1168" t="s">
        <v>63</v>
      </c>
      <c r="C1168" t="s">
        <v>68</v>
      </c>
      <c r="D1168" t="s">
        <v>69</v>
      </c>
      <c r="E1168">
        <v>23</v>
      </c>
      <c r="F1168" s="3">
        <v>10</v>
      </c>
      <c r="G1168" s="4">
        <v>91.3</v>
      </c>
      <c r="H1168">
        <v>1</v>
      </c>
      <c r="I1168">
        <v>1</v>
      </c>
      <c r="J1168">
        <v>3</v>
      </c>
      <c r="K1168" s="4">
        <v>83.1</v>
      </c>
      <c r="L1168" s="4">
        <v>75.7</v>
      </c>
      <c r="M1168" s="4">
        <v>81.5</v>
      </c>
      <c r="N1168">
        <v>0</v>
      </c>
      <c r="O1168" t="s">
        <v>58</v>
      </c>
      <c r="P1168" t="s">
        <v>112</v>
      </c>
      <c r="Q1168" t="s">
        <v>93</v>
      </c>
      <c r="R1168" t="s">
        <v>130</v>
      </c>
      <c r="S1168" s="3">
        <v>8.32</v>
      </c>
      <c r="T1168" s="5">
        <v>45988</v>
      </c>
      <c r="U1168">
        <v>1</v>
      </c>
      <c r="V1168">
        <v>2025</v>
      </c>
      <c r="X1168">
        <f t="shared" si="54"/>
        <v>9.9998831999999993</v>
      </c>
      <c r="Y1168">
        <f t="shared" si="55"/>
        <v>8.3198831999999996</v>
      </c>
      <c r="Z1168">
        <f t="shared" si="56"/>
        <v>75.699883200000002</v>
      </c>
    </row>
    <row r="1169" spans="1:26" x14ac:dyDescent="0.3">
      <c r="A1169" t="s">
        <v>1259</v>
      </c>
      <c r="B1169" t="s">
        <v>63</v>
      </c>
      <c r="C1169" t="s">
        <v>74</v>
      </c>
      <c r="D1169" t="s">
        <v>69</v>
      </c>
      <c r="E1169">
        <v>23</v>
      </c>
      <c r="F1169" s="3">
        <v>7.06</v>
      </c>
      <c r="G1169" s="4">
        <v>81.3</v>
      </c>
      <c r="H1169">
        <v>1</v>
      </c>
      <c r="I1169">
        <v>3</v>
      </c>
      <c r="J1169">
        <v>5</v>
      </c>
      <c r="K1169" s="4">
        <v>49.3</v>
      </c>
      <c r="L1169" s="4">
        <v>48.9</v>
      </c>
      <c r="M1169" s="4">
        <v>100</v>
      </c>
      <c r="N1169">
        <v>0</v>
      </c>
      <c r="O1169" t="s">
        <v>64</v>
      </c>
      <c r="P1169" t="s">
        <v>65</v>
      </c>
      <c r="S1169" s="3">
        <v>0</v>
      </c>
      <c r="T1169" s="5"/>
      <c r="U1169">
        <v>0</v>
      </c>
      <c r="V1169">
        <v>2025</v>
      </c>
      <c r="X1169">
        <f t="shared" si="54"/>
        <v>7.0598830999999995</v>
      </c>
      <c r="Y1169">
        <f t="shared" si="55"/>
        <v>-1.169E-4</v>
      </c>
      <c r="Z1169">
        <f t="shared" si="56"/>
        <v>48.899883099999997</v>
      </c>
    </row>
    <row r="1170" spans="1:26" x14ac:dyDescent="0.3">
      <c r="A1170" t="s">
        <v>1260</v>
      </c>
      <c r="B1170" t="s">
        <v>82</v>
      </c>
      <c r="C1170" t="s">
        <v>56</v>
      </c>
      <c r="D1170" t="s">
        <v>57</v>
      </c>
      <c r="E1170">
        <v>21</v>
      </c>
      <c r="F1170" s="3">
        <v>8.8000000000000007</v>
      </c>
      <c r="G1170" s="4">
        <v>86.1</v>
      </c>
      <c r="H1170">
        <v>3</v>
      </c>
      <c r="I1170">
        <v>1</v>
      </c>
      <c r="J1170">
        <v>3</v>
      </c>
      <c r="K1170" s="4">
        <v>95.8</v>
      </c>
      <c r="L1170" s="4">
        <v>65.7</v>
      </c>
      <c r="M1170" s="4">
        <v>80.8</v>
      </c>
      <c r="N1170">
        <v>0</v>
      </c>
      <c r="O1170" t="s">
        <v>58</v>
      </c>
      <c r="P1170" t="s">
        <v>70</v>
      </c>
      <c r="Q1170" t="s">
        <v>71</v>
      </c>
      <c r="R1170" t="s">
        <v>61</v>
      </c>
      <c r="S1170" s="3">
        <v>8.1</v>
      </c>
      <c r="T1170" s="5">
        <v>44892</v>
      </c>
      <c r="U1170">
        <v>1</v>
      </c>
      <c r="V1170">
        <v>2022</v>
      </c>
      <c r="X1170">
        <f t="shared" si="54"/>
        <v>8.7998830000000012</v>
      </c>
      <c r="Y1170">
        <f t="shared" si="55"/>
        <v>8.0998830000000002</v>
      </c>
      <c r="Z1170">
        <f t="shared" si="56"/>
        <v>65.699883</v>
      </c>
    </row>
    <row r="1171" spans="1:26" x14ac:dyDescent="0.3">
      <c r="A1171" t="s">
        <v>1261</v>
      </c>
      <c r="B1171" t="s">
        <v>63</v>
      </c>
      <c r="C1171" t="s">
        <v>56</v>
      </c>
      <c r="D1171" t="s">
        <v>57</v>
      </c>
      <c r="E1171">
        <v>21</v>
      </c>
      <c r="F1171" s="3">
        <v>8.11</v>
      </c>
      <c r="G1171" s="4">
        <v>92.2</v>
      </c>
      <c r="H1171">
        <v>2</v>
      </c>
      <c r="I1171">
        <v>2</v>
      </c>
      <c r="J1171">
        <v>4</v>
      </c>
      <c r="K1171" s="4">
        <v>78.400000000000006</v>
      </c>
      <c r="L1171" s="4">
        <v>66.099999999999994</v>
      </c>
      <c r="M1171" s="4">
        <v>88.2</v>
      </c>
      <c r="N1171">
        <v>0</v>
      </c>
      <c r="O1171" t="s">
        <v>58</v>
      </c>
      <c r="P1171" t="s">
        <v>70</v>
      </c>
      <c r="Q1171" t="s">
        <v>71</v>
      </c>
      <c r="R1171" t="s">
        <v>80</v>
      </c>
      <c r="S1171" s="3">
        <v>7.4</v>
      </c>
      <c r="T1171" s="5">
        <v>45891</v>
      </c>
      <c r="U1171">
        <v>1</v>
      </c>
      <c r="V1171">
        <v>2025</v>
      </c>
      <c r="X1171">
        <f t="shared" si="54"/>
        <v>8.1098828999999988</v>
      </c>
      <c r="Y1171">
        <f t="shared" si="55"/>
        <v>7.3998829000000006</v>
      </c>
      <c r="Z1171">
        <f t="shared" si="56"/>
        <v>66.099882899999997</v>
      </c>
    </row>
    <row r="1172" spans="1:26" x14ac:dyDescent="0.3">
      <c r="A1172" t="s">
        <v>1262</v>
      </c>
      <c r="B1172" t="s">
        <v>67</v>
      </c>
      <c r="C1172" t="s">
        <v>84</v>
      </c>
      <c r="D1172" t="s">
        <v>57</v>
      </c>
      <c r="E1172">
        <v>23</v>
      </c>
      <c r="F1172" s="3">
        <v>7.19</v>
      </c>
      <c r="G1172" s="4">
        <v>81.099999999999994</v>
      </c>
      <c r="H1172">
        <v>2</v>
      </c>
      <c r="I1172">
        <v>2</v>
      </c>
      <c r="J1172">
        <v>3</v>
      </c>
      <c r="K1172" s="4">
        <v>40.700000000000003</v>
      </c>
      <c r="L1172" s="4">
        <v>76.7</v>
      </c>
      <c r="M1172" s="4">
        <v>67.900000000000006</v>
      </c>
      <c r="N1172">
        <v>2</v>
      </c>
      <c r="O1172" t="s">
        <v>58</v>
      </c>
      <c r="P1172" t="s">
        <v>112</v>
      </c>
      <c r="Q1172" t="s">
        <v>93</v>
      </c>
      <c r="R1172" t="s">
        <v>85</v>
      </c>
      <c r="S1172" s="3">
        <v>6.39</v>
      </c>
      <c r="T1172" s="5">
        <v>45238</v>
      </c>
      <c r="U1172">
        <v>2</v>
      </c>
      <c r="V1172">
        <v>2023</v>
      </c>
      <c r="X1172">
        <f t="shared" si="54"/>
        <v>7.1898828000000004</v>
      </c>
      <c r="Y1172">
        <f t="shared" si="55"/>
        <v>6.3898827999999996</v>
      </c>
      <c r="Z1172">
        <f t="shared" si="56"/>
        <v>76.699882799999997</v>
      </c>
    </row>
    <row r="1173" spans="1:26" x14ac:dyDescent="0.3">
      <c r="A1173" t="s">
        <v>1263</v>
      </c>
      <c r="B1173" t="s">
        <v>82</v>
      </c>
      <c r="C1173" t="s">
        <v>68</v>
      </c>
      <c r="D1173" t="s">
        <v>69</v>
      </c>
      <c r="E1173">
        <v>21</v>
      </c>
      <c r="F1173" s="3">
        <v>8.1199999999999992</v>
      </c>
      <c r="G1173" s="4">
        <v>97.2</v>
      </c>
      <c r="H1173">
        <v>2</v>
      </c>
      <c r="I1173">
        <v>2</v>
      </c>
      <c r="J1173">
        <v>4</v>
      </c>
      <c r="K1173" s="4">
        <v>47.1</v>
      </c>
      <c r="L1173" s="4">
        <v>72.3</v>
      </c>
      <c r="M1173" s="4">
        <v>77.2</v>
      </c>
      <c r="N1173">
        <v>3</v>
      </c>
      <c r="O1173" t="s">
        <v>58</v>
      </c>
      <c r="P1173" t="s">
        <v>70</v>
      </c>
      <c r="Q1173" t="s">
        <v>71</v>
      </c>
      <c r="R1173" t="s">
        <v>80</v>
      </c>
      <c r="S1173" s="3">
        <v>5.63</v>
      </c>
      <c r="T1173" s="5">
        <v>44855</v>
      </c>
      <c r="U1173">
        <v>3</v>
      </c>
      <c r="V1173">
        <v>2022</v>
      </c>
      <c r="X1173">
        <f t="shared" si="54"/>
        <v>8.1198826999999998</v>
      </c>
      <c r="Y1173">
        <f t="shared" si="55"/>
        <v>5.6298826999999996</v>
      </c>
      <c r="Z1173">
        <f t="shared" si="56"/>
        <v>72.299882699999998</v>
      </c>
    </row>
    <row r="1174" spans="1:26" x14ac:dyDescent="0.3">
      <c r="A1174" t="s">
        <v>1264</v>
      </c>
      <c r="B1174" t="s">
        <v>63</v>
      </c>
      <c r="C1174" t="s">
        <v>68</v>
      </c>
      <c r="D1174" t="s">
        <v>69</v>
      </c>
      <c r="E1174">
        <v>22</v>
      </c>
      <c r="F1174" s="3">
        <v>8.08</v>
      </c>
      <c r="G1174" s="4">
        <v>74.599999999999994</v>
      </c>
      <c r="H1174">
        <v>1</v>
      </c>
      <c r="I1174">
        <v>2</v>
      </c>
      <c r="J1174">
        <v>2</v>
      </c>
      <c r="K1174" s="4">
        <v>72</v>
      </c>
      <c r="L1174" s="4">
        <v>90</v>
      </c>
      <c r="M1174" s="4">
        <v>51</v>
      </c>
      <c r="N1174">
        <v>0</v>
      </c>
      <c r="O1174" t="s">
        <v>58</v>
      </c>
      <c r="P1174" t="s">
        <v>112</v>
      </c>
      <c r="Q1174" t="s">
        <v>93</v>
      </c>
      <c r="R1174" t="s">
        <v>109</v>
      </c>
      <c r="S1174" s="3">
        <v>8.0299999999999994</v>
      </c>
      <c r="T1174" s="5">
        <v>45961</v>
      </c>
      <c r="U1174">
        <v>2</v>
      </c>
      <c r="V1174">
        <v>2025</v>
      </c>
      <c r="X1174">
        <f t="shared" si="54"/>
        <v>8.0798825999999995</v>
      </c>
      <c r="Y1174">
        <f t="shared" si="55"/>
        <v>8.0298825999999988</v>
      </c>
      <c r="Z1174">
        <f t="shared" si="56"/>
        <v>89.999882600000007</v>
      </c>
    </row>
    <row r="1175" spans="1:26" x14ac:dyDescent="0.3">
      <c r="A1175" t="s">
        <v>1265</v>
      </c>
      <c r="B1175" t="s">
        <v>82</v>
      </c>
      <c r="C1175" t="s">
        <v>84</v>
      </c>
      <c r="D1175" t="s">
        <v>57</v>
      </c>
      <c r="E1175">
        <v>21</v>
      </c>
      <c r="F1175" s="3">
        <v>7.35</v>
      </c>
      <c r="G1175" s="4">
        <v>78.2</v>
      </c>
      <c r="H1175">
        <v>2</v>
      </c>
      <c r="I1175">
        <v>0</v>
      </c>
      <c r="J1175">
        <v>3</v>
      </c>
      <c r="K1175" s="4">
        <v>55.5</v>
      </c>
      <c r="L1175" s="4">
        <v>76</v>
      </c>
      <c r="M1175" s="4">
        <v>58</v>
      </c>
      <c r="N1175">
        <v>0</v>
      </c>
      <c r="O1175" t="s">
        <v>58</v>
      </c>
      <c r="P1175" t="s">
        <v>79</v>
      </c>
      <c r="Q1175" t="s">
        <v>71</v>
      </c>
      <c r="R1175" t="s">
        <v>85</v>
      </c>
      <c r="S1175" s="3">
        <v>6.58</v>
      </c>
      <c r="T1175" s="5">
        <v>44786</v>
      </c>
      <c r="U1175">
        <v>2</v>
      </c>
      <c r="V1175">
        <v>2022</v>
      </c>
      <c r="X1175">
        <f t="shared" si="54"/>
        <v>7.3498824999999997</v>
      </c>
      <c r="Y1175">
        <f t="shared" si="55"/>
        <v>6.5798825000000001</v>
      </c>
      <c r="Z1175">
        <f t="shared" si="56"/>
        <v>75.999882499999998</v>
      </c>
    </row>
    <row r="1176" spans="1:26" x14ac:dyDescent="0.3">
      <c r="A1176" t="s">
        <v>1266</v>
      </c>
      <c r="B1176" t="s">
        <v>55</v>
      </c>
      <c r="C1176" t="s">
        <v>78</v>
      </c>
      <c r="D1176" t="s">
        <v>69</v>
      </c>
      <c r="E1176">
        <v>23</v>
      </c>
      <c r="F1176" s="3">
        <v>8.0399999999999991</v>
      </c>
      <c r="G1176" s="4">
        <v>73.900000000000006</v>
      </c>
      <c r="H1176">
        <v>1</v>
      </c>
      <c r="I1176">
        <v>2</v>
      </c>
      <c r="J1176">
        <v>5</v>
      </c>
      <c r="K1176" s="4">
        <v>75.3</v>
      </c>
      <c r="L1176" s="4">
        <v>77.099999999999994</v>
      </c>
      <c r="M1176" s="4">
        <v>75.900000000000006</v>
      </c>
      <c r="N1176">
        <v>0</v>
      </c>
      <c r="O1176" t="s">
        <v>58</v>
      </c>
      <c r="P1176" t="s">
        <v>95</v>
      </c>
      <c r="Q1176" t="s">
        <v>93</v>
      </c>
      <c r="R1176" t="s">
        <v>61</v>
      </c>
      <c r="S1176" s="3">
        <v>7.59</v>
      </c>
      <c r="T1176" s="5">
        <v>45586</v>
      </c>
      <c r="U1176">
        <v>1</v>
      </c>
      <c r="V1176">
        <v>2024</v>
      </c>
      <c r="X1176">
        <f t="shared" si="54"/>
        <v>8.0398823999999998</v>
      </c>
      <c r="Y1176">
        <f t="shared" si="55"/>
        <v>7.5898823999999996</v>
      </c>
      <c r="Z1176">
        <f t="shared" si="56"/>
        <v>77.099882399999998</v>
      </c>
    </row>
    <row r="1177" spans="1:26" x14ac:dyDescent="0.3">
      <c r="A1177" t="s">
        <v>1267</v>
      </c>
      <c r="B1177" t="s">
        <v>107</v>
      </c>
      <c r="C1177" t="s">
        <v>56</v>
      </c>
      <c r="D1177" t="s">
        <v>57</v>
      </c>
      <c r="E1177">
        <v>23</v>
      </c>
      <c r="F1177" s="3">
        <v>8.6999999999999993</v>
      </c>
      <c r="G1177" s="4">
        <v>89.5</v>
      </c>
      <c r="H1177">
        <v>1</v>
      </c>
      <c r="I1177">
        <v>1</v>
      </c>
      <c r="J1177">
        <v>4</v>
      </c>
      <c r="K1177" s="4">
        <v>54.2</v>
      </c>
      <c r="L1177" s="4">
        <v>54.8</v>
      </c>
      <c r="M1177" s="4">
        <v>78.2</v>
      </c>
      <c r="N1177">
        <v>0</v>
      </c>
      <c r="O1177" t="s">
        <v>58</v>
      </c>
      <c r="P1177" t="s">
        <v>90</v>
      </c>
      <c r="Q1177" t="s">
        <v>60</v>
      </c>
      <c r="R1177" t="s">
        <v>130</v>
      </c>
      <c r="S1177" s="3">
        <v>7.31</v>
      </c>
      <c r="T1177" s="5">
        <v>44431</v>
      </c>
      <c r="U1177">
        <v>1</v>
      </c>
      <c r="V1177">
        <v>2021</v>
      </c>
      <c r="X1177">
        <f t="shared" si="54"/>
        <v>8.6998822999999987</v>
      </c>
      <c r="Y1177">
        <f t="shared" si="55"/>
        <v>7.3098822999999999</v>
      </c>
      <c r="Z1177">
        <f t="shared" si="56"/>
        <v>54.7998823</v>
      </c>
    </row>
    <row r="1178" spans="1:26" x14ac:dyDescent="0.3">
      <c r="A1178" t="s">
        <v>1268</v>
      </c>
      <c r="B1178" t="s">
        <v>82</v>
      </c>
      <c r="C1178" t="s">
        <v>89</v>
      </c>
      <c r="D1178" t="s">
        <v>57</v>
      </c>
      <c r="E1178">
        <v>20</v>
      </c>
      <c r="F1178" s="3">
        <v>8.11</v>
      </c>
      <c r="G1178" s="4">
        <v>92</v>
      </c>
      <c r="H1178">
        <v>2</v>
      </c>
      <c r="I1178">
        <v>0</v>
      </c>
      <c r="J1178">
        <v>6</v>
      </c>
      <c r="K1178" s="4">
        <v>50.2</v>
      </c>
      <c r="L1178" s="4">
        <v>72.3</v>
      </c>
      <c r="M1178" s="4">
        <v>84.1</v>
      </c>
      <c r="N1178">
        <v>1</v>
      </c>
      <c r="O1178" t="s">
        <v>58</v>
      </c>
      <c r="P1178" t="s">
        <v>79</v>
      </c>
      <c r="Q1178" t="s">
        <v>71</v>
      </c>
      <c r="R1178" t="s">
        <v>80</v>
      </c>
      <c r="S1178" s="3">
        <v>6.64</v>
      </c>
      <c r="T1178" s="5">
        <v>44872</v>
      </c>
      <c r="U1178">
        <v>3</v>
      </c>
      <c r="V1178">
        <v>2022</v>
      </c>
      <c r="X1178">
        <f t="shared" si="54"/>
        <v>8.1098821999999995</v>
      </c>
      <c r="Y1178">
        <f t="shared" si="55"/>
        <v>6.6398821999999997</v>
      </c>
      <c r="Z1178">
        <f t="shared" si="56"/>
        <v>72.299882199999999</v>
      </c>
    </row>
    <row r="1179" spans="1:26" x14ac:dyDescent="0.3">
      <c r="A1179" t="s">
        <v>1269</v>
      </c>
      <c r="B1179" t="s">
        <v>107</v>
      </c>
      <c r="C1179" t="s">
        <v>68</v>
      </c>
      <c r="D1179" t="s">
        <v>69</v>
      </c>
      <c r="E1179">
        <v>22</v>
      </c>
      <c r="F1179" s="3">
        <v>7.27</v>
      </c>
      <c r="G1179" s="4">
        <v>77.900000000000006</v>
      </c>
      <c r="H1179">
        <v>0</v>
      </c>
      <c r="I1179">
        <v>1</v>
      </c>
      <c r="J1179">
        <v>5</v>
      </c>
      <c r="K1179" s="4">
        <v>60.4</v>
      </c>
      <c r="L1179" s="4">
        <v>66.8</v>
      </c>
      <c r="M1179" s="4">
        <v>71.7</v>
      </c>
      <c r="N1179">
        <v>1</v>
      </c>
      <c r="O1179" t="s">
        <v>58</v>
      </c>
      <c r="P1179" t="s">
        <v>79</v>
      </c>
      <c r="Q1179" t="s">
        <v>71</v>
      </c>
      <c r="R1179" t="s">
        <v>130</v>
      </c>
      <c r="S1179" s="3">
        <v>5.4</v>
      </c>
      <c r="T1179" s="5">
        <v>44426</v>
      </c>
      <c r="U1179">
        <v>2</v>
      </c>
      <c r="V1179">
        <v>2021</v>
      </c>
      <c r="X1179">
        <f t="shared" si="54"/>
        <v>7.2698820999999993</v>
      </c>
      <c r="Y1179">
        <f t="shared" si="55"/>
        <v>5.3998821000000001</v>
      </c>
      <c r="Z1179">
        <f t="shared" si="56"/>
        <v>66.799882099999991</v>
      </c>
    </row>
    <row r="1180" spans="1:26" x14ac:dyDescent="0.3">
      <c r="A1180" t="s">
        <v>1270</v>
      </c>
      <c r="B1180" t="s">
        <v>63</v>
      </c>
      <c r="C1180" t="s">
        <v>101</v>
      </c>
      <c r="D1180" t="s">
        <v>69</v>
      </c>
      <c r="E1180">
        <v>23</v>
      </c>
      <c r="F1180" s="3">
        <v>7.22</v>
      </c>
      <c r="G1180" s="4">
        <v>69.5</v>
      </c>
      <c r="H1180">
        <v>1</v>
      </c>
      <c r="I1180">
        <v>2</v>
      </c>
      <c r="J1180">
        <v>3</v>
      </c>
      <c r="K1180" s="4">
        <v>100</v>
      </c>
      <c r="L1180" s="4">
        <v>39</v>
      </c>
      <c r="M1180" s="4">
        <v>92.1</v>
      </c>
      <c r="N1180">
        <v>2</v>
      </c>
      <c r="O1180" t="s">
        <v>58</v>
      </c>
      <c r="P1180" t="s">
        <v>70</v>
      </c>
      <c r="Q1180" t="s">
        <v>71</v>
      </c>
      <c r="R1180" t="s">
        <v>109</v>
      </c>
      <c r="S1180" s="3">
        <v>3.59</v>
      </c>
      <c r="T1180" s="5">
        <v>45943</v>
      </c>
      <c r="U1180">
        <v>2</v>
      </c>
      <c r="V1180">
        <v>2025</v>
      </c>
      <c r="X1180">
        <f t="shared" si="54"/>
        <v>7.2198820000000001</v>
      </c>
      <c r="Y1180">
        <f t="shared" si="55"/>
        <v>3.5898819999999998</v>
      </c>
      <c r="Z1180">
        <f t="shared" si="56"/>
        <v>38.999881999999999</v>
      </c>
    </row>
    <row r="1181" spans="1:26" x14ac:dyDescent="0.3">
      <c r="A1181" t="s">
        <v>1271</v>
      </c>
      <c r="B1181" t="s">
        <v>107</v>
      </c>
      <c r="C1181" t="s">
        <v>78</v>
      </c>
      <c r="D1181" t="s">
        <v>57</v>
      </c>
      <c r="E1181">
        <v>22</v>
      </c>
      <c r="F1181" s="3">
        <v>7.57</v>
      </c>
      <c r="G1181" s="4">
        <v>93.1</v>
      </c>
      <c r="H1181">
        <v>1</v>
      </c>
      <c r="I1181">
        <v>1</v>
      </c>
      <c r="J1181">
        <v>4</v>
      </c>
      <c r="K1181" s="4">
        <v>52.7</v>
      </c>
      <c r="L1181" s="4">
        <v>50.3</v>
      </c>
      <c r="M1181" s="4">
        <v>80.599999999999994</v>
      </c>
      <c r="N1181">
        <v>1</v>
      </c>
      <c r="O1181" t="s">
        <v>58</v>
      </c>
      <c r="P1181" t="s">
        <v>112</v>
      </c>
      <c r="Q1181" t="s">
        <v>93</v>
      </c>
      <c r="R1181" t="s">
        <v>61</v>
      </c>
      <c r="S1181" s="3">
        <v>6.4</v>
      </c>
      <c r="T1181" s="5">
        <v>44523</v>
      </c>
      <c r="U1181">
        <v>1</v>
      </c>
      <c r="V1181">
        <v>2021</v>
      </c>
      <c r="X1181">
        <f t="shared" si="54"/>
        <v>7.5698819000000004</v>
      </c>
      <c r="Y1181">
        <f t="shared" si="55"/>
        <v>6.3998819000000005</v>
      </c>
      <c r="Z1181">
        <f t="shared" si="56"/>
        <v>50.299881899999995</v>
      </c>
    </row>
    <row r="1182" spans="1:26" x14ac:dyDescent="0.3">
      <c r="A1182" t="s">
        <v>1272</v>
      </c>
      <c r="B1182" t="s">
        <v>82</v>
      </c>
      <c r="C1182" t="s">
        <v>78</v>
      </c>
      <c r="D1182" t="s">
        <v>69</v>
      </c>
      <c r="E1182">
        <v>21</v>
      </c>
      <c r="F1182" s="3">
        <v>8.65</v>
      </c>
      <c r="G1182" s="4">
        <v>74.099999999999994</v>
      </c>
      <c r="H1182">
        <v>1</v>
      </c>
      <c r="I1182">
        <v>1</v>
      </c>
      <c r="J1182">
        <v>5</v>
      </c>
      <c r="K1182" s="4">
        <v>85.6</v>
      </c>
      <c r="L1182" s="4">
        <v>80.8</v>
      </c>
      <c r="M1182" s="4">
        <v>52.2</v>
      </c>
      <c r="N1182">
        <v>0</v>
      </c>
      <c r="O1182" t="s">
        <v>58</v>
      </c>
      <c r="P1182" t="s">
        <v>79</v>
      </c>
      <c r="Q1182" t="s">
        <v>71</v>
      </c>
      <c r="R1182" t="s">
        <v>130</v>
      </c>
      <c r="S1182" s="3">
        <v>8.1</v>
      </c>
      <c r="T1182" s="5">
        <v>44839</v>
      </c>
      <c r="U1182">
        <v>2</v>
      </c>
      <c r="V1182">
        <v>2022</v>
      </c>
      <c r="X1182">
        <f t="shared" si="54"/>
        <v>8.6498818000000011</v>
      </c>
      <c r="Y1182">
        <f t="shared" si="55"/>
        <v>8.0998818000000004</v>
      </c>
      <c r="Z1182">
        <f t="shared" si="56"/>
        <v>80.799881799999994</v>
      </c>
    </row>
    <row r="1183" spans="1:26" x14ac:dyDescent="0.3">
      <c r="A1183" t="s">
        <v>1273</v>
      </c>
      <c r="B1183" t="s">
        <v>55</v>
      </c>
      <c r="C1183" t="s">
        <v>74</v>
      </c>
      <c r="D1183" t="s">
        <v>69</v>
      </c>
      <c r="E1183">
        <v>23</v>
      </c>
      <c r="F1183" s="3">
        <v>6.97</v>
      </c>
      <c r="G1183" s="4">
        <v>78.400000000000006</v>
      </c>
      <c r="H1183">
        <v>2</v>
      </c>
      <c r="I1183">
        <v>2</v>
      </c>
      <c r="J1183">
        <v>3</v>
      </c>
      <c r="K1183" s="4">
        <v>57.4</v>
      </c>
      <c r="L1183" s="4">
        <v>79.8</v>
      </c>
      <c r="M1183" s="4">
        <v>52.3</v>
      </c>
      <c r="N1183">
        <v>0</v>
      </c>
      <c r="O1183" t="s">
        <v>58</v>
      </c>
      <c r="P1183" t="s">
        <v>87</v>
      </c>
      <c r="Q1183" t="s">
        <v>71</v>
      </c>
      <c r="R1183" t="s">
        <v>130</v>
      </c>
      <c r="S1183" s="3">
        <v>5.8</v>
      </c>
      <c r="T1183" s="5">
        <v>45518</v>
      </c>
      <c r="U1183">
        <v>2</v>
      </c>
      <c r="V1183">
        <v>2024</v>
      </c>
      <c r="X1183">
        <f t="shared" si="54"/>
        <v>6.9698817000000002</v>
      </c>
      <c r="Y1183">
        <f t="shared" si="55"/>
        <v>5.7998817000000003</v>
      </c>
      <c r="Z1183">
        <f t="shared" si="56"/>
        <v>79.7998817</v>
      </c>
    </row>
    <row r="1184" spans="1:26" x14ac:dyDescent="0.3">
      <c r="A1184" t="s">
        <v>1274</v>
      </c>
      <c r="B1184" t="s">
        <v>63</v>
      </c>
      <c r="C1184" t="s">
        <v>101</v>
      </c>
      <c r="D1184" t="s">
        <v>69</v>
      </c>
      <c r="E1184">
        <v>20</v>
      </c>
      <c r="F1184" s="3">
        <v>8</v>
      </c>
      <c r="G1184" s="4">
        <v>72.3</v>
      </c>
      <c r="H1184">
        <v>2</v>
      </c>
      <c r="I1184">
        <v>4</v>
      </c>
      <c r="J1184">
        <v>2</v>
      </c>
      <c r="K1184" s="4">
        <v>66.8</v>
      </c>
      <c r="L1184" s="4">
        <v>61.2</v>
      </c>
      <c r="M1184" s="4">
        <v>75.5</v>
      </c>
      <c r="N1184">
        <v>0</v>
      </c>
      <c r="O1184" t="s">
        <v>58</v>
      </c>
      <c r="P1184" t="s">
        <v>112</v>
      </c>
      <c r="Q1184" t="s">
        <v>93</v>
      </c>
      <c r="R1184" t="s">
        <v>80</v>
      </c>
      <c r="S1184" s="3">
        <v>7.78</v>
      </c>
      <c r="T1184" s="5">
        <v>45901</v>
      </c>
      <c r="U1184">
        <v>1</v>
      </c>
      <c r="V1184">
        <v>2025</v>
      </c>
      <c r="X1184">
        <f t="shared" si="54"/>
        <v>7.9998816000000001</v>
      </c>
      <c r="Y1184">
        <f t="shared" si="55"/>
        <v>7.7798816000000004</v>
      </c>
      <c r="Z1184">
        <f t="shared" si="56"/>
        <v>61.199881600000005</v>
      </c>
    </row>
    <row r="1185" spans="1:26" x14ac:dyDescent="0.3">
      <c r="A1185" t="s">
        <v>1275</v>
      </c>
      <c r="B1185" t="s">
        <v>82</v>
      </c>
      <c r="C1185" t="s">
        <v>56</v>
      </c>
      <c r="D1185" t="s">
        <v>69</v>
      </c>
      <c r="E1185">
        <v>23</v>
      </c>
      <c r="F1185" s="3">
        <v>6.24</v>
      </c>
      <c r="G1185" s="4">
        <v>84.6</v>
      </c>
      <c r="H1185">
        <v>0</v>
      </c>
      <c r="I1185">
        <v>3</v>
      </c>
      <c r="J1185">
        <v>3</v>
      </c>
      <c r="K1185" s="4">
        <v>69.7</v>
      </c>
      <c r="L1185" s="4">
        <v>61.6</v>
      </c>
      <c r="M1185" s="4">
        <v>71.2</v>
      </c>
      <c r="N1185">
        <v>0</v>
      </c>
      <c r="O1185" t="s">
        <v>58</v>
      </c>
      <c r="P1185" t="s">
        <v>70</v>
      </c>
      <c r="Q1185" t="s">
        <v>71</v>
      </c>
      <c r="R1185" t="s">
        <v>61</v>
      </c>
      <c r="S1185" s="3">
        <v>3.93</v>
      </c>
      <c r="T1185" s="5">
        <v>44803</v>
      </c>
      <c r="U1185">
        <v>1</v>
      </c>
      <c r="V1185">
        <v>2022</v>
      </c>
      <c r="X1185">
        <f t="shared" si="54"/>
        <v>6.2398815000000001</v>
      </c>
      <c r="Y1185">
        <f t="shared" si="55"/>
        <v>3.9298815</v>
      </c>
      <c r="Z1185">
        <f t="shared" si="56"/>
        <v>61.599881500000002</v>
      </c>
    </row>
    <row r="1186" spans="1:26" x14ac:dyDescent="0.3">
      <c r="A1186" t="s">
        <v>1276</v>
      </c>
      <c r="B1186" t="s">
        <v>63</v>
      </c>
      <c r="C1186" t="s">
        <v>56</v>
      </c>
      <c r="D1186" t="s">
        <v>69</v>
      </c>
      <c r="E1186">
        <v>20</v>
      </c>
      <c r="F1186" s="3">
        <v>8.19</v>
      </c>
      <c r="G1186" s="4">
        <v>75.099999999999994</v>
      </c>
      <c r="H1186">
        <v>1</v>
      </c>
      <c r="I1186">
        <v>4</v>
      </c>
      <c r="J1186">
        <v>2</v>
      </c>
      <c r="K1186" s="4">
        <v>67.099999999999994</v>
      </c>
      <c r="L1186" s="4">
        <v>53</v>
      </c>
      <c r="M1186" s="4">
        <v>76.7</v>
      </c>
      <c r="N1186">
        <v>0</v>
      </c>
      <c r="O1186" t="s">
        <v>58</v>
      </c>
      <c r="P1186" t="s">
        <v>87</v>
      </c>
      <c r="Q1186" t="s">
        <v>71</v>
      </c>
      <c r="R1186" t="s">
        <v>130</v>
      </c>
      <c r="S1186" s="3">
        <v>5.55</v>
      </c>
      <c r="T1186" s="5">
        <v>45888</v>
      </c>
      <c r="U1186">
        <v>2</v>
      </c>
      <c r="V1186">
        <v>2025</v>
      </c>
      <c r="X1186">
        <f t="shared" si="54"/>
        <v>8.1898813999999991</v>
      </c>
      <c r="Y1186">
        <f t="shared" si="55"/>
        <v>5.5498813999999994</v>
      </c>
      <c r="Z1186">
        <f t="shared" si="56"/>
        <v>52.9998814</v>
      </c>
    </row>
    <row r="1187" spans="1:26" x14ac:dyDescent="0.3">
      <c r="A1187" t="s">
        <v>1277</v>
      </c>
      <c r="B1187" t="s">
        <v>67</v>
      </c>
      <c r="C1187" t="s">
        <v>74</v>
      </c>
      <c r="D1187" t="s">
        <v>57</v>
      </c>
      <c r="E1187">
        <v>22</v>
      </c>
      <c r="F1187" s="3">
        <v>8.33</v>
      </c>
      <c r="G1187" s="4">
        <v>88.3</v>
      </c>
      <c r="H1187">
        <v>1</v>
      </c>
      <c r="I1187">
        <v>2</v>
      </c>
      <c r="J1187">
        <v>3</v>
      </c>
      <c r="K1187" s="4">
        <v>68.8</v>
      </c>
      <c r="L1187" s="4">
        <v>84.8</v>
      </c>
      <c r="M1187" s="4">
        <v>70</v>
      </c>
      <c r="N1187">
        <v>0</v>
      </c>
      <c r="O1187" t="s">
        <v>58</v>
      </c>
      <c r="P1187" t="s">
        <v>87</v>
      </c>
      <c r="Q1187" t="s">
        <v>71</v>
      </c>
      <c r="R1187" t="s">
        <v>85</v>
      </c>
      <c r="S1187" s="3">
        <v>6.88</v>
      </c>
      <c r="T1187" s="5">
        <v>45207</v>
      </c>
      <c r="U1187">
        <v>1</v>
      </c>
      <c r="V1187">
        <v>2023</v>
      </c>
      <c r="X1187">
        <f t="shared" si="54"/>
        <v>8.3298813000000003</v>
      </c>
      <c r="Y1187">
        <f t="shared" si="55"/>
        <v>6.8798813000000001</v>
      </c>
      <c r="Z1187">
        <f t="shared" si="56"/>
        <v>84.799881299999996</v>
      </c>
    </row>
    <row r="1188" spans="1:26" x14ac:dyDescent="0.3">
      <c r="A1188" t="s">
        <v>1278</v>
      </c>
      <c r="B1188" t="s">
        <v>107</v>
      </c>
      <c r="C1188" t="s">
        <v>56</v>
      </c>
      <c r="D1188" t="s">
        <v>69</v>
      </c>
      <c r="E1188">
        <v>20</v>
      </c>
      <c r="F1188" s="3">
        <v>9.4700000000000006</v>
      </c>
      <c r="G1188" s="4">
        <v>77</v>
      </c>
      <c r="H1188">
        <v>0</v>
      </c>
      <c r="I1188">
        <v>2</v>
      </c>
      <c r="J1188">
        <v>6</v>
      </c>
      <c r="K1188" s="4">
        <v>72.7</v>
      </c>
      <c r="L1188" s="4">
        <v>57.9</v>
      </c>
      <c r="M1188" s="4">
        <v>66.8</v>
      </c>
      <c r="N1188">
        <v>0</v>
      </c>
      <c r="O1188" t="s">
        <v>58</v>
      </c>
      <c r="P1188" t="s">
        <v>87</v>
      </c>
      <c r="Q1188" t="s">
        <v>71</v>
      </c>
      <c r="R1188" t="s">
        <v>76</v>
      </c>
      <c r="S1188" s="3">
        <v>7.39</v>
      </c>
      <c r="T1188" s="5">
        <v>44456</v>
      </c>
      <c r="U1188">
        <v>2</v>
      </c>
      <c r="V1188">
        <v>2021</v>
      </c>
      <c r="X1188">
        <f t="shared" si="54"/>
        <v>9.4698812000000014</v>
      </c>
      <c r="Y1188">
        <f t="shared" si="55"/>
        <v>7.3898811999999996</v>
      </c>
      <c r="Z1188">
        <f t="shared" si="56"/>
        <v>57.899881199999996</v>
      </c>
    </row>
    <row r="1189" spans="1:26" x14ac:dyDescent="0.3">
      <c r="A1189" t="s">
        <v>1279</v>
      </c>
      <c r="B1189" t="s">
        <v>67</v>
      </c>
      <c r="C1189" t="s">
        <v>56</v>
      </c>
      <c r="D1189" t="s">
        <v>57</v>
      </c>
      <c r="E1189">
        <v>21</v>
      </c>
      <c r="F1189" s="3">
        <v>8.48</v>
      </c>
      <c r="G1189" s="4">
        <v>86.8</v>
      </c>
      <c r="H1189">
        <v>2</v>
      </c>
      <c r="I1189">
        <v>3</v>
      </c>
      <c r="J1189">
        <v>5</v>
      </c>
      <c r="K1189" s="4">
        <v>47.1</v>
      </c>
      <c r="L1189" s="4">
        <v>61.4</v>
      </c>
      <c r="M1189" s="4">
        <v>65.2</v>
      </c>
      <c r="N1189">
        <v>0</v>
      </c>
      <c r="O1189" t="s">
        <v>58</v>
      </c>
      <c r="P1189" t="s">
        <v>79</v>
      </c>
      <c r="Q1189" t="s">
        <v>71</v>
      </c>
      <c r="R1189" t="s">
        <v>85</v>
      </c>
      <c r="S1189" s="3">
        <v>6.45</v>
      </c>
      <c r="T1189" s="5">
        <v>45234</v>
      </c>
      <c r="U1189">
        <v>1</v>
      </c>
      <c r="V1189">
        <v>2023</v>
      </c>
      <c r="X1189">
        <f t="shared" si="54"/>
        <v>8.4798811000000001</v>
      </c>
      <c r="Y1189">
        <f t="shared" si="55"/>
        <v>6.4498810999999998</v>
      </c>
      <c r="Z1189">
        <f t="shared" si="56"/>
        <v>61.399881100000002</v>
      </c>
    </row>
    <row r="1190" spans="1:26" x14ac:dyDescent="0.3">
      <c r="A1190" t="s">
        <v>1280</v>
      </c>
      <c r="B1190" t="s">
        <v>82</v>
      </c>
      <c r="C1190" t="s">
        <v>101</v>
      </c>
      <c r="D1190" t="s">
        <v>69</v>
      </c>
      <c r="E1190">
        <v>21</v>
      </c>
      <c r="F1190" s="3">
        <v>7.29</v>
      </c>
      <c r="G1190" s="4">
        <v>73.7</v>
      </c>
      <c r="H1190">
        <v>1</v>
      </c>
      <c r="I1190">
        <v>1</v>
      </c>
      <c r="J1190">
        <v>4</v>
      </c>
      <c r="K1190" s="4">
        <v>66.099999999999994</v>
      </c>
      <c r="L1190" s="4">
        <v>85.2</v>
      </c>
      <c r="M1190" s="4">
        <v>73.3</v>
      </c>
      <c r="N1190">
        <v>0</v>
      </c>
      <c r="O1190" t="s">
        <v>64</v>
      </c>
      <c r="P1190" t="s">
        <v>65</v>
      </c>
      <c r="S1190" s="3">
        <v>0</v>
      </c>
      <c r="T1190" s="5"/>
      <c r="U1190">
        <v>0</v>
      </c>
      <c r="V1190">
        <v>2022</v>
      </c>
      <c r="X1190">
        <f t="shared" si="54"/>
        <v>7.2898810000000003</v>
      </c>
      <c r="Y1190">
        <f t="shared" si="55"/>
        <v>-1.1899999999999999E-4</v>
      </c>
      <c r="Z1190">
        <f t="shared" si="56"/>
        <v>85.199881000000005</v>
      </c>
    </row>
    <row r="1191" spans="1:26" x14ac:dyDescent="0.3">
      <c r="A1191" t="s">
        <v>1281</v>
      </c>
      <c r="B1191" t="s">
        <v>55</v>
      </c>
      <c r="C1191" t="s">
        <v>84</v>
      </c>
      <c r="D1191" t="s">
        <v>57</v>
      </c>
      <c r="E1191">
        <v>21</v>
      </c>
      <c r="F1191" s="3">
        <v>6.27</v>
      </c>
      <c r="G1191" s="4">
        <v>93</v>
      </c>
      <c r="H1191">
        <v>2</v>
      </c>
      <c r="I1191">
        <v>0</v>
      </c>
      <c r="J1191">
        <v>3</v>
      </c>
      <c r="K1191" s="4">
        <v>67.2</v>
      </c>
      <c r="L1191" s="4">
        <v>84.9</v>
      </c>
      <c r="M1191" s="4">
        <v>84.1</v>
      </c>
      <c r="N1191">
        <v>1</v>
      </c>
      <c r="O1191" t="s">
        <v>58</v>
      </c>
      <c r="P1191" t="s">
        <v>112</v>
      </c>
      <c r="Q1191" t="s">
        <v>93</v>
      </c>
      <c r="R1191" t="s">
        <v>109</v>
      </c>
      <c r="S1191" s="3">
        <v>7.58</v>
      </c>
      <c r="T1191" s="5">
        <v>45509</v>
      </c>
      <c r="U1191">
        <v>2</v>
      </c>
      <c r="V1191">
        <v>2024</v>
      </c>
      <c r="X1191">
        <f t="shared" si="54"/>
        <v>6.2698808999999995</v>
      </c>
      <c r="Y1191">
        <f t="shared" si="55"/>
        <v>7.5798809</v>
      </c>
      <c r="Z1191">
        <f t="shared" si="56"/>
        <v>84.899880899999999</v>
      </c>
    </row>
    <row r="1192" spans="1:26" x14ac:dyDescent="0.3">
      <c r="A1192" t="s">
        <v>1282</v>
      </c>
      <c r="B1192" t="s">
        <v>63</v>
      </c>
      <c r="C1192" t="s">
        <v>74</v>
      </c>
      <c r="D1192" t="s">
        <v>69</v>
      </c>
      <c r="E1192">
        <v>23</v>
      </c>
      <c r="F1192" s="3">
        <v>8.11</v>
      </c>
      <c r="G1192" s="4">
        <v>77.5</v>
      </c>
      <c r="H1192">
        <v>1</v>
      </c>
      <c r="I1192">
        <v>1</v>
      </c>
      <c r="J1192">
        <v>3</v>
      </c>
      <c r="K1192" s="4">
        <v>75.8</v>
      </c>
      <c r="L1192" s="4">
        <v>67.3</v>
      </c>
      <c r="M1192" s="4">
        <v>61.1</v>
      </c>
      <c r="N1192">
        <v>0</v>
      </c>
      <c r="O1192" t="s">
        <v>58</v>
      </c>
      <c r="P1192" t="s">
        <v>87</v>
      </c>
      <c r="Q1192" t="s">
        <v>71</v>
      </c>
      <c r="R1192" t="s">
        <v>130</v>
      </c>
      <c r="S1192" s="3">
        <v>7.12</v>
      </c>
      <c r="T1192" s="5">
        <v>45947</v>
      </c>
      <c r="U1192">
        <v>1</v>
      </c>
      <c r="V1192">
        <v>2025</v>
      </c>
      <c r="X1192">
        <f t="shared" si="54"/>
        <v>8.1098807999999991</v>
      </c>
      <c r="Y1192">
        <f t="shared" si="55"/>
        <v>7.1198807999999998</v>
      </c>
      <c r="Z1192">
        <f t="shared" si="56"/>
        <v>67.299880799999997</v>
      </c>
    </row>
    <row r="1193" spans="1:26" x14ac:dyDescent="0.3">
      <c r="A1193" t="s">
        <v>1283</v>
      </c>
      <c r="B1193" t="s">
        <v>107</v>
      </c>
      <c r="C1193" t="s">
        <v>74</v>
      </c>
      <c r="D1193" t="s">
        <v>57</v>
      </c>
      <c r="E1193">
        <v>21</v>
      </c>
      <c r="F1193" s="3">
        <v>7.36</v>
      </c>
      <c r="G1193" s="4">
        <v>82.8</v>
      </c>
      <c r="H1193">
        <v>1</v>
      </c>
      <c r="I1193">
        <v>1</v>
      </c>
      <c r="J1193">
        <v>4</v>
      </c>
      <c r="K1193" s="4">
        <v>64.099999999999994</v>
      </c>
      <c r="L1193" s="4">
        <v>70.2</v>
      </c>
      <c r="M1193" s="4">
        <v>72.3</v>
      </c>
      <c r="N1193">
        <v>0</v>
      </c>
      <c r="O1193" t="s">
        <v>58</v>
      </c>
      <c r="P1193" t="s">
        <v>90</v>
      </c>
      <c r="Q1193" t="s">
        <v>60</v>
      </c>
      <c r="R1193" t="s">
        <v>61</v>
      </c>
      <c r="S1193" s="3">
        <v>7.69</v>
      </c>
      <c r="T1193" s="5">
        <v>44447</v>
      </c>
      <c r="U1193">
        <v>1</v>
      </c>
      <c r="V1193">
        <v>2021</v>
      </c>
      <c r="X1193">
        <f t="shared" si="54"/>
        <v>7.3598807000000006</v>
      </c>
      <c r="Y1193">
        <f t="shared" si="55"/>
        <v>7.6898807000000007</v>
      </c>
      <c r="Z1193">
        <f t="shared" si="56"/>
        <v>70.199880700000008</v>
      </c>
    </row>
    <row r="1194" spans="1:26" x14ac:dyDescent="0.3">
      <c r="A1194" t="s">
        <v>1284</v>
      </c>
      <c r="B1194" t="s">
        <v>63</v>
      </c>
      <c r="C1194" t="s">
        <v>74</v>
      </c>
      <c r="D1194" t="s">
        <v>57</v>
      </c>
      <c r="E1194">
        <v>21</v>
      </c>
      <c r="F1194" s="3">
        <v>7.95</v>
      </c>
      <c r="G1194" s="4">
        <v>71.3</v>
      </c>
      <c r="H1194">
        <v>0</v>
      </c>
      <c r="I1194">
        <v>2</v>
      </c>
      <c r="J1194">
        <v>4</v>
      </c>
      <c r="K1194" s="4">
        <v>75.400000000000006</v>
      </c>
      <c r="L1194" s="4">
        <v>77.099999999999994</v>
      </c>
      <c r="M1194" s="4">
        <v>91.1</v>
      </c>
      <c r="N1194">
        <v>0</v>
      </c>
      <c r="O1194" t="s">
        <v>64</v>
      </c>
      <c r="P1194" t="s">
        <v>65</v>
      </c>
      <c r="S1194" s="3">
        <v>0</v>
      </c>
      <c r="T1194" s="5"/>
      <c r="U1194">
        <v>0</v>
      </c>
      <c r="V1194">
        <v>2025</v>
      </c>
      <c r="X1194">
        <f t="shared" si="54"/>
        <v>7.9498806000000002</v>
      </c>
      <c r="Y1194">
        <f t="shared" si="55"/>
        <v>-1.1939999999999999E-4</v>
      </c>
      <c r="Z1194">
        <f t="shared" si="56"/>
        <v>77.099880599999992</v>
      </c>
    </row>
    <row r="1195" spans="1:26" x14ac:dyDescent="0.3">
      <c r="A1195" t="s">
        <v>1285</v>
      </c>
      <c r="B1195" t="s">
        <v>82</v>
      </c>
      <c r="C1195" t="s">
        <v>74</v>
      </c>
      <c r="D1195" t="s">
        <v>57</v>
      </c>
      <c r="E1195">
        <v>23</v>
      </c>
      <c r="F1195" s="3">
        <v>7</v>
      </c>
      <c r="G1195" s="4">
        <v>81.900000000000006</v>
      </c>
      <c r="H1195">
        <v>0</v>
      </c>
      <c r="I1195">
        <v>2</v>
      </c>
      <c r="J1195">
        <v>5</v>
      </c>
      <c r="K1195" s="4">
        <v>58.9</v>
      </c>
      <c r="L1195" s="4">
        <v>63.9</v>
      </c>
      <c r="M1195" s="4">
        <v>53.1</v>
      </c>
      <c r="N1195">
        <v>1</v>
      </c>
      <c r="O1195" t="s">
        <v>58</v>
      </c>
      <c r="P1195" t="s">
        <v>95</v>
      </c>
      <c r="Q1195" t="s">
        <v>93</v>
      </c>
      <c r="R1195" t="s">
        <v>85</v>
      </c>
      <c r="S1195" s="3">
        <v>6.04</v>
      </c>
      <c r="T1195" s="5">
        <v>44816</v>
      </c>
      <c r="U1195">
        <v>3</v>
      </c>
      <c r="V1195">
        <v>2022</v>
      </c>
      <c r="X1195">
        <f t="shared" si="54"/>
        <v>6.9998804999999997</v>
      </c>
      <c r="Y1195">
        <f t="shared" si="55"/>
        <v>6.0398804999999998</v>
      </c>
      <c r="Z1195">
        <f t="shared" si="56"/>
        <v>63.899880500000002</v>
      </c>
    </row>
    <row r="1196" spans="1:26" x14ac:dyDescent="0.3">
      <c r="A1196" t="s">
        <v>1286</v>
      </c>
      <c r="B1196" t="s">
        <v>63</v>
      </c>
      <c r="C1196" t="s">
        <v>56</v>
      </c>
      <c r="D1196" t="s">
        <v>69</v>
      </c>
      <c r="E1196">
        <v>22</v>
      </c>
      <c r="F1196" s="3">
        <v>7.49</v>
      </c>
      <c r="G1196" s="4">
        <v>71.599999999999994</v>
      </c>
      <c r="H1196">
        <v>2</v>
      </c>
      <c r="I1196">
        <v>0</v>
      </c>
      <c r="J1196">
        <v>6</v>
      </c>
      <c r="K1196" s="4">
        <v>60.3</v>
      </c>
      <c r="L1196" s="4">
        <v>68.5</v>
      </c>
      <c r="M1196" s="4">
        <v>81.7</v>
      </c>
      <c r="N1196">
        <v>0</v>
      </c>
      <c r="O1196" t="s">
        <v>58</v>
      </c>
      <c r="P1196" t="s">
        <v>104</v>
      </c>
      <c r="Q1196" t="s">
        <v>105</v>
      </c>
      <c r="R1196" t="s">
        <v>61</v>
      </c>
      <c r="S1196" s="3">
        <v>16.77</v>
      </c>
      <c r="T1196" s="5">
        <v>45888</v>
      </c>
      <c r="U1196">
        <v>1</v>
      </c>
      <c r="V1196">
        <v>2025</v>
      </c>
      <c r="X1196">
        <f t="shared" si="54"/>
        <v>7.4898804000000005</v>
      </c>
      <c r="Y1196">
        <f t="shared" si="55"/>
        <v>16.769880399999998</v>
      </c>
      <c r="Z1196">
        <f t="shared" si="56"/>
        <v>68.499880399999995</v>
      </c>
    </row>
    <row r="1197" spans="1:26" x14ac:dyDescent="0.3">
      <c r="A1197" t="s">
        <v>1287</v>
      </c>
      <c r="B1197" t="s">
        <v>107</v>
      </c>
      <c r="C1197" t="s">
        <v>84</v>
      </c>
      <c r="D1197" t="s">
        <v>69</v>
      </c>
      <c r="E1197">
        <v>21</v>
      </c>
      <c r="F1197" s="3">
        <v>6.12</v>
      </c>
      <c r="G1197" s="4">
        <v>81.599999999999994</v>
      </c>
      <c r="H1197">
        <v>0</v>
      </c>
      <c r="I1197">
        <v>4</v>
      </c>
      <c r="J1197">
        <v>3</v>
      </c>
      <c r="K1197" s="4">
        <v>72.400000000000006</v>
      </c>
      <c r="L1197" s="4">
        <v>67.099999999999994</v>
      </c>
      <c r="M1197" s="4">
        <v>71.5</v>
      </c>
      <c r="N1197">
        <v>0</v>
      </c>
      <c r="O1197" t="s">
        <v>58</v>
      </c>
      <c r="P1197" t="s">
        <v>75</v>
      </c>
      <c r="Q1197" t="s">
        <v>71</v>
      </c>
      <c r="R1197" t="s">
        <v>109</v>
      </c>
      <c r="S1197" s="3">
        <v>5.65</v>
      </c>
      <c r="T1197" s="5">
        <v>44483</v>
      </c>
      <c r="U1197">
        <v>2</v>
      </c>
      <c r="V1197">
        <v>2021</v>
      </c>
      <c r="X1197">
        <f t="shared" si="54"/>
        <v>6.1198803000000002</v>
      </c>
      <c r="Y1197">
        <f t="shared" si="55"/>
        <v>5.6498803000000004</v>
      </c>
      <c r="Z1197">
        <f t="shared" si="56"/>
        <v>67.099880299999995</v>
      </c>
    </row>
    <row r="1198" spans="1:26" x14ac:dyDescent="0.3">
      <c r="A1198" t="s">
        <v>1288</v>
      </c>
      <c r="B1198" t="s">
        <v>82</v>
      </c>
      <c r="C1198" t="s">
        <v>56</v>
      </c>
      <c r="D1198" t="s">
        <v>57</v>
      </c>
      <c r="E1198">
        <v>21</v>
      </c>
      <c r="F1198" s="3">
        <v>6.71</v>
      </c>
      <c r="G1198" s="4">
        <v>73.3</v>
      </c>
      <c r="H1198">
        <v>0</v>
      </c>
      <c r="I1198">
        <v>2</v>
      </c>
      <c r="J1198">
        <v>3</v>
      </c>
      <c r="K1198" s="4">
        <v>53.6</v>
      </c>
      <c r="L1198" s="4">
        <v>80.3</v>
      </c>
      <c r="M1198" s="4">
        <v>64.599999999999994</v>
      </c>
      <c r="N1198">
        <v>0</v>
      </c>
      <c r="O1198" t="s">
        <v>58</v>
      </c>
      <c r="P1198" t="s">
        <v>75</v>
      </c>
      <c r="Q1198" t="s">
        <v>71</v>
      </c>
      <c r="R1198" t="s">
        <v>85</v>
      </c>
      <c r="S1198" s="3">
        <v>4.6500000000000004</v>
      </c>
      <c r="T1198" s="5">
        <v>44872</v>
      </c>
      <c r="U1198">
        <v>1</v>
      </c>
      <c r="V1198">
        <v>2022</v>
      </c>
      <c r="X1198">
        <f t="shared" si="54"/>
        <v>6.7098801999999997</v>
      </c>
      <c r="Y1198">
        <f t="shared" si="55"/>
        <v>4.6498802000000001</v>
      </c>
      <c r="Z1198">
        <f t="shared" si="56"/>
        <v>80.299880200000004</v>
      </c>
    </row>
    <row r="1199" spans="1:26" x14ac:dyDescent="0.3">
      <c r="A1199" t="s">
        <v>1289</v>
      </c>
      <c r="B1199" t="s">
        <v>63</v>
      </c>
      <c r="C1199" t="s">
        <v>68</v>
      </c>
      <c r="D1199" t="s">
        <v>69</v>
      </c>
      <c r="E1199">
        <v>23</v>
      </c>
      <c r="F1199" s="3">
        <v>6.58</v>
      </c>
      <c r="G1199" s="4">
        <v>80.599999999999994</v>
      </c>
      <c r="H1199">
        <v>3</v>
      </c>
      <c r="I1199">
        <v>2</v>
      </c>
      <c r="J1199">
        <v>3</v>
      </c>
      <c r="K1199" s="4">
        <v>60.1</v>
      </c>
      <c r="L1199" s="4">
        <v>91.3</v>
      </c>
      <c r="M1199" s="4">
        <v>67.3</v>
      </c>
      <c r="N1199">
        <v>1</v>
      </c>
      <c r="O1199" t="s">
        <v>58</v>
      </c>
      <c r="P1199" t="s">
        <v>104</v>
      </c>
      <c r="Q1199" t="s">
        <v>105</v>
      </c>
      <c r="R1199" t="s">
        <v>61</v>
      </c>
      <c r="S1199" s="3">
        <v>15.61</v>
      </c>
      <c r="T1199" s="5">
        <v>45908</v>
      </c>
      <c r="U1199">
        <v>3</v>
      </c>
      <c r="V1199">
        <v>2025</v>
      </c>
      <c r="X1199">
        <f t="shared" si="54"/>
        <v>6.5798801000000005</v>
      </c>
      <c r="Y1199">
        <f t="shared" si="55"/>
        <v>15.6098801</v>
      </c>
      <c r="Z1199">
        <f t="shared" si="56"/>
        <v>91.299880099999996</v>
      </c>
    </row>
    <row r="1200" spans="1:26" x14ac:dyDescent="0.3">
      <c r="A1200" t="s">
        <v>1290</v>
      </c>
      <c r="B1200" t="s">
        <v>55</v>
      </c>
      <c r="C1200" t="s">
        <v>56</v>
      </c>
      <c r="D1200" t="s">
        <v>69</v>
      </c>
      <c r="E1200">
        <v>22</v>
      </c>
      <c r="F1200" s="3">
        <v>8.44</v>
      </c>
      <c r="G1200" s="4">
        <v>86.2</v>
      </c>
      <c r="H1200">
        <v>2</v>
      </c>
      <c r="I1200">
        <v>4</v>
      </c>
      <c r="J1200">
        <v>3</v>
      </c>
      <c r="K1200" s="4">
        <v>61.1</v>
      </c>
      <c r="L1200" s="4">
        <v>87.2</v>
      </c>
      <c r="M1200" s="4">
        <v>86.4</v>
      </c>
      <c r="N1200">
        <v>1</v>
      </c>
      <c r="O1200" t="s">
        <v>58</v>
      </c>
      <c r="P1200" t="s">
        <v>79</v>
      </c>
      <c r="Q1200" t="s">
        <v>71</v>
      </c>
      <c r="R1200" t="s">
        <v>130</v>
      </c>
      <c r="S1200" s="3">
        <v>6.21</v>
      </c>
      <c r="T1200" s="5">
        <v>45614</v>
      </c>
      <c r="U1200">
        <v>2</v>
      </c>
      <c r="V1200">
        <v>2024</v>
      </c>
      <c r="X1200">
        <f t="shared" si="54"/>
        <v>8.4398799999999987</v>
      </c>
      <c r="Y1200">
        <f t="shared" si="55"/>
        <v>6.2098800000000001</v>
      </c>
      <c r="Z1200">
        <f t="shared" si="56"/>
        <v>87.199880000000007</v>
      </c>
    </row>
    <row r="1201" spans="1:26" x14ac:dyDescent="0.3">
      <c r="A1201" t="s">
        <v>1291</v>
      </c>
      <c r="B1201" t="s">
        <v>82</v>
      </c>
      <c r="C1201" t="s">
        <v>101</v>
      </c>
      <c r="D1201" t="s">
        <v>69</v>
      </c>
      <c r="E1201">
        <v>22</v>
      </c>
      <c r="F1201" s="3">
        <v>6.91</v>
      </c>
      <c r="G1201" s="4">
        <v>69.599999999999994</v>
      </c>
      <c r="H1201">
        <v>0</v>
      </c>
      <c r="I1201">
        <v>0</v>
      </c>
      <c r="J1201">
        <v>1</v>
      </c>
      <c r="K1201" s="4">
        <v>61.8</v>
      </c>
      <c r="L1201" s="4">
        <v>85.2</v>
      </c>
      <c r="M1201" s="4">
        <v>72.400000000000006</v>
      </c>
      <c r="N1201">
        <v>1</v>
      </c>
      <c r="O1201" t="s">
        <v>58</v>
      </c>
      <c r="P1201" t="s">
        <v>59</v>
      </c>
      <c r="Q1201" t="s">
        <v>60</v>
      </c>
      <c r="R1201" t="s">
        <v>80</v>
      </c>
      <c r="S1201" s="3">
        <v>20</v>
      </c>
      <c r="T1201" s="5">
        <v>44875</v>
      </c>
      <c r="U1201">
        <v>2</v>
      </c>
      <c r="V1201">
        <v>2022</v>
      </c>
      <c r="X1201">
        <f t="shared" si="54"/>
        <v>6.9098799</v>
      </c>
      <c r="Y1201">
        <f t="shared" si="55"/>
        <v>19.9998799</v>
      </c>
      <c r="Z1201">
        <f t="shared" si="56"/>
        <v>85.199879899999999</v>
      </c>
    </row>
    <row r="1202" spans="1:26" x14ac:dyDescent="0.3">
      <c r="A1202" t="s">
        <v>1292</v>
      </c>
      <c r="B1202" t="s">
        <v>82</v>
      </c>
      <c r="C1202" t="s">
        <v>78</v>
      </c>
      <c r="D1202" t="s">
        <v>57</v>
      </c>
      <c r="E1202">
        <v>22</v>
      </c>
      <c r="F1202" s="3">
        <v>8.89</v>
      </c>
      <c r="G1202" s="4">
        <v>81.599999999999994</v>
      </c>
      <c r="H1202">
        <v>3</v>
      </c>
      <c r="I1202">
        <v>3</v>
      </c>
      <c r="J1202">
        <v>5</v>
      </c>
      <c r="K1202" s="4">
        <v>68.8</v>
      </c>
      <c r="L1202" s="4">
        <v>53.6</v>
      </c>
      <c r="M1202" s="4">
        <v>61.1</v>
      </c>
      <c r="N1202">
        <v>0</v>
      </c>
      <c r="O1202" t="s">
        <v>58</v>
      </c>
      <c r="P1202" t="s">
        <v>70</v>
      </c>
      <c r="Q1202" t="s">
        <v>71</v>
      </c>
      <c r="R1202" t="s">
        <v>72</v>
      </c>
      <c r="S1202" s="3">
        <v>5.64</v>
      </c>
      <c r="T1202" s="5">
        <v>44859</v>
      </c>
      <c r="U1202">
        <v>2</v>
      </c>
      <c r="V1202">
        <v>2022</v>
      </c>
      <c r="X1202">
        <f t="shared" si="54"/>
        <v>8.889879800000001</v>
      </c>
      <c r="Y1202">
        <f t="shared" si="55"/>
        <v>5.6398798000000001</v>
      </c>
      <c r="Z1202">
        <f t="shared" si="56"/>
        <v>53.599879800000004</v>
      </c>
    </row>
    <row r="1203" spans="1:26" x14ac:dyDescent="0.3">
      <c r="A1203" t="s">
        <v>1293</v>
      </c>
      <c r="B1203" t="s">
        <v>55</v>
      </c>
      <c r="C1203" t="s">
        <v>84</v>
      </c>
      <c r="D1203" t="s">
        <v>69</v>
      </c>
      <c r="E1203">
        <v>23</v>
      </c>
      <c r="F1203" s="3">
        <v>6.91</v>
      </c>
      <c r="G1203" s="4">
        <v>85.7</v>
      </c>
      <c r="H1203">
        <v>0</v>
      </c>
      <c r="I1203">
        <v>1</v>
      </c>
      <c r="J1203">
        <v>6</v>
      </c>
      <c r="K1203" s="4">
        <v>55.5</v>
      </c>
      <c r="L1203" s="4">
        <v>89.4</v>
      </c>
      <c r="M1203" s="4">
        <v>63.6</v>
      </c>
      <c r="N1203">
        <v>0</v>
      </c>
      <c r="O1203" t="s">
        <v>58</v>
      </c>
      <c r="P1203" t="s">
        <v>75</v>
      </c>
      <c r="Q1203" t="s">
        <v>71</v>
      </c>
      <c r="R1203" t="s">
        <v>85</v>
      </c>
      <c r="S1203" s="3">
        <v>5.79</v>
      </c>
      <c r="T1203" s="5">
        <v>45620</v>
      </c>
      <c r="U1203">
        <v>2</v>
      </c>
      <c r="V1203">
        <v>2024</v>
      </c>
      <c r="X1203">
        <f t="shared" si="54"/>
        <v>6.9098797000000003</v>
      </c>
      <c r="Y1203">
        <f t="shared" si="55"/>
        <v>5.7898797000000002</v>
      </c>
      <c r="Z1203">
        <f t="shared" si="56"/>
        <v>89.3998797</v>
      </c>
    </row>
    <row r="1204" spans="1:26" x14ac:dyDescent="0.3">
      <c r="A1204" t="s">
        <v>1294</v>
      </c>
      <c r="B1204" t="s">
        <v>67</v>
      </c>
      <c r="C1204" t="s">
        <v>101</v>
      </c>
      <c r="D1204" t="s">
        <v>57</v>
      </c>
      <c r="E1204">
        <v>20</v>
      </c>
      <c r="F1204" s="3">
        <v>9.5399999999999991</v>
      </c>
      <c r="G1204" s="4">
        <v>85.6</v>
      </c>
      <c r="H1204">
        <v>2</v>
      </c>
      <c r="I1204">
        <v>3</v>
      </c>
      <c r="J1204">
        <v>6</v>
      </c>
      <c r="K1204" s="4">
        <v>76.8</v>
      </c>
      <c r="L1204" s="4">
        <v>59.9</v>
      </c>
      <c r="M1204" s="4">
        <v>68</v>
      </c>
      <c r="N1204">
        <v>0</v>
      </c>
      <c r="O1204" t="s">
        <v>58</v>
      </c>
      <c r="P1204" t="s">
        <v>75</v>
      </c>
      <c r="Q1204" t="s">
        <v>71</v>
      </c>
      <c r="R1204" t="s">
        <v>109</v>
      </c>
      <c r="S1204" s="3">
        <v>6.36</v>
      </c>
      <c r="T1204" s="5">
        <v>45197</v>
      </c>
      <c r="U1204">
        <v>1</v>
      </c>
      <c r="V1204">
        <v>2023</v>
      </c>
      <c r="X1204">
        <f t="shared" si="54"/>
        <v>9.539879599999999</v>
      </c>
      <c r="Y1204">
        <f t="shared" si="55"/>
        <v>6.3598796000000002</v>
      </c>
      <c r="Z1204">
        <f t="shared" si="56"/>
        <v>59.899879599999998</v>
      </c>
    </row>
    <row r="1205" spans="1:26" x14ac:dyDescent="0.3">
      <c r="A1205" t="s">
        <v>1295</v>
      </c>
      <c r="B1205" t="s">
        <v>107</v>
      </c>
      <c r="C1205" t="s">
        <v>74</v>
      </c>
      <c r="D1205" t="s">
        <v>69</v>
      </c>
      <c r="E1205">
        <v>20</v>
      </c>
      <c r="F1205" s="3">
        <v>5.9</v>
      </c>
      <c r="G1205" s="4">
        <v>99.3</v>
      </c>
      <c r="H1205">
        <v>0</v>
      </c>
      <c r="I1205">
        <v>4</v>
      </c>
      <c r="J1205">
        <v>5</v>
      </c>
      <c r="K1205" s="4">
        <v>64.2</v>
      </c>
      <c r="L1205" s="4">
        <v>43.3</v>
      </c>
      <c r="M1205" s="4">
        <v>84.4</v>
      </c>
      <c r="N1205">
        <v>0</v>
      </c>
      <c r="O1205" t="s">
        <v>64</v>
      </c>
      <c r="P1205" t="s">
        <v>65</v>
      </c>
      <c r="S1205" s="3">
        <v>0</v>
      </c>
      <c r="T1205" s="5"/>
      <c r="U1205">
        <v>0</v>
      </c>
      <c r="V1205">
        <v>2021</v>
      </c>
      <c r="X1205">
        <f t="shared" si="54"/>
        <v>5.8998794999999999</v>
      </c>
      <c r="Y1205">
        <f t="shared" si="55"/>
        <v>-1.2049999999999999E-4</v>
      </c>
      <c r="Z1205">
        <f t="shared" si="56"/>
        <v>43.299879499999996</v>
      </c>
    </row>
    <row r="1206" spans="1:26" x14ac:dyDescent="0.3">
      <c r="A1206" t="s">
        <v>1296</v>
      </c>
      <c r="B1206" t="s">
        <v>67</v>
      </c>
      <c r="C1206" t="s">
        <v>56</v>
      </c>
      <c r="D1206" t="s">
        <v>69</v>
      </c>
      <c r="E1206">
        <v>21</v>
      </c>
      <c r="F1206" s="3">
        <v>8.0299999999999994</v>
      </c>
      <c r="G1206" s="4">
        <v>75.3</v>
      </c>
      <c r="H1206">
        <v>2</v>
      </c>
      <c r="I1206">
        <v>2</v>
      </c>
      <c r="J1206">
        <v>6</v>
      </c>
      <c r="K1206" s="4">
        <v>73.7</v>
      </c>
      <c r="L1206" s="4">
        <v>57.3</v>
      </c>
      <c r="M1206" s="4">
        <v>68</v>
      </c>
      <c r="N1206">
        <v>0</v>
      </c>
      <c r="O1206" t="s">
        <v>58</v>
      </c>
      <c r="P1206" t="s">
        <v>92</v>
      </c>
      <c r="Q1206" t="s">
        <v>93</v>
      </c>
      <c r="R1206" t="s">
        <v>72</v>
      </c>
      <c r="S1206" s="3">
        <v>9.01</v>
      </c>
      <c r="T1206" s="5">
        <v>45248</v>
      </c>
      <c r="U1206">
        <v>2</v>
      </c>
      <c r="V1206">
        <v>2023</v>
      </c>
      <c r="X1206">
        <f t="shared" si="54"/>
        <v>8.0298793999999987</v>
      </c>
      <c r="Y1206">
        <f t="shared" si="55"/>
        <v>9.0098793999999991</v>
      </c>
      <c r="Z1206">
        <f t="shared" si="56"/>
        <v>57.299879399999995</v>
      </c>
    </row>
    <row r="1207" spans="1:26" x14ac:dyDescent="0.3">
      <c r="A1207" t="s">
        <v>1297</v>
      </c>
      <c r="B1207" t="s">
        <v>63</v>
      </c>
      <c r="C1207" t="s">
        <v>78</v>
      </c>
      <c r="D1207" t="s">
        <v>69</v>
      </c>
      <c r="E1207">
        <v>21</v>
      </c>
      <c r="F1207" s="3">
        <v>7.68</v>
      </c>
      <c r="G1207" s="4">
        <v>82</v>
      </c>
      <c r="H1207">
        <v>1</v>
      </c>
      <c r="I1207">
        <v>0</v>
      </c>
      <c r="J1207">
        <v>6</v>
      </c>
      <c r="K1207" s="4">
        <v>50.8</v>
      </c>
      <c r="L1207" s="4">
        <v>68.599999999999994</v>
      </c>
      <c r="M1207" s="4">
        <v>73.7</v>
      </c>
      <c r="N1207">
        <v>0</v>
      </c>
      <c r="O1207" t="s">
        <v>58</v>
      </c>
      <c r="P1207" t="s">
        <v>90</v>
      </c>
      <c r="Q1207" t="s">
        <v>60</v>
      </c>
      <c r="R1207" t="s">
        <v>61</v>
      </c>
      <c r="S1207" s="3">
        <v>9.66</v>
      </c>
      <c r="T1207" s="5">
        <v>45963</v>
      </c>
      <c r="U1207">
        <v>1</v>
      </c>
      <c r="V1207">
        <v>2025</v>
      </c>
      <c r="X1207">
        <f t="shared" si="54"/>
        <v>7.6798792999999996</v>
      </c>
      <c r="Y1207">
        <f t="shared" si="55"/>
        <v>9.6598793000000001</v>
      </c>
      <c r="Z1207">
        <f t="shared" si="56"/>
        <v>68.599879299999998</v>
      </c>
    </row>
    <row r="1208" spans="1:26" x14ac:dyDescent="0.3">
      <c r="A1208" t="s">
        <v>1298</v>
      </c>
      <c r="B1208" t="s">
        <v>55</v>
      </c>
      <c r="C1208" t="s">
        <v>74</v>
      </c>
      <c r="D1208" t="s">
        <v>69</v>
      </c>
      <c r="E1208">
        <v>21</v>
      </c>
      <c r="F1208" s="3">
        <v>6.56</v>
      </c>
      <c r="G1208" s="4">
        <v>97.7</v>
      </c>
      <c r="H1208">
        <v>1</v>
      </c>
      <c r="I1208">
        <v>0</v>
      </c>
      <c r="J1208">
        <v>4</v>
      </c>
      <c r="K1208" s="4">
        <v>28</v>
      </c>
      <c r="L1208" s="4">
        <v>39.4</v>
      </c>
      <c r="M1208" s="4">
        <v>65.7</v>
      </c>
      <c r="N1208">
        <v>0</v>
      </c>
      <c r="O1208" t="s">
        <v>64</v>
      </c>
      <c r="P1208" t="s">
        <v>65</v>
      </c>
      <c r="S1208" s="3">
        <v>0</v>
      </c>
      <c r="T1208" s="5"/>
      <c r="U1208">
        <v>0</v>
      </c>
      <c r="V1208">
        <v>2024</v>
      </c>
      <c r="X1208">
        <f t="shared" si="54"/>
        <v>6.5598791999999992</v>
      </c>
      <c r="Y1208">
        <f t="shared" si="55"/>
        <v>-1.208E-4</v>
      </c>
      <c r="Z1208">
        <f t="shared" si="56"/>
        <v>39.399879200000001</v>
      </c>
    </row>
    <row r="1209" spans="1:26" x14ac:dyDescent="0.3">
      <c r="A1209" t="s">
        <v>1299</v>
      </c>
      <c r="B1209" t="s">
        <v>67</v>
      </c>
      <c r="C1209" t="s">
        <v>89</v>
      </c>
      <c r="D1209" t="s">
        <v>57</v>
      </c>
      <c r="E1209">
        <v>20</v>
      </c>
      <c r="F1209" s="3">
        <v>7.15</v>
      </c>
      <c r="G1209" s="4">
        <v>69.599999999999994</v>
      </c>
      <c r="H1209">
        <v>2</v>
      </c>
      <c r="I1209">
        <v>1</v>
      </c>
      <c r="J1209">
        <v>2</v>
      </c>
      <c r="K1209" s="4">
        <v>81.2</v>
      </c>
      <c r="L1209" s="4">
        <v>80.7</v>
      </c>
      <c r="M1209" s="4">
        <v>69.2</v>
      </c>
      <c r="N1209">
        <v>1</v>
      </c>
      <c r="O1209" t="s">
        <v>64</v>
      </c>
      <c r="P1209" t="s">
        <v>65</v>
      </c>
      <c r="S1209" s="3">
        <v>0</v>
      </c>
      <c r="T1209" s="5"/>
      <c r="U1209">
        <v>0</v>
      </c>
      <c r="V1209">
        <v>2023</v>
      </c>
      <c r="X1209">
        <f t="shared" si="54"/>
        <v>7.1498791000000006</v>
      </c>
      <c r="Y1209">
        <f t="shared" si="55"/>
        <v>-1.209E-4</v>
      </c>
      <c r="Z1209">
        <f t="shared" si="56"/>
        <v>80.699879100000004</v>
      </c>
    </row>
    <row r="1210" spans="1:26" x14ac:dyDescent="0.3">
      <c r="A1210" t="s">
        <v>1300</v>
      </c>
      <c r="B1210" t="s">
        <v>82</v>
      </c>
      <c r="C1210" t="s">
        <v>56</v>
      </c>
      <c r="D1210" t="s">
        <v>57</v>
      </c>
      <c r="E1210">
        <v>23</v>
      </c>
      <c r="F1210" s="3">
        <v>7.41</v>
      </c>
      <c r="G1210" s="4">
        <v>61.3</v>
      </c>
      <c r="H1210">
        <v>2</v>
      </c>
      <c r="I1210">
        <v>3</v>
      </c>
      <c r="J1210">
        <v>2</v>
      </c>
      <c r="K1210" s="4">
        <v>70.900000000000006</v>
      </c>
      <c r="L1210" s="4">
        <v>82.5</v>
      </c>
      <c r="M1210" s="4">
        <v>72.099999999999994</v>
      </c>
      <c r="N1210">
        <v>0</v>
      </c>
      <c r="O1210" t="s">
        <v>58</v>
      </c>
      <c r="P1210" t="s">
        <v>75</v>
      </c>
      <c r="Q1210" t="s">
        <v>71</v>
      </c>
      <c r="R1210" t="s">
        <v>85</v>
      </c>
      <c r="S1210" s="3">
        <v>6.74</v>
      </c>
      <c r="T1210" s="5">
        <v>44884</v>
      </c>
      <c r="U1210">
        <v>1</v>
      </c>
      <c r="V1210">
        <v>2022</v>
      </c>
      <c r="X1210">
        <f t="shared" si="54"/>
        <v>7.4098790000000001</v>
      </c>
      <c r="Y1210">
        <f t="shared" si="55"/>
        <v>6.7398790000000002</v>
      </c>
      <c r="Z1210">
        <f t="shared" si="56"/>
        <v>82.499879000000007</v>
      </c>
    </row>
    <row r="1211" spans="1:26" x14ac:dyDescent="0.3">
      <c r="A1211" t="s">
        <v>1301</v>
      </c>
      <c r="B1211" t="s">
        <v>63</v>
      </c>
      <c r="C1211" t="s">
        <v>56</v>
      </c>
      <c r="D1211" t="s">
        <v>57</v>
      </c>
      <c r="E1211">
        <v>21</v>
      </c>
      <c r="F1211" s="3">
        <v>7.87</v>
      </c>
      <c r="G1211" s="4">
        <v>86.8</v>
      </c>
      <c r="H1211">
        <v>2</v>
      </c>
      <c r="I1211">
        <v>1</v>
      </c>
      <c r="J1211">
        <v>1</v>
      </c>
      <c r="K1211" s="4">
        <v>75.7</v>
      </c>
      <c r="L1211" s="4">
        <v>64.3</v>
      </c>
      <c r="M1211" s="4">
        <v>62.8</v>
      </c>
      <c r="N1211">
        <v>1</v>
      </c>
      <c r="O1211" t="s">
        <v>58</v>
      </c>
      <c r="P1211" t="s">
        <v>70</v>
      </c>
      <c r="Q1211" t="s">
        <v>71</v>
      </c>
      <c r="R1211" t="s">
        <v>61</v>
      </c>
      <c r="S1211" s="3">
        <v>6.4</v>
      </c>
      <c r="T1211" s="5">
        <v>45919</v>
      </c>
      <c r="U1211">
        <v>3</v>
      </c>
      <c r="V1211">
        <v>2025</v>
      </c>
      <c r="X1211">
        <f t="shared" si="54"/>
        <v>7.8698788999999998</v>
      </c>
      <c r="Y1211">
        <f t="shared" si="55"/>
        <v>6.3998789</v>
      </c>
      <c r="Z1211">
        <f t="shared" si="56"/>
        <v>64.299878899999996</v>
      </c>
    </row>
    <row r="1212" spans="1:26" x14ac:dyDescent="0.3">
      <c r="A1212" t="s">
        <v>1302</v>
      </c>
      <c r="B1212" t="s">
        <v>63</v>
      </c>
      <c r="C1212" t="s">
        <v>68</v>
      </c>
      <c r="D1212" t="s">
        <v>57</v>
      </c>
      <c r="E1212">
        <v>23</v>
      </c>
      <c r="F1212" s="3">
        <v>6.81</v>
      </c>
      <c r="G1212" s="4">
        <v>91.4</v>
      </c>
      <c r="H1212">
        <v>2</v>
      </c>
      <c r="I1212">
        <v>1</v>
      </c>
      <c r="J1212">
        <v>3</v>
      </c>
      <c r="K1212" s="4">
        <v>86.4</v>
      </c>
      <c r="L1212" s="4">
        <v>52.5</v>
      </c>
      <c r="M1212" s="4">
        <v>64.599999999999994</v>
      </c>
      <c r="N1212">
        <v>0</v>
      </c>
      <c r="O1212" t="s">
        <v>58</v>
      </c>
      <c r="P1212" t="s">
        <v>75</v>
      </c>
      <c r="Q1212" t="s">
        <v>71</v>
      </c>
      <c r="R1212" t="s">
        <v>61</v>
      </c>
      <c r="S1212" s="3">
        <v>4.2300000000000004</v>
      </c>
      <c r="T1212" s="5">
        <v>45944</v>
      </c>
      <c r="U1212">
        <v>2</v>
      </c>
      <c r="V1212">
        <v>2025</v>
      </c>
      <c r="X1212">
        <f t="shared" si="54"/>
        <v>6.8098787999999999</v>
      </c>
      <c r="Y1212">
        <f t="shared" si="55"/>
        <v>4.2298788000000007</v>
      </c>
      <c r="Z1212">
        <f t="shared" si="56"/>
        <v>52.499878799999998</v>
      </c>
    </row>
    <row r="1213" spans="1:26" x14ac:dyDescent="0.3">
      <c r="A1213" t="s">
        <v>1303</v>
      </c>
      <c r="B1213" t="s">
        <v>67</v>
      </c>
      <c r="C1213" t="s">
        <v>89</v>
      </c>
      <c r="D1213" t="s">
        <v>69</v>
      </c>
      <c r="E1213">
        <v>21</v>
      </c>
      <c r="F1213" s="3">
        <v>8.0299999999999994</v>
      </c>
      <c r="G1213" s="4">
        <v>63</v>
      </c>
      <c r="H1213">
        <v>1</v>
      </c>
      <c r="I1213">
        <v>3</v>
      </c>
      <c r="J1213">
        <v>5</v>
      </c>
      <c r="K1213" s="4">
        <v>54.8</v>
      </c>
      <c r="L1213" s="4">
        <v>83.8</v>
      </c>
      <c r="M1213" s="4">
        <v>67.7</v>
      </c>
      <c r="N1213">
        <v>0</v>
      </c>
      <c r="O1213" t="s">
        <v>64</v>
      </c>
      <c r="P1213" t="s">
        <v>65</v>
      </c>
      <c r="S1213" s="3">
        <v>0</v>
      </c>
      <c r="T1213" s="5"/>
      <c r="U1213">
        <v>0</v>
      </c>
      <c r="V1213">
        <v>2023</v>
      </c>
      <c r="X1213">
        <f t="shared" si="54"/>
        <v>8.0298786999999994</v>
      </c>
      <c r="Y1213">
        <f t="shared" si="55"/>
        <v>-1.2129999999999999E-4</v>
      </c>
      <c r="Z1213">
        <f t="shared" si="56"/>
        <v>83.799878699999994</v>
      </c>
    </row>
    <row r="1214" spans="1:26" x14ac:dyDescent="0.3">
      <c r="A1214" t="s">
        <v>1304</v>
      </c>
      <c r="B1214" t="s">
        <v>67</v>
      </c>
      <c r="C1214" t="s">
        <v>78</v>
      </c>
      <c r="D1214" t="s">
        <v>69</v>
      </c>
      <c r="E1214">
        <v>23</v>
      </c>
      <c r="F1214" s="3">
        <v>7.76</v>
      </c>
      <c r="G1214" s="4">
        <v>79.099999999999994</v>
      </c>
      <c r="H1214">
        <v>1</v>
      </c>
      <c r="I1214">
        <v>0</v>
      </c>
      <c r="J1214">
        <v>4</v>
      </c>
      <c r="K1214" s="4">
        <v>42.7</v>
      </c>
      <c r="L1214" s="4">
        <v>56.1</v>
      </c>
      <c r="M1214" s="4">
        <v>92</v>
      </c>
      <c r="N1214">
        <v>0</v>
      </c>
      <c r="O1214" t="s">
        <v>58</v>
      </c>
      <c r="P1214" t="s">
        <v>112</v>
      </c>
      <c r="Q1214" t="s">
        <v>93</v>
      </c>
      <c r="R1214" t="s">
        <v>80</v>
      </c>
      <c r="S1214" s="3">
        <v>5.19</v>
      </c>
      <c r="T1214" s="5">
        <v>45148</v>
      </c>
      <c r="U1214">
        <v>2</v>
      </c>
      <c r="V1214">
        <v>2023</v>
      </c>
      <c r="X1214">
        <f t="shared" si="54"/>
        <v>7.7598785999999995</v>
      </c>
      <c r="Y1214">
        <f t="shared" si="55"/>
        <v>5.1898786000000001</v>
      </c>
      <c r="Z1214">
        <f t="shared" si="56"/>
        <v>56.099878600000004</v>
      </c>
    </row>
    <row r="1215" spans="1:26" x14ac:dyDescent="0.3">
      <c r="A1215" t="s">
        <v>1305</v>
      </c>
      <c r="B1215" t="s">
        <v>55</v>
      </c>
      <c r="C1215" t="s">
        <v>56</v>
      </c>
      <c r="D1215" t="s">
        <v>69</v>
      </c>
      <c r="E1215">
        <v>23</v>
      </c>
      <c r="F1215" s="3">
        <v>8.35</v>
      </c>
      <c r="G1215" s="4">
        <v>72.8</v>
      </c>
      <c r="H1215">
        <v>2</v>
      </c>
      <c r="I1215">
        <v>3</v>
      </c>
      <c r="J1215">
        <v>3</v>
      </c>
      <c r="K1215" s="4">
        <v>81.7</v>
      </c>
      <c r="L1215" s="4">
        <v>45.7</v>
      </c>
      <c r="M1215" s="4">
        <v>74.7</v>
      </c>
      <c r="N1215">
        <v>1</v>
      </c>
      <c r="O1215" t="s">
        <v>58</v>
      </c>
      <c r="P1215" t="s">
        <v>70</v>
      </c>
      <c r="Q1215" t="s">
        <v>71</v>
      </c>
      <c r="R1215" t="s">
        <v>61</v>
      </c>
      <c r="S1215" s="3">
        <v>5.81</v>
      </c>
      <c r="T1215" s="5">
        <v>45611</v>
      </c>
      <c r="U1215">
        <v>1</v>
      </c>
      <c r="V1215">
        <v>2024</v>
      </c>
      <c r="X1215">
        <f t="shared" si="54"/>
        <v>8.3498784999999991</v>
      </c>
      <c r="Y1215">
        <f t="shared" si="55"/>
        <v>5.8098784999999999</v>
      </c>
      <c r="Z1215">
        <f t="shared" si="56"/>
        <v>45.699878500000004</v>
      </c>
    </row>
    <row r="1216" spans="1:26" x14ac:dyDescent="0.3">
      <c r="A1216" t="s">
        <v>1306</v>
      </c>
      <c r="B1216" t="s">
        <v>107</v>
      </c>
      <c r="C1216" t="s">
        <v>68</v>
      </c>
      <c r="D1216" t="s">
        <v>57</v>
      </c>
      <c r="E1216">
        <v>20</v>
      </c>
      <c r="F1216" s="3">
        <v>6.87</v>
      </c>
      <c r="G1216" s="4">
        <v>84.8</v>
      </c>
      <c r="H1216">
        <v>2</v>
      </c>
      <c r="I1216">
        <v>1</v>
      </c>
      <c r="J1216">
        <v>2</v>
      </c>
      <c r="K1216" s="4">
        <v>77.099999999999994</v>
      </c>
      <c r="L1216" s="4">
        <v>69</v>
      </c>
      <c r="M1216" s="4">
        <v>63.3</v>
      </c>
      <c r="N1216">
        <v>0</v>
      </c>
      <c r="O1216" t="s">
        <v>64</v>
      </c>
      <c r="P1216" t="s">
        <v>65</v>
      </c>
      <c r="S1216" s="3">
        <v>0</v>
      </c>
      <c r="T1216" s="5"/>
      <c r="U1216">
        <v>0</v>
      </c>
      <c r="V1216">
        <v>2021</v>
      </c>
      <c r="X1216">
        <f t="shared" si="54"/>
        <v>6.8698784000000002</v>
      </c>
      <c r="Y1216">
        <f t="shared" si="55"/>
        <v>-1.216E-4</v>
      </c>
      <c r="Z1216">
        <f t="shared" si="56"/>
        <v>68.9998784</v>
      </c>
    </row>
    <row r="1217" spans="1:26" x14ac:dyDescent="0.3">
      <c r="A1217" t="s">
        <v>1307</v>
      </c>
      <c r="B1217" t="s">
        <v>67</v>
      </c>
      <c r="C1217" t="s">
        <v>56</v>
      </c>
      <c r="D1217" t="s">
        <v>57</v>
      </c>
      <c r="E1217">
        <v>23</v>
      </c>
      <c r="F1217" s="3">
        <v>7.28</v>
      </c>
      <c r="G1217" s="4">
        <v>81.7</v>
      </c>
      <c r="H1217">
        <v>1</v>
      </c>
      <c r="I1217">
        <v>0</v>
      </c>
      <c r="J1217">
        <v>2</v>
      </c>
      <c r="K1217" s="4">
        <v>83.5</v>
      </c>
      <c r="L1217" s="4">
        <v>70.400000000000006</v>
      </c>
      <c r="M1217" s="4">
        <v>84.1</v>
      </c>
      <c r="N1217">
        <v>0</v>
      </c>
      <c r="O1217" t="s">
        <v>64</v>
      </c>
      <c r="P1217" t="s">
        <v>65</v>
      </c>
      <c r="S1217" s="3">
        <v>0</v>
      </c>
      <c r="T1217" s="5"/>
      <c r="U1217">
        <v>0</v>
      </c>
      <c r="V1217">
        <v>2023</v>
      </c>
      <c r="X1217">
        <f t="shared" si="54"/>
        <v>7.2798783</v>
      </c>
      <c r="Y1217">
        <f t="shared" si="55"/>
        <v>-1.2169999999999999E-4</v>
      </c>
      <c r="Z1217">
        <f t="shared" si="56"/>
        <v>70.399878300000012</v>
      </c>
    </row>
    <row r="1218" spans="1:26" x14ac:dyDescent="0.3">
      <c r="A1218" t="s">
        <v>1308</v>
      </c>
      <c r="B1218" t="s">
        <v>67</v>
      </c>
      <c r="C1218" t="s">
        <v>56</v>
      </c>
      <c r="D1218" t="s">
        <v>57</v>
      </c>
      <c r="E1218">
        <v>22</v>
      </c>
      <c r="F1218" s="3">
        <v>8.9499999999999993</v>
      </c>
      <c r="G1218" s="4">
        <v>93.8</v>
      </c>
      <c r="H1218">
        <v>1</v>
      </c>
      <c r="I1218">
        <v>0</v>
      </c>
      <c r="J1218">
        <v>3</v>
      </c>
      <c r="K1218" s="4">
        <v>91.2</v>
      </c>
      <c r="L1218" s="4">
        <v>74.7</v>
      </c>
      <c r="M1218" s="4">
        <v>84.8</v>
      </c>
      <c r="N1218">
        <v>0</v>
      </c>
      <c r="O1218" t="s">
        <v>58</v>
      </c>
      <c r="P1218" t="s">
        <v>75</v>
      </c>
      <c r="Q1218" t="s">
        <v>71</v>
      </c>
      <c r="R1218" t="s">
        <v>85</v>
      </c>
      <c r="S1218" s="3">
        <v>5.9</v>
      </c>
      <c r="T1218" s="5">
        <v>45153</v>
      </c>
      <c r="U1218">
        <v>1</v>
      </c>
      <c r="V1218">
        <v>2023</v>
      </c>
      <c r="X1218">
        <f t="shared" ref="X1218:X1281" si="57">F1218-ROW()*0.0000001</f>
        <v>8.9498781999999988</v>
      </c>
      <c r="Y1218">
        <f t="shared" ref="Y1218:Y1281" si="58">S1218-ROW()*0.0000001</f>
        <v>5.8998782000000007</v>
      </c>
      <c r="Z1218">
        <f t="shared" ref="Z1218:Z1281" si="59">L1218-ROW()*0.0000001</f>
        <v>74.699878200000001</v>
      </c>
    </row>
    <row r="1219" spans="1:26" x14ac:dyDescent="0.3">
      <c r="A1219" t="s">
        <v>1309</v>
      </c>
      <c r="B1219" t="s">
        <v>82</v>
      </c>
      <c r="C1219" t="s">
        <v>68</v>
      </c>
      <c r="D1219" t="s">
        <v>57</v>
      </c>
      <c r="E1219">
        <v>20</v>
      </c>
      <c r="F1219" s="3">
        <v>6.83</v>
      </c>
      <c r="G1219" s="4">
        <v>69.900000000000006</v>
      </c>
      <c r="H1219">
        <v>1</v>
      </c>
      <c r="I1219">
        <v>4</v>
      </c>
      <c r="J1219">
        <v>2</v>
      </c>
      <c r="K1219" s="4">
        <v>51.6</v>
      </c>
      <c r="L1219" s="4">
        <v>81.5</v>
      </c>
      <c r="M1219" s="4">
        <v>63</v>
      </c>
      <c r="N1219">
        <v>0</v>
      </c>
      <c r="O1219" t="s">
        <v>58</v>
      </c>
      <c r="P1219" t="s">
        <v>112</v>
      </c>
      <c r="Q1219" t="s">
        <v>93</v>
      </c>
      <c r="R1219" t="s">
        <v>109</v>
      </c>
      <c r="S1219" s="3">
        <v>5.95</v>
      </c>
      <c r="T1219" s="5">
        <v>44833</v>
      </c>
      <c r="U1219">
        <v>1</v>
      </c>
      <c r="V1219">
        <v>2022</v>
      </c>
      <c r="X1219">
        <f t="shared" si="57"/>
        <v>6.8298781000000002</v>
      </c>
      <c r="Y1219">
        <f t="shared" si="58"/>
        <v>5.9498781000000003</v>
      </c>
      <c r="Z1219">
        <f t="shared" si="59"/>
        <v>81.499878100000004</v>
      </c>
    </row>
    <row r="1220" spans="1:26" x14ac:dyDescent="0.3">
      <c r="A1220" t="s">
        <v>1310</v>
      </c>
      <c r="B1220" t="s">
        <v>63</v>
      </c>
      <c r="C1220" t="s">
        <v>56</v>
      </c>
      <c r="D1220" t="s">
        <v>57</v>
      </c>
      <c r="E1220">
        <v>21</v>
      </c>
      <c r="F1220" s="3">
        <v>6.4</v>
      </c>
      <c r="G1220" s="4">
        <v>85.5</v>
      </c>
      <c r="H1220">
        <v>3</v>
      </c>
      <c r="I1220">
        <v>2</v>
      </c>
      <c r="J1220">
        <v>2</v>
      </c>
      <c r="K1220" s="4">
        <v>81.099999999999994</v>
      </c>
      <c r="L1220" s="4">
        <v>83.3</v>
      </c>
      <c r="M1220" s="4">
        <v>93.5</v>
      </c>
      <c r="N1220">
        <v>0</v>
      </c>
      <c r="O1220" t="s">
        <v>58</v>
      </c>
      <c r="P1220" t="s">
        <v>95</v>
      </c>
      <c r="Q1220" t="s">
        <v>93</v>
      </c>
      <c r="R1220" t="s">
        <v>72</v>
      </c>
      <c r="S1220" s="3">
        <v>6.96</v>
      </c>
      <c r="T1220" s="5">
        <v>45904</v>
      </c>
      <c r="U1220">
        <v>1</v>
      </c>
      <c r="V1220">
        <v>2025</v>
      </c>
      <c r="X1220">
        <f t="shared" si="57"/>
        <v>6.3998780000000002</v>
      </c>
      <c r="Y1220">
        <f t="shared" si="58"/>
        <v>6.9598779999999998</v>
      </c>
      <c r="Z1220">
        <f t="shared" si="59"/>
        <v>83.299877999999993</v>
      </c>
    </row>
    <row r="1221" spans="1:26" x14ac:dyDescent="0.3">
      <c r="A1221" t="s">
        <v>1311</v>
      </c>
      <c r="B1221" t="s">
        <v>107</v>
      </c>
      <c r="C1221" t="s">
        <v>56</v>
      </c>
      <c r="D1221" t="s">
        <v>69</v>
      </c>
      <c r="E1221">
        <v>20</v>
      </c>
      <c r="F1221" s="3">
        <v>7.08</v>
      </c>
      <c r="G1221" s="4">
        <v>87.6</v>
      </c>
      <c r="H1221">
        <v>1</v>
      </c>
      <c r="I1221">
        <v>1</v>
      </c>
      <c r="J1221">
        <v>3</v>
      </c>
      <c r="K1221" s="4">
        <v>64.400000000000006</v>
      </c>
      <c r="L1221" s="4">
        <v>51</v>
      </c>
      <c r="M1221" s="4">
        <v>78.599999999999994</v>
      </c>
      <c r="N1221">
        <v>0</v>
      </c>
      <c r="O1221" t="s">
        <v>64</v>
      </c>
      <c r="P1221" t="s">
        <v>65</v>
      </c>
      <c r="S1221" s="3">
        <v>0</v>
      </c>
      <c r="T1221" s="5"/>
      <c r="U1221">
        <v>0</v>
      </c>
      <c r="V1221">
        <v>2021</v>
      </c>
      <c r="X1221">
        <f t="shared" si="57"/>
        <v>7.0798779000000005</v>
      </c>
      <c r="Y1221">
        <f t="shared" si="58"/>
        <v>-1.2209999999999999E-4</v>
      </c>
      <c r="Z1221">
        <f t="shared" si="59"/>
        <v>50.999877900000001</v>
      </c>
    </row>
    <row r="1222" spans="1:26" x14ac:dyDescent="0.3">
      <c r="A1222" t="s">
        <v>1312</v>
      </c>
      <c r="B1222" t="s">
        <v>82</v>
      </c>
      <c r="C1222" t="s">
        <v>74</v>
      </c>
      <c r="D1222" t="s">
        <v>57</v>
      </c>
      <c r="E1222">
        <v>22</v>
      </c>
      <c r="F1222" s="3">
        <v>6.05</v>
      </c>
      <c r="G1222" s="4">
        <v>82.5</v>
      </c>
      <c r="H1222">
        <v>1</v>
      </c>
      <c r="I1222">
        <v>2</v>
      </c>
      <c r="J1222">
        <v>4</v>
      </c>
      <c r="K1222" s="4">
        <v>81.5</v>
      </c>
      <c r="L1222" s="4">
        <v>39.4</v>
      </c>
      <c r="M1222" s="4">
        <v>79</v>
      </c>
      <c r="N1222">
        <v>0</v>
      </c>
      <c r="O1222" t="s">
        <v>58</v>
      </c>
      <c r="P1222" t="s">
        <v>112</v>
      </c>
      <c r="Q1222" t="s">
        <v>93</v>
      </c>
      <c r="R1222" t="s">
        <v>72</v>
      </c>
      <c r="S1222" s="3">
        <v>6.02</v>
      </c>
      <c r="T1222" s="5">
        <v>44774</v>
      </c>
      <c r="U1222">
        <v>1</v>
      </c>
      <c r="V1222">
        <v>2022</v>
      </c>
      <c r="X1222">
        <f t="shared" si="57"/>
        <v>6.0498778</v>
      </c>
      <c r="Y1222">
        <f t="shared" si="58"/>
        <v>6.0198777999999997</v>
      </c>
      <c r="Z1222">
        <f t="shared" si="59"/>
        <v>39.399877799999999</v>
      </c>
    </row>
    <row r="1223" spans="1:26" x14ac:dyDescent="0.3">
      <c r="A1223" t="s">
        <v>1313</v>
      </c>
      <c r="B1223" t="s">
        <v>55</v>
      </c>
      <c r="C1223" t="s">
        <v>74</v>
      </c>
      <c r="D1223" t="s">
        <v>69</v>
      </c>
      <c r="E1223">
        <v>22</v>
      </c>
      <c r="F1223" s="3">
        <v>9.16</v>
      </c>
      <c r="G1223" s="4">
        <v>63.9</v>
      </c>
      <c r="H1223">
        <v>1</v>
      </c>
      <c r="I1223">
        <v>3</v>
      </c>
      <c r="J1223">
        <v>2</v>
      </c>
      <c r="K1223" s="4">
        <v>93.7</v>
      </c>
      <c r="L1223" s="4">
        <v>76.900000000000006</v>
      </c>
      <c r="M1223" s="4">
        <v>78.3</v>
      </c>
      <c r="N1223">
        <v>0</v>
      </c>
      <c r="O1223" t="s">
        <v>58</v>
      </c>
      <c r="P1223" t="s">
        <v>70</v>
      </c>
      <c r="Q1223" t="s">
        <v>71</v>
      </c>
      <c r="R1223" t="s">
        <v>130</v>
      </c>
      <c r="S1223" s="3">
        <v>8.14</v>
      </c>
      <c r="T1223" s="5">
        <v>45551</v>
      </c>
      <c r="U1223">
        <v>1</v>
      </c>
      <c r="V1223">
        <v>2024</v>
      </c>
      <c r="X1223">
        <f t="shared" si="57"/>
        <v>9.1598777000000009</v>
      </c>
      <c r="Y1223">
        <f t="shared" si="58"/>
        <v>8.1398777000000013</v>
      </c>
      <c r="Z1223">
        <f t="shared" si="59"/>
        <v>76.899877700000005</v>
      </c>
    </row>
    <row r="1224" spans="1:26" x14ac:dyDescent="0.3">
      <c r="A1224" t="s">
        <v>1314</v>
      </c>
      <c r="B1224" t="s">
        <v>55</v>
      </c>
      <c r="C1224" t="s">
        <v>56</v>
      </c>
      <c r="D1224" t="s">
        <v>57</v>
      </c>
      <c r="E1224">
        <v>23</v>
      </c>
      <c r="F1224" s="3">
        <v>7.4</v>
      </c>
      <c r="G1224" s="4">
        <v>85.7</v>
      </c>
      <c r="H1224">
        <v>2</v>
      </c>
      <c r="I1224">
        <v>1</v>
      </c>
      <c r="J1224">
        <v>4</v>
      </c>
      <c r="K1224" s="4">
        <v>68.400000000000006</v>
      </c>
      <c r="L1224" s="4">
        <v>70.7</v>
      </c>
      <c r="M1224" s="4">
        <v>78.099999999999994</v>
      </c>
      <c r="N1224">
        <v>0</v>
      </c>
      <c r="O1224" t="s">
        <v>58</v>
      </c>
      <c r="P1224" t="s">
        <v>59</v>
      </c>
      <c r="Q1224" t="s">
        <v>60</v>
      </c>
      <c r="R1224" t="s">
        <v>109</v>
      </c>
      <c r="S1224" s="3">
        <v>21.41</v>
      </c>
      <c r="T1224" s="5">
        <v>45567</v>
      </c>
      <c r="U1224">
        <v>3</v>
      </c>
      <c r="V1224">
        <v>2024</v>
      </c>
      <c r="X1224">
        <f t="shared" si="57"/>
        <v>7.3998775999999999</v>
      </c>
      <c r="Y1224">
        <f t="shared" si="58"/>
        <v>21.409877600000002</v>
      </c>
      <c r="Z1224">
        <f t="shared" si="59"/>
        <v>70.699877600000008</v>
      </c>
    </row>
    <row r="1225" spans="1:26" x14ac:dyDescent="0.3">
      <c r="A1225" t="s">
        <v>1315</v>
      </c>
      <c r="B1225" t="s">
        <v>67</v>
      </c>
      <c r="C1225" t="s">
        <v>56</v>
      </c>
      <c r="D1225" t="s">
        <v>69</v>
      </c>
      <c r="E1225">
        <v>22</v>
      </c>
      <c r="F1225" s="3">
        <v>7.4</v>
      </c>
      <c r="G1225" s="4">
        <v>75.400000000000006</v>
      </c>
      <c r="H1225">
        <v>2</v>
      </c>
      <c r="I1225">
        <v>3</v>
      </c>
      <c r="J1225">
        <v>3</v>
      </c>
      <c r="K1225" s="4">
        <v>57.6</v>
      </c>
      <c r="L1225" s="4">
        <v>63.1</v>
      </c>
      <c r="M1225" s="4">
        <v>72.599999999999994</v>
      </c>
      <c r="N1225">
        <v>0</v>
      </c>
      <c r="O1225" t="s">
        <v>58</v>
      </c>
      <c r="P1225" t="s">
        <v>90</v>
      </c>
      <c r="Q1225" t="s">
        <v>60</v>
      </c>
      <c r="R1225" t="s">
        <v>76</v>
      </c>
      <c r="S1225" s="3">
        <v>7.5</v>
      </c>
      <c r="T1225" s="5">
        <v>45247</v>
      </c>
      <c r="U1225">
        <v>1</v>
      </c>
      <c r="V1225">
        <v>2023</v>
      </c>
      <c r="X1225">
        <f t="shared" si="57"/>
        <v>7.3998775000000006</v>
      </c>
      <c r="Y1225">
        <f t="shared" si="58"/>
        <v>7.4998775000000002</v>
      </c>
      <c r="Z1225">
        <f t="shared" si="59"/>
        <v>63.099877499999998</v>
      </c>
    </row>
    <row r="1226" spans="1:26" x14ac:dyDescent="0.3">
      <c r="A1226" t="s">
        <v>1316</v>
      </c>
      <c r="B1226" t="s">
        <v>67</v>
      </c>
      <c r="C1226" t="s">
        <v>56</v>
      </c>
      <c r="D1226" t="s">
        <v>69</v>
      </c>
      <c r="E1226">
        <v>22</v>
      </c>
      <c r="F1226" s="3">
        <v>8.32</v>
      </c>
      <c r="G1226" s="4">
        <v>66.3</v>
      </c>
      <c r="H1226">
        <v>2</v>
      </c>
      <c r="I1226">
        <v>1</v>
      </c>
      <c r="J1226">
        <v>2</v>
      </c>
      <c r="K1226" s="4">
        <v>49</v>
      </c>
      <c r="L1226" s="4">
        <v>67.8</v>
      </c>
      <c r="M1226" s="4">
        <v>81.8</v>
      </c>
      <c r="N1226">
        <v>0</v>
      </c>
      <c r="O1226" t="s">
        <v>64</v>
      </c>
      <c r="P1226" t="s">
        <v>65</v>
      </c>
      <c r="S1226" s="3">
        <v>0</v>
      </c>
      <c r="T1226" s="5"/>
      <c r="U1226">
        <v>0</v>
      </c>
      <c r="V1226">
        <v>2023</v>
      </c>
      <c r="X1226">
        <f t="shared" si="57"/>
        <v>8.3198774000000011</v>
      </c>
      <c r="Y1226">
        <f t="shared" si="58"/>
        <v>-1.226E-4</v>
      </c>
      <c r="Z1226">
        <f t="shared" si="59"/>
        <v>67.7998774</v>
      </c>
    </row>
    <row r="1227" spans="1:26" x14ac:dyDescent="0.3">
      <c r="A1227" t="s">
        <v>1317</v>
      </c>
      <c r="B1227" t="s">
        <v>55</v>
      </c>
      <c r="C1227" t="s">
        <v>56</v>
      </c>
      <c r="D1227" t="s">
        <v>69</v>
      </c>
      <c r="E1227">
        <v>22</v>
      </c>
      <c r="F1227" s="3">
        <v>7</v>
      </c>
      <c r="G1227" s="4">
        <v>85.3</v>
      </c>
      <c r="H1227">
        <v>2</v>
      </c>
      <c r="I1227">
        <v>0</v>
      </c>
      <c r="J1227">
        <v>4</v>
      </c>
      <c r="K1227" s="4">
        <v>36.4</v>
      </c>
      <c r="L1227" s="4">
        <v>57.5</v>
      </c>
      <c r="M1227" s="4">
        <v>70</v>
      </c>
      <c r="N1227">
        <v>3</v>
      </c>
      <c r="O1227" t="s">
        <v>58</v>
      </c>
      <c r="P1227" t="s">
        <v>59</v>
      </c>
      <c r="Q1227" t="s">
        <v>60</v>
      </c>
      <c r="R1227" t="s">
        <v>61</v>
      </c>
      <c r="S1227" s="3">
        <v>20.47</v>
      </c>
      <c r="T1227" s="5">
        <v>45621</v>
      </c>
      <c r="U1227">
        <v>1</v>
      </c>
      <c r="V1227">
        <v>2024</v>
      </c>
      <c r="X1227">
        <f t="shared" si="57"/>
        <v>6.9998772999999996</v>
      </c>
      <c r="Y1227">
        <f t="shared" si="58"/>
        <v>20.4698773</v>
      </c>
      <c r="Z1227">
        <f t="shared" si="59"/>
        <v>57.499877300000001</v>
      </c>
    </row>
    <row r="1228" spans="1:26" x14ac:dyDescent="0.3">
      <c r="A1228" t="s">
        <v>1318</v>
      </c>
      <c r="B1228" t="s">
        <v>67</v>
      </c>
      <c r="C1228" t="s">
        <v>89</v>
      </c>
      <c r="D1228" t="s">
        <v>69</v>
      </c>
      <c r="E1228">
        <v>22</v>
      </c>
      <c r="F1228" s="3">
        <v>7.46</v>
      </c>
      <c r="G1228" s="4">
        <v>88.9</v>
      </c>
      <c r="H1228">
        <v>1</v>
      </c>
      <c r="I1228">
        <v>2</v>
      </c>
      <c r="J1228">
        <v>3</v>
      </c>
      <c r="K1228" s="4">
        <v>88.3</v>
      </c>
      <c r="L1228" s="4">
        <v>95.9</v>
      </c>
      <c r="M1228" s="4">
        <v>92.9</v>
      </c>
      <c r="N1228">
        <v>1</v>
      </c>
      <c r="O1228" t="s">
        <v>58</v>
      </c>
      <c r="P1228" t="s">
        <v>95</v>
      </c>
      <c r="Q1228" t="s">
        <v>93</v>
      </c>
      <c r="R1228" t="s">
        <v>76</v>
      </c>
      <c r="S1228" s="3">
        <v>8.64</v>
      </c>
      <c r="T1228" s="5">
        <v>45156</v>
      </c>
      <c r="U1228">
        <v>1</v>
      </c>
      <c r="V1228">
        <v>2023</v>
      </c>
      <c r="X1228">
        <f t="shared" si="57"/>
        <v>7.4598772000000002</v>
      </c>
      <c r="Y1228">
        <f t="shared" si="58"/>
        <v>8.6398772000000008</v>
      </c>
      <c r="Z1228">
        <f t="shared" si="59"/>
        <v>95.899877200000006</v>
      </c>
    </row>
    <row r="1229" spans="1:26" x14ac:dyDescent="0.3">
      <c r="A1229" t="s">
        <v>1319</v>
      </c>
      <c r="B1229" t="s">
        <v>107</v>
      </c>
      <c r="C1229" t="s">
        <v>74</v>
      </c>
      <c r="D1229" t="s">
        <v>69</v>
      </c>
      <c r="E1229">
        <v>21</v>
      </c>
      <c r="F1229" s="3">
        <v>6.97</v>
      </c>
      <c r="G1229" s="4">
        <v>76.5</v>
      </c>
      <c r="H1229">
        <v>1</v>
      </c>
      <c r="I1229">
        <v>1</v>
      </c>
      <c r="J1229">
        <v>2</v>
      </c>
      <c r="K1229" s="4">
        <v>89.2</v>
      </c>
      <c r="L1229" s="4">
        <v>39.799999999999997</v>
      </c>
      <c r="M1229" s="4">
        <v>50.1</v>
      </c>
      <c r="N1229">
        <v>0</v>
      </c>
      <c r="O1229" t="s">
        <v>58</v>
      </c>
      <c r="P1229" t="s">
        <v>112</v>
      </c>
      <c r="Q1229" t="s">
        <v>93</v>
      </c>
      <c r="R1229" t="s">
        <v>130</v>
      </c>
      <c r="S1229" s="3">
        <v>4.8499999999999996</v>
      </c>
      <c r="T1229" s="5">
        <v>44434</v>
      </c>
      <c r="U1229">
        <v>3</v>
      </c>
      <c r="V1229">
        <v>2021</v>
      </c>
      <c r="X1229">
        <f t="shared" si="57"/>
        <v>6.9698770999999997</v>
      </c>
      <c r="Y1229">
        <f t="shared" si="58"/>
        <v>4.8498770999999996</v>
      </c>
      <c r="Z1229">
        <f t="shared" si="59"/>
        <v>39.799877099999996</v>
      </c>
    </row>
    <row r="1230" spans="1:26" x14ac:dyDescent="0.3">
      <c r="A1230" t="s">
        <v>1320</v>
      </c>
      <c r="B1230" t="s">
        <v>67</v>
      </c>
      <c r="C1230" t="s">
        <v>74</v>
      </c>
      <c r="D1230" t="s">
        <v>69</v>
      </c>
      <c r="E1230">
        <v>21</v>
      </c>
      <c r="F1230" s="3">
        <v>6.07</v>
      </c>
      <c r="G1230" s="4">
        <v>89.5</v>
      </c>
      <c r="H1230">
        <v>2</v>
      </c>
      <c r="I1230">
        <v>4</v>
      </c>
      <c r="J1230">
        <v>6</v>
      </c>
      <c r="K1230" s="4">
        <v>82.2</v>
      </c>
      <c r="L1230" s="4">
        <v>76.3</v>
      </c>
      <c r="M1230" s="4">
        <v>63.1</v>
      </c>
      <c r="N1230">
        <v>0</v>
      </c>
      <c r="O1230" t="s">
        <v>58</v>
      </c>
      <c r="P1230" t="s">
        <v>70</v>
      </c>
      <c r="Q1230" t="s">
        <v>71</v>
      </c>
      <c r="R1230" t="s">
        <v>109</v>
      </c>
      <c r="S1230" s="3">
        <v>4.3899999999999997</v>
      </c>
      <c r="T1230" s="5">
        <v>45198</v>
      </c>
      <c r="U1230">
        <v>2</v>
      </c>
      <c r="V1230">
        <v>2023</v>
      </c>
      <c r="X1230">
        <f t="shared" si="57"/>
        <v>6.069877</v>
      </c>
      <c r="Y1230">
        <f t="shared" si="58"/>
        <v>4.3898769999999994</v>
      </c>
      <c r="Z1230">
        <f t="shared" si="59"/>
        <v>76.299876999999995</v>
      </c>
    </row>
    <row r="1231" spans="1:26" x14ac:dyDescent="0.3">
      <c r="A1231" t="s">
        <v>1321</v>
      </c>
      <c r="B1231" t="s">
        <v>63</v>
      </c>
      <c r="C1231" t="s">
        <v>74</v>
      </c>
      <c r="D1231" t="s">
        <v>69</v>
      </c>
      <c r="E1231">
        <v>20</v>
      </c>
      <c r="F1231" s="3">
        <v>7.7</v>
      </c>
      <c r="G1231" s="4">
        <v>89.6</v>
      </c>
      <c r="H1231">
        <v>1</v>
      </c>
      <c r="I1231">
        <v>0</v>
      </c>
      <c r="J1231">
        <v>4</v>
      </c>
      <c r="K1231" s="4">
        <v>63.8</v>
      </c>
      <c r="L1231" s="4">
        <v>50.7</v>
      </c>
      <c r="M1231" s="4">
        <v>78.3</v>
      </c>
      <c r="N1231">
        <v>0</v>
      </c>
      <c r="O1231" t="s">
        <v>64</v>
      </c>
      <c r="P1231" t="s">
        <v>65</v>
      </c>
      <c r="S1231" s="3">
        <v>0</v>
      </c>
      <c r="T1231" s="5"/>
      <c r="U1231">
        <v>0</v>
      </c>
      <c r="V1231">
        <v>2025</v>
      </c>
      <c r="X1231">
        <f t="shared" si="57"/>
        <v>7.6998769000000005</v>
      </c>
      <c r="Y1231">
        <f t="shared" si="58"/>
        <v>-1.2309999999999998E-4</v>
      </c>
      <c r="Z1231">
        <f t="shared" si="59"/>
        <v>50.6998769</v>
      </c>
    </row>
    <row r="1232" spans="1:26" x14ac:dyDescent="0.3">
      <c r="A1232" t="s">
        <v>1322</v>
      </c>
      <c r="B1232" t="s">
        <v>67</v>
      </c>
      <c r="C1232" t="s">
        <v>78</v>
      </c>
      <c r="D1232" t="s">
        <v>57</v>
      </c>
      <c r="E1232">
        <v>23</v>
      </c>
      <c r="F1232" s="3">
        <v>8.57</v>
      </c>
      <c r="G1232" s="4">
        <v>81.8</v>
      </c>
      <c r="H1232">
        <v>1</v>
      </c>
      <c r="I1232">
        <v>3</v>
      </c>
      <c r="J1232">
        <v>3</v>
      </c>
      <c r="K1232" s="4">
        <v>79</v>
      </c>
      <c r="L1232" s="4">
        <v>60.1</v>
      </c>
      <c r="M1232" s="4">
        <v>73</v>
      </c>
      <c r="N1232">
        <v>1</v>
      </c>
      <c r="O1232" t="s">
        <v>58</v>
      </c>
      <c r="P1232" t="s">
        <v>95</v>
      </c>
      <c r="Q1232" t="s">
        <v>93</v>
      </c>
      <c r="R1232" t="s">
        <v>76</v>
      </c>
      <c r="S1232" s="3">
        <v>6.18</v>
      </c>
      <c r="T1232" s="5">
        <v>45201</v>
      </c>
      <c r="U1232">
        <v>1</v>
      </c>
      <c r="V1232">
        <v>2023</v>
      </c>
      <c r="X1232">
        <f t="shared" si="57"/>
        <v>8.5698767999999994</v>
      </c>
      <c r="Y1232">
        <f t="shared" si="58"/>
        <v>6.1798767999999997</v>
      </c>
      <c r="Z1232">
        <f t="shared" si="59"/>
        <v>60.099876800000004</v>
      </c>
    </row>
    <row r="1233" spans="1:26" x14ac:dyDescent="0.3">
      <c r="A1233" t="s">
        <v>1323</v>
      </c>
      <c r="B1233" t="s">
        <v>82</v>
      </c>
      <c r="C1233" t="s">
        <v>101</v>
      </c>
      <c r="D1233" t="s">
        <v>57</v>
      </c>
      <c r="E1233">
        <v>21</v>
      </c>
      <c r="F1233" s="3">
        <v>7.72</v>
      </c>
      <c r="G1233" s="4">
        <v>87.4</v>
      </c>
      <c r="H1233">
        <v>2</v>
      </c>
      <c r="I1233">
        <v>1</v>
      </c>
      <c r="J1233">
        <v>5</v>
      </c>
      <c r="K1233" s="4">
        <v>72.3</v>
      </c>
      <c r="L1233" s="4">
        <v>63.4</v>
      </c>
      <c r="M1233" s="4">
        <v>68</v>
      </c>
      <c r="N1233">
        <v>1</v>
      </c>
      <c r="O1233" t="s">
        <v>58</v>
      </c>
      <c r="P1233" t="s">
        <v>59</v>
      </c>
      <c r="Q1233" t="s">
        <v>60</v>
      </c>
      <c r="R1233" t="s">
        <v>61</v>
      </c>
      <c r="S1233" s="3">
        <v>20.04</v>
      </c>
      <c r="T1233" s="5">
        <v>44814</v>
      </c>
      <c r="U1233">
        <v>1</v>
      </c>
      <c r="V1233">
        <v>2022</v>
      </c>
      <c r="X1233">
        <f t="shared" si="57"/>
        <v>7.7198766999999995</v>
      </c>
      <c r="Y1233">
        <f t="shared" si="58"/>
        <v>20.039876700000001</v>
      </c>
      <c r="Z1233">
        <f t="shared" si="59"/>
        <v>63.3998767</v>
      </c>
    </row>
    <row r="1234" spans="1:26" x14ac:dyDescent="0.3">
      <c r="A1234" t="s">
        <v>1324</v>
      </c>
      <c r="B1234" t="s">
        <v>107</v>
      </c>
      <c r="C1234" t="s">
        <v>78</v>
      </c>
      <c r="D1234" t="s">
        <v>57</v>
      </c>
      <c r="E1234">
        <v>22</v>
      </c>
      <c r="F1234" s="3">
        <v>8.48</v>
      </c>
      <c r="G1234" s="4">
        <v>90.8</v>
      </c>
      <c r="H1234">
        <v>2</v>
      </c>
      <c r="I1234">
        <v>3</v>
      </c>
      <c r="J1234">
        <v>6</v>
      </c>
      <c r="K1234" s="4">
        <v>51.7</v>
      </c>
      <c r="L1234" s="4">
        <v>55.3</v>
      </c>
      <c r="M1234" s="4">
        <v>76.099999999999994</v>
      </c>
      <c r="N1234">
        <v>1</v>
      </c>
      <c r="O1234" t="s">
        <v>58</v>
      </c>
      <c r="P1234" t="s">
        <v>90</v>
      </c>
      <c r="Q1234" t="s">
        <v>60</v>
      </c>
      <c r="R1234" t="s">
        <v>85</v>
      </c>
      <c r="S1234" s="3">
        <v>9.25</v>
      </c>
      <c r="T1234" s="5">
        <v>44490</v>
      </c>
      <c r="U1234">
        <v>2</v>
      </c>
      <c r="V1234">
        <v>2021</v>
      </c>
      <c r="X1234">
        <f t="shared" si="57"/>
        <v>8.4798766000000008</v>
      </c>
      <c r="Y1234">
        <f t="shared" si="58"/>
        <v>9.2498766000000003</v>
      </c>
      <c r="Z1234">
        <f t="shared" si="59"/>
        <v>55.299876599999997</v>
      </c>
    </row>
    <row r="1235" spans="1:26" x14ac:dyDescent="0.3">
      <c r="A1235" t="s">
        <v>1325</v>
      </c>
      <c r="B1235" t="s">
        <v>82</v>
      </c>
      <c r="C1235" t="s">
        <v>78</v>
      </c>
      <c r="D1235" t="s">
        <v>69</v>
      </c>
      <c r="E1235">
        <v>23</v>
      </c>
      <c r="F1235" s="3">
        <v>6.66</v>
      </c>
      <c r="G1235" s="4">
        <v>86.7</v>
      </c>
      <c r="H1235">
        <v>3</v>
      </c>
      <c r="I1235">
        <v>0</v>
      </c>
      <c r="J1235">
        <v>3</v>
      </c>
      <c r="K1235" s="4">
        <v>84.1</v>
      </c>
      <c r="L1235" s="4">
        <v>66.599999999999994</v>
      </c>
      <c r="M1235" s="4">
        <v>59.4</v>
      </c>
      <c r="N1235">
        <v>0</v>
      </c>
      <c r="O1235" t="s">
        <v>58</v>
      </c>
      <c r="P1235" t="s">
        <v>70</v>
      </c>
      <c r="Q1235" t="s">
        <v>71</v>
      </c>
      <c r="R1235" t="s">
        <v>109</v>
      </c>
      <c r="S1235" s="3">
        <v>5.59</v>
      </c>
      <c r="T1235" s="5">
        <v>44816</v>
      </c>
      <c r="U1235">
        <v>2</v>
      </c>
      <c r="V1235">
        <v>2022</v>
      </c>
      <c r="X1235">
        <f t="shared" si="57"/>
        <v>6.6598765000000002</v>
      </c>
      <c r="Y1235">
        <f t="shared" si="58"/>
        <v>5.5898764999999999</v>
      </c>
      <c r="Z1235">
        <f t="shared" si="59"/>
        <v>66.599876499999993</v>
      </c>
    </row>
    <row r="1236" spans="1:26" x14ac:dyDescent="0.3">
      <c r="A1236" t="s">
        <v>1326</v>
      </c>
      <c r="B1236" t="s">
        <v>82</v>
      </c>
      <c r="C1236" t="s">
        <v>68</v>
      </c>
      <c r="D1236" t="s">
        <v>57</v>
      </c>
      <c r="E1236">
        <v>21</v>
      </c>
      <c r="F1236" s="3">
        <v>6.97</v>
      </c>
      <c r="G1236" s="4">
        <v>61.4</v>
      </c>
      <c r="H1236">
        <v>3</v>
      </c>
      <c r="I1236">
        <v>4</v>
      </c>
      <c r="J1236">
        <v>5</v>
      </c>
      <c r="K1236" s="4">
        <v>75.099999999999994</v>
      </c>
      <c r="L1236" s="4">
        <v>30.6</v>
      </c>
      <c r="M1236" s="4">
        <v>61.6</v>
      </c>
      <c r="N1236">
        <v>0</v>
      </c>
      <c r="O1236" t="s">
        <v>58</v>
      </c>
      <c r="P1236" t="s">
        <v>59</v>
      </c>
      <c r="Q1236" t="s">
        <v>60</v>
      </c>
      <c r="R1236" t="s">
        <v>109</v>
      </c>
      <c r="S1236" s="3">
        <v>17.28</v>
      </c>
      <c r="T1236" s="5">
        <v>44855</v>
      </c>
      <c r="U1236">
        <v>1</v>
      </c>
      <c r="V1236">
        <v>2022</v>
      </c>
      <c r="X1236">
        <f t="shared" si="57"/>
        <v>6.9698763999999995</v>
      </c>
      <c r="Y1236">
        <f t="shared" si="58"/>
        <v>17.279876400000003</v>
      </c>
      <c r="Z1236">
        <f t="shared" si="59"/>
        <v>30.599876400000003</v>
      </c>
    </row>
    <row r="1237" spans="1:26" x14ac:dyDescent="0.3">
      <c r="A1237" t="s">
        <v>1327</v>
      </c>
      <c r="B1237" t="s">
        <v>63</v>
      </c>
      <c r="C1237" t="s">
        <v>78</v>
      </c>
      <c r="D1237" t="s">
        <v>69</v>
      </c>
      <c r="E1237">
        <v>20</v>
      </c>
      <c r="F1237" s="3">
        <v>6.49</v>
      </c>
      <c r="G1237" s="4">
        <v>59.3</v>
      </c>
      <c r="H1237">
        <v>1</v>
      </c>
      <c r="I1237">
        <v>0</v>
      </c>
      <c r="J1237">
        <v>5</v>
      </c>
      <c r="K1237" s="4">
        <v>78.3</v>
      </c>
      <c r="L1237" s="4">
        <v>47</v>
      </c>
      <c r="M1237" s="4">
        <v>72.5</v>
      </c>
      <c r="N1237">
        <v>0</v>
      </c>
      <c r="O1237" t="s">
        <v>58</v>
      </c>
      <c r="P1237" t="s">
        <v>95</v>
      </c>
      <c r="Q1237" t="s">
        <v>93</v>
      </c>
      <c r="R1237" t="s">
        <v>80</v>
      </c>
      <c r="S1237" s="3">
        <v>5.7</v>
      </c>
      <c r="T1237" s="5">
        <v>45965</v>
      </c>
      <c r="U1237">
        <v>3</v>
      </c>
      <c r="V1237">
        <v>2025</v>
      </c>
      <c r="X1237">
        <f t="shared" si="57"/>
        <v>6.4898763000000006</v>
      </c>
      <c r="Y1237">
        <f t="shared" si="58"/>
        <v>5.6998763000000006</v>
      </c>
      <c r="Z1237">
        <f t="shared" si="59"/>
        <v>46.999876299999997</v>
      </c>
    </row>
    <row r="1238" spans="1:26" x14ac:dyDescent="0.3">
      <c r="A1238" t="s">
        <v>1328</v>
      </c>
      <c r="B1238" t="s">
        <v>107</v>
      </c>
      <c r="C1238" t="s">
        <v>68</v>
      </c>
      <c r="D1238" t="s">
        <v>69</v>
      </c>
      <c r="E1238">
        <v>22</v>
      </c>
      <c r="F1238" s="3">
        <v>7.98</v>
      </c>
      <c r="G1238" s="4">
        <v>91.6</v>
      </c>
      <c r="H1238">
        <v>3</v>
      </c>
      <c r="I1238">
        <v>3</v>
      </c>
      <c r="J1238">
        <v>2</v>
      </c>
      <c r="K1238" s="4">
        <v>72.599999999999994</v>
      </c>
      <c r="L1238" s="4">
        <v>42.2</v>
      </c>
      <c r="M1238" s="4">
        <v>78.599999999999994</v>
      </c>
      <c r="N1238">
        <v>0</v>
      </c>
      <c r="O1238" t="s">
        <v>58</v>
      </c>
      <c r="P1238" t="s">
        <v>70</v>
      </c>
      <c r="Q1238" t="s">
        <v>71</v>
      </c>
      <c r="R1238" t="s">
        <v>109</v>
      </c>
      <c r="S1238" s="3">
        <v>4.84</v>
      </c>
      <c r="T1238" s="5">
        <v>44446</v>
      </c>
      <c r="U1238">
        <v>3</v>
      </c>
      <c r="V1238">
        <v>2021</v>
      </c>
      <c r="X1238">
        <f t="shared" si="57"/>
        <v>7.9798762000000005</v>
      </c>
      <c r="Y1238">
        <f t="shared" si="58"/>
        <v>4.8398762</v>
      </c>
      <c r="Z1238">
        <f t="shared" si="59"/>
        <v>42.199876200000006</v>
      </c>
    </row>
    <row r="1239" spans="1:26" x14ac:dyDescent="0.3">
      <c r="A1239" t="s">
        <v>1329</v>
      </c>
      <c r="B1239" t="s">
        <v>107</v>
      </c>
      <c r="C1239" t="s">
        <v>56</v>
      </c>
      <c r="D1239" t="s">
        <v>57</v>
      </c>
      <c r="E1239">
        <v>23</v>
      </c>
      <c r="F1239" s="3">
        <v>7.36</v>
      </c>
      <c r="G1239" s="4">
        <v>75.8</v>
      </c>
      <c r="H1239">
        <v>0</v>
      </c>
      <c r="I1239">
        <v>2</v>
      </c>
      <c r="J1239">
        <v>4</v>
      </c>
      <c r="K1239" s="4">
        <v>69.900000000000006</v>
      </c>
      <c r="L1239" s="4">
        <v>51.7</v>
      </c>
      <c r="M1239" s="4">
        <v>65.400000000000006</v>
      </c>
      <c r="N1239">
        <v>0</v>
      </c>
      <c r="O1239" t="s">
        <v>58</v>
      </c>
      <c r="P1239" t="s">
        <v>112</v>
      </c>
      <c r="Q1239" t="s">
        <v>93</v>
      </c>
      <c r="R1239" t="s">
        <v>72</v>
      </c>
      <c r="S1239" s="3">
        <v>4.26</v>
      </c>
      <c r="T1239" s="5">
        <v>44435</v>
      </c>
      <c r="U1239">
        <v>1</v>
      </c>
      <c r="V1239">
        <v>2021</v>
      </c>
      <c r="X1239">
        <f t="shared" si="57"/>
        <v>7.3598761000000001</v>
      </c>
      <c r="Y1239">
        <f t="shared" si="58"/>
        <v>4.2598760999999996</v>
      </c>
      <c r="Z1239">
        <f t="shared" si="59"/>
        <v>51.699876100000004</v>
      </c>
    </row>
    <row r="1240" spans="1:26" x14ac:dyDescent="0.3">
      <c r="A1240" t="s">
        <v>1330</v>
      </c>
      <c r="B1240" t="s">
        <v>107</v>
      </c>
      <c r="C1240" t="s">
        <v>56</v>
      </c>
      <c r="D1240" t="s">
        <v>57</v>
      </c>
      <c r="E1240">
        <v>21</v>
      </c>
      <c r="F1240" s="3">
        <v>7.33</v>
      </c>
      <c r="G1240" s="4">
        <v>77.5</v>
      </c>
      <c r="H1240">
        <v>2</v>
      </c>
      <c r="I1240">
        <v>2</v>
      </c>
      <c r="J1240">
        <v>2</v>
      </c>
      <c r="K1240" s="4">
        <v>72.900000000000006</v>
      </c>
      <c r="L1240" s="4">
        <v>58.1</v>
      </c>
      <c r="M1240" s="4">
        <v>52.4</v>
      </c>
      <c r="N1240">
        <v>0</v>
      </c>
      <c r="O1240" t="s">
        <v>58</v>
      </c>
      <c r="P1240" t="s">
        <v>87</v>
      </c>
      <c r="Q1240" t="s">
        <v>71</v>
      </c>
      <c r="R1240" t="s">
        <v>61</v>
      </c>
      <c r="S1240" s="3">
        <v>6.1</v>
      </c>
      <c r="T1240" s="5">
        <v>44457</v>
      </c>
      <c r="U1240">
        <v>1</v>
      </c>
      <c r="V1240">
        <v>2021</v>
      </c>
      <c r="X1240">
        <f t="shared" si="57"/>
        <v>7.3298760000000005</v>
      </c>
      <c r="Y1240">
        <f t="shared" si="58"/>
        <v>6.0998760000000001</v>
      </c>
      <c r="Z1240">
        <f t="shared" si="59"/>
        <v>58.099876000000002</v>
      </c>
    </row>
    <row r="1241" spans="1:26" x14ac:dyDescent="0.3">
      <c r="A1241" t="s">
        <v>1331</v>
      </c>
      <c r="B1241" t="s">
        <v>107</v>
      </c>
      <c r="C1241" t="s">
        <v>74</v>
      </c>
      <c r="D1241" t="s">
        <v>69</v>
      </c>
      <c r="E1241">
        <v>23</v>
      </c>
      <c r="F1241" s="3">
        <v>8.25</v>
      </c>
      <c r="G1241" s="4">
        <v>99</v>
      </c>
      <c r="H1241">
        <v>1</v>
      </c>
      <c r="I1241">
        <v>1</v>
      </c>
      <c r="J1241">
        <v>4</v>
      </c>
      <c r="K1241" s="4">
        <v>64</v>
      </c>
      <c r="L1241" s="4">
        <v>69.900000000000006</v>
      </c>
      <c r="M1241" s="4">
        <v>76.8</v>
      </c>
      <c r="N1241">
        <v>0</v>
      </c>
      <c r="O1241" t="s">
        <v>58</v>
      </c>
      <c r="P1241" t="s">
        <v>79</v>
      </c>
      <c r="Q1241" t="s">
        <v>71</v>
      </c>
      <c r="R1241" t="s">
        <v>61</v>
      </c>
      <c r="S1241" s="3">
        <v>5.38</v>
      </c>
      <c r="T1241" s="5">
        <v>44464</v>
      </c>
      <c r="U1241">
        <v>2</v>
      </c>
      <c r="V1241">
        <v>2021</v>
      </c>
      <c r="X1241">
        <f t="shared" si="57"/>
        <v>8.2498758999999993</v>
      </c>
      <c r="Y1241">
        <f t="shared" si="58"/>
        <v>5.3798759</v>
      </c>
      <c r="Z1241">
        <f t="shared" si="59"/>
        <v>69.899875900000012</v>
      </c>
    </row>
    <row r="1242" spans="1:26" x14ac:dyDescent="0.3">
      <c r="A1242" t="s">
        <v>1332</v>
      </c>
      <c r="B1242" t="s">
        <v>107</v>
      </c>
      <c r="C1242" t="s">
        <v>84</v>
      </c>
      <c r="D1242" t="s">
        <v>57</v>
      </c>
      <c r="E1242">
        <v>21</v>
      </c>
      <c r="F1242" s="3">
        <v>7.22</v>
      </c>
      <c r="G1242" s="4">
        <v>75.400000000000006</v>
      </c>
      <c r="H1242">
        <v>1</v>
      </c>
      <c r="I1242">
        <v>3</v>
      </c>
      <c r="J1242">
        <v>4</v>
      </c>
      <c r="K1242" s="4">
        <v>76.5</v>
      </c>
      <c r="L1242" s="4">
        <v>60.3</v>
      </c>
      <c r="M1242" s="4">
        <v>79.8</v>
      </c>
      <c r="N1242">
        <v>1</v>
      </c>
      <c r="O1242" t="s">
        <v>64</v>
      </c>
      <c r="P1242" t="s">
        <v>65</v>
      </c>
      <c r="S1242" s="3">
        <v>0</v>
      </c>
      <c r="T1242" s="5"/>
      <c r="U1242">
        <v>0</v>
      </c>
      <c r="V1242">
        <v>2021</v>
      </c>
      <c r="X1242">
        <f t="shared" si="57"/>
        <v>7.2198757999999996</v>
      </c>
      <c r="Y1242">
        <f t="shared" si="58"/>
        <v>-1.2419999999999998E-4</v>
      </c>
      <c r="Z1242">
        <f t="shared" si="59"/>
        <v>60.299875799999995</v>
      </c>
    </row>
    <row r="1243" spans="1:26" x14ac:dyDescent="0.3">
      <c r="A1243" t="s">
        <v>1333</v>
      </c>
      <c r="B1243" t="s">
        <v>63</v>
      </c>
      <c r="C1243" t="s">
        <v>68</v>
      </c>
      <c r="D1243" t="s">
        <v>69</v>
      </c>
      <c r="E1243">
        <v>20</v>
      </c>
      <c r="F1243" s="3">
        <v>8.6199999999999992</v>
      </c>
      <c r="G1243" s="4">
        <v>80.8</v>
      </c>
      <c r="H1243">
        <v>3</v>
      </c>
      <c r="I1243">
        <v>1</v>
      </c>
      <c r="J1243">
        <v>3</v>
      </c>
      <c r="K1243" s="4">
        <v>95.3</v>
      </c>
      <c r="L1243" s="4">
        <v>57</v>
      </c>
      <c r="M1243" s="4">
        <v>60.9</v>
      </c>
      <c r="N1243">
        <v>1</v>
      </c>
      <c r="O1243" t="s">
        <v>58</v>
      </c>
      <c r="P1243" t="s">
        <v>75</v>
      </c>
      <c r="Q1243" t="s">
        <v>71</v>
      </c>
      <c r="R1243" t="s">
        <v>80</v>
      </c>
      <c r="S1243" s="3">
        <v>8.19</v>
      </c>
      <c r="T1243" s="5">
        <v>45918</v>
      </c>
      <c r="U1243">
        <v>1</v>
      </c>
      <c r="V1243">
        <v>2025</v>
      </c>
      <c r="X1243">
        <f t="shared" si="57"/>
        <v>8.6198756999999997</v>
      </c>
      <c r="Y1243">
        <f t="shared" si="58"/>
        <v>8.1898757</v>
      </c>
      <c r="Z1243">
        <f t="shared" si="59"/>
        <v>56.999875699999997</v>
      </c>
    </row>
    <row r="1244" spans="1:26" x14ac:dyDescent="0.3">
      <c r="A1244" t="s">
        <v>1334</v>
      </c>
      <c r="B1244" t="s">
        <v>67</v>
      </c>
      <c r="C1244" t="s">
        <v>78</v>
      </c>
      <c r="D1244" t="s">
        <v>57</v>
      </c>
      <c r="E1244">
        <v>22</v>
      </c>
      <c r="F1244" s="3">
        <v>7.86</v>
      </c>
      <c r="G1244" s="4">
        <v>82.1</v>
      </c>
      <c r="H1244">
        <v>1</v>
      </c>
      <c r="I1244">
        <v>3</v>
      </c>
      <c r="J1244">
        <v>5</v>
      </c>
      <c r="K1244" s="4">
        <v>74.5</v>
      </c>
      <c r="L1244" s="4">
        <v>62.1</v>
      </c>
      <c r="M1244" s="4">
        <v>69.3</v>
      </c>
      <c r="N1244">
        <v>0</v>
      </c>
      <c r="O1244" t="s">
        <v>58</v>
      </c>
      <c r="P1244" t="s">
        <v>79</v>
      </c>
      <c r="Q1244" t="s">
        <v>71</v>
      </c>
      <c r="R1244" t="s">
        <v>80</v>
      </c>
      <c r="S1244" s="3">
        <v>6.76</v>
      </c>
      <c r="T1244" s="5">
        <v>45179</v>
      </c>
      <c r="U1244">
        <v>3</v>
      </c>
      <c r="V1244">
        <v>2023</v>
      </c>
      <c r="X1244">
        <f t="shared" si="57"/>
        <v>7.8598756000000005</v>
      </c>
      <c r="Y1244">
        <f t="shared" si="58"/>
        <v>6.7598756</v>
      </c>
      <c r="Z1244">
        <f t="shared" si="59"/>
        <v>62.099875600000004</v>
      </c>
    </row>
    <row r="1245" spans="1:26" x14ac:dyDescent="0.3">
      <c r="A1245" t="s">
        <v>1335</v>
      </c>
      <c r="B1245" t="s">
        <v>82</v>
      </c>
      <c r="C1245" t="s">
        <v>74</v>
      </c>
      <c r="D1245" t="s">
        <v>69</v>
      </c>
      <c r="E1245">
        <v>20</v>
      </c>
      <c r="F1245" s="3">
        <v>7.32</v>
      </c>
      <c r="G1245" s="4">
        <v>80.099999999999994</v>
      </c>
      <c r="H1245">
        <v>2</v>
      </c>
      <c r="I1245">
        <v>2</v>
      </c>
      <c r="J1245">
        <v>5</v>
      </c>
      <c r="K1245" s="4">
        <v>83.6</v>
      </c>
      <c r="L1245" s="4">
        <v>59.5</v>
      </c>
      <c r="M1245" s="4">
        <v>84.9</v>
      </c>
      <c r="N1245">
        <v>1</v>
      </c>
      <c r="O1245" t="s">
        <v>64</v>
      </c>
      <c r="P1245" t="s">
        <v>65</v>
      </c>
      <c r="S1245" s="3">
        <v>0</v>
      </c>
      <c r="T1245" s="5"/>
      <c r="U1245">
        <v>0</v>
      </c>
      <c r="V1245">
        <v>2022</v>
      </c>
      <c r="X1245">
        <f t="shared" si="57"/>
        <v>7.3198755000000002</v>
      </c>
      <c r="Y1245">
        <f t="shared" si="58"/>
        <v>-1.2449999999999999E-4</v>
      </c>
      <c r="Z1245">
        <f t="shared" si="59"/>
        <v>59.499875500000002</v>
      </c>
    </row>
    <row r="1246" spans="1:26" x14ac:dyDescent="0.3">
      <c r="A1246" t="s">
        <v>1336</v>
      </c>
      <c r="B1246" t="s">
        <v>107</v>
      </c>
      <c r="C1246" t="s">
        <v>74</v>
      </c>
      <c r="D1246" t="s">
        <v>57</v>
      </c>
      <c r="E1246">
        <v>22</v>
      </c>
      <c r="F1246" s="3">
        <v>6.25</v>
      </c>
      <c r="G1246" s="4">
        <v>94.1</v>
      </c>
      <c r="H1246">
        <v>0</v>
      </c>
      <c r="I1246">
        <v>5</v>
      </c>
      <c r="J1246">
        <v>6</v>
      </c>
      <c r="K1246" s="4">
        <v>51.5</v>
      </c>
      <c r="L1246" s="4">
        <v>64.400000000000006</v>
      </c>
      <c r="M1246" s="4">
        <v>60.1</v>
      </c>
      <c r="N1246">
        <v>0</v>
      </c>
      <c r="O1246" t="s">
        <v>58</v>
      </c>
      <c r="P1246" t="s">
        <v>112</v>
      </c>
      <c r="Q1246" t="s">
        <v>93</v>
      </c>
      <c r="R1246" t="s">
        <v>72</v>
      </c>
      <c r="S1246" s="3">
        <v>5.77</v>
      </c>
      <c r="T1246" s="5">
        <v>44468</v>
      </c>
      <c r="U1246">
        <v>3</v>
      </c>
      <c r="V1246">
        <v>2021</v>
      </c>
      <c r="X1246">
        <f t="shared" si="57"/>
        <v>6.2498753999999996</v>
      </c>
      <c r="Y1246">
        <f t="shared" si="58"/>
        <v>5.7698753999999992</v>
      </c>
      <c r="Z1246">
        <f t="shared" si="59"/>
        <v>64.399875399999999</v>
      </c>
    </row>
    <row r="1247" spans="1:26" x14ac:dyDescent="0.3">
      <c r="A1247" t="s">
        <v>1337</v>
      </c>
      <c r="B1247" t="s">
        <v>67</v>
      </c>
      <c r="C1247" t="s">
        <v>56</v>
      </c>
      <c r="D1247" t="s">
        <v>69</v>
      </c>
      <c r="E1247">
        <v>22</v>
      </c>
      <c r="F1247" s="3">
        <v>8.25</v>
      </c>
      <c r="G1247" s="4">
        <v>78.599999999999994</v>
      </c>
      <c r="H1247">
        <v>0</v>
      </c>
      <c r="I1247">
        <v>2</v>
      </c>
      <c r="J1247">
        <v>3</v>
      </c>
      <c r="K1247" s="4">
        <v>79.400000000000006</v>
      </c>
      <c r="L1247" s="4">
        <v>65</v>
      </c>
      <c r="M1247" s="4">
        <v>73.599999999999994</v>
      </c>
      <c r="N1247">
        <v>0</v>
      </c>
      <c r="O1247" t="s">
        <v>58</v>
      </c>
      <c r="P1247" t="s">
        <v>95</v>
      </c>
      <c r="Q1247" t="s">
        <v>93</v>
      </c>
      <c r="R1247" t="s">
        <v>109</v>
      </c>
      <c r="S1247" s="3">
        <v>6.01</v>
      </c>
      <c r="T1247" s="5">
        <v>45237</v>
      </c>
      <c r="U1247">
        <v>1</v>
      </c>
      <c r="V1247">
        <v>2023</v>
      </c>
      <c r="X1247">
        <f t="shared" si="57"/>
        <v>8.2498752999999994</v>
      </c>
      <c r="Y1247">
        <f t="shared" si="58"/>
        <v>6.0098753</v>
      </c>
      <c r="Z1247">
        <f t="shared" si="59"/>
        <v>64.999875299999999</v>
      </c>
    </row>
    <row r="1248" spans="1:26" x14ac:dyDescent="0.3">
      <c r="A1248" t="s">
        <v>1338</v>
      </c>
      <c r="B1248" t="s">
        <v>67</v>
      </c>
      <c r="C1248" t="s">
        <v>56</v>
      </c>
      <c r="D1248" t="s">
        <v>57</v>
      </c>
      <c r="E1248">
        <v>23</v>
      </c>
      <c r="F1248" s="3">
        <v>7.9</v>
      </c>
      <c r="G1248" s="4">
        <v>88.5</v>
      </c>
      <c r="H1248">
        <v>1</v>
      </c>
      <c r="I1248">
        <v>0</v>
      </c>
      <c r="J1248">
        <v>1</v>
      </c>
      <c r="K1248" s="4">
        <v>75.099999999999994</v>
      </c>
      <c r="L1248" s="4">
        <v>58.3</v>
      </c>
      <c r="M1248" s="4">
        <v>66</v>
      </c>
      <c r="N1248">
        <v>0</v>
      </c>
      <c r="O1248" t="s">
        <v>58</v>
      </c>
      <c r="P1248" t="s">
        <v>87</v>
      </c>
      <c r="Q1248" t="s">
        <v>71</v>
      </c>
      <c r="R1248" t="s">
        <v>80</v>
      </c>
      <c r="S1248" s="3">
        <v>4.96</v>
      </c>
      <c r="T1248" s="5">
        <v>45225</v>
      </c>
      <c r="U1248">
        <v>2</v>
      </c>
      <c r="V1248">
        <v>2023</v>
      </c>
      <c r="X1248">
        <f t="shared" si="57"/>
        <v>7.8998752000000003</v>
      </c>
      <c r="Y1248">
        <f t="shared" si="58"/>
        <v>4.9598751999999999</v>
      </c>
      <c r="Z1248">
        <f t="shared" si="59"/>
        <v>58.299875199999995</v>
      </c>
    </row>
    <row r="1249" spans="1:26" x14ac:dyDescent="0.3">
      <c r="A1249" t="s">
        <v>1339</v>
      </c>
      <c r="B1249" t="s">
        <v>82</v>
      </c>
      <c r="C1249" t="s">
        <v>101</v>
      </c>
      <c r="D1249" t="s">
        <v>57</v>
      </c>
      <c r="E1249">
        <v>21</v>
      </c>
      <c r="F1249" s="3">
        <v>7.95</v>
      </c>
      <c r="G1249" s="4">
        <v>82.6</v>
      </c>
      <c r="H1249">
        <v>2</v>
      </c>
      <c r="I1249">
        <v>2</v>
      </c>
      <c r="J1249">
        <v>5</v>
      </c>
      <c r="K1249" s="4">
        <v>83.1</v>
      </c>
      <c r="L1249" s="4">
        <v>46.4</v>
      </c>
      <c r="M1249" s="4">
        <v>100</v>
      </c>
      <c r="N1249">
        <v>1</v>
      </c>
      <c r="O1249" t="s">
        <v>58</v>
      </c>
      <c r="P1249" t="s">
        <v>95</v>
      </c>
      <c r="Q1249" t="s">
        <v>93</v>
      </c>
      <c r="R1249" t="s">
        <v>80</v>
      </c>
      <c r="S1249" s="3">
        <v>5.36</v>
      </c>
      <c r="T1249" s="5">
        <v>44829</v>
      </c>
      <c r="U1249">
        <v>1</v>
      </c>
      <c r="V1249">
        <v>2022</v>
      </c>
      <c r="X1249">
        <f t="shared" si="57"/>
        <v>7.9498750999999999</v>
      </c>
      <c r="Y1249">
        <f t="shared" si="58"/>
        <v>5.3598751</v>
      </c>
      <c r="Z1249">
        <f t="shared" si="59"/>
        <v>46.399875099999996</v>
      </c>
    </row>
    <row r="1250" spans="1:26" x14ac:dyDescent="0.3">
      <c r="A1250" t="s">
        <v>1340</v>
      </c>
      <c r="B1250" t="s">
        <v>63</v>
      </c>
      <c r="C1250" t="s">
        <v>89</v>
      </c>
      <c r="D1250" t="s">
        <v>57</v>
      </c>
      <c r="E1250">
        <v>20</v>
      </c>
      <c r="F1250" s="3">
        <v>7.98</v>
      </c>
      <c r="G1250" s="4">
        <v>90.7</v>
      </c>
      <c r="H1250">
        <v>1</v>
      </c>
      <c r="I1250">
        <v>0</v>
      </c>
      <c r="J1250">
        <v>3</v>
      </c>
      <c r="K1250" s="4">
        <v>62.1</v>
      </c>
      <c r="L1250" s="4">
        <v>69.3</v>
      </c>
      <c r="M1250" s="4">
        <v>59.3</v>
      </c>
      <c r="N1250">
        <v>0</v>
      </c>
      <c r="O1250" t="s">
        <v>58</v>
      </c>
      <c r="P1250" t="s">
        <v>70</v>
      </c>
      <c r="Q1250" t="s">
        <v>71</v>
      </c>
      <c r="R1250" t="s">
        <v>80</v>
      </c>
      <c r="S1250" s="3">
        <v>6.53</v>
      </c>
      <c r="T1250" s="5">
        <v>45945</v>
      </c>
      <c r="U1250">
        <v>3</v>
      </c>
      <c r="V1250">
        <v>2025</v>
      </c>
      <c r="X1250">
        <f t="shared" si="57"/>
        <v>7.9798750000000007</v>
      </c>
      <c r="Y1250">
        <f t="shared" si="58"/>
        <v>6.5298750000000005</v>
      </c>
      <c r="Z1250">
        <f t="shared" si="59"/>
        <v>69.299875</v>
      </c>
    </row>
    <row r="1251" spans="1:26" x14ac:dyDescent="0.3">
      <c r="A1251" t="s">
        <v>1341</v>
      </c>
      <c r="B1251" t="s">
        <v>55</v>
      </c>
      <c r="C1251" t="s">
        <v>74</v>
      </c>
      <c r="D1251" t="s">
        <v>57</v>
      </c>
      <c r="E1251">
        <v>20</v>
      </c>
      <c r="F1251" s="3">
        <v>7.17</v>
      </c>
      <c r="G1251" s="4">
        <v>69.7</v>
      </c>
      <c r="H1251">
        <v>1</v>
      </c>
      <c r="I1251">
        <v>1</v>
      </c>
      <c r="J1251">
        <v>3</v>
      </c>
      <c r="K1251" s="4">
        <v>81.8</v>
      </c>
      <c r="L1251" s="4">
        <v>82.5</v>
      </c>
      <c r="M1251" s="4">
        <v>52.1</v>
      </c>
      <c r="N1251">
        <v>0</v>
      </c>
      <c r="O1251" t="s">
        <v>64</v>
      </c>
      <c r="P1251" t="s">
        <v>65</v>
      </c>
      <c r="S1251" s="3">
        <v>0</v>
      </c>
      <c r="T1251" s="5"/>
      <c r="U1251">
        <v>0</v>
      </c>
      <c r="V1251">
        <v>2024</v>
      </c>
      <c r="X1251">
        <f t="shared" si="57"/>
        <v>7.1698748999999999</v>
      </c>
      <c r="Y1251">
        <f t="shared" si="58"/>
        <v>-1.2510000000000001E-4</v>
      </c>
      <c r="Z1251">
        <f t="shared" si="59"/>
        <v>82.499874899999995</v>
      </c>
    </row>
    <row r="1252" spans="1:26" x14ac:dyDescent="0.3">
      <c r="A1252" t="s">
        <v>1342</v>
      </c>
      <c r="B1252" t="s">
        <v>55</v>
      </c>
      <c r="C1252" t="s">
        <v>101</v>
      </c>
      <c r="D1252" t="s">
        <v>69</v>
      </c>
      <c r="E1252">
        <v>20</v>
      </c>
      <c r="F1252" s="3">
        <v>7.51</v>
      </c>
      <c r="G1252" s="4">
        <v>61.7</v>
      </c>
      <c r="H1252">
        <v>2</v>
      </c>
      <c r="I1252">
        <v>1</v>
      </c>
      <c r="J1252">
        <v>5</v>
      </c>
      <c r="K1252" s="4">
        <v>57.9</v>
      </c>
      <c r="L1252" s="4">
        <v>54.1</v>
      </c>
      <c r="M1252" s="4">
        <v>81.3</v>
      </c>
      <c r="N1252">
        <v>0</v>
      </c>
      <c r="O1252" t="s">
        <v>58</v>
      </c>
      <c r="P1252" t="s">
        <v>75</v>
      </c>
      <c r="Q1252" t="s">
        <v>71</v>
      </c>
      <c r="R1252" t="s">
        <v>61</v>
      </c>
      <c r="S1252" s="3">
        <v>5.09</v>
      </c>
      <c r="T1252" s="5">
        <v>45621</v>
      </c>
      <c r="U1252">
        <v>1</v>
      </c>
      <c r="V1252">
        <v>2024</v>
      </c>
      <c r="X1252">
        <f t="shared" si="57"/>
        <v>7.5098747999999995</v>
      </c>
      <c r="Y1252">
        <f t="shared" si="58"/>
        <v>5.0898747999999996</v>
      </c>
      <c r="Z1252">
        <f t="shared" si="59"/>
        <v>54.099874800000002</v>
      </c>
    </row>
    <row r="1253" spans="1:26" x14ac:dyDescent="0.3">
      <c r="A1253" t="s">
        <v>1343</v>
      </c>
      <c r="B1253" t="s">
        <v>67</v>
      </c>
      <c r="C1253" t="s">
        <v>56</v>
      </c>
      <c r="D1253" t="s">
        <v>69</v>
      </c>
      <c r="E1253">
        <v>23</v>
      </c>
      <c r="F1253" s="3">
        <v>7.24</v>
      </c>
      <c r="G1253" s="4">
        <v>82.3</v>
      </c>
      <c r="H1253">
        <v>0</v>
      </c>
      <c r="I1253">
        <v>3</v>
      </c>
      <c r="J1253">
        <v>3</v>
      </c>
      <c r="K1253" s="4">
        <v>83.9</v>
      </c>
      <c r="L1253" s="4">
        <v>68.400000000000006</v>
      </c>
      <c r="M1253" s="4">
        <v>70.099999999999994</v>
      </c>
      <c r="N1253">
        <v>0</v>
      </c>
      <c r="O1253" t="s">
        <v>64</v>
      </c>
      <c r="P1253" t="s">
        <v>65</v>
      </c>
      <c r="S1253" s="3">
        <v>0</v>
      </c>
      <c r="T1253" s="5"/>
      <c r="U1253">
        <v>0</v>
      </c>
      <c r="V1253">
        <v>2023</v>
      </c>
      <c r="X1253">
        <f t="shared" si="57"/>
        <v>7.2398747000000006</v>
      </c>
      <c r="Y1253">
        <f t="shared" si="58"/>
        <v>-1.2529999999999998E-4</v>
      </c>
      <c r="Z1253">
        <f t="shared" si="59"/>
        <v>68.399874700000012</v>
      </c>
    </row>
    <row r="1254" spans="1:26" x14ac:dyDescent="0.3">
      <c r="A1254" t="s">
        <v>1344</v>
      </c>
      <c r="B1254" t="s">
        <v>82</v>
      </c>
      <c r="C1254" t="s">
        <v>84</v>
      </c>
      <c r="D1254" t="s">
        <v>57</v>
      </c>
      <c r="E1254">
        <v>23</v>
      </c>
      <c r="F1254" s="3">
        <v>8.7799999999999994</v>
      </c>
      <c r="G1254" s="4">
        <v>74.400000000000006</v>
      </c>
      <c r="H1254">
        <v>1</v>
      </c>
      <c r="I1254">
        <v>3</v>
      </c>
      <c r="J1254">
        <v>3</v>
      </c>
      <c r="K1254" s="4">
        <v>84.9</v>
      </c>
      <c r="L1254" s="4">
        <v>63.3</v>
      </c>
      <c r="M1254" s="4">
        <v>61.6</v>
      </c>
      <c r="N1254">
        <v>2</v>
      </c>
      <c r="O1254" t="s">
        <v>58</v>
      </c>
      <c r="P1254" t="s">
        <v>79</v>
      </c>
      <c r="Q1254" t="s">
        <v>71</v>
      </c>
      <c r="R1254" t="s">
        <v>76</v>
      </c>
      <c r="S1254" s="3">
        <v>7.15</v>
      </c>
      <c r="T1254" s="5">
        <v>44835</v>
      </c>
      <c r="U1254">
        <v>1</v>
      </c>
      <c r="V1254">
        <v>2022</v>
      </c>
      <c r="X1254">
        <f t="shared" si="57"/>
        <v>8.7798745999999994</v>
      </c>
      <c r="Y1254">
        <f t="shared" si="58"/>
        <v>7.1498746000000004</v>
      </c>
      <c r="Z1254">
        <f t="shared" si="59"/>
        <v>63.299874599999995</v>
      </c>
    </row>
    <row r="1255" spans="1:26" x14ac:dyDescent="0.3">
      <c r="A1255" t="s">
        <v>1345</v>
      </c>
      <c r="B1255" t="s">
        <v>55</v>
      </c>
      <c r="C1255" t="s">
        <v>74</v>
      </c>
      <c r="D1255" t="s">
        <v>57</v>
      </c>
      <c r="E1255">
        <v>23</v>
      </c>
      <c r="F1255" s="3">
        <v>7.4</v>
      </c>
      <c r="G1255" s="4">
        <v>95.2</v>
      </c>
      <c r="H1255">
        <v>3</v>
      </c>
      <c r="I1255">
        <v>0</v>
      </c>
      <c r="J1255">
        <v>3</v>
      </c>
      <c r="K1255" s="4">
        <v>52.5</v>
      </c>
      <c r="L1255" s="4">
        <v>78.7</v>
      </c>
      <c r="M1255" s="4">
        <v>68.099999999999994</v>
      </c>
      <c r="N1255">
        <v>3</v>
      </c>
      <c r="O1255" t="s">
        <v>64</v>
      </c>
      <c r="P1255" t="s">
        <v>65</v>
      </c>
      <c r="S1255" s="3">
        <v>0</v>
      </c>
      <c r="T1255" s="5"/>
      <c r="U1255">
        <v>0</v>
      </c>
      <c r="V1255">
        <v>2024</v>
      </c>
      <c r="X1255">
        <f t="shared" si="57"/>
        <v>7.3998745000000001</v>
      </c>
      <c r="Y1255">
        <f t="shared" si="58"/>
        <v>-1.2549999999999999E-4</v>
      </c>
      <c r="Z1255">
        <f t="shared" si="59"/>
        <v>78.699874500000007</v>
      </c>
    </row>
    <row r="1256" spans="1:26" x14ac:dyDescent="0.3">
      <c r="A1256" t="s">
        <v>1346</v>
      </c>
      <c r="B1256" t="s">
        <v>67</v>
      </c>
      <c r="C1256" t="s">
        <v>74</v>
      </c>
      <c r="D1256" t="s">
        <v>57</v>
      </c>
      <c r="E1256">
        <v>22</v>
      </c>
      <c r="F1256" s="3">
        <v>7.09</v>
      </c>
      <c r="G1256" s="4">
        <v>81.3</v>
      </c>
      <c r="H1256">
        <v>1</v>
      </c>
      <c r="I1256">
        <v>2</v>
      </c>
      <c r="J1256">
        <v>3</v>
      </c>
      <c r="K1256" s="4">
        <v>73.099999999999994</v>
      </c>
      <c r="L1256" s="4">
        <v>57</v>
      </c>
      <c r="M1256" s="4">
        <v>92.2</v>
      </c>
      <c r="N1256">
        <v>1</v>
      </c>
      <c r="O1256" t="s">
        <v>58</v>
      </c>
      <c r="P1256" t="s">
        <v>70</v>
      </c>
      <c r="Q1256" t="s">
        <v>71</v>
      </c>
      <c r="R1256" t="s">
        <v>85</v>
      </c>
      <c r="S1256" s="3">
        <v>6.35</v>
      </c>
      <c r="T1256" s="5">
        <v>45180</v>
      </c>
      <c r="U1256">
        <v>1</v>
      </c>
      <c r="V1256">
        <v>2023</v>
      </c>
      <c r="X1256">
        <f t="shared" si="57"/>
        <v>7.0898744000000002</v>
      </c>
      <c r="Y1256">
        <f t="shared" si="58"/>
        <v>6.3498744</v>
      </c>
      <c r="Z1256">
        <f t="shared" si="59"/>
        <v>56.999874400000003</v>
      </c>
    </row>
    <row r="1257" spans="1:26" x14ac:dyDescent="0.3">
      <c r="A1257" t="s">
        <v>1347</v>
      </c>
      <c r="B1257" t="s">
        <v>63</v>
      </c>
      <c r="C1257" t="s">
        <v>74</v>
      </c>
      <c r="D1257" t="s">
        <v>69</v>
      </c>
      <c r="E1257">
        <v>20</v>
      </c>
      <c r="F1257" s="3">
        <v>8.84</v>
      </c>
      <c r="G1257" s="4">
        <v>84</v>
      </c>
      <c r="H1257">
        <v>1</v>
      </c>
      <c r="I1257">
        <v>1</v>
      </c>
      <c r="J1257">
        <v>3</v>
      </c>
      <c r="K1257" s="4">
        <v>64.900000000000006</v>
      </c>
      <c r="L1257" s="4">
        <v>66.8</v>
      </c>
      <c r="M1257" s="4">
        <v>74</v>
      </c>
      <c r="N1257">
        <v>2</v>
      </c>
      <c r="O1257" t="s">
        <v>58</v>
      </c>
      <c r="P1257" t="s">
        <v>87</v>
      </c>
      <c r="Q1257" t="s">
        <v>71</v>
      </c>
      <c r="R1257" t="s">
        <v>72</v>
      </c>
      <c r="S1257" s="3">
        <v>7.22</v>
      </c>
      <c r="T1257" s="5">
        <v>45987</v>
      </c>
      <c r="U1257">
        <v>1</v>
      </c>
      <c r="V1257">
        <v>2025</v>
      </c>
      <c r="X1257">
        <f t="shared" si="57"/>
        <v>8.8398743</v>
      </c>
      <c r="Y1257">
        <f t="shared" si="58"/>
        <v>7.2198742999999999</v>
      </c>
      <c r="Z1257">
        <f t="shared" si="59"/>
        <v>66.799874299999999</v>
      </c>
    </row>
    <row r="1258" spans="1:26" x14ac:dyDescent="0.3">
      <c r="A1258" t="s">
        <v>1348</v>
      </c>
      <c r="B1258" t="s">
        <v>55</v>
      </c>
      <c r="C1258" t="s">
        <v>56</v>
      </c>
      <c r="D1258" t="s">
        <v>69</v>
      </c>
      <c r="E1258">
        <v>22</v>
      </c>
      <c r="F1258" s="3">
        <v>8.74</v>
      </c>
      <c r="G1258" s="4">
        <v>79.2</v>
      </c>
      <c r="H1258">
        <v>2</v>
      </c>
      <c r="I1258">
        <v>1</v>
      </c>
      <c r="J1258">
        <v>1</v>
      </c>
      <c r="K1258" s="4">
        <v>74.8</v>
      </c>
      <c r="L1258" s="4">
        <v>68.099999999999994</v>
      </c>
      <c r="M1258" s="4">
        <v>91.6</v>
      </c>
      <c r="N1258">
        <v>0</v>
      </c>
      <c r="O1258" t="s">
        <v>58</v>
      </c>
      <c r="P1258" t="s">
        <v>75</v>
      </c>
      <c r="Q1258" t="s">
        <v>71</v>
      </c>
      <c r="R1258" t="s">
        <v>61</v>
      </c>
      <c r="S1258" s="3">
        <v>7.6</v>
      </c>
      <c r="T1258" s="5">
        <v>45532</v>
      </c>
      <c r="U1258">
        <v>1</v>
      </c>
      <c r="V1258">
        <v>2024</v>
      </c>
      <c r="X1258">
        <f t="shared" si="57"/>
        <v>8.7398742000000009</v>
      </c>
      <c r="Y1258">
        <f t="shared" si="58"/>
        <v>7.5998741999999995</v>
      </c>
      <c r="Z1258">
        <f t="shared" si="59"/>
        <v>68.099874199999988</v>
      </c>
    </row>
    <row r="1259" spans="1:26" x14ac:dyDescent="0.3">
      <c r="A1259" t="s">
        <v>1349</v>
      </c>
      <c r="B1259" t="s">
        <v>67</v>
      </c>
      <c r="C1259" t="s">
        <v>56</v>
      </c>
      <c r="D1259" t="s">
        <v>57</v>
      </c>
      <c r="E1259">
        <v>20</v>
      </c>
      <c r="F1259" s="3">
        <v>7.86</v>
      </c>
      <c r="G1259" s="4">
        <v>76.099999999999994</v>
      </c>
      <c r="H1259">
        <v>2</v>
      </c>
      <c r="I1259">
        <v>0</v>
      </c>
      <c r="J1259">
        <v>3</v>
      </c>
      <c r="K1259" s="4">
        <v>68.599999999999994</v>
      </c>
      <c r="L1259" s="4">
        <v>73.8</v>
      </c>
      <c r="M1259" s="4">
        <v>59.1</v>
      </c>
      <c r="N1259">
        <v>0</v>
      </c>
      <c r="O1259" t="s">
        <v>58</v>
      </c>
      <c r="P1259" t="s">
        <v>92</v>
      </c>
      <c r="Q1259" t="s">
        <v>93</v>
      </c>
      <c r="R1259" t="s">
        <v>72</v>
      </c>
      <c r="S1259" s="3">
        <v>9.42</v>
      </c>
      <c r="T1259" s="5">
        <v>45175</v>
      </c>
      <c r="U1259">
        <v>2</v>
      </c>
      <c r="V1259">
        <v>2023</v>
      </c>
      <c r="X1259">
        <f t="shared" si="57"/>
        <v>7.8598741000000008</v>
      </c>
      <c r="Y1259">
        <f t="shared" si="58"/>
        <v>9.4198740999999995</v>
      </c>
      <c r="Z1259">
        <f t="shared" si="59"/>
        <v>73.799874099999997</v>
      </c>
    </row>
    <row r="1260" spans="1:26" x14ac:dyDescent="0.3">
      <c r="A1260" t="s">
        <v>1350</v>
      </c>
      <c r="B1260" t="s">
        <v>67</v>
      </c>
      <c r="C1260" t="s">
        <v>89</v>
      </c>
      <c r="D1260" t="s">
        <v>69</v>
      </c>
      <c r="E1260">
        <v>20</v>
      </c>
      <c r="F1260" s="3">
        <v>7.53</v>
      </c>
      <c r="G1260" s="4">
        <v>82.5</v>
      </c>
      <c r="H1260">
        <v>2</v>
      </c>
      <c r="I1260">
        <v>3</v>
      </c>
      <c r="J1260">
        <v>5</v>
      </c>
      <c r="K1260" s="4">
        <v>64.900000000000006</v>
      </c>
      <c r="L1260" s="4">
        <v>53.5</v>
      </c>
      <c r="M1260" s="4">
        <v>87</v>
      </c>
      <c r="N1260">
        <v>1</v>
      </c>
      <c r="O1260" t="s">
        <v>64</v>
      </c>
      <c r="P1260" t="s">
        <v>65</v>
      </c>
      <c r="S1260" s="3">
        <v>0</v>
      </c>
      <c r="T1260" s="5"/>
      <c r="U1260">
        <v>0</v>
      </c>
      <c r="V1260">
        <v>2023</v>
      </c>
      <c r="X1260">
        <f t="shared" si="57"/>
        <v>7.5298740000000004</v>
      </c>
      <c r="Y1260">
        <f t="shared" si="58"/>
        <v>-1.26E-4</v>
      </c>
      <c r="Z1260">
        <f t="shared" si="59"/>
        <v>53.499873999999998</v>
      </c>
    </row>
    <row r="1261" spans="1:26" x14ac:dyDescent="0.3">
      <c r="A1261" t="s">
        <v>1351</v>
      </c>
      <c r="B1261" t="s">
        <v>107</v>
      </c>
      <c r="C1261" t="s">
        <v>101</v>
      </c>
      <c r="D1261" t="s">
        <v>69</v>
      </c>
      <c r="E1261">
        <v>21</v>
      </c>
      <c r="F1261" s="3">
        <v>7.31</v>
      </c>
      <c r="G1261" s="4">
        <v>91.1</v>
      </c>
      <c r="H1261">
        <v>3</v>
      </c>
      <c r="I1261">
        <v>4</v>
      </c>
      <c r="J1261">
        <v>3</v>
      </c>
      <c r="K1261" s="4">
        <v>59.9</v>
      </c>
      <c r="L1261" s="4">
        <v>74.599999999999994</v>
      </c>
      <c r="M1261" s="4">
        <v>62.4</v>
      </c>
      <c r="N1261">
        <v>0</v>
      </c>
      <c r="O1261" t="s">
        <v>58</v>
      </c>
      <c r="P1261" t="s">
        <v>87</v>
      </c>
      <c r="Q1261" t="s">
        <v>71</v>
      </c>
      <c r="R1261" t="s">
        <v>130</v>
      </c>
      <c r="S1261" s="3">
        <v>5.87</v>
      </c>
      <c r="T1261" s="5">
        <v>44443</v>
      </c>
      <c r="U1261">
        <v>1</v>
      </c>
      <c r="V1261">
        <v>2021</v>
      </c>
      <c r="X1261">
        <f t="shared" si="57"/>
        <v>7.3098738999999995</v>
      </c>
      <c r="Y1261">
        <f t="shared" si="58"/>
        <v>5.8698739</v>
      </c>
      <c r="Z1261">
        <f t="shared" si="59"/>
        <v>74.599873899999992</v>
      </c>
    </row>
    <row r="1262" spans="1:26" x14ac:dyDescent="0.3">
      <c r="A1262" t="s">
        <v>1352</v>
      </c>
      <c r="B1262" t="s">
        <v>63</v>
      </c>
      <c r="C1262" t="s">
        <v>101</v>
      </c>
      <c r="D1262" t="s">
        <v>69</v>
      </c>
      <c r="E1262">
        <v>20</v>
      </c>
      <c r="F1262" s="3">
        <v>7.61</v>
      </c>
      <c r="G1262" s="4">
        <v>79.2</v>
      </c>
      <c r="H1262">
        <v>0</v>
      </c>
      <c r="I1262">
        <v>1</v>
      </c>
      <c r="J1262">
        <v>4</v>
      </c>
      <c r="K1262" s="4">
        <v>88.2</v>
      </c>
      <c r="L1262" s="4">
        <v>62</v>
      </c>
      <c r="M1262" s="4">
        <v>88.7</v>
      </c>
      <c r="N1262">
        <v>0</v>
      </c>
      <c r="O1262" t="s">
        <v>58</v>
      </c>
      <c r="P1262" t="s">
        <v>87</v>
      </c>
      <c r="Q1262" t="s">
        <v>71</v>
      </c>
      <c r="R1262" t="s">
        <v>109</v>
      </c>
      <c r="S1262" s="3">
        <v>5.47</v>
      </c>
      <c r="T1262" s="5">
        <v>45923</v>
      </c>
      <c r="U1262">
        <v>1</v>
      </c>
      <c r="V1262">
        <v>2025</v>
      </c>
      <c r="X1262">
        <f t="shared" si="57"/>
        <v>7.6098737999999999</v>
      </c>
      <c r="Y1262">
        <f t="shared" si="58"/>
        <v>5.4698737999999993</v>
      </c>
      <c r="Z1262">
        <f t="shared" si="59"/>
        <v>61.999873800000003</v>
      </c>
    </row>
    <row r="1263" spans="1:26" x14ac:dyDescent="0.3">
      <c r="A1263" t="s">
        <v>1353</v>
      </c>
      <c r="B1263" t="s">
        <v>107</v>
      </c>
      <c r="C1263" t="s">
        <v>56</v>
      </c>
      <c r="D1263" t="s">
        <v>69</v>
      </c>
      <c r="E1263">
        <v>23</v>
      </c>
      <c r="F1263" s="3">
        <v>6.86</v>
      </c>
      <c r="G1263" s="4">
        <v>78.599999999999994</v>
      </c>
      <c r="H1263">
        <v>3</v>
      </c>
      <c r="I1263">
        <v>1</v>
      </c>
      <c r="J1263">
        <v>3</v>
      </c>
      <c r="K1263" s="4">
        <v>57.6</v>
      </c>
      <c r="L1263" s="4">
        <v>77.7</v>
      </c>
      <c r="M1263" s="4">
        <v>87.7</v>
      </c>
      <c r="N1263">
        <v>1</v>
      </c>
      <c r="O1263" t="s">
        <v>58</v>
      </c>
      <c r="P1263" t="s">
        <v>95</v>
      </c>
      <c r="Q1263" t="s">
        <v>93</v>
      </c>
      <c r="R1263" t="s">
        <v>72</v>
      </c>
      <c r="S1263" s="3">
        <v>6.46</v>
      </c>
      <c r="T1263" s="5">
        <v>44479</v>
      </c>
      <c r="U1263">
        <v>1</v>
      </c>
      <c r="V1263">
        <v>2021</v>
      </c>
      <c r="X1263">
        <f t="shared" si="57"/>
        <v>6.8598737000000005</v>
      </c>
      <c r="Y1263">
        <f t="shared" si="58"/>
        <v>6.4598737000000002</v>
      </c>
      <c r="Z1263">
        <f t="shared" si="59"/>
        <v>77.699873699999998</v>
      </c>
    </row>
    <row r="1264" spans="1:26" x14ac:dyDescent="0.3">
      <c r="A1264" t="s">
        <v>1354</v>
      </c>
      <c r="B1264" t="s">
        <v>82</v>
      </c>
      <c r="C1264" t="s">
        <v>68</v>
      </c>
      <c r="D1264" t="s">
        <v>69</v>
      </c>
      <c r="E1264">
        <v>23</v>
      </c>
      <c r="F1264" s="3">
        <v>8.09</v>
      </c>
      <c r="G1264" s="4">
        <v>89.2</v>
      </c>
      <c r="H1264">
        <v>3</v>
      </c>
      <c r="I1264">
        <v>1</v>
      </c>
      <c r="J1264">
        <v>4</v>
      </c>
      <c r="K1264" s="4">
        <v>60.4</v>
      </c>
      <c r="L1264" s="4">
        <v>64</v>
      </c>
      <c r="M1264" s="4">
        <v>62.1</v>
      </c>
      <c r="N1264">
        <v>0</v>
      </c>
      <c r="O1264" t="s">
        <v>58</v>
      </c>
      <c r="P1264" t="s">
        <v>92</v>
      </c>
      <c r="Q1264" t="s">
        <v>93</v>
      </c>
      <c r="R1264" t="s">
        <v>61</v>
      </c>
      <c r="S1264" s="3">
        <v>11.76</v>
      </c>
      <c r="T1264" s="5">
        <v>44871</v>
      </c>
      <c r="U1264">
        <v>2</v>
      </c>
      <c r="V1264">
        <v>2022</v>
      </c>
      <c r="X1264">
        <f t="shared" si="57"/>
        <v>8.0898736000000007</v>
      </c>
      <c r="Y1264">
        <f t="shared" si="58"/>
        <v>11.759873600000001</v>
      </c>
      <c r="Z1264">
        <f t="shared" si="59"/>
        <v>63.999873600000001</v>
      </c>
    </row>
    <row r="1265" spans="1:26" x14ac:dyDescent="0.3">
      <c r="A1265" t="s">
        <v>1355</v>
      </c>
      <c r="B1265" t="s">
        <v>107</v>
      </c>
      <c r="C1265" t="s">
        <v>56</v>
      </c>
      <c r="D1265" t="s">
        <v>69</v>
      </c>
      <c r="E1265">
        <v>23</v>
      </c>
      <c r="F1265" s="3">
        <v>9.14</v>
      </c>
      <c r="G1265" s="4">
        <v>66.8</v>
      </c>
      <c r="H1265">
        <v>2</v>
      </c>
      <c r="I1265">
        <v>4</v>
      </c>
      <c r="J1265">
        <v>6</v>
      </c>
      <c r="K1265" s="4">
        <v>50.4</v>
      </c>
      <c r="L1265" s="4">
        <v>88.8</v>
      </c>
      <c r="M1265" s="4">
        <v>79.099999999999994</v>
      </c>
      <c r="N1265">
        <v>0</v>
      </c>
      <c r="O1265" t="s">
        <v>58</v>
      </c>
      <c r="P1265" t="s">
        <v>70</v>
      </c>
      <c r="Q1265" t="s">
        <v>71</v>
      </c>
      <c r="R1265" t="s">
        <v>109</v>
      </c>
      <c r="S1265" s="3">
        <v>8.0399999999999991</v>
      </c>
      <c r="T1265" s="5">
        <v>44414</v>
      </c>
      <c r="U1265">
        <v>1</v>
      </c>
      <c r="V1265">
        <v>2021</v>
      </c>
      <c r="X1265">
        <f t="shared" si="57"/>
        <v>9.1398735000000002</v>
      </c>
      <c r="Y1265">
        <f t="shared" si="58"/>
        <v>8.0398734999999988</v>
      </c>
      <c r="Z1265">
        <f t="shared" si="59"/>
        <v>88.799873500000004</v>
      </c>
    </row>
    <row r="1266" spans="1:26" x14ac:dyDescent="0.3">
      <c r="A1266" t="s">
        <v>1356</v>
      </c>
      <c r="B1266" t="s">
        <v>107</v>
      </c>
      <c r="C1266" t="s">
        <v>56</v>
      </c>
      <c r="D1266" t="s">
        <v>57</v>
      </c>
      <c r="E1266">
        <v>21</v>
      </c>
      <c r="F1266" s="3">
        <v>8.16</v>
      </c>
      <c r="G1266" s="4">
        <v>92.7</v>
      </c>
      <c r="H1266">
        <v>1</v>
      </c>
      <c r="I1266">
        <v>0</v>
      </c>
      <c r="J1266">
        <v>4</v>
      </c>
      <c r="K1266" s="4">
        <v>80</v>
      </c>
      <c r="L1266" s="4">
        <v>45.9</v>
      </c>
      <c r="M1266" s="4">
        <v>76.5</v>
      </c>
      <c r="N1266">
        <v>0</v>
      </c>
      <c r="O1266" t="s">
        <v>58</v>
      </c>
      <c r="P1266" t="s">
        <v>87</v>
      </c>
      <c r="Q1266" t="s">
        <v>71</v>
      </c>
      <c r="R1266" t="s">
        <v>61</v>
      </c>
      <c r="S1266" s="3">
        <v>5.62</v>
      </c>
      <c r="T1266" s="5">
        <v>44427</v>
      </c>
      <c r="U1266">
        <v>1</v>
      </c>
      <c r="V1266">
        <v>2021</v>
      </c>
      <c r="X1266">
        <f t="shared" si="57"/>
        <v>8.1598734000000004</v>
      </c>
      <c r="Y1266">
        <f t="shared" si="58"/>
        <v>5.6198734000000004</v>
      </c>
      <c r="Z1266">
        <f t="shared" si="59"/>
        <v>45.899873399999997</v>
      </c>
    </row>
    <row r="1267" spans="1:26" x14ac:dyDescent="0.3">
      <c r="A1267" t="s">
        <v>1357</v>
      </c>
      <c r="B1267" t="s">
        <v>55</v>
      </c>
      <c r="C1267" t="s">
        <v>89</v>
      </c>
      <c r="D1267" t="s">
        <v>69</v>
      </c>
      <c r="E1267">
        <v>21</v>
      </c>
      <c r="F1267" s="3">
        <v>6.66</v>
      </c>
      <c r="G1267" s="4">
        <v>74.7</v>
      </c>
      <c r="H1267">
        <v>2</v>
      </c>
      <c r="I1267">
        <v>2</v>
      </c>
      <c r="J1267">
        <v>4</v>
      </c>
      <c r="K1267" s="4">
        <v>82.5</v>
      </c>
      <c r="L1267" s="4">
        <v>78.2</v>
      </c>
      <c r="M1267" s="4">
        <v>85.2</v>
      </c>
      <c r="N1267">
        <v>1</v>
      </c>
      <c r="O1267" t="s">
        <v>64</v>
      </c>
      <c r="P1267" t="s">
        <v>65</v>
      </c>
      <c r="S1267" s="3">
        <v>0</v>
      </c>
      <c r="T1267" s="5"/>
      <c r="U1267">
        <v>0</v>
      </c>
      <c r="V1267">
        <v>2024</v>
      </c>
      <c r="X1267">
        <f t="shared" si="57"/>
        <v>6.6598733000000001</v>
      </c>
      <c r="Y1267">
        <f t="shared" si="58"/>
        <v>-1.2669999999999999E-4</v>
      </c>
      <c r="Z1267">
        <f t="shared" si="59"/>
        <v>78.199873300000007</v>
      </c>
    </row>
    <row r="1268" spans="1:26" x14ac:dyDescent="0.3">
      <c r="A1268" t="s">
        <v>1358</v>
      </c>
      <c r="B1268" t="s">
        <v>67</v>
      </c>
      <c r="C1268" t="s">
        <v>68</v>
      </c>
      <c r="D1268" t="s">
        <v>57</v>
      </c>
      <c r="E1268">
        <v>22</v>
      </c>
      <c r="F1268" s="3">
        <v>8.06</v>
      </c>
      <c r="G1268" s="4">
        <v>90.5</v>
      </c>
      <c r="H1268">
        <v>1</v>
      </c>
      <c r="I1268">
        <v>4</v>
      </c>
      <c r="J1268">
        <v>2</v>
      </c>
      <c r="K1268" s="4">
        <v>73.5</v>
      </c>
      <c r="L1268" s="4">
        <v>74.7</v>
      </c>
      <c r="M1268" s="4">
        <v>60.4</v>
      </c>
      <c r="N1268">
        <v>1</v>
      </c>
      <c r="O1268" t="s">
        <v>64</v>
      </c>
      <c r="P1268" t="s">
        <v>65</v>
      </c>
      <c r="S1268" s="3">
        <v>0</v>
      </c>
      <c r="T1268" s="5"/>
      <c r="U1268">
        <v>0</v>
      </c>
      <c r="V1268">
        <v>2023</v>
      </c>
      <c r="X1268">
        <f t="shared" si="57"/>
        <v>8.0598732000000002</v>
      </c>
      <c r="Y1268">
        <f t="shared" si="58"/>
        <v>-1.2679999999999999E-4</v>
      </c>
      <c r="Z1268">
        <f t="shared" si="59"/>
        <v>74.699873199999999</v>
      </c>
    </row>
    <row r="1269" spans="1:26" x14ac:dyDescent="0.3">
      <c r="A1269" t="s">
        <v>1359</v>
      </c>
      <c r="B1269" t="s">
        <v>63</v>
      </c>
      <c r="C1269" t="s">
        <v>56</v>
      </c>
      <c r="D1269" t="s">
        <v>57</v>
      </c>
      <c r="E1269">
        <v>20</v>
      </c>
      <c r="F1269" s="3">
        <v>7.83</v>
      </c>
      <c r="G1269" s="4">
        <v>84.6</v>
      </c>
      <c r="H1269">
        <v>2</v>
      </c>
      <c r="I1269">
        <v>1</v>
      </c>
      <c r="J1269">
        <v>3</v>
      </c>
      <c r="K1269" s="4">
        <v>57.2</v>
      </c>
      <c r="L1269" s="4">
        <v>76.900000000000006</v>
      </c>
      <c r="M1269" s="4">
        <v>69.099999999999994</v>
      </c>
      <c r="N1269">
        <v>0</v>
      </c>
      <c r="O1269" t="s">
        <v>58</v>
      </c>
      <c r="P1269" t="s">
        <v>59</v>
      </c>
      <c r="Q1269" t="s">
        <v>60</v>
      </c>
      <c r="R1269" t="s">
        <v>72</v>
      </c>
      <c r="S1269" s="3">
        <v>20.07</v>
      </c>
      <c r="T1269" s="5">
        <v>45917</v>
      </c>
      <c r="U1269">
        <v>1</v>
      </c>
      <c r="V1269">
        <v>2025</v>
      </c>
      <c r="X1269">
        <f t="shared" si="57"/>
        <v>7.8298731000000004</v>
      </c>
      <c r="Y1269">
        <f t="shared" si="58"/>
        <v>20.069873099999999</v>
      </c>
      <c r="Z1269">
        <f t="shared" si="59"/>
        <v>76.899873100000008</v>
      </c>
    </row>
    <row r="1270" spans="1:26" x14ac:dyDescent="0.3">
      <c r="A1270" t="s">
        <v>1360</v>
      </c>
      <c r="B1270" t="s">
        <v>107</v>
      </c>
      <c r="C1270" t="s">
        <v>56</v>
      </c>
      <c r="D1270" t="s">
        <v>57</v>
      </c>
      <c r="E1270">
        <v>20</v>
      </c>
      <c r="F1270" s="3">
        <v>8.0500000000000007</v>
      </c>
      <c r="G1270" s="4">
        <v>63.2</v>
      </c>
      <c r="H1270">
        <v>1</v>
      </c>
      <c r="I1270">
        <v>2</v>
      </c>
      <c r="J1270">
        <v>5</v>
      </c>
      <c r="K1270" s="4">
        <v>44.1</v>
      </c>
      <c r="L1270" s="4">
        <v>85.8</v>
      </c>
      <c r="M1270" s="4">
        <v>74.599999999999994</v>
      </c>
      <c r="N1270">
        <v>3</v>
      </c>
      <c r="O1270" t="s">
        <v>58</v>
      </c>
      <c r="P1270" t="s">
        <v>59</v>
      </c>
      <c r="Q1270" t="s">
        <v>60</v>
      </c>
      <c r="R1270" t="s">
        <v>76</v>
      </c>
      <c r="S1270" s="3">
        <v>20.62</v>
      </c>
      <c r="T1270" s="5">
        <v>44502</v>
      </c>
      <c r="U1270">
        <v>2</v>
      </c>
      <c r="V1270">
        <v>2021</v>
      </c>
      <c r="X1270">
        <f t="shared" si="57"/>
        <v>8.0498729999999998</v>
      </c>
      <c r="Y1270">
        <f t="shared" si="58"/>
        <v>20.619873000000002</v>
      </c>
      <c r="Z1270">
        <f t="shared" si="59"/>
        <v>85.799872999999991</v>
      </c>
    </row>
    <row r="1271" spans="1:26" x14ac:dyDescent="0.3">
      <c r="A1271" t="s">
        <v>1361</v>
      </c>
      <c r="B1271" t="s">
        <v>63</v>
      </c>
      <c r="C1271" t="s">
        <v>84</v>
      </c>
      <c r="D1271" t="s">
        <v>69</v>
      </c>
      <c r="E1271">
        <v>23</v>
      </c>
      <c r="F1271" s="3">
        <v>6.91</v>
      </c>
      <c r="G1271" s="4">
        <v>82.1</v>
      </c>
      <c r="H1271">
        <v>2</v>
      </c>
      <c r="I1271">
        <v>0</v>
      </c>
      <c r="J1271">
        <v>5</v>
      </c>
      <c r="K1271" s="4">
        <v>75.8</v>
      </c>
      <c r="L1271" s="4">
        <v>43</v>
      </c>
      <c r="M1271" s="4">
        <v>92.1</v>
      </c>
      <c r="N1271">
        <v>0</v>
      </c>
      <c r="O1271" t="s">
        <v>58</v>
      </c>
      <c r="P1271" t="s">
        <v>95</v>
      </c>
      <c r="Q1271" t="s">
        <v>93</v>
      </c>
      <c r="R1271" t="s">
        <v>109</v>
      </c>
      <c r="S1271" s="3">
        <v>5.91</v>
      </c>
      <c r="T1271" s="5">
        <v>45935</v>
      </c>
      <c r="U1271">
        <v>1</v>
      </c>
      <c r="V1271">
        <v>2025</v>
      </c>
      <c r="X1271">
        <f t="shared" si="57"/>
        <v>6.9098728999999999</v>
      </c>
      <c r="Y1271">
        <f t="shared" si="58"/>
        <v>5.9098728999999999</v>
      </c>
      <c r="Z1271">
        <f t="shared" si="59"/>
        <v>42.9998729</v>
      </c>
    </row>
    <row r="1272" spans="1:26" x14ac:dyDescent="0.3">
      <c r="A1272" t="s">
        <v>1362</v>
      </c>
      <c r="B1272" t="s">
        <v>107</v>
      </c>
      <c r="C1272" t="s">
        <v>56</v>
      </c>
      <c r="D1272" t="s">
        <v>57</v>
      </c>
      <c r="E1272">
        <v>23</v>
      </c>
      <c r="F1272" s="3">
        <v>7.65</v>
      </c>
      <c r="G1272" s="4">
        <v>93.8</v>
      </c>
      <c r="H1272">
        <v>2</v>
      </c>
      <c r="I1272">
        <v>3</v>
      </c>
      <c r="J1272">
        <v>4</v>
      </c>
      <c r="K1272" s="4">
        <v>80.599999999999994</v>
      </c>
      <c r="L1272" s="4">
        <v>100</v>
      </c>
      <c r="M1272" s="4">
        <v>74.7</v>
      </c>
      <c r="N1272">
        <v>0</v>
      </c>
      <c r="O1272" t="s">
        <v>58</v>
      </c>
      <c r="P1272" t="s">
        <v>112</v>
      </c>
      <c r="Q1272" t="s">
        <v>93</v>
      </c>
      <c r="R1272" t="s">
        <v>72</v>
      </c>
      <c r="S1272" s="3">
        <v>8.32</v>
      </c>
      <c r="T1272" s="5">
        <v>44424</v>
      </c>
      <c r="U1272">
        <v>1</v>
      </c>
      <c r="V1272">
        <v>2021</v>
      </c>
      <c r="X1272">
        <f t="shared" si="57"/>
        <v>7.6498728000000007</v>
      </c>
      <c r="Y1272">
        <f t="shared" si="58"/>
        <v>8.3198728000000006</v>
      </c>
      <c r="Z1272">
        <f t="shared" si="59"/>
        <v>99.999872800000006</v>
      </c>
    </row>
    <row r="1273" spans="1:26" x14ac:dyDescent="0.3">
      <c r="A1273" t="s">
        <v>1363</v>
      </c>
      <c r="B1273" t="s">
        <v>82</v>
      </c>
      <c r="C1273" t="s">
        <v>68</v>
      </c>
      <c r="D1273" t="s">
        <v>57</v>
      </c>
      <c r="E1273">
        <v>23</v>
      </c>
      <c r="F1273" s="3">
        <v>8.44</v>
      </c>
      <c r="G1273" s="4">
        <v>79.3</v>
      </c>
      <c r="H1273">
        <v>0</v>
      </c>
      <c r="I1273">
        <v>1</v>
      </c>
      <c r="J1273">
        <v>6</v>
      </c>
      <c r="K1273" s="4">
        <v>60.9</v>
      </c>
      <c r="L1273" s="4">
        <v>77.8</v>
      </c>
      <c r="M1273" s="4">
        <v>62.3</v>
      </c>
      <c r="N1273">
        <v>0</v>
      </c>
      <c r="O1273" t="s">
        <v>58</v>
      </c>
      <c r="P1273" t="s">
        <v>79</v>
      </c>
      <c r="Q1273" t="s">
        <v>71</v>
      </c>
      <c r="R1273" t="s">
        <v>80</v>
      </c>
      <c r="S1273" s="3">
        <v>7.64</v>
      </c>
      <c r="T1273" s="5">
        <v>44890</v>
      </c>
      <c r="U1273">
        <v>1</v>
      </c>
      <c r="V1273">
        <v>2022</v>
      </c>
      <c r="X1273">
        <f t="shared" si="57"/>
        <v>8.4398726999999987</v>
      </c>
      <c r="Y1273">
        <f t="shared" si="58"/>
        <v>7.6398726999999997</v>
      </c>
      <c r="Z1273">
        <f t="shared" si="59"/>
        <v>77.799872699999995</v>
      </c>
    </row>
    <row r="1274" spans="1:26" x14ac:dyDescent="0.3">
      <c r="A1274" t="s">
        <v>1364</v>
      </c>
      <c r="B1274" t="s">
        <v>107</v>
      </c>
      <c r="C1274" t="s">
        <v>68</v>
      </c>
      <c r="D1274" t="s">
        <v>57</v>
      </c>
      <c r="E1274">
        <v>23</v>
      </c>
      <c r="F1274" s="3">
        <v>6.69</v>
      </c>
      <c r="G1274" s="4">
        <v>80.099999999999994</v>
      </c>
      <c r="H1274">
        <v>2</v>
      </c>
      <c r="I1274">
        <v>5</v>
      </c>
      <c r="J1274">
        <v>2</v>
      </c>
      <c r="K1274" s="4">
        <v>69</v>
      </c>
      <c r="L1274" s="4">
        <v>98.9</v>
      </c>
      <c r="M1274" s="4">
        <v>77.900000000000006</v>
      </c>
      <c r="N1274">
        <v>0</v>
      </c>
      <c r="O1274" t="s">
        <v>58</v>
      </c>
      <c r="P1274" t="s">
        <v>87</v>
      </c>
      <c r="Q1274" t="s">
        <v>71</v>
      </c>
      <c r="R1274" t="s">
        <v>109</v>
      </c>
      <c r="S1274" s="3">
        <v>5.77</v>
      </c>
      <c r="T1274" s="5">
        <v>44518</v>
      </c>
      <c r="U1274">
        <v>1</v>
      </c>
      <c r="V1274">
        <v>2021</v>
      </c>
      <c r="X1274">
        <f t="shared" si="57"/>
        <v>6.6898726000000002</v>
      </c>
      <c r="Y1274">
        <f t="shared" si="58"/>
        <v>5.7698725999999994</v>
      </c>
      <c r="Z1274">
        <f t="shared" si="59"/>
        <v>98.899872600000009</v>
      </c>
    </row>
    <row r="1275" spans="1:26" x14ac:dyDescent="0.3">
      <c r="A1275" t="s">
        <v>1365</v>
      </c>
      <c r="B1275" t="s">
        <v>55</v>
      </c>
      <c r="C1275" t="s">
        <v>56</v>
      </c>
      <c r="D1275" t="s">
        <v>57</v>
      </c>
      <c r="E1275">
        <v>23</v>
      </c>
      <c r="F1275" s="3">
        <v>7.25</v>
      </c>
      <c r="G1275" s="4">
        <v>75.099999999999994</v>
      </c>
      <c r="H1275">
        <v>1</v>
      </c>
      <c r="I1275">
        <v>4</v>
      </c>
      <c r="J1275">
        <v>4</v>
      </c>
      <c r="K1275" s="4">
        <v>46</v>
      </c>
      <c r="L1275" s="4">
        <v>98</v>
      </c>
      <c r="M1275" s="4">
        <v>61.8</v>
      </c>
      <c r="N1275">
        <v>0</v>
      </c>
      <c r="O1275" t="s">
        <v>58</v>
      </c>
      <c r="P1275" t="s">
        <v>112</v>
      </c>
      <c r="Q1275" t="s">
        <v>93</v>
      </c>
      <c r="R1275" t="s">
        <v>72</v>
      </c>
      <c r="S1275" s="3">
        <v>7.11</v>
      </c>
      <c r="T1275" s="5">
        <v>45528</v>
      </c>
      <c r="U1275">
        <v>2</v>
      </c>
      <c r="V1275">
        <v>2024</v>
      </c>
      <c r="X1275">
        <f t="shared" si="57"/>
        <v>7.2498725000000004</v>
      </c>
      <c r="Y1275">
        <f t="shared" si="58"/>
        <v>7.1098725000000007</v>
      </c>
      <c r="Z1275">
        <f t="shared" si="59"/>
        <v>97.999872499999995</v>
      </c>
    </row>
    <row r="1276" spans="1:26" x14ac:dyDescent="0.3">
      <c r="A1276" t="s">
        <v>1366</v>
      </c>
      <c r="B1276" t="s">
        <v>67</v>
      </c>
      <c r="C1276" t="s">
        <v>56</v>
      </c>
      <c r="D1276" t="s">
        <v>57</v>
      </c>
      <c r="E1276">
        <v>23</v>
      </c>
      <c r="F1276" s="3">
        <v>7.39</v>
      </c>
      <c r="G1276" s="4">
        <v>92.8</v>
      </c>
      <c r="H1276">
        <v>2</v>
      </c>
      <c r="I1276">
        <v>3</v>
      </c>
      <c r="J1276">
        <v>3</v>
      </c>
      <c r="K1276" s="4">
        <v>56.9</v>
      </c>
      <c r="L1276" s="4">
        <v>76.400000000000006</v>
      </c>
      <c r="M1276" s="4">
        <v>53.8</v>
      </c>
      <c r="N1276">
        <v>0</v>
      </c>
      <c r="O1276" t="s">
        <v>58</v>
      </c>
      <c r="P1276" t="s">
        <v>70</v>
      </c>
      <c r="Q1276" t="s">
        <v>71</v>
      </c>
      <c r="R1276" t="s">
        <v>130</v>
      </c>
      <c r="S1276" s="3">
        <v>5.93</v>
      </c>
      <c r="T1276" s="5">
        <v>45163</v>
      </c>
      <c r="U1276">
        <v>2</v>
      </c>
      <c r="V1276">
        <v>2023</v>
      </c>
      <c r="X1276">
        <f t="shared" si="57"/>
        <v>7.3898723999999998</v>
      </c>
      <c r="Y1276">
        <f t="shared" si="58"/>
        <v>5.9298723999999998</v>
      </c>
      <c r="Z1276">
        <f t="shared" si="59"/>
        <v>76.399872400000007</v>
      </c>
    </row>
    <row r="1277" spans="1:26" x14ac:dyDescent="0.3">
      <c r="A1277" t="s">
        <v>1367</v>
      </c>
      <c r="B1277" t="s">
        <v>82</v>
      </c>
      <c r="C1277" t="s">
        <v>74</v>
      </c>
      <c r="D1277" t="s">
        <v>69</v>
      </c>
      <c r="E1277">
        <v>20</v>
      </c>
      <c r="F1277" s="3">
        <v>8.5500000000000007</v>
      </c>
      <c r="G1277" s="4">
        <v>77.8</v>
      </c>
      <c r="H1277">
        <v>1</v>
      </c>
      <c r="I1277">
        <v>2</v>
      </c>
      <c r="J1277">
        <v>4</v>
      </c>
      <c r="K1277" s="4">
        <v>73.400000000000006</v>
      </c>
      <c r="L1277" s="4">
        <v>73.900000000000006</v>
      </c>
      <c r="M1277" s="4">
        <v>72.099999999999994</v>
      </c>
      <c r="N1277">
        <v>0</v>
      </c>
      <c r="O1277" t="s">
        <v>58</v>
      </c>
      <c r="P1277" t="s">
        <v>95</v>
      </c>
      <c r="Q1277" t="s">
        <v>93</v>
      </c>
      <c r="R1277" t="s">
        <v>76</v>
      </c>
      <c r="S1277" s="3">
        <v>7.2</v>
      </c>
      <c r="T1277" s="5">
        <v>44786</v>
      </c>
      <c r="U1277">
        <v>3</v>
      </c>
      <c r="V1277">
        <v>2022</v>
      </c>
      <c r="X1277">
        <f t="shared" si="57"/>
        <v>8.5498723000000005</v>
      </c>
      <c r="Y1277">
        <f t="shared" si="58"/>
        <v>7.1998723</v>
      </c>
      <c r="Z1277">
        <f t="shared" si="59"/>
        <v>73.899872300000013</v>
      </c>
    </row>
    <row r="1278" spans="1:26" x14ac:dyDescent="0.3">
      <c r="A1278" t="s">
        <v>1368</v>
      </c>
      <c r="B1278" t="s">
        <v>107</v>
      </c>
      <c r="C1278" t="s">
        <v>78</v>
      </c>
      <c r="D1278" t="s">
        <v>69</v>
      </c>
      <c r="E1278">
        <v>21</v>
      </c>
      <c r="F1278" s="3">
        <v>8.68</v>
      </c>
      <c r="G1278" s="4">
        <v>98.1</v>
      </c>
      <c r="H1278">
        <v>2</v>
      </c>
      <c r="I1278">
        <v>3</v>
      </c>
      <c r="J1278">
        <v>2</v>
      </c>
      <c r="K1278" s="4">
        <v>66.5</v>
      </c>
      <c r="L1278" s="4">
        <v>81.2</v>
      </c>
      <c r="M1278" s="4">
        <v>77.3</v>
      </c>
      <c r="N1278">
        <v>0</v>
      </c>
      <c r="O1278" t="s">
        <v>58</v>
      </c>
      <c r="P1278" t="s">
        <v>75</v>
      </c>
      <c r="Q1278" t="s">
        <v>71</v>
      </c>
      <c r="R1278" t="s">
        <v>85</v>
      </c>
      <c r="S1278" s="3">
        <v>7.19</v>
      </c>
      <c r="T1278" s="5">
        <v>44527</v>
      </c>
      <c r="U1278">
        <v>2</v>
      </c>
      <c r="V1278">
        <v>2021</v>
      </c>
      <c r="X1278">
        <f t="shared" si="57"/>
        <v>8.6798722000000001</v>
      </c>
      <c r="Y1278">
        <f t="shared" si="58"/>
        <v>7.1898722000000008</v>
      </c>
      <c r="Z1278">
        <f t="shared" si="59"/>
        <v>81.199872200000001</v>
      </c>
    </row>
    <row r="1279" spans="1:26" x14ac:dyDescent="0.3">
      <c r="A1279" t="s">
        <v>1369</v>
      </c>
      <c r="B1279" t="s">
        <v>63</v>
      </c>
      <c r="C1279" t="s">
        <v>68</v>
      </c>
      <c r="D1279" t="s">
        <v>57</v>
      </c>
      <c r="E1279">
        <v>23</v>
      </c>
      <c r="F1279" s="3">
        <v>5.93</v>
      </c>
      <c r="G1279" s="4">
        <v>92.4</v>
      </c>
      <c r="H1279">
        <v>1</v>
      </c>
      <c r="I1279">
        <v>0</v>
      </c>
      <c r="J1279">
        <v>6</v>
      </c>
      <c r="K1279" s="4">
        <v>70.599999999999994</v>
      </c>
      <c r="L1279" s="4">
        <v>35.799999999999997</v>
      </c>
      <c r="M1279" s="4">
        <v>76.3</v>
      </c>
      <c r="N1279">
        <v>0</v>
      </c>
      <c r="O1279" t="s">
        <v>58</v>
      </c>
      <c r="P1279" t="s">
        <v>90</v>
      </c>
      <c r="Q1279" t="s">
        <v>60</v>
      </c>
      <c r="R1279" t="s">
        <v>72</v>
      </c>
      <c r="S1279" s="3">
        <v>5.42</v>
      </c>
      <c r="T1279" s="5">
        <v>45942</v>
      </c>
      <c r="U1279">
        <v>1</v>
      </c>
      <c r="V1279">
        <v>2025</v>
      </c>
      <c r="X1279">
        <f t="shared" si="57"/>
        <v>5.9298720999999999</v>
      </c>
      <c r="Y1279">
        <f t="shared" si="58"/>
        <v>5.4198721000000001</v>
      </c>
      <c r="Z1279">
        <f t="shared" si="59"/>
        <v>35.799872099999995</v>
      </c>
    </row>
    <row r="1280" spans="1:26" x14ac:dyDescent="0.3">
      <c r="A1280" t="s">
        <v>1370</v>
      </c>
      <c r="B1280" t="s">
        <v>82</v>
      </c>
      <c r="C1280" t="s">
        <v>89</v>
      </c>
      <c r="D1280" t="s">
        <v>69</v>
      </c>
      <c r="E1280">
        <v>20</v>
      </c>
      <c r="F1280" s="3">
        <v>8.5500000000000007</v>
      </c>
      <c r="G1280" s="4">
        <v>94</v>
      </c>
      <c r="H1280">
        <v>1</v>
      </c>
      <c r="I1280">
        <v>1</v>
      </c>
      <c r="J1280">
        <v>5</v>
      </c>
      <c r="K1280" s="4">
        <v>83.9</v>
      </c>
      <c r="L1280" s="4">
        <v>68.7</v>
      </c>
      <c r="M1280" s="4">
        <v>74.599999999999994</v>
      </c>
      <c r="N1280">
        <v>0</v>
      </c>
      <c r="O1280" t="s">
        <v>58</v>
      </c>
      <c r="P1280" t="s">
        <v>87</v>
      </c>
      <c r="Q1280" t="s">
        <v>71</v>
      </c>
      <c r="R1280" t="s">
        <v>130</v>
      </c>
      <c r="S1280" s="3">
        <v>7.83</v>
      </c>
      <c r="T1280" s="5">
        <v>44803</v>
      </c>
      <c r="U1280">
        <v>1</v>
      </c>
      <c r="V1280">
        <v>2022</v>
      </c>
      <c r="X1280">
        <f t="shared" si="57"/>
        <v>8.5498720000000006</v>
      </c>
      <c r="Y1280">
        <f t="shared" si="58"/>
        <v>7.8298719999999999</v>
      </c>
      <c r="Z1280">
        <f t="shared" si="59"/>
        <v>68.699871999999999</v>
      </c>
    </row>
    <row r="1281" spans="1:26" x14ac:dyDescent="0.3">
      <c r="A1281" t="s">
        <v>1371</v>
      </c>
      <c r="B1281" t="s">
        <v>82</v>
      </c>
      <c r="C1281" t="s">
        <v>84</v>
      </c>
      <c r="D1281" t="s">
        <v>69</v>
      </c>
      <c r="E1281">
        <v>23</v>
      </c>
      <c r="F1281" s="3">
        <v>8.7100000000000009</v>
      </c>
      <c r="G1281" s="4">
        <v>82.7</v>
      </c>
      <c r="H1281">
        <v>1</v>
      </c>
      <c r="I1281">
        <v>0</v>
      </c>
      <c r="J1281">
        <v>3</v>
      </c>
      <c r="K1281" s="4">
        <v>50.6</v>
      </c>
      <c r="L1281" s="4">
        <v>84.5</v>
      </c>
      <c r="M1281" s="4">
        <v>95.4</v>
      </c>
      <c r="N1281">
        <v>0</v>
      </c>
      <c r="O1281" t="s">
        <v>58</v>
      </c>
      <c r="P1281" t="s">
        <v>112</v>
      </c>
      <c r="Q1281" t="s">
        <v>93</v>
      </c>
      <c r="R1281" t="s">
        <v>130</v>
      </c>
      <c r="S1281" s="3">
        <v>7.21</v>
      </c>
      <c r="T1281" s="5">
        <v>44782</v>
      </c>
      <c r="U1281">
        <v>1</v>
      </c>
      <c r="V1281">
        <v>2022</v>
      </c>
      <c r="X1281">
        <f t="shared" si="57"/>
        <v>8.7098719000000013</v>
      </c>
      <c r="Y1281">
        <f t="shared" si="58"/>
        <v>7.2098718999999996</v>
      </c>
      <c r="Z1281">
        <f t="shared" si="59"/>
        <v>84.499871900000002</v>
      </c>
    </row>
    <row r="1282" spans="1:26" x14ac:dyDescent="0.3">
      <c r="A1282" t="s">
        <v>1372</v>
      </c>
      <c r="B1282" t="s">
        <v>107</v>
      </c>
      <c r="C1282" t="s">
        <v>78</v>
      </c>
      <c r="D1282" t="s">
        <v>57</v>
      </c>
      <c r="E1282">
        <v>22</v>
      </c>
      <c r="F1282" s="3">
        <v>8.65</v>
      </c>
      <c r="G1282" s="4">
        <v>77.599999999999994</v>
      </c>
      <c r="H1282">
        <v>2</v>
      </c>
      <c r="I1282">
        <v>2</v>
      </c>
      <c r="J1282">
        <v>4</v>
      </c>
      <c r="K1282" s="4">
        <v>70.900000000000006</v>
      </c>
      <c r="L1282" s="4">
        <v>92.9</v>
      </c>
      <c r="M1282" s="4">
        <v>92.6</v>
      </c>
      <c r="N1282">
        <v>0</v>
      </c>
      <c r="O1282" t="s">
        <v>58</v>
      </c>
      <c r="P1282" t="s">
        <v>75</v>
      </c>
      <c r="Q1282" t="s">
        <v>71</v>
      </c>
      <c r="R1282" t="s">
        <v>76</v>
      </c>
      <c r="S1282" s="3">
        <v>8.18</v>
      </c>
      <c r="T1282" s="5">
        <v>44471</v>
      </c>
      <c r="U1282">
        <v>2</v>
      </c>
      <c r="V1282">
        <v>2021</v>
      </c>
      <c r="X1282">
        <f t="shared" ref="X1282:X1345" si="60">F1282-ROW()*0.0000001</f>
        <v>8.6498717999999997</v>
      </c>
      <c r="Y1282">
        <f t="shared" ref="Y1282:Y1345" si="61">S1282-ROW()*0.0000001</f>
        <v>8.179871799999999</v>
      </c>
      <c r="Z1282">
        <f t="shared" ref="Z1282:Z1345" si="62">L1282-ROW()*0.0000001</f>
        <v>92.8998718</v>
      </c>
    </row>
    <row r="1283" spans="1:26" x14ac:dyDescent="0.3">
      <c r="A1283" t="s">
        <v>1373</v>
      </c>
      <c r="B1283" t="s">
        <v>82</v>
      </c>
      <c r="C1283" t="s">
        <v>68</v>
      </c>
      <c r="D1283" t="s">
        <v>69</v>
      </c>
      <c r="E1283">
        <v>22</v>
      </c>
      <c r="F1283" s="3">
        <v>7.17</v>
      </c>
      <c r="G1283" s="4">
        <v>86.3</v>
      </c>
      <c r="H1283">
        <v>2</v>
      </c>
      <c r="I1283">
        <v>3</v>
      </c>
      <c r="J1283">
        <v>5</v>
      </c>
      <c r="K1283" s="4">
        <v>58.5</v>
      </c>
      <c r="L1283" s="4">
        <v>65.3</v>
      </c>
      <c r="M1283" s="4">
        <v>64.099999999999994</v>
      </c>
      <c r="N1283">
        <v>0</v>
      </c>
      <c r="O1283" t="s">
        <v>58</v>
      </c>
      <c r="P1283" t="s">
        <v>59</v>
      </c>
      <c r="Q1283" t="s">
        <v>60</v>
      </c>
      <c r="R1283" t="s">
        <v>130</v>
      </c>
      <c r="S1283" s="3">
        <v>18.79</v>
      </c>
      <c r="T1283" s="5">
        <v>44813</v>
      </c>
      <c r="U1283">
        <v>1</v>
      </c>
      <c r="V1283">
        <v>2022</v>
      </c>
      <c r="X1283">
        <f t="shared" si="60"/>
        <v>7.1698716999999998</v>
      </c>
      <c r="Y1283">
        <f t="shared" si="61"/>
        <v>18.789871699999999</v>
      </c>
      <c r="Z1283">
        <f t="shared" si="62"/>
        <v>65.299871699999997</v>
      </c>
    </row>
    <row r="1284" spans="1:26" x14ac:dyDescent="0.3">
      <c r="A1284" t="s">
        <v>1374</v>
      </c>
      <c r="B1284" t="s">
        <v>63</v>
      </c>
      <c r="C1284" t="s">
        <v>68</v>
      </c>
      <c r="D1284" t="s">
        <v>69</v>
      </c>
      <c r="E1284">
        <v>20</v>
      </c>
      <c r="F1284" s="3">
        <v>7.44</v>
      </c>
      <c r="G1284" s="4">
        <v>96</v>
      </c>
      <c r="H1284">
        <v>1</v>
      </c>
      <c r="I1284">
        <v>4</v>
      </c>
      <c r="J1284">
        <v>3</v>
      </c>
      <c r="K1284" s="4">
        <v>65.5</v>
      </c>
      <c r="L1284" s="4">
        <v>75.400000000000006</v>
      </c>
      <c r="M1284" s="4">
        <v>85.3</v>
      </c>
      <c r="N1284">
        <v>0</v>
      </c>
      <c r="O1284" t="s">
        <v>64</v>
      </c>
      <c r="P1284" t="s">
        <v>65</v>
      </c>
      <c r="S1284" s="3">
        <v>0</v>
      </c>
      <c r="T1284" s="5"/>
      <c r="U1284">
        <v>0</v>
      </c>
      <c r="V1284">
        <v>2025</v>
      </c>
      <c r="X1284">
        <f t="shared" si="60"/>
        <v>7.4398716</v>
      </c>
      <c r="Y1284">
        <f t="shared" si="61"/>
        <v>-1.284E-4</v>
      </c>
      <c r="Z1284">
        <f t="shared" si="62"/>
        <v>75.399871600000012</v>
      </c>
    </row>
    <row r="1285" spans="1:26" x14ac:dyDescent="0.3">
      <c r="A1285" t="s">
        <v>1375</v>
      </c>
      <c r="B1285" t="s">
        <v>82</v>
      </c>
      <c r="C1285" t="s">
        <v>89</v>
      </c>
      <c r="D1285" t="s">
        <v>57</v>
      </c>
      <c r="E1285">
        <v>21</v>
      </c>
      <c r="F1285" s="3">
        <v>6.24</v>
      </c>
      <c r="G1285" s="4">
        <v>98</v>
      </c>
      <c r="H1285">
        <v>1</v>
      </c>
      <c r="I1285">
        <v>3</v>
      </c>
      <c r="J1285">
        <v>2</v>
      </c>
      <c r="K1285" s="4">
        <v>72.099999999999994</v>
      </c>
      <c r="L1285" s="4">
        <v>78.599999999999994</v>
      </c>
      <c r="M1285" s="4">
        <v>100</v>
      </c>
      <c r="N1285">
        <v>0</v>
      </c>
      <c r="O1285" t="s">
        <v>58</v>
      </c>
      <c r="P1285" t="s">
        <v>87</v>
      </c>
      <c r="Q1285" t="s">
        <v>71</v>
      </c>
      <c r="R1285" t="s">
        <v>61</v>
      </c>
      <c r="S1285" s="3">
        <v>6.62</v>
      </c>
      <c r="T1285" s="5">
        <v>44853</v>
      </c>
      <c r="U1285">
        <v>1</v>
      </c>
      <c r="V1285">
        <v>2022</v>
      </c>
      <c r="X1285">
        <f t="shared" si="60"/>
        <v>6.2398715000000005</v>
      </c>
      <c r="Y1285">
        <f t="shared" si="61"/>
        <v>6.6198715000000004</v>
      </c>
      <c r="Z1285">
        <f t="shared" si="62"/>
        <v>78.599871499999992</v>
      </c>
    </row>
    <row r="1286" spans="1:26" x14ac:dyDescent="0.3">
      <c r="A1286" t="s">
        <v>1376</v>
      </c>
      <c r="B1286" t="s">
        <v>63</v>
      </c>
      <c r="C1286" t="s">
        <v>78</v>
      </c>
      <c r="D1286" t="s">
        <v>57</v>
      </c>
      <c r="E1286">
        <v>22</v>
      </c>
      <c r="F1286" s="3">
        <v>5.76</v>
      </c>
      <c r="G1286" s="4">
        <v>65.3</v>
      </c>
      <c r="H1286">
        <v>1</v>
      </c>
      <c r="I1286">
        <v>3</v>
      </c>
      <c r="J1286">
        <v>3</v>
      </c>
      <c r="K1286" s="4">
        <v>50.3</v>
      </c>
      <c r="L1286" s="4">
        <v>68.8</v>
      </c>
      <c r="M1286" s="4">
        <v>95.1</v>
      </c>
      <c r="N1286">
        <v>0</v>
      </c>
      <c r="O1286" t="s">
        <v>58</v>
      </c>
      <c r="P1286" t="s">
        <v>104</v>
      </c>
      <c r="Q1286" t="s">
        <v>105</v>
      </c>
      <c r="R1286" t="s">
        <v>61</v>
      </c>
      <c r="S1286" s="3">
        <v>11.35</v>
      </c>
      <c r="T1286" s="5">
        <v>45971</v>
      </c>
      <c r="U1286">
        <v>2</v>
      </c>
      <c r="V1286">
        <v>2025</v>
      </c>
      <c r="X1286">
        <f t="shared" si="60"/>
        <v>5.7598713999999998</v>
      </c>
      <c r="Y1286">
        <f t="shared" si="61"/>
        <v>11.3498714</v>
      </c>
      <c r="Z1286">
        <f t="shared" si="62"/>
        <v>68.799871400000001</v>
      </c>
    </row>
    <row r="1287" spans="1:26" x14ac:dyDescent="0.3">
      <c r="A1287" t="s">
        <v>1377</v>
      </c>
      <c r="B1287" t="s">
        <v>107</v>
      </c>
      <c r="C1287" t="s">
        <v>68</v>
      </c>
      <c r="D1287" t="s">
        <v>69</v>
      </c>
      <c r="E1287">
        <v>22</v>
      </c>
      <c r="F1287" s="3">
        <v>7.32</v>
      </c>
      <c r="G1287" s="4">
        <v>100</v>
      </c>
      <c r="H1287">
        <v>3</v>
      </c>
      <c r="I1287">
        <v>4</v>
      </c>
      <c r="J1287">
        <v>2</v>
      </c>
      <c r="K1287" s="4">
        <v>58.9</v>
      </c>
      <c r="L1287" s="4">
        <v>56</v>
      </c>
      <c r="M1287" s="4">
        <v>86.1</v>
      </c>
      <c r="N1287">
        <v>0</v>
      </c>
      <c r="O1287" t="s">
        <v>58</v>
      </c>
      <c r="P1287" t="s">
        <v>95</v>
      </c>
      <c r="Q1287" t="s">
        <v>93</v>
      </c>
      <c r="R1287" t="s">
        <v>80</v>
      </c>
      <c r="S1287" s="3">
        <v>5.97</v>
      </c>
      <c r="T1287" s="5">
        <v>44440</v>
      </c>
      <c r="U1287">
        <v>1</v>
      </c>
      <c r="V1287">
        <v>2021</v>
      </c>
      <c r="X1287">
        <f t="shared" si="60"/>
        <v>7.3198713</v>
      </c>
      <c r="Y1287">
        <f t="shared" si="61"/>
        <v>5.9698712999999994</v>
      </c>
      <c r="Z1287">
        <f t="shared" si="62"/>
        <v>55.999871300000002</v>
      </c>
    </row>
    <row r="1288" spans="1:26" x14ac:dyDescent="0.3">
      <c r="A1288" t="s">
        <v>1378</v>
      </c>
      <c r="B1288" t="s">
        <v>67</v>
      </c>
      <c r="C1288" t="s">
        <v>89</v>
      </c>
      <c r="D1288" t="s">
        <v>69</v>
      </c>
      <c r="E1288">
        <v>21</v>
      </c>
      <c r="F1288" s="3">
        <v>7.72</v>
      </c>
      <c r="G1288" s="4">
        <v>84.3</v>
      </c>
      <c r="H1288">
        <v>2</v>
      </c>
      <c r="I1288">
        <v>4</v>
      </c>
      <c r="J1288">
        <v>4</v>
      </c>
      <c r="K1288" s="4">
        <v>62.2</v>
      </c>
      <c r="L1288" s="4">
        <v>60.1</v>
      </c>
      <c r="M1288" s="4">
        <v>72.400000000000006</v>
      </c>
      <c r="N1288">
        <v>1</v>
      </c>
      <c r="O1288" t="s">
        <v>64</v>
      </c>
      <c r="P1288" t="s">
        <v>65</v>
      </c>
      <c r="S1288" s="3">
        <v>0</v>
      </c>
      <c r="T1288" s="5"/>
      <c r="U1288">
        <v>0</v>
      </c>
      <c r="V1288">
        <v>2023</v>
      </c>
      <c r="X1288">
        <f t="shared" si="60"/>
        <v>7.7198712</v>
      </c>
      <c r="Y1288">
        <f t="shared" si="61"/>
        <v>-1.2879999999999999E-4</v>
      </c>
      <c r="Z1288">
        <f t="shared" si="62"/>
        <v>60.099871200000003</v>
      </c>
    </row>
    <row r="1289" spans="1:26" x14ac:dyDescent="0.3">
      <c r="A1289" t="s">
        <v>1379</v>
      </c>
      <c r="B1289" t="s">
        <v>82</v>
      </c>
      <c r="C1289" t="s">
        <v>56</v>
      </c>
      <c r="D1289" t="s">
        <v>57</v>
      </c>
      <c r="E1289">
        <v>22</v>
      </c>
      <c r="F1289" s="3">
        <v>7.81</v>
      </c>
      <c r="G1289" s="4">
        <v>89</v>
      </c>
      <c r="H1289">
        <v>1</v>
      </c>
      <c r="I1289">
        <v>2</v>
      </c>
      <c r="J1289">
        <v>3</v>
      </c>
      <c r="K1289" s="4">
        <v>73.599999999999994</v>
      </c>
      <c r="L1289" s="4">
        <v>54.3</v>
      </c>
      <c r="M1289" s="4">
        <v>58.3</v>
      </c>
      <c r="N1289">
        <v>0</v>
      </c>
      <c r="O1289" t="s">
        <v>58</v>
      </c>
      <c r="P1289" t="s">
        <v>112</v>
      </c>
      <c r="Q1289" t="s">
        <v>93</v>
      </c>
      <c r="R1289" t="s">
        <v>76</v>
      </c>
      <c r="S1289" s="3">
        <v>6.19</v>
      </c>
      <c r="T1289" s="5">
        <v>44833</v>
      </c>
      <c r="U1289">
        <v>1</v>
      </c>
      <c r="V1289">
        <v>2022</v>
      </c>
      <c r="X1289">
        <f t="shared" si="60"/>
        <v>7.8098710999999996</v>
      </c>
      <c r="Y1289">
        <f t="shared" si="61"/>
        <v>6.1898711000000004</v>
      </c>
      <c r="Z1289">
        <f t="shared" si="62"/>
        <v>54.299871099999997</v>
      </c>
    </row>
    <row r="1290" spans="1:26" x14ac:dyDescent="0.3">
      <c r="A1290" t="s">
        <v>1380</v>
      </c>
      <c r="B1290" t="s">
        <v>67</v>
      </c>
      <c r="C1290" t="s">
        <v>68</v>
      </c>
      <c r="D1290" t="s">
        <v>57</v>
      </c>
      <c r="E1290">
        <v>23</v>
      </c>
      <c r="F1290" s="3">
        <v>8.39</v>
      </c>
      <c r="G1290" s="4">
        <v>73.900000000000006</v>
      </c>
      <c r="H1290">
        <v>1</v>
      </c>
      <c r="I1290">
        <v>0</v>
      </c>
      <c r="J1290">
        <v>3</v>
      </c>
      <c r="K1290" s="4">
        <v>83.4</v>
      </c>
      <c r="L1290" s="4">
        <v>47.3</v>
      </c>
      <c r="M1290" s="4">
        <v>62.5</v>
      </c>
      <c r="N1290">
        <v>0</v>
      </c>
      <c r="O1290" t="s">
        <v>58</v>
      </c>
      <c r="P1290" t="s">
        <v>70</v>
      </c>
      <c r="Q1290" t="s">
        <v>71</v>
      </c>
      <c r="R1290" t="s">
        <v>72</v>
      </c>
      <c r="S1290" s="3">
        <v>6.21</v>
      </c>
      <c r="T1290" s="5">
        <v>45231</v>
      </c>
      <c r="U1290">
        <v>2</v>
      </c>
      <c r="V1290">
        <v>2023</v>
      </c>
      <c r="X1290">
        <f t="shared" si="60"/>
        <v>8.3898710000000012</v>
      </c>
      <c r="Y1290">
        <f t="shared" si="61"/>
        <v>6.2098709999999997</v>
      </c>
      <c r="Z1290">
        <f t="shared" si="62"/>
        <v>47.299870999999996</v>
      </c>
    </row>
    <row r="1291" spans="1:26" x14ac:dyDescent="0.3">
      <c r="A1291" t="s">
        <v>1381</v>
      </c>
      <c r="B1291" t="s">
        <v>63</v>
      </c>
      <c r="C1291" t="s">
        <v>74</v>
      </c>
      <c r="D1291" t="s">
        <v>57</v>
      </c>
      <c r="E1291">
        <v>21</v>
      </c>
      <c r="F1291" s="3">
        <v>10</v>
      </c>
      <c r="G1291" s="4">
        <v>73.3</v>
      </c>
      <c r="H1291">
        <v>1</v>
      </c>
      <c r="I1291">
        <v>2</v>
      </c>
      <c r="J1291">
        <v>4</v>
      </c>
      <c r="K1291" s="4">
        <v>44.6</v>
      </c>
      <c r="L1291" s="4">
        <v>67.5</v>
      </c>
      <c r="M1291" s="4">
        <v>80.3</v>
      </c>
      <c r="N1291">
        <v>0</v>
      </c>
      <c r="O1291" t="s">
        <v>58</v>
      </c>
      <c r="P1291" t="s">
        <v>79</v>
      </c>
      <c r="Q1291" t="s">
        <v>71</v>
      </c>
      <c r="R1291" t="s">
        <v>61</v>
      </c>
      <c r="S1291" s="3">
        <v>9.09</v>
      </c>
      <c r="T1291" s="5">
        <v>45976</v>
      </c>
      <c r="U1291">
        <v>3</v>
      </c>
      <c r="V1291">
        <v>2025</v>
      </c>
      <c r="X1291">
        <f t="shared" si="60"/>
        <v>9.9998708999999995</v>
      </c>
      <c r="Y1291">
        <f t="shared" si="61"/>
        <v>9.0898708999999993</v>
      </c>
      <c r="Z1291">
        <f t="shared" si="62"/>
        <v>67.499870900000005</v>
      </c>
    </row>
    <row r="1292" spans="1:26" x14ac:dyDescent="0.3">
      <c r="A1292" t="s">
        <v>1382</v>
      </c>
      <c r="B1292" t="s">
        <v>82</v>
      </c>
      <c r="C1292" t="s">
        <v>56</v>
      </c>
      <c r="D1292" t="s">
        <v>69</v>
      </c>
      <c r="E1292">
        <v>22</v>
      </c>
      <c r="F1292" s="3">
        <v>7.29</v>
      </c>
      <c r="G1292" s="4">
        <v>69.099999999999994</v>
      </c>
      <c r="H1292">
        <v>2</v>
      </c>
      <c r="I1292">
        <v>2</v>
      </c>
      <c r="J1292">
        <v>6</v>
      </c>
      <c r="K1292" s="4">
        <v>58.7</v>
      </c>
      <c r="L1292" s="4">
        <v>100</v>
      </c>
      <c r="M1292" s="4">
        <v>77.5</v>
      </c>
      <c r="N1292">
        <v>1</v>
      </c>
      <c r="O1292" t="s">
        <v>58</v>
      </c>
      <c r="P1292" t="s">
        <v>104</v>
      </c>
      <c r="Q1292" t="s">
        <v>105</v>
      </c>
      <c r="R1292" t="s">
        <v>72</v>
      </c>
      <c r="S1292" s="3">
        <v>17.22</v>
      </c>
      <c r="T1292" s="5">
        <v>44824</v>
      </c>
      <c r="U1292">
        <v>1</v>
      </c>
      <c r="V1292">
        <v>2022</v>
      </c>
      <c r="X1292">
        <f t="shared" si="60"/>
        <v>7.2898708000000001</v>
      </c>
      <c r="Y1292">
        <f t="shared" si="61"/>
        <v>17.219870799999999</v>
      </c>
      <c r="Z1292">
        <f t="shared" si="62"/>
        <v>99.999870799999997</v>
      </c>
    </row>
    <row r="1293" spans="1:26" x14ac:dyDescent="0.3">
      <c r="A1293" t="s">
        <v>1383</v>
      </c>
      <c r="B1293" t="s">
        <v>55</v>
      </c>
      <c r="C1293" t="s">
        <v>56</v>
      </c>
      <c r="D1293" t="s">
        <v>57</v>
      </c>
      <c r="E1293">
        <v>21</v>
      </c>
      <c r="F1293" s="3">
        <v>6.7</v>
      </c>
      <c r="G1293" s="4">
        <v>97.3</v>
      </c>
      <c r="H1293">
        <v>0</v>
      </c>
      <c r="I1293">
        <v>2</v>
      </c>
      <c r="J1293">
        <v>5</v>
      </c>
      <c r="K1293" s="4">
        <v>65.900000000000006</v>
      </c>
      <c r="L1293" s="4">
        <v>73.7</v>
      </c>
      <c r="M1293" s="4">
        <v>74.8</v>
      </c>
      <c r="N1293">
        <v>3</v>
      </c>
      <c r="O1293" t="s">
        <v>58</v>
      </c>
      <c r="P1293" t="s">
        <v>87</v>
      </c>
      <c r="Q1293" t="s">
        <v>71</v>
      </c>
      <c r="R1293" t="s">
        <v>130</v>
      </c>
      <c r="S1293" s="3">
        <v>5.16</v>
      </c>
      <c r="T1293" s="5">
        <v>45544</v>
      </c>
      <c r="U1293">
        <v>3</v>
      </c>
      <c r="V1293">
        <v>2024</v>
      </c>
      <c r="X1293">
        <f t="shared" si="60"/>
        <v>6.6998707</v>
      </c>
      <c r="Y1293">
        <f t="shared" si="61"/>
        <v>5.1598706999999999</v>
      </c>
      <c r="Z1293">
        <f t="shared" si="62"/>
        <v>73.699870700000005</v>
      </c>
    </row>
    <row r="1294" spans="1:26" x14ac:dyDescent="0.3">
      <c r="A1294" t="s">
        <v>1384</v>
      </c>
      <c r="B1294" t="s">
        <v>67</v>
      </c>
      <c r="C1294" t="s">
        <v>89</v>
      </c>
      <c r="D1294" t="s">
        <v>57</v>
      </c>
      <c r="E1294">
        <v>23</v>
      </c>
      <c r="F1294" s="3">
        <v>8.14</v>
      </c>
      <c r="G1294" s="4">
        <v>75.8</v>
      </c>
      <c r="H1294">
        <v>2</v>
      </c>
      <c r="I1294">
        <v>5</v>
      </c>
      <c r="J1294">
        <v>4</v>
      </c>
      <c r="K1294" s="4">
        <v>65.900000000000006</v>
      </c>
      <c r="L1294" s="4">
        <v>65.7</v>
      </c>
      <c r="M1294" s="4">
        <v>84.9</v>
      </c>
      <c r="N1294">
        <v>0</v>
      </c>
      <c r="O1294" t="s">
        <v>58</v>
      </c>
      <c r="P1294" t="s">
        <v>92</v>
      </c>
      <c r="Q1294" t="s">
        <v>93</v>
      </c>
      <c r="R1294" t="s">
        <v>72</v>
      </c>
      <c r="S1294" s="3">
        <v>8.99</v>
      </c>
      <c r="T1294" s="5">
        <v>45253</v>
      </c>
      <c r="U1294">
        <v>2</v>
      </c>
      <c r="V1294">
        <v>2023</v>
      </c>
      <c r="X1294">
        <f t="shared" si="60"/>
        <v>8.1398706000000001</v>
      </c>
      <c r="Y1294">
        <f t="shared" si="61"/>
        <v>8.9898705999999997</v>
      </c>
      <c r="Z1294">
        <f t="shared" si="62"/>
        <v>65.699870599999997</v>
      </c>
    </row>
    <row r="1295" spans="1:26" x14ac:dyDescent="0.3">
      <c r="A1295" t="s">
        <v>1385</v>
      </c>
      <c r="B1295" t="s">
        <v>82</v>
      </c>
      <c r="C1295" t="s">
        <v>68</v>
      </c>
      <c r="D1295" t="s">
        <v>69</v>
      </c>
      <c r="E1295">
        <v>22</v>
      </c>
      <c r="F1295" s="3">
        <v>7.85</v>
      </c>
      <c r="G1295" s="4">
        <v>81.2</v>
      </c>
      <c r="H1295">
        <v>1</v>
      </c>
      <c r="I1295">
        <v>4</v>
      </c>
      <c r="J1295">
        <v>3</v>
      </c>
      <c r="K1295" s="4">
        <v>73.8</v>
      </c>
      <c r="L1295" s="4">
        <v>75.599999999999994</v>
      </c>
      <c r="M1295" s="4">
        <v>88</v>
      </c>
      <c r="N1295">
        <v>0</v>
      </c>
      <c r="O1295" t="s">
        <v>58</v>
      </c>
      <c r="P1295" t="s">
        <v>92</v>
      </c>
      <c r="Q1295" t="s">
        <v>93</v>
      </c>
      <c r="R1295" t="s">
        <v>130</v>
      </c>
      <c r="S1295" s="3">
        <v>10.3</v>
      </c>
      <c r="T1295" s="5">
        <v>44852</v>
      </c>
      <c r="U1295">
        <v>3</v>
      </c>
      <c r="V1295">
        <v>2022</v>
      </c>
      <c r="X1295">
        <f t="shared" si="60"/>
        <v>7.8498704999999998</v>
      </c>
      <c r="Y1295">
        <f t="shared" si="61"/>
        <v>10.299870500000001</v>
      </c>
      <c r="Z1295">
        <f t="shared" si="62"/>
        <v>75.599870499999994</v>
      </c>
    </row>
    <row r="1296" spans="1:26" x14ac:dyDescent="0.3">
      <c r="A1296" t="s">
        <v>1386</v>
      </c>
      <c r="B1296" t="s">
        <v>67</v>
      </c>
      <c r="C1296" t="s">
        <v>74</v>
      </c>
      <c r="D1296" t="s">
        <v>57</v>
      </c>
      <c r="E1296">
        <v>20</v>
      </c>
      <c r="F1296" s="3">
        <v>7.13</v>
      </c>
      <c r="G1296" s="4">
        <v>79.3</v>
      </c>
      <c r="H1296">
        <v>1</v>
      </c>
      <c r="I1296">
        <v>1</v>
      </c>
      <c r="J1296">
        <v>1</v>
      </c>
      <c r="K1296" s="4">
        <v>50.6</v>
      </c>
      <c r="L1296" s="4">
        <v>57.6</v>
      </c>
      <c r="M1296" s="4">
        <v>88</v>
      </c>
      <c r="N1296">
        <v>0</v>
      </c>
      <c r="O1296" t="s">
        <v>58</v>
      </c>
      <c r="P1296" t="s">
        <v>92</v>
      </c>
      <c r="Q1296" t="s">
        <v>93</v>
      </c>
      <c r="R1296" t="s">
        <v>61</v>
      </c>
      <c r="S1296" s="3">
        <v>6.77</v>
      </c>
      <c r="T1296" s="5">
        <v>45149</v>
      </c>
      <c r="U1296">
        <v>1</v>
      </c>
      <c r="V1296">
        <v>2023</v>
      </c>
      <c r="X1296">
        <f t="shared" si="60"/>
        <v>7.1298703999999997</v>
      </c>
      <c r="Y1296">
        <f t="shared" si="61"/>
        <v>6.7698703999999994</v>
      </c>
      <c r="Z1296">
        <f t="shared" si="62"/>
        <v>57.5998704</v>
      </c>
    </row>
    <row r="1297" spans="1:26" x14ac:dyDescent="0.3">
      <c r="A1297" t="s">
        <v>1387</v>
      </c>
      <c r="B1297" t="s">
        <v>82</v>
      </c>
      <c r="C1297" t="s">
        <v>68</v>
      </c>
      <c r="D1297" t="s">
        <v>57</v>
      </c>
      <c r="E1297">
        <v>22</v>
      </c>
      <c r="F1297" s="3">
        <v>8.4700000000000006</v>
      </c>
      <c r="G1297" s="4">
        <v>72.8</v>
      </c>
      <c r="H1297">
        <v>0</v>
      </c>
      <c r="I1297">
        <v>0</v>
      </c>
      <c r="J1297">
        <v>2</v>
      </c>
      <c r="K1297" s="4">
        <v>65.2</v>
      </c>
      <c r="L1297" s="4">
        <v>45.1</v>
      </c>
      <c r="M1297" s="4">
        <v>82.8</v>
      </c>
      <c r="N1297">
        <v>0</v>
      </c>
      <c r="O1297" t="s">
        <v>58</v>
      </c>
      <c r="P1297" t="s">
        <v>59</v>
      </c>
      <c r="Q1297" t="s">
        <v>60</v>
      </c>
      <c r="R1297" t="s">
        <v>76</v>
      </c>
      <c r="S1297" s="3">
        <v>18.82</v>
      </c>
      <c r="T1297" s="5">
        <v>44846</v>
      </c>
      <c r="U1297">
        <v>1</v>
      </c>
      <c r="V1297">
        <v>2022</v>
      </c>
      <c r="X1297">
        <f t="shared" si="60"/>
        <v>8.4698703000000002</v>
      </c>
      <c r="Y1297">
        <f t="shared" si="61"/>
        <v>18.819870300000002</v>
      </c>
      <c r="Z1297">
        <f t="shared" si="62"/>
        <v>45.099870299999999</v>
      </c>
    </row>
    <row r="1298" spans="1:26" x14ac:dyDescent="0.3">
      <c r="A1298" t="s">
        <v>1388</v>
      </c>
      <c r="B1298" t="s">
        <v>107</v>
      </c>
      <c r="C1298" t="s">
        <v>68</v>
      </c>
      <c r="D1298" t="s">
        <v>57</v>
      </c>
      <c r="E1298">
        <v>22</v>
      </c>
      <c r="F1298" s="3">
        <v>6.92</v>
      </c>
      <c r="G1298" s="4">
        <v>80.2</v>
      </c>
      <c r="H1298">
        <v>2</v>
      </c>
      <c r="I1298">
        <v>1</v>
      </c>
      <c r="J1298">
        <v>5</v>
      </c>
      <c r="K1298" s="4">
        <v>62.2</v>
      </c>
      <c r="L1298" s="4">
        <v>59.7</v>
      </c>
      <c r="M1298" s="4">
        <v>80.2</v>
      </c>
      <c r="N1298">
        <v>0</v>
      </c>
      <c r="O1298" t="s">
        <v>64</v>
      </c>
      <c r="P1298" t="s">
        <v>65</v>
      </c>
      <c r="S1298" s="3">
        <v>0</v>
      </c>
      <c r="T1298" s="5"/>
      <c r="U1298">
        <v>0</v>
      </c>
      <c r="V1298">
        <v>2021</v>
      </c>
      <c r="X1298">
        <f t="shared" si="60"/>
        <v>6.9198702000000001</v>
      </c>
      <c r="Y1298">
        <f t="shared" si="61"/>
        <v>-1.2979999999999998E-4</v>
      </c>
      <c r="Z1298">
        <f t="shared" si="62"/>
        <v>59.699870199999999</v>
      </c>
    </row>
    <row r="1299" spans="1:26" x14ac:dyDescent="0.3">
      <c r="A1299" t="s">
        <v>1389</v>
      </c>
      <c r="B1299" t="s">
        <v>67</v>
      </c>
      <c r="C1299" t="s">
        <v>56</v>
      </c>
      <c r="D1299" t="s">
        <v>69</v>
      </c>
      <c r="E1299">
        <v>23</v>
      </c>
      <c r="F1299" s="3">
        <v>7.53</v>
      </c>
      <c r="G1299" s="4">
        <v>82.8</v>
      </c>
      <c r="H1299">
        <v>3</v>
      </c>
      <c r="I1299">
        <v>1</v>
      </c>
      <c r="J1299">
        <v>3</v>
      </c>
      <c r="K1299" s="4">
        <v>78.099999999999994</v>
      </c>
      <c r="L1299" s="4">
        <v>53</v>
      </c>
      <c r="M1299" s="4">
        <v>67.7</v>
      </c>
      <c r="N1299">
        <v>3</v>
      </c>
      <c r="O1299" t="s">
        <v>58</v>
      </c>
      <c r="P1299" t="s">
        <v>79</v>
      </c>
      <c r="Q1299" t="s">
        <v>71</v>
      </c>
      <c r="R1299" t="s">
        <v>76</v>
      </c>
      <c r="S1299" s="3">
        <v>6.04</v>
      </c>
      <c r="T1299" s="5">
        <v>45163</v>
      </c>
      <c r="U1299">
        <v>2</v>
      </c>
      <c r="V1299">
        <v>2023</v>
      </c>
      <c r="X1299">
        <f t="shared" si="60"/>
        <v>7.5298701000000001</v>
      </c>
      <c r="Y1299">
        <f t="shared" si="61"/>
        <v>6.0398700999999999</v>
      </c>
      <c r="Z1299">
        <f t="shared" si="62"/>
        <v>52.999870100000003</v>
      </c>
    </row>
    <row r="1300" spans="1:26" x14ac:dyDescent="0.3">
      <c r="A1300" t="s">
        <v>1390</v>
      </c>
      <c r="B1300" t="s">
        <v>55</v>
      </c>
      <c r="C1300" t="s">
        <v>89</v>
      </c>
      <c r="D1300" t="s">
        <v>57</v>
      </c>
      <c r="E1300">
        <v>20</v>
      </c>
      <c r="F1300" s="3">
        <v>7.59</v>
      </c>
      <c r="G1300" s="4">
        <v>93.2</v>
      </c>
      <c r="H1300">
        <v>0</v>
      </c>
      <c r="I1300">
        <v>1</v>
      </c>
      <c r="J1300">
        <v>3</v>
      </c>
      <c r="K1300" s="4">
        <v>69</v>
      </c>
      <c r="L1300" s="4">
        <v>42.3</v>
      </c>
      <c r="M1300" s="4">
        <v>75</v>
      </c>
      <c r="N1300">
        <v>1</v>
      </c>
      <c r="O1300" t="s">
        <v>58</v>
      </c>
      <c r="P1300" t="s">
        <v>112</v>
      </c>
      <c r="Q1300" t="s">
        <v>93</v>
      </c>
      <c r="R1300" t="s">
        <v>85</v>
      </c>
      <c r="S1300" s="3">
        <v>5.55</v>
      </c>
      <c r="T1300" s="5">
        <v>45536</v>
      </c>
      <c r="U1300">
        <v>2</v>
      </c>
      <c r="V1300">
        <v>2024</v>
      </c>
      <c r="X1300">
        <f t="shared" si="60"/>
        <v>7.5898699999999995</v>
      </c>
      <c r="Y1300">
        <f t="shared" si="61"/>
        <v>5.5498699999999994</v>
      </c>
      <c r="Z1300">
        <f t="shared" si="62"/>
        <v>42.299869999999999</v>
      </c>
    </row>
    <row r="1301" spans="1:26" x14ac:dyDescent="0.3">
      <c r="A1301" t="s">
        <v>1391</v>
      </c>
      <c r="B1301" t="s">
        <v>55</v>
      </c>
      <c r="C1301" t="s">
        <v>101</v>
      </c>
      <c r="D1301" t="s">
        <v>69</v>
      </c>
      <c r="E1301">
        <v>20</v>
      </c>
      <c r="F1301" s="3">
        <v>6.8</v>
      </c>
      <c r="G1301" s="4">
        <v>72.5</v>
      </c>
      <c r="H1301">
        <v>1</v>
      </c>
      <c r="I1301">
        <v>4</v>
      </c>
      <c r="J1301">
        <v>5</v>
      </c>
      <c r="K1301" s="4">
        <v>61.8</v>
      </c>
      <c r="L1301" s="4">
        <v>61.7</v>
      </c>
      <c r="M1301" s="4">
        <v>78.3</v>
      </c>
      <c r="N1301">
        <v>0</v>
      </c>
      <c r="O1301" t="s">
        <v>64</v>
      </c>
      <c r="P1301" t="s">
        <v>65</v>
      </c>
      <c r="S1301" s="3">
        <v>0</v>
      </c>
      <c r="T1301" s="5"/>
      <c r="U1301">
        <v>0</v>
      </c>
      <c r="V1301">
        <v>2024</v>
      </c>
      <c r="X1301">
        <f t="shared" si="60"/>
        <v>6.7998699</v>
      </c>
      <c r="Y1301">
        <f t="shared" si="61"/>
        <v>-1.3009999999999999E-4</v>
      </c>
      <c r="Z1301">
        <f t="shared" si="62"/>
        <v>61.699869900000003</v>
      </c>
    </row>
    <row r="1302" spans="1:26" x14ac:dyDescent="0.3">
      <c r="A1302" t="s">
        <v>1392</v>
      </c>
      <c r="B1302" t="s">
        <v>63</v>
      </c>
      <c r="C1302" t="s">
        <v>101</v>
      </c>
      <c r="D1302" t="s">
        <v>57</v>
      </c>
      <c r="E1302">
        <v>20</v>
      </c>
      <c r="F1302" s="3">
        <v>6.11</v>
      </c>
      <c r="G1302" s="4">
        <v>76.7</v>
      </c>
      <c r="H1302">
        <v>0</v>
      </c>
      <c r="I1302">
        <v>2</v>
      </c>
      <c r="J1302">
        <v>4</v>
      </c>
      <c r="K1302" s="4">
        <v>85.1</v>
      </c>
      <c r="L1302" s="4">
        <v>77.3</v>
      </c>
      <c r="M1302" s="4">
        <v>73.400000000000006</v>
      </c>
      <c r="N1302">
        <v>0</v>
      </c>
      <c r="O1302" t="s">
        <v>58</v>
      </c>
      <c r="P1302" t="s">
        <v>104</v>
      </c>
      <c r="Q1302" t="s">
        <v>105</v>
      </c>
      <c r="R1302" t="s">
        <v>76</v>
      </c>
      <c r="S1302" s="3">
        <v>14.38</v>
      </c>
      <c r="T1302" s="5">
        <v>45943</v>
      </c>
      <c r="U1302">
        <v>1</v>
      </c>
      <c r="V1302">
        <v>2025</v>
      </c>
      <c r="X1302">
        <f t="shared" si="60"/>
        <v>6.1098698000000002</v>
      </c>
      <c r="Y1302">
        <f t="shared" si="61"/>
        <v>14.379869800000002</v>
      </c>
      <c r="Z1302">
        <f t="shared" si="62"/>
        <v>77.299869799999996</v>
      </c>
    </row>
    <row r="1303" spans="1:26" x14ac:dyDescent="0.3">
      <c r="A1303" t="s">
        <v>1393</v>
      </c>
      <c r="B1303" t="s">
        <v>82</v>
      </c>
      <c r="C1303" t="s">
        <v>89</v>
      </c>
      <c r="D1303" t="s">
        <v>57</v>
      </c>
      <c r="E1303">
        <v>23</v>
      </c>
      <c r="F1303" s="3">
        <v>7.85</v>
      </c>
      <c r="G1303" s="4">
        <v>87</v>
      </c>
      <c r="H1303">
        <v>2</v>
      </c>
      <c r="I1303">
        <v>2</v>
      </c>
      <c r="J1303">
        <v>5</v>
      </c>
      <c r="K1303" s="4">
        <v>60.6</v>
      </c>
      <c r="L1303" s="4">
        <v>75.900000000000006</v>
      </c>
      <c r="M1303" s="4">
        <v>54.9</v>
      </c>
      <c r="N1303">
        <v>0</v>
      </c>
      <c r="O1303" t="s">
        <v>58</v>
      </c>
      <c r="P1303" t="s">
        <v>90</v>
      </c>
      <c r="Q1303" t="s">
        <v>60</v>
      </c>
      <c r="R1303" t="s">
        <v>109</v>
      </c>
      <c r="S1303" s="3">
        <v>9.1</v>
      </c>
      <c r="T1303" s="5">
        <v>44783</v>
      </c>
      <c r="U1303">
        <v>1</v>
      </c>
      <c r="V1303">
        <v>2022</v>
      </c>
      <c r="X1303">
        <f t="shared" si="60"/>
        <v>7.8498696999999993</v>
      </c>
      <c r="Y1303">
        <f t="shared" si="61"/>
        <v>9.0998696999999993</v>
      </c>
      <c r="Z1303">
        <f t="shared" si="62"/>
        <v>75.899869700000011</v>
      </c>
    </row>
    <row r="1304" spans="1:26" x14ac:dyDescent="0.3">
      <c r="A1304" t="s">
        <v>1394</v>
      </c>
      <c r="B1304" t="s">
        <v>67</v>
      </c>
      <c r="C1304" t="s">
        <v>68</v>
      </c>
      <c r="D1304" t="s">
        <v>57</v>
      </c>
      <c r="E1304">
        <v>23</v>
      </c>
      <c r="F1304" s="3">
        <v>8.8800000000000008</v>
      </c>
      <c r="G1304" s="4">
        <v>82.4</v>
      </c>
      <c r="H1304">
        <v>2</v>
      </c>
      <c r="I1304">
        <v>1</v>
      </c>
      <c r="J1304">
        <v>5</v>
      </c>
      <c r="K1304" s="4">
        <v>56.8</v>
      </c>
      <c r="L1304" s="4">
        <v>74.099999999999994</v>
      </c>
      <c r="M1304" s="4">
        <v>77.8</v>
      </c>
      <c r="N1304">
        <v>0</v>
      </c>
      <c r="O1304" t="s">
        <v>58</v>
      </c>
      <c r="P1304" t="s">
        <v>90</v>
      </c>
      <c r="Q1304" t="s">
        <v>60</v>
      </c>
      <c r="R1304" t="s">
        <v>109</v>
      </c>
      <c r="S1304" s="3">
        <v>10.14</v>
      </c>
      <c r="T1304" s="5">
        <v>45232</v>
      </c>
      <c r="U1304">
        <v>2</v>
      </c>
      <c r="V1304">
        <v>2023</v>
      </c>
      <c r="X1304">
        <f t="shared" si="60"/>
        <v>8.879869600000001</v>
      </c>
      <c r="Y1304">
        <f t="shared" si="61"/>
        <v>10.139869600000001</v>
      </c>
      <c r="Z1304">
        <f t="shared" si="62"/>
        <v>74.099869599999991</v>
      </c>
    </row>
    <row r="1305" spans="1:26" x14ac:dyDescent="0.3">
      <c r="A1305" t="s">
        <v>1395</v>
      </c>
      <c r="B1305" t="s">
        <v>63</v>
      </c>
      <c r="C1305" t="s">
        <v>56</v>
      </c>
      <c r="D1305" t="s">
        <v>57</v>
      </c>
      <c r="E1305">
        <v>23</v>
      </c>
      <c r="F1305" s="3">
        <v>8.51</v>
      </c>
      <c r="G1305" s="4">
        <v>82.6</v>
      </c>
      <c r="H1305">
        <v>1</v>
      </c>
      <c r="I1305">
        <v>2</v>
      </c>
      <c r="J1305">
        <v>2</v>
      </c>
      <c r="K1305" s="4">
        <v>76.2</v>
      </c>
      <c r="L1305" s="4">
        <v>95</v>
      </c>
      <c r="M1305" s="4">
        <v>73.3</v>
      </c>
      <c r="N1305">
        <v>1</v>
      </c>
      <c r="O1305" t="s">
        <v>58</v>
      </c>
      <c r="P1305" t="s">
        <v>87</v>
      </c>
      <c r="Q1305" t="s">
        <v>71</v>
      </c>
      <c r="R1305" t="s">
        <v>109</v>
      </c>
      <c r="S1305" s="3">
        <v>7.38</v>
      </c>
      <c r="T1305" s="5">
        <v>45926</v>
      </c>
      <c r="U1305">
        <v>1</v>
      </c>
      <c r="V1305">
        <v>2025</v>
      </c>
      <c r="X1305">
        <f t="shared" si="60"/>
        <v>8.5098695000000006</v>
      </c>
      <c r="Y1305">
        <f t="shared" si="61"/>
        <v>7.3798694999999999</v>
      </c>
      <c r="Z1305">
        <f t="shared" si="62"/>
        <v>94.999869500000003</v>
      </c>
    </row>
    <row r="1306" spans="1:26" x14ac:dyDescent="0.3">
      <c r="A1306" t="s">
        <v>1396</v>
      </c>
      <c r="B1306" t="s">
        <v>67</v>
      </c>
      <c r="C1306" t="s">
        <v>74</v>
      </c>
      <c r="D1306" t="s">
        <v>69</v>
      </c>
      <c r="E1306">
        <v>23</v>
      </c>
      <c r="F1306" s="3">
        <v>8.58</v>
      </c>
      <c r="G1306" s="4">
        <v>73.3</v>
      </c>
      <c r="H1306">
        <v>0</v>
      </c>
      <c r="I1306">
        <v>4</v>
      </c>
      <c r="J1306">
        <v>6</v>
      </c>
      <c r="K1306" s="4">
        <v>61.3</v>
      </c>
      <c r="L1306" s="4">
        <v>61.7</v>
      </c>
      <c r="M1306" s="4">
        <v>72.3</v>
      </c>
      <c r="N1306">
        <v>0</v>
      </c>
      <c r="O1306" t="s">
        <v>58</v>
      </c>
      <c r="P1306" t="s">
        <v>79</v>
      </c>
      <c r="Q1306" t="s">
        <v>71</v>
      </c>
      <c r="R1306" t="s">
        <v>61</v>
      </c>
      <c r="S1306" s="3">
        <v>5.08</v>
      </c>
      <c r="T1306" s="5">
        <v>45222</v>
      </c>
      <c r="U1306">
        <v>3</v>
      </c>
      <c r="V1306">
        <v>2023</v>
      </c>
      <c r="X1306">
        <f t="shared" si="60"/>
        <v>8.5798693999999998</v>
      </c>
      <c r="Y1306">
        <f t="shared" si="61"/>
        <v>5.0798693999999998</v>
      </c>
      <c r="Z1306">
        <f t="shared" si="62"/>
        <v>61.699869400000004</v>
      </c>
    </row>
    <row r="1307" spans="1:26" x14ac:dyDescent="0.3">
      <c r="A1307" t="s">
        <v>1397</v>
      </c>
      <c r="B1307" t="s">
        <v>82</v>
      </c>
      <c r="C1307" t="s">
        <v>56</v>
      </c>
      <c r="D1307" t="s">
        <v>57</v>
      </c>
      <c r="E1307">
        <v>23</v>
      </c>
      <c r="F1307" s="3">
        <v>6.93</v>
      </c>
      <c r="G1307" s="4">
        <v>89</v>
      </c>
      <c r="H1307">
        <v>2</v>
      </c>
      <c r="I1307">
        <v>3</v>
      </c>
      <c r="J1307">
        <v>2</v>
      </c>
      <c r="K1307" s="4">
        <v>68.900000000000006</v>
      </c>
      <c r="L1307" s="4">
        <v>76.5</v>
      </c>
      <c r="M1307" s="4">
        <v>80.900000000000006</v>
      </c>
      <c r="N1307">
        <v>0</v>
      </c>
      <c r="O1307" t="s">
        <v>58</v>
      </c>
      <c r="P1307" t="s">
        <v>92</v>
      </c>
      <c r="Q1307" t="s">
        <v>93</v>
      </c>
      <c r="R1307" t="s">
        <v>85</v>
      </c>
      <c r="S1307" s="3">
        <v>9.81</v>
      </c>
      <c r="T1307" s="5">
        <v>44814</v>
      </c>
      <c r="U1307">
        <v>1</v>
      </c>
      <c r="V1307">
        <v>2022</v>
      </c>
      <c r="X1307">
        <f t="shared" si="60"/>
        <v>6.9298693</v>
      </c>
      <c r="Y1307">
        <f t="shared" si="61"/>
        <v>9.8098693000000008</v>
      </c>
      <c r="Z1307">
        <f t="shared" si="62"/>
        <v>76.4998693</v>
      </c>
    </row>
    <row r="1308" spans="1:26" x14ac:dyDescent="0.3">
      <c r="A1308" t="s">
        <v>1398</v>
      </c>
      <c r="B1308" t="s">
        <v>55</v>
      </c>
      <c r="C1308" t="s">
        <v>84</v>
      </c>
      <c r="D1308" t="s">
        <v>69</v>
      </c>
      <c r="E1308">
        <v>20</v>
      </c>
      <c r="F1308" s="3">
        <v>7.84</v>
      </c>
      <c r="G1308" s="4">
        <v>94.7</v>
      </c>
      <c r="H1308">
        <v>2</v>
      </c>
      <c r="I1308">
        <v>0</v>
      </c>
      <c r="J1308">
        <v>6</v>
      </c>
      <c r="K1308" s="4">
        <v>92.2</v>
      </c>
      <c r="L1308" s="4">
        <v>64.2</v>
      </c>
      <c r="M1308" s="4">
        <v>80.599999999999994</v>
      </c>
      <c r="N1308">
        <v>0</v>
      </c>
      <c r="O1308" t="s">
        <v>58</v>
      </c>
      <c r="P1308" t="s">
        <v>70</v>
      </c>
      <c r="Q1308" t="s">
        <v>71</v>
      </c>
      <c r="R1308" t="s">
        <v>130</v>
      </c>
      <c r="S1308" s="3">
        <v>7.04</v>
      </c>
      <c r="T1308" s="5">
        <v>45602</v>
      </c>
      <c r="U1308">
        <v>1</v>
      </c>
      <c r="V1308">
        <v>2024</v>
      </c>
      <c r="X1308">
        <f t="shared" si="60"/>
        <v>7.8398691999999999</v>
      </c>
      <c r="Y1308">
        <f t="shared" si="61"/>
        <v>7.0398692</v>
      </c>
      <c r="Z1308">
        <f t="shared" si="62"/>
        <v>64.199869200000009</v>
      </c>
    </row>
    <row r="1309" spans="1:26" x14ac:dyDescent="0.3">
      <c r="A1309" t="s">
        <v>1399</v>
      </c>
      <c r="B1309" t="s">
        <v>107</v>
      </c>
      <c r="C1309" t="s">
        <v>56</v>
      </c>
      <c r="D1309" t="s">
        <v>57</v>
      </c>
      <c r="E1309">
        <v>21</v>
      </c>
      <c r="F1309" s="3">
        <v>6.37</v>
      </c>
      <c r="G1309" s="4">
        <v>93.9</v>
      </c>
      <c r="H1309">
        <v>0</v>
      </c>
      <c r="I1309">
        <v>4</v>
      </c>
      <c r="J1309">
        <v>3</v>
      </c>
      <c r="K1309" s="4">
        <v>61.1</v>
      </c>
      <c r="L1309" s="4">
        <v>91.3</v>
      </c>
      <c r="M1309" s="4">
        <v>88.3</v>
      </c>
      <c r="N1309">
        <v>0</v>
      </c>
      <c r="O1309" t="s">
        <v>58</v>
      </c>
      <c r="P1309" t="s">
        <v>70</v>
      </c>
      <c r="Q1309" t="s">
        <v>71</v>
      </c>
      <c r="R1309" t="s">
        <v>61</v>
      </c>
      <c r="S1309" s="3">
        <v>5.61</v>
      </c>
      <c r="T1309" s="5">
        <v>44473</v>
      </c>
      <c r="U1309">
        <v>2</v>
      </c>
      <c r="V1309">
        <v>2021</v>
      </c>
      <c r="X1309">
        <f t="shared" si="60"/>
        <v>6.3698690999999998</v>
      </c>
      <c r="Y1309">
        <f t="shared" si="61"/>
        <v>5.6098691000000001</v>
      </c>
      <c r="Z1309">
        <f t="shared" si="62"/>
        <v>91.299869099999995</v>
      </c>
    </row>
    <row r="1310" spans="1:26" x14ac:dyDescent="0.3">
      <c r="A1310" t="s">
        <v>1400</v>
      </c>
      <c r="B1310" t="s">
        <v>55</v>
      </c>
      <c r="C1310" t="s">
        <v>56</v>
      </c>
      <c r="D1310" t="s">
        <v>69</v>
      </c>
      <c r="E1310">
        <v>23</v>
      </c>
      <c r="F1310" s="3">
        <v>7.8</v>
      </c>
      <c r="G1310" s="4">
        <v>80.3</v>
      </c>
      <c r="H1310">
        <v>2</v>
      </c>
      <c r="I1310">
        <v>1</v>
      </c>
      <c r="J1310">
        <v>5</v>
      </c>
      <c r="K1310" s="4">
        <v>54.5</v>
      </c>
      <c r="L1310" s="4">
        <v>57.9</v>
      </c>
      <c r="M1310" s="4">
        <v>81.099999999999994</v>
      </c>
      <c r="N1310">
        <v>0</v>
      </c>
      <c r="O1310" t="s">
        <v>58</v>
      </c>
      <c r="P1310" t="s">
        <v>70</v>
      </c>
      <c r="Q1310" t="s">
        <v>71</v>
      </c>
      <c r="R1310" t="s">
        <v>80</v>
      </c>
      <c r="S1310" s="3">
        <v>6.2</v>
      </c>
      <c r="T1310" s="5">
        <v>45536</v>
      </c>
      <c r="U1310">
        <v>1</v>
      </c>
      <c r="V1310">
        <v>2024</v>
      </c>
      <c r="X1310">
        <f t="shared" si="60"/>
        <v>7.7998690000000002</v>
      </c>
      <c r="Y1310">
        <f t="shared" si="61"/>
        <v>6.1998690000000005</v>
      </c>
      <c r="Z1310">
        <f t="shared" si="62"/>
        <v>57.899868999999995</v>
      </c>
    </row>
    <row r="1311" spans="1:26" x14ac:dyDescent="0.3">
      <c r="A1311" t="s">
        <v>1401</v>
      </c>
      <c r="B1311" t="s">
        <v>63</v>
      </c>
      <c r="C1311" t="s">
        <v>84</v>
      </c>
      <c r="D1311" t="s">
        <v>69</v>
      </c>
      <c r="E1311">
        <v>21</v>
      </c>
      <c r="F1311" s="3">
        <v>8.9</v>
      </c>
      <c r="G1311" s="4">
        <v>58.8</v>
      </c>
      <c r="H1311">
        <v>2</v>
      </c>
      <c r="I1311">
        <v>2</v>
      </c>
      <c r="J1311">
        <v>4</v>
      </c>
      <c r="K1311" s="4">
        <v>65</v>
      </c>
      <c r="L1311" s="4">
        <v>81.2</v>
      </c>
      <c r="M1311" s="4">
        <v>69.400000000000006</v>
      </c>
      <c r="N1311">
        <v>1</v>
      </c>
      <c r="O1311" t="s">
        <v>58</v>
      </c>
      <c r="P1311" t="s">
        <v>59</v>
      </c>
      <c r="Q1311" t="s">
        <v>60</v>
      </c>
      <c r="R1311" t="s">
        <v>80</v>
      </c>
      <c r="S1311" s="3">
        <v>19.05</v>
      </c>
      <c r="T1311" s="5">
        <v>45973</v>
      </c>
      <c r="U1311">
        <v>2</v>
      </c>
      <c r="V1311">
        <v>2025</v>
      </c>
      <c r="X1311">
        <f t="shared" si="60"/>
        <v>8.8998688999999995</v>
      </c>
      <c r="Y1311">
        <f t="shared" si="61"/>
        <v>19.0498689</v>
      </c>
      <c r="Z1311">
        <f t="shared" si="62"/>
        <v>81.199868899999998</v>
      </c>
    </row>
    <row r="1312" spans="1:26" x14ac:dyDescent="0.3">
      <c r="A1312" t="s">
        <v>1402</v>
      </c>
      <c r="B1312" t="s">
        <v>107</v>
      </c>
      <c r="C1312" t="s">
        <v>84</v>
      </c>
      <c r="D1312" t="s">
        <v>69</v>
      </c>
      <c r="E1312">
        <v>22</v>
      </c>
      <c r="F1312" s="3">
        <v>8.93</v>
      </c>
      <c r="G1312" s="4">
        <v>84.1</v>
      </c>
      <c r="H1312">
        <v>1</v>
      </c>
      <c r="I1312">
        <v>0</v>
      </c>
      <c r="J1312">
        <v>4</v>
      </c>
      <c r="K1312" s="4">
        <v>63.7</v>
      </c>
      <c r="L1312" s="4">
        <v>73.7</v>
      </c>
      <c r="M1312" s="4">
        <v>89.9</v>
      </c>
      <c r="N1312">
        <v>0</v>
      </c>
      <c r="O1312" t="s">
        <v>58</v>
      </c>
      <c r="P1312" t="s">
        <v>87</v>
      </c>
      <c r="Q1312" t="s">
        <v>71</v>
      </c>
      <c r="R1312" t="s">
        <v>76</v>
      </c>
      <c r="S1312" s="3">
        <v>8.25</v>
      </c>
      <c r="T1312" s="5">
        <v>44503</v>
      </c>
      <c r="U1312">
        <v>3</v>
      </c>
      <c r="V1312">
        <v>2021</v>
      </c>
      <c r="X1312">
        <f t="shared" si="60"/>
        <v>8.9298687999999995</v>
      </c>
      <c r="Y1312">
        <f t="shared" si="61"/>
        <v>8.2498687999999998</v>
      </c>
      <c r="Z1312">
        <f t="shared" si="62"/>
        <v>73.699868800000004</v>
      </c>
    </row>
    <row r="1313" spans="1:26" x14ac:dyDescent="0.3">
      <c r="A1313" t="s">
        <v>1403</v>
      </c>
      <c r="B1313" t="s">
        <v>63</v>
      </c>
      <c r="C1313" t="s">
        <v>78</v>
      </c>
      <c r="D1313" t="s">
        <v>57</v>
      </c>
      <c r="E1313">
        <v>22</v>
      </c>
      <c r="F1313" s="3">
        <v>9.48</v>
      </c>
      <c r="G1313" s="4">
        <v>82.9</v>
      </c>
      <c r="H1313">
        <v>1</v>
      </c>
      <c r="I1313">
        <v>2</v>
      </c>
      <c r="J1313">
        <v>4</v>
      </c>
      <c r="K1313" s="4">
        <v>78.7</v>
      </c>
      <c r="L1313" s="4">
        <v>88.3</v>
      </c>
      <c r="M1313" s="4">
        <v>92</v>
      </c>
      <c r="N1313">
        <v>0</v>
      </c>
      <c r="O1313" t="s">
        <v>58</v>
      </c>
      <c r="P1313" t="s">
        <v>79</v>
      </c>
      <c r="Q1313" t="s">
        <v>71</v>
      </c>
      <c r="R1313" t="s">
        <v>85</v>
      </c>
      <c r="S1313" s="3">
        <v>8.35</v>
      </c>
      <c r="T1313" s="5">
        <v>45917</v>
      </c>
      <c r="U1313">
        <v>1</v>
      </c>
      <c r="V1313">
        <v>2025</v>
      </c>
      <c r="X1313">
        <f t="shared" si="60"/>
        <v>9.4798687000000008</v>
      </c>
      <c r="Y1313">
        <f t="shared" si="61"/>
        <v>8.3498687</v>
      </c>
      <c r="Z1313">
        <f t="shared" si="62"/>
        <v>88.29986869999999</v>
      </c>
    </row>
    <row r="1314" spans="1:26" x14ac:dyDescent="0.3">
      <c r="A1314" t="s">
        <v>1404</v>
      </c>
      <c r="B1314" t="s">
        <v>82</v>
      </c>
      <c r="C1314" t="s">
        <v>56</v>
      </c>
      <c r="D1314" t="s">
        <v>57</v>
      </c>
      <c r="E1314">
        <v>23</v>
      </c>
      <c r="F1314" s="3">
        <v>8.5399999999999991</v>
      </c>
      <c r="G1314" s="4">
        <v>72.8</v>
      </c>
      <c r="H1314">
        <v>1</v>
      </c>
      <c r="I1314">
        <v>0</v>
      </c>
      <c r="J1314">
        <v>6</v>
      </c>
      <c r="K1314" s="4">
        <v>48.8</v>
      </c>
      <c r="L1314" s="4">
        <v>70.099999999999994</v>
      </c>
      <c r="M1314" s="4">
        <v>73.7</v>
      </c>
      <c r="N1314">
        <v>2</v>
      </c>
      <c r="O1314" t="s">
        <v>58</v>
      </c>
      <c r="P1314" t="s">
        <v>70</v>
      </c>
      <c r="Q1314" t="s">
        <v>71</v>
      </c>
      <c r="R1314" t="s">
        <v>85</v>
      </c>
      <c r="S1314" s="3">
        <v>7.39</v>
      </c>
      <c r="T1314" s="5">
        <v>44827</v>
      </c>
      <c r="U1314">
        <v>1</v>
      </c>
      <c r="V1314">
        <v>2022</v>
      </c>
      <c r="X1314">
        <f t="shared" si="60"/>
        <v>8.5398685999999984</v>
      </c>
      <c r="Y1314">
        <f t="shared" si="61"/>
        <v>7.3898685999999998</v>
      </c>
      <c r="Z1314">
        <f t="shared" si="62"/>
        <v>70.099868599999994</v>
      </c>
    </row>
    <row r="1315" spans="1:26" x14ac:dyDescent="0.3">
      <c r="A1315" t="s">
        <v>1405</v>
      </c>
      <c r="B1315" t="s">
        <v>107</v>
      </c>
      <c r="C1315" t="s">
        <v>56</v>
      </c>
      <c r="D1315" t="s">
        <v>57</v>
      </c>
      <c r="E1315">
        <v>22</v>
      </c>
      <c r="F1315" s="3">
        <v>8.08</v>
      </c>
      <c r="G1315" s="4">
        <v>74.599999999999994</v>
      </c>
      <c r="H1315">
        <v>2</v>
      </c>
      <c r="I1315">
        <v>2</v>
      </c>
      <c r="J1315">
        <v>6</v>
      </c>
      <c r="K1315" s="4">
        <v>100</v>
      </c>
      <c r="L1315" s="4">
        <v>66.5</v>
      </c>
      <c r="M1315" s="4">
        <v>89</v>
      </c>
      <c r="N1315">
        <v>1</v>
      </c>
      <c r="O1315" t="s">
        <v>58</v>
      </c>
      <c r="P1315" t="s">
        <v>112</v>
      </c>
      <c r="Q1315" t="s">
        <v>93</v>
      </c>
      <c r="R1315" t="s">
        <v>130</v>
      </c>
      <c r="S1315" s="3">
        <v>6.44</v>
      </c>
      <c r="T1315" s="5">
        <v>44483</v>
      </c>
      <c r="U1315">
        <v>3</v>
      </c>
      <c r="V1315">
        <v>2021</v>
      </c>
      <c r="X1315">
        <f t="shared" si="60"/>
        <v>8.0798684999999999</v>
      </c>
      <c r="Y1315">
        <f t="shared" si="61"/>
        <v>6.4398685000000002</v>
      </c>
      <c r="Z1315">
        <f t="shared" si="62"/>
        <v>66.499868500000005</v>
      </c>
    </row>
    <row r="1316" spans="1:26" x14ac:dyDescent="0.3">
      <c r="A1316" t="s">
        <v>1406</v>
      </c>
      <c r="B1316" t="s">
        <v>63</v>
      </c>
      <c r="C1316" t="s">
        <v>74</v>
      </c>
      <c r="D1316" t="s">
        <v>69</v>
      </c>
      <c r="E1316">
        <v>21</v>
      </c>
      <c r="F1316" s="3">
        <v>8.44</v>
      </c>
      <c r="G1316" s="4">
        <v>73</v>
      </c>
      <c r="H1316">
        <v>2</v>
      </c>
      <c r="I1316">
        <v>2</v>
      </c>
      <c r="J1316">
        <v>4</v>
      </c>
      <c r="K1316" s="4">
        <v>57.9</v>
      </c>
      <c r="L1316" s="4">
        <v>64.599999999999994</v>
      </c>
      <c r="M1316" s="4">
        <v>76</v>
      </c>
      <c r="N1316">
        <v>0</v>
      </c>
      <c r="O1316" t="s">
        <v>58</v>
      </c>
      <c r="P1316" t="s">
        <v>79</v>
      </c>
      <c r="Q1316" t="s">
        <v>71</v>
      </c>
      <c r="R1316" t="s">
        <v>72</v>
      </c>
      <c r="S1316" s="3">
        <v>7.39</v>
      </c>
      <c r="T1316" s="5">
        <v>45910</v>
      </c>
      <c r="U1316">
        <v>1</v>
      </c>
      <c r="V1316">
        <v>2025</v>
      </c>
      <c r="X1316">
        <f t="shared" si="60"/>
        <v>8.4398683999999999</v>
      </c>
      <c r="Y1316">
        <f t="shared" si="61"/>
        <v>7.3898684000000001</v>
      </c>
      <c r="Z1316">
        <f t="shared" si="62"/>
        <v>64.599868399999991</v>
      </c>
    </row>
    <row r="1317" spans="1:26" x14ac:dyDescent="0.3">
      <c r="A1317" t="s">
        <v>1407</v>
      </c>
      <c r="B1317" t="s">
        <v>82</v>
      </c>
      <c r="C1317" t="s">
        <v>56</v>
      </c>
      <c r="D1317" t="s">
        <v>57</v>
      </c>
      <c r="E1317">
        <v>22</v>
      </c>
      <c r="F1317" s="3">
        <v>8.26</v>
      </c>
      <c r="G1317" s="4">
        <v>84.5</v>
      </c>
      <c r="H1317">
        <v>3</v>
      </c>
      <c r="I1317">
        <v>1</v>
      </c>
      <c r="J1317">
        <v>4</v>
      </c>
      <c r="K1317" s="4">
        <v>75.400000000000006</v>
      </c>
      <c r="L1317" s="4">
        <v>67.7</v>
      </c>
      <c r="M1317" s="4">
        <v>87.8</v>
      </c>
      <c r="N1317">
        <v>0</v>
      </c>
      <c r="O1317" t="s">
        <v>58</v>
      </c>
      <c r="P1317" t="s">
        <v>75</v>
      </c>
      <c r="Q1317" t="s">
        <v>71</v>
      </c>
      <c r="R1317" t="s">
        <v>76</v>
      </c>
      <c r="S1317" s="3">
        <v>7.58</v>
      </c>
      <c r="T1317" s="5">
        <v>44856</v>
      </c>
      <c r="U1317">
        <v>1</v>
      </c>
      <c r="V1317">
        <v>2022</v>
      </c>
      <c r="X1317">
        <f t="shared" si="60"/>
        <v>8.2598682999999991</v>
      </c>
      <c r="Y1317">
        <f t="shared" si="61"/>
        <v>7.5798683000000002</v>
      </c>
      <c r="Z1317">
        <f t="shared" si="62"/>
        <v>67.699868300000006</v>
      </c>
    </row>
    <row r="1318" spans="1:26" x14ac:dyDescent="0.3">
      <c r="A1318" t="s">
        <v>1408</v>
      </c>
      <c r="B1318" t="s">
        <v>55</v>
      </c>
      <c r="C1318" t="s">
        <v>56</v>
      </c>
      <c r="D1318" t="s">
        <v>69</v>
      </c>
      <c r="E1318">
        <v>22</v>
      </c>
      <c r="F1318" s="3">
        <v>6.92</v>
      </c>
      <c r="G1318" s="4">
        <v>74.599999999999994</v>
      </c>
      <c r="H1318">
        <v>0</v>
      </c>
      <c r="I1318">
        <v>4</v>
      </c>
      <c r="J1318">
        <v>3</v>
      </c>
      <c r="K1318" s="4">
        <v>81.099999999999994</v>
      </c>
      <c r="L1318" s="4">
        <v>42</v>
      </c>
      <c r="M1318" s="4">
        <v>89.9</v>
      </c>
      <c r="N1318">
        <v>0</v>
      </c>
      <c r="O1318" t="s">
        <v>64</v>
      </c>
      <c r="P1318" t="s">
        <v>65</v>
      </c>
      <c r="S1318" s="3">
        <v>0</v>
      </c>
      <c r="T1318" s="5"/>
      <c r="U1318">
        <v>0</v>
      </c>
      <c r="V1318">
        <v>2024</v>
      </c>
      <c r="X1318">
        <f t="shared" si="60"/>
        <v>6.9198681999999998</v>
      </c>
      <c r="Y1318">
        <f t="shared" si="61"/>
        <v>-1.3180000000000001E-4</v>
      </c>
      <c r="Z1318">
        <f t="shared" si="62"/>
        <v>41.999868200000002</v>
      </c>
    </row>
    <row r="1319" spans="1:26" x14ac:dyDescent="0.3">
      <c r="A1319" t="s">
        <v>1409</v>
      </c>
      <c r="B1319" t="s">
        <v>82</v>
      </c>
      <c r="C1319" t="s">
        <v>68</v>
      </c>
      <c r="D1319" t="s">
        <v>69</v>
      </c>
      <c r="E1319">
        <v>21</v>
      </c>
      <c r="F1319" s="3">
        <v>6.29</v>
      </c>
      <c r="G1319" s="4">
        <v>83.5</v>
      </c>
      <c r="H1319">
        <v>2</v>
      </c>
      <c r="I1319">
        <v>0</v>
      </c>
      <c r="J1319">
        <v>5</v>
      </c>
      <c r="K1319" s="4">
        <v>70.7</v>
      </c>
      <c r="L1319" s="4">
        <v>62.2</v>
      </c>
      <c r="M1319" s="4">
        <v>66.400000000000006</v>
      </c>
      <c r="N1319">
        <v>0</v>
      </c>
      <c r="O1319" t="s">
        <v>64</v>
      </c>
      <c r="P1319" t="s">
        <v>65</v>
      </c>
      <c r="S1319" s="3">
        <v>0</v>
      </c>
      <c r="T1319" s="5"/>
      <c r="U1319">
        <v>0</v>
      </c>
      <c r="V1319">
        <v>2022</v>
      </c>
      <c r="X1319">
        <f t="shared" si="60"/>
        <v>6.2898680999999996</v>
      </c>
      <c r="Y1319">
        <f t="shared" si="61"/>
        <v>-1.3189999999999998E-4</v>
      </c>
      <c r="Z1319">
        <f t="shared" si="62"/>
        <v>62.199868100000003</v>
      </c>
    </row>
    <row r="1320" spans="1:26" x14ac:dyDescent="0.3">
      <c r="A1320" t="s">
        <v>1410</v>
      </c>
      <c r="B1320" t="s">
        <v>67</v>
      </c>
      <c r="C1320" t="s">
        <v>84</v>
      </c>
      <c r="D1320" t="s">
        <v>57</v>
      </c>
      <c r="E1320">
        <v>22</v>
      </c>
      <c r="F1320" s="3">
        <v>8.44</v>
      </c>
      <c r="G1320" s="4">
        <v>100</v>
      </c>
      <c r="H1320">
        <v>1</v>
      </c>
      <c r="I1320">
        <v>4</v>
      </c>
      <c r="J1320">
        <v>4</v>
      </c>
      <c r="K1320" s="4">
        <v>76.7</v>
      </c>
      <c r="L1320" s="4">
        <v>61.3</v>
      </c>
      <c r="M1320" s="4">
        <v>90.8</v>
      </c>
      <c r="N1320">
        <v>0</v>
      </c>
      <c r="O1320" t="s">
        <v>58</v>
      </c>
      <c r="P1320" t="s">
        <v>79</v>
      </c>
      <c r="Q1320" t="s">
        <v>71</v>
      </c>
      <c r="R1320" t="s">
        <v>85</v>
      </c>
      <c r="S1320" s="3">
        <v>6.3</v>
      </c>
      <c r="T1320" s="5">
        <v>45145</v>
      </c>
      <c r="U1320">
        <v>1</v>
      </c>
      <c r="V1320">
        <v>2023</v>
      </c>
      <c r="X1320">
        <f t="shared" si="60"/>
        <v>8.4398679999999988</v>
      </c>
      <c r="Y1320">
        <f t="shared" si="61"/>
        <v>6.299868</v>
      </c>
      <c r="Z1320">
        <f t="shared" si="62"/>
        <v>61.299867999999996</v>
      </c>
    </row>
    <row r="1321" spans="1:26" x14ac:dyDescent="0.3">
      <c r="A1321" t="s">
        <v>1411</v>
      </c>
      <c r="B1321" t="s">
        <v>82</v>
      </c>
      <c r="C1321" t="s">
        <v>74</v>
      </c>
      <c r="D1321" t="s">
        <v>69</v>
      </c>
      <c r="E1321">
        <v>23</v>
      </c>
      <c r="F1321" s="3">
        <v>9.5299999999999994</v>
      </c>
      <c r="G1321" s="4">
        <v>80.3</v>
      </c>
      <c r="H1321">
        <v>1</v>
      </c>
      <c r="I1321">
        <v>1</v>
      </c>
      <c r="J1321">
        <v>5</v>
      </c>
      <c r="K1321" s="4">
        <v>69</v>
      </c>
      <c r="L1321" s="4">
        <v>52.9</v>
      </c>
      <c r="M1321" s="4">
        <v>74.5</v>
      </c>
      <c r="N1321">
        <v>1</v>
      </c>
      <c r="O1321" t="s">
        <v>58</v>
      </c>
      <c r="P1321" t="s">
        <v>92</v>
      </c>
      <c r="Q1321" t="s">
        <v>93</v>
      </c>
      <c r="R1321" t="s">
        <v>72</v>
      </c>
      <c r="S1321" s="3">
        <v>8.6999999999999993</v>
      </c>
      <c r="T1321" s="5">
        <v>44826</v>
      </c>
      <c r="U1321">
        <v>1</v>
      </c>
      <c r="V1321">
        <v>2022</v>
      </c>
      <c r="X1321">
        <f t="shared" si="60"/>
        <v>9.5298678999999993</v>
      </c>
      <c r="Y1321">
        <f t="shared" si="61"/>
        <v>8.6998678999999992</v>
      </c>
      <c r="Z1321">
        <f t="shared" si="62"/>
        <v>52.899867899999997</v>
      </c>
    </row>
    <row r="1322" spans="1:26" x14ac:dyDescent="0.3">
      <c r="A1322" t="s">
        <v>1412</v>
      </c>
      <c r="B1322" t="s">
        <v>82</v>
      </c>
      <c r="C1322" t="s">
        <v>78</v>
      </c>
      <c r="D1322" t="s">
        <v>69</v>
      </c>
      <c r="E1322">
        <v>21</v>
      </c>
      <c r="F1322" s="3">
        <v>8.48</v>
      </c>
      <c r="G1322" s="4">
        <v>71.599999999999994</v>
      </c>
      <c r="H1322">
        <v>2</v>
      </c>
      <c r="I1322">
        <v>3</v>
      </c>
      <c r="J1322">
        <v>4</v>
      </c>
      <c r="K1322" s="4">
        <v>76.900000000000006</v>
      </c>
      <c r="L1322" s="4">
        <v>61.6</v>
      </c>
      <c r="M1322" s="4">
        <v>78.7</v>
      </c>
      <c r="N1322">
        <v>0</v>
      </c>
      <c r="O1322" t="s">
        <v>58</v>
      </c>
      <c r="P1322" t="s">
        <v>75</v>
      </c>
      <c r="Q1322" t="s">
        <v>71</v>
      </c>
      <c r="R1322" t="s">
        <v>61</v>
      </c>
      <c r="S1322" s="3">
        <v>6.97</v>
      </c>
      <c r="T1322" s="5">
        <v>44866</v>
      </c>
      <c r="U1322">
        <v>2</v>
      </c>
      <c r="V1322">
        <v>2022</v>
      </c>
      <c r="X1322">
        <f t="shared" si="60"/>
        <v>8.479867800000001</v>
      </c>
      <c r="Y1322">
        <f t="shared" si="61"/>
        <v>6.9698677999999994</v>
      </c>
      <c r="Z1322">
        <f t="shared" si="62"/>
        <v>61.599867799999998</v>
      </c>
    </row>
    <row r="1323" spans="1:26" x14ac:dyDescent="0.3">
      <c r="A1323" t="s">
        <v>1413</v>
      </c>
      <c r="B1323" t="s">
        <v>67</v>
      </c>
      <c r="C1323" t="s">
        <v>89</v>
      </c>
      <c r="D1323" t="s">
        <v>69</v>
      </c>
      <c r="E1323">
        <v>21</v>
      </c>
      <c r="F1323" s="3">
        <v>5.95</v>
      </c>
      <c r="G1323" s="4">
        <v>68.900000000000006</v>
      </c>
      <c r="H1323">
        <v>3</v>
      </c>
      <c r="I1323">
        <v>2</v>
      </c>
      <c r="J1323">
        <v>3</v>
      </c>
      <c r="K1323" s="4">
        <v>62</v>
      </c>
      <c r="L1323" s="4">
        <v>56.5</v>
      </c>
      <c r="M1323" s="4">
        <v>87.3</v>
      </c>
      <c r="N1323">
        <v>0</v>
      </c>
      <c r="O1323" t="s">
        <v>58</v>
      </c>
      <c r="P1323" t="s">
        <v>79</v>
      </c>
      <c r="Q1323" t="s">
        <v>71</v>
      </c>
      <c r="R1323" t="s">
        <v>130</v>
      </c>
      <c r="S1323" s="3">
        <v>5.47</v>
      </c>
      <c r="T1323" s="5">
        <v>45244</v>
      </c>
      <c r="U1323">
        <v>1</v>
      </c>
      <c r="V1323">
        <v>2023</v>
      </c>
      <c r="X1323">
        <f t="shared" si="60"/>
        <v>5.9498677000000004</v>
      </c>
      <c r="Y1323">
        <f t="shared" si="61"/>
        <v>5.4698677</v>
      </c>
      <c r="Z1323">
        <f t="shared" si="62"/>
        <v>56.499867700000003</v>
      </c>
    </row>
    <row r="1324" spans="1:26" x14ac:dyDescent="0.3">
      <c r="A1324" t="s">
        <v>1414</v>
      </c>
      <c r="B1324" t="s">
        <v>63</v>
      </c>
      <c r="C1324" t="s">
        <v>74</v>
      </c>
      <c r="D1324" t="s">
        <v>57</v>
      </c>
      <c r="E1324">
        <v>20</v>
      </c>
      <c r="F1324" s="3">
        <v>7.18</v>
      </c>
      <c r="G1324" s="4">
        <v>85</v>
      </c>
      <c r="H1324">
        <v>0</v>
      </c>
      <c r="I1324">
        <v>1</v>
      </c>
      <c r="J1324">
        <v>2</v>
      </c>
      <c r="K1324" s="4">
        <v>58.8</v>
      </c>
      <c r="L1324" s="4">
        <v>62.3</v>
      </c>
      <c r="M1324" s="4">
        <v>70.900000000000006</v>
      </c>
      <c r="N1324">
        <v>0</v>
      </c>
      <c r="O1324" t="s">
        <v>58</v>
      </c>
      <c r="P1324" t="s">
        <v>90</v>
      </c>
      <c r="Q1324" t="s">
        <v>60</v>
      </c>
      <c r="R1324" t="s">
        <v>85</v>
      </c>
      <c r="S1324" s="3">
        <v>6.69</v>
      </c>
      <c r="T1324" s="5">
        <v>45971</v>
      </c>
      <c r="U1324">
        <v>1</v>
      </c>
      <c r="V1324">
        <v>2025</v>
      </c>
      <c r="X1324">
        <f t="shared" si="60"/>
        <v>7.1798675999999997</v>
      </c>
      <c r="Y1324">
        <f t="shared" si="61"/>
        <v>6.6898676000000004</v>
      </c>
      <c r="Z1324">
        <f t="shared" si="62"/>
        <v>62.299867599999999</v>
      </c>
    </row>
    <row r="1325" spans="1:26" x14ac:dyDescent="0.3">
      <c r="A1325" t="s">
        <v>1415</v>
      </c>
      <c r="B1325" t="s">
        <v>63</v>
      </c>
      <c r="C1325" t="s">
        <v>89</v>
      </c>
      <c r="D1325" t="s">
        <v>57</v>
      </c>
      <c r="E1325">
        <v>20</v>
      </c>
      <c r="F1325" s="3">
        <v>7.47</v>
      </c>
      <c r="G1325" s="4">
        <v>100</v>
      </c>
      <c r="H1325">
        <v>3</v>
      </c>
      <c r="I1325">
        <v>1</v>
      </c>
      <c r="J1325">
        <v>2</v>
      </c>
      <c r="K1325" s="4">
        <v>43.1</v>
      </c>
      <c r="L1325" s="4">
        <v>79.400000000000006</v>
      </c>
      <c r="M1325" s="4">
        <v>85.9</v>
      </c>
      <c r="N1325">
        <v>0</v>
      </c>
      <c r="O1325" t="s">
        <v>58</v>
      </c>
      <c r="P1325" t="s">
        <v>95</v>
      </c>
      <c r="Q1325" t="s">
        <v>93</v>
      </c>
      <c r="R1325" t="s">
        <v>80</v>
      </c>
      <c r="S1325" s="3">
        <v>7.13</v>
      </c>
      <c r="T1325" s="5">
        <v>45922</v>
      </c>
      <c r="U1325">
        <v>1</v>
      </c>
      <c r="V1325">
        <v>2025</v>
      </c>
      <c r="X1325">
        <f t="shared" si="60"/>
        <v>7.4698674999999994</v>
      </c>
      <c r="Y1325">
        <f t="shared" si="61"/>
        <v>7.1298674999999996</v>
      </c>
      <c r="Z1325">
        <f t="shared" si="62"/>
        <v>79.399867499999999</v>
      </c>
    </row>
    <row r="1326" spans="1:26" x14ac:dyDescent="0.3">
      <c r="A1326" t="s">
        <v>1416</v>
      </c>
      <c r="B1326" t="s">
        <v>82</v>
      </c>
      <c r="C1326" t="s">
        <v>56</v>
      </c>
      <c r="D1326" t="s">
        <v>57</v>
      </c>
      <c r="E1326">
        <v>21</v>
      </c>
      <c r="F1326" s="3">
        <v>5.98</v>
      </c>
      <c r="G1326" s="4">
        <v>73.900000000000006</v>
      </c>
      <c r="H1326">
        <v>1</v>
      </c>
      <c r="I1326">
        <v>2</v>
      </c>
      <c r="J1326">
        <v>4</v>
      </c>
      <c r="K1326" s="4">
        <v>74.099999999999994</v>
      </c>
      <c r="L1326" s="4">
        <v>79.400000000000006</v>
      </c>
      <c r="M1326" s="4">
        <v>76</v>
      </c>
      <c r="N1326">
        <v>2</v>
      </c>
      <c r="O1326" t="s">
        <v>58</v>
      </c>
      <c r="P1326" t="s">
        <v>59</v>
      </c>
      <c r="Q1326" t="s">
        <v>60</v>
      </c>
      <c r="R1326" t="s">
        <v>80</v>
      </c>
      <c r="S1326" s="3">
        <v>17.079999999999998</v>
      </c>
      <c r="T1326" s="5">
        <v>44873</v>
      </c>
      <c r="U1326">
        <v>2</v>
      </c>
      <c r="V1326">
        <v>2022</v>
      </c>
      <c r="X1326">
        <f t="shared" si="60"/>
        <v>5.9798674000000007</v>
      </c>
      <c r="Y1326">
        <f t="shared" si="61"/>
        <v>17.079867399999998</v>
      </c>
      <c r="Z1326">
        <f t="shared" si="62"/>
        <v>79.399867400000005</v>
      </c>
    </row>
    <row r="1327" spans="1:26" x14ac:dyDescent="0.3">
      <c r="A1327" t="s">
        <v>1417</v>
      </c>
      <c r="B1327" t="s">
        <v>67</v>
      </c>
      <c r="C1327" t="s">
        <v>56</v>
      </c>
      <c r="D1327" t="s">
        <v>69</v>
      </c>
      <c r="E1327">
        <v>21</v>
      </c>
      <c r="F1327" s="3">
        <v>6.41</v>
      </c>
      <c r="G1327" s="4">
        <v>62.6</v>
      </c>
      <c r="H1327">
        <v>1</v>
      </c>
      <c r="I1327">
        <v>3</v>
      </c>
      <c r="J1327">
        <v>3</v>
      </c>
      <c r="K1327" s="4">
        <v>63.2</v>
      </c>
      <c r="L1327" s="4">
        <v>93.7</v>
      </c>
      <c r="M1327" s="4">
        <v>68.5</v>
      </c>
      <c r="N1327">
        <v>0</v>
      </c>
      <c r="O1327" t="s">
        <v>58</v>
      </c>
      <c r="P1327" t="s">
        <v>104</v>
      </c>
      <c r="Q1327" t="s">
        <v>105</v>
      </c>
      <c r="R1327" t="s">
        <v>85</v>
      </c>
      <c r="S1327" s="3">
        <v>15.57</v>
      </c>
      <c r="T1327" s="5">
        <v>45235</v>
      </c>
      <c r="U1327">
        <v>2</v>
      </c>
      <c r="V1327">
        <v>2023</v>
      </c>
      <c r="X1327">
        <f t="shared" si="60"/>
        <v>6.4098673000000002</v>
      </c>
      <c r="Y1327">
        <f t="shared" si="61"/>
        <v>15.5698673</v>
      </c>
      <c r="Z1327">
        <f t="shared" si="62"/>
        <v>93.699867300000008</v>
      </c>
    </row>
    <row r="1328" spans="1:26" x14ac:dyDescent="0.3">
      <c r="A1328" t="s">
        <v>1418</v>
      </c>
      <c r="B1328" t="s">
        <v>67</v>
      </c>
      <c r="C1328" t="s">
        <v>78</v>
      </c>
      <c r="D1328" t="s">
        <v>69</v>
      </c>
      <c r="E1328">
        <v>20</v>
      </c>
      <c r="F1328" s="3">
        <v>7.62</v>
      </c>
      <c r="G1328" s="4">
        <v>97.4</v>
      </c>
      <c r="H1328">
        <v>0</v>
      </c>
      <c r="I1328">
        <v>4</v>
      </c>
      <c r="J1328">
        <v>4</v>
      </c>
      <c r="K1328" s="4">
        <v>73.2</v>
      </c>
      <c r="L1328" s="4">
        <v>74.599999999999994</v>
      </c>
      <c r="M1328" s="4">
        <v>81.7</v>
      </c>
      <c r="N1328">
        <v>0</v>
      </c>
      <c r="O1328" t="s">
        <v>58</v>
      </c>
      <c r="P1328" t="s">
        <v>112</v>
      </c>
      <c r="Q1328" t="s">
        <v>93</v>
      </c>
      <c r="R1328" t="s">
        <v>109</v>
      </c>
      <c r="S1328" s="3">
        <v>6.7</v>
      </c>
      <c r="T1328" s="5">
        <v>45238</v>
      </c>
      <c r="U1328">
        <v>1</v>
      </c>
      <c r="V1328">
        <v>2023</v>
      </c>
      <c r="X1328">
        <f t="shared" si="60"/>
        <v>7.6198671999999998</v>
      </c>
      <c r="Y1328">
        <f t="shared" si="61"/>
        <v>6.6998671999999999</v>
      </c>
      <c r="Z1328">
        <f t="shared" si="62"/>
        <v>74.599867199999991</v>
      </c>
    </row>
    <row r="1329" spans="1:26" x14ac:dyDescent="0.3">
      <c r="A1329" t="s">
        <v>1419</v>
      </c>
      <c r="B1329" t="s">
        <v>55</v>
      </c>
      <c r="C1329" t="s">
        <v>56</v>
      </c>
      <c r="D1329" t="s">
        <v>57</v>
      </c>
      <c r="E1329">
        <v>23</v>
      </c>
      <c r="F1329" s="3">
        <v>7.89</v>
      </c>
      <c r="G1329" s="4">
        <v>100</v>
      </c>
      <c r="H1329">
        <v>2</v>
      </c>
      <c r="I1329">
        <v>0</v>
      </c>
      <c r="J1329">
        <v>2</v>
      </c>
      <c r="K1329" s="4">
        <v>63.6</v>
      </c>
      <c r="L1329" s="4">
        <v>47.2</v>
      </c>
      <c r="M1329" s="4">
        <v>89</v>
      </c>
      <c r="N1329">
        <v>0</v>
      </c>
      <c r="O1329" t="s">
        <v>58</v>
      </c>
      <c r="P1329" t="s">
        <v>87</v>
      </c>
      <c r="Q1329" t="s">
        <v>71</v>
      </c>
      <c r="R1329" t="s">
        <v>109</v>
      </c>
      <c r="S1329" s="3">
        <v>5.97</v>
      </c>
      <c r="T1329" s="5">
        <v>45530</v>
      </c>
      <c r="U1329">
        <v>1</v>
      </c>
      <c r="V1329">
        <v>2024</v>
      </c>
      <c r="X1329">
        <f t="shared" si="60"/>
        <v>7.8898671</v>
      </c>
      <c r="Y1329">
        <f t="shared" si="61"/>
        <v>5.9698671000000001</v>
      </c>
      <c r="Z1329">
        <f t="shared" si="62"/>
        <v>47.199867100000006</v>
      </c>
    </row>
    <row r="1330" spans="1:26" x14ac:dyDescent="0.3">
      <c r="A1330" t="s">
        <v>1420</v>
      </c>
      <c r="B1330" t="s">
        <v>63</v>
      </c>
      <c r="C1330" t="s">
        <v>84</v>
      </c>
      <c r="D1330" t="s">
        <v>69</v>
      </c>
      <c r="E1330">
        <v>22</v>
      </c>
      <c r="F1330" s="3">
        <v>6.76</v>
      </c>
      <c r="G1330" s="4">
        <v>88.8</v>
      </c>
      <c r="H1330">
        <v>1</v>
      </c>
      <c r="I1330">
        <v>1</v>
      </c>
      <c r="J1330">
        <v>3</v>
      </c>
      <c r="K1330" s="4">
        <v>85.4</v>
      </c>
      <c r="L1330" s="4">
        <v>65.099999999999994</v>
      </c>
      <c r="M1330" s="4">
        <v>75.3</v>
      </c>
      <c r="N1330">
        <v>0</v>
      </c>
      <c r="O1330" t="s">
        <v>58</v>
      </c>
      <c r="P1330" t="s">
        <v>90</v>
      </c>
      <c r="Q1330" t="s">
        <v>60</v>
      </c>
      <c r="R1330" t="s">
        <v>80</v>
      </c>
      <c r="S1330" s="3">
        <v>7.24</v>
      </c>
      <c r="T1330" s="5">
        <v>45962</v>
      </c>
      <c r="U1330">
        <v>1</v>
      </c>
      <c r="V1330">
        <v>2025</v>
      </c>
      <c r="X1330">
        <f t="shared" si="60"/>
        <v>6.7598669999999998</v>
      </c>
      <c r="Y1330">
        <f t="shared" si="61"/>
        <v>7.2398670000000003</v>
      </c>
      <c r="Z1330">
        <f t="shared" si="62"/>
        <v>65.099866999999989</v>
      </c>
    </row>
    <row r="1331" spans="1:26" x14ac:dyDescent="0.3">
      <c r="A1331" t="s">
        <v>1421</v>
      </c>
      <c r="B1331" t="s">
        <v>107</v>
      </c>
      <c r="C1331" t="s">
        <v>56</v>
      </c>
      <c r="D1331" t="s">
        <v>57</v>
      </c>
      <c r="E1331">
        <v>22</v>
      </c>
      <c r="F1331" s="3">
        <v>6.37</v>
      </c>
      <c r="G1331" s="4">
        <v>85.9</v>
      </c>
      <c r="H1331">
        <v>1</v>
      </c>
      <c r="I1331">
        <v>2</v>
      </c>
      <c r="J1331">
        <v>3</v>
      </c>
      <c r="K1331" s="4">
        <v>65.7</v>
      </c>
      <c r="L1331" s="4">
        <v>60.4</v>
      </c>
      <c r="M1331" s="4">
        <v>61.8</v>
      </c>
      <c r="N1331">
        <v>0</v>
      </c>
      <c r="O1331" t="s">
        <v>64</v>
      </c>
      <c r="P1331" t="s">
        <v>65</v>
      </c>
      <c r="S1331" s="3">
        <v>0</v>
      </c>
      <c r="T1331" s="5"/>
      <c r="U1331">
        <v>0</v>
      </c>
      <c r="V1331">
        <v>2021</v>
      </c>
      <c r="X1331">
        <f t="shared" si="60"/>
        <v>6.3698668999999999</v>
      </c>
      <c r="Y1331">
        <f t="shared" si="61"/>
        <v>-1.3309999999999998E-4</v>
      </c>
      <c r="Z1331">
        <f t="shared" si="62"/>
        <v>60.399866899999999</v>
      </c>
    </row>
    <row r="1332" spans="1:26" x14ac:dyDescent="0.3">
      <c r="A1332" t="s">
        <v>1422</v>
      </c>
      <c r="B1332" t="s">
        <v>63</v>
      </c>
      <c r="C1332" t="s">
        <v>89</v>
      </c>
      <c r="D1332" t="s">
        <v>69</v>
      </c>
      <c r="E1332">
        <v>22</v>
      </c>
      <c r="F1332" s="3">
        <v>8.7200000000000006</v>
      </c>
      <c r="G1332" s="4">
        <v>82.6</v>
      </c>
      <c r="H1332">
        <v>1</v>
      </c>
      <c r="I1332">
        <v>2</v>
      </c>
      <c r="J1332">
        <v>3</v>
      </c>
      <c r="K1332" s="4">
        <v>59.3</v>
      </c>
      <c r="L1332" s="4">
        <v>55.3</v>
      </c>
      <c r="M1332" s="4">
        <v>70.099999999999994</v>
      </c>
      <c r="N1332">
        <v>0</v>
      </c>
      <c r="O1332" t="s">
        <v>58</v>
      </c>
      <c r="P1332" t="s">
        <v>75</v>
      </c>
      <c r="Q1332" t="s">
        <v>71</v>
      </c>
      <c r="R1332" t="s">
        <v>61</v>
      </c>
      <c r="S1332" s="3">
        <v>6.21</v>
      </c>
      <c r="T1332" s="5">
        <v>45962</v>
      </c>
      <c r="U1332">
        <v>2</v>
      </c>
      <c r="V1332">
        <v>2025</v>
      </c>
      <c r="X1332">
        <f t="shared" si="60"/>
        <v>8.7198668000000001</v>
      </c>
      <c r="Y1332">
        <f t="shared" si="61"/>
        <v>6.2098668000000004</v>
      </c>
      <c r="Z1332">
        <f t="shared" si="62"/>
        <v>55.299866799999997</v>
      </c>
    </row>
    <row r="1333" spans="1:26" x14ac:dyDescent="0.3">
      <c r="A1333" t="s">
        <v>1423</v>
      </c>
      <c r="B1333" t="s">
        <v>63</v>
      </c>
      <c r="C1333" t="s">
        <v>68</v>
      </c>
      <c r="D1333" t="s">
        <v>69</v>
      </c>
      <c r="E1333">
        <v>21</v>
      </c>
      <c r="F1333" s="3">
        <v>7.31</v>
      </c>
      <c r="G1333" s="4">
        <v>88.1</v>
      </c>
      <c r="H1333">
        <v>2</v>
      </c>
      <c r="I1333">
        <v>4</v>
      </c>
      <c r="J1333">
        <v>2</v>
      </c>
      <c r="K1333" s="4">
        <v>62.4</v>
      </c>
      <c r="L1333" s="4">
        <v>86.1</v>
      </c>
      <c r="M1333" s="4">
        <v>65.5</v>
      </c>
      <c r="N1333">
        <v>0</v>
      </c>
      <c r="O1333" t="s">
        <v>64</v>
      </c>
      <c r="P1333" t="s">
        <v>65</v>
      </c>
      <c r="S1333" s="3">
        <v>0</v>
      </c>
      <c r="T1333" s="5"/>
      <c r="U1333">
        <v>0</v>
      </c>
      <c r="V1333">
        <v>2025</v>
      </c>
      <c r="X1333">
        <f t="shared" si="60"/>
        <v>7.3098666999999997</v>
      </c>
      <c r="Y1333">
        <f t="shared" si="61"/>
        <v>-1.3329999999999999E-4</v>
      </c>
      <c r="Z1333">
        <f t="shared" si="62"/>
        <v>86.099866699999993</v>
      </c>
    </row>
    <row r="1334" spans="1:26" x14ac:dyDescent="0.3">
      <c r="A1334" t="s">
        <v>1424</v>
      </c>
      <c r="B1334" t="s">
        <v>55</v>
      </c>
      <c r="C1334" t="s">
        <v>56</v>
      </c>
      <c r="D1334" t="s">
        <v>69</v>
      </c>
      <c r="E1334">
        <v>23</v>
      </c>
      <c r="F1334" s="3">
        <v>7.43</v>
      </c>
      <c r="G1334" s="4">
        <v>87.7</v>
      </c>
      <c r="H1334">
        <v>1</v>
      </c>
      <c r="I1334">
        <v>0</v>
      </c>
      <c r="J1334">
        <v>4</v>
      </c>
      <c r="K1334" s="4">
        <v>75</v>
      </c>
      <c r="L1334" s="4">
        <v>76.8</v>
      </c>
      <c r="M1334" s="4">
        <v>100</v>
      </c>
      <c r="N1334">
        <v>0</v>
      </c>
      <c r="O1334" t="s">
        <v>58</v>
      </c>
      <c r="P1334" t="s">
        <v>75</v>
      </c>
      <c r="Q1334" t="s">
        <v>71</v>
      </c>
      <c r="R1334" t="s">
        <v>130</v>
      </c>
      <c r="S1334" s="3">
        <v>6.1</v>
      </c>
      <c r="T1334" s="5">
        <v>45507</v>
      </c>
      <c r="U1334">
        <v>2</v>
      </c>
      <c r="V1334">
        <v>2024</v>
      </c>
      <c r="X1334">
        <f t="shared" si="60"/>
        <v>7.4298665999999995</v>
      </c>
      <c r="Y1334">
        <f t="shared" si="61"/>
        <v>6.0998665999999995</v>
      </c>
      <c r="Z1334">
        <f t="shared" si="62"/>
        <v>76.799866600000001</v>
      </c>
    </row>
    <row r="1335" spans="1:26" x14ac:dyDescent="0.3">
      <c r="A1335" t="s">
        <v>1425</v>
      </c>
      <c r="B1335" t="s">
        <v>107</v>
      </c>
      <c r="C1335" t="s">
        <v>56</v>
      </c>
      <c r="D1335" t="s">
        <v>69</v>
      </c>
      <c r="E1335">
        <v>20</v>
      </c>
      <c r="F1335" s="3">
        <v>7.16</v>
      </c>
      <c r="G1335" s="4">
        <v>84.5</v>
      </c>
      <c r="H1335">
        <v>1</v>
      </c>
      <c r="I1335">
        <v>2</v>
      </c>
      <c r="J1335">
        <v>2</v>
      </c>
      <c r="K1335" s="4">
        <v>100</v>
      </c>
      <c r="L1335" s="4">
        <v>71.099999999999994</v>
      </c>
      <c r="M1335" s="4">
        <v>63.5</v>
      </c>
      <c r="N1335">
        <v>0</v>
      </c>
      <c r="O1335" t="s">
        <v>64</v>
      </c>
      <c r="P1335" t="s">
        <v>65</v>
      </c>
      <c r="S1335" s="3">
        <v>0</v>
      </c>
      <c r="T1335" s="5"/>
      <c r="U1335">
        <v>0</v>
      </c>
      <c r="V1335">
        <v>2021</v>
      </c>
      <c r="X1335">
        <f t="shared" si="60"/>
        <v>7.1598665000000006</v>
      </c>
      <c r="Y1335">
        <f t="shared" si="61"/>
        <v>-1.3349999999999999E-4</v>
      </c>
      <c r="Z1335">
        <f t="shared" si="62"/>
        <v>71.09986649999999</v>
      </c>
    </row>
    <row r="1336" spans="1:26" x14ac:dyDescent="0.3">
      <c r="A1336" t="s">
        <v>1426</v>
      </c>
      <c r="B1336" t="s">
        <v>55</v>
      </c>
      <c r="C1336" t="s">
        <v>89</v>
      </c>
      <c r="D1336" t="s">
        <v>57</v>
      </c>
      <c r="E1336">
        <v>23</v>
      </c>
      <c r="F1336" s="3">
        <v>6.96</v>
      </c>
      <c r="G1336" s="4">
        <v>73.400000000000006</v>
      </c>
      <c r="H1336">
        <v>2</v>
      </c>
      <c r="I1336">
        <v>2</v>
      </c>
      <c r="J1336">
        <v>1</v>
      </c>
      <c r="K1336" s="4">
        <v>87.2</v>
      </c>
      <c r="L1336" s="4">
        <v>47.7</v>
      </c>
      <c r="M1336" s="4">
        <v>46.7</v>
      </c>
      <c r="N1336">
        <v>0</v>
      </c>
      <c r="O1336" t="s">
        <v>58</v>
      </c>
      <c r="P1336" t="s">
        <v>75</v>
      </c>
      <c r="Q1336" t="s">
        <v>71</v>
      </c>
      <c r="R1336" t="s">
        <v>61</v>
      </c>
      <c r="S1336" s="3">
        <v>5.73</v>
      </c>
      <c r="T1336" s="5">
        <v>45573</v>
      </c>
      <c r="U1336">
        <v>1</v>
      </c>
      <c r="V1336">
        <v>2024</v>
      </c>
      <c r="X1336">
        <f t="shared" si="60"/>
        <v>6.9598664000000001</v>
      </c>
      <c r="Y1336">
        <f t="shared" si="61"/>
        <v>5.7298664000000006</v>
      </c>
      <c r="Z1336">
        <f t="shared" si="62"/>
        <v>47.699866400000005</v>
      </c>
    </row>
    <row r="1337" spans="1:26" x14ac:dyDescent="0.3">
      <c r="A1337" t="s">
        <v>1427</v>
      </c>
      <c r="B1337" t="s">
        <v>107</v>
      </c>
      <c r="C1337" t="s">
        <v>101</v>
      </c>
      <c r="D1337" t="s">
        <v>57</v>
      </c>
      <c r="E1337">
        <v>23</v>
      </c>
      <c r="F1337" s="3">
        <v>8.82</v>
      </c>
      <c r="G1337" s="4">
        <v>84.5</v>
      </c>
      <c r="H1337">
        <v>2</v>
      </c>
      <c r="I1337">
        <v>1</v>
      </c>
      <c r="J1337">
        <v>6</v>
      </c>
      <c r="K1337" s="4">
        <v>51.1</v>
      </c>
      <c r="L1337" s="4">
        <v>68.8</v>
      </c>
      <c r="M1337" s="4">
        <v>69.400000000000006</v>
      </c>
      <c r="N1337">
        <v>1</v>
      </c>
      <c r="O1337" t="s">
        <v>58</v>
      </c>
      <c r="P1337" t="s">
        <v>87</v>
      </c>
      <c r="Q1337" t="s">
        <v>71</v>
      </c>
      <c r="R1337" t="s">
        <v>80</v>
      </c>
      <c r="S1337" s="3">
        <v>8.25</v>
      </c>
      <c r="T1337" s="5">
        <v>44505</v>
      </c>
      <c r="U1337">
        <v>1</v>
      </c>
      <c r="V1337">
        <v>2021</v>
      </c>
      <c r="X1337">
        <f t="shared" si="60"/>
        <v>8.819866300000001</v>
      </c>
      <c r="Y1337">
        <f t="shared" si="61"/>
        <v>8.2498663000000008</v>
      </c>
      <c r="Z1337">
        <f t="shared" si="62"/>
        <v>68.799866299999991</v>
      </c>
    </row>
    <row r="1338" spans="1:26" x14ac:dyDescent="0.3">
      <c r="A1338" t="s">
        <v>1428</v>
      </c>
      <c r="B1338" t="s">
        <v>82</v>
      </c>
      <c r="C1338" t="s">
        <v>101</v>
      </c>
      <c r="D1338" t="s">
        <v>69</v>
      </c>
      <c r="E1338">
        <v>22</v>
      </c>
      <c r="F1338" s="3">
        <v>6.86</v>
      </c>
      <c r="G1338" s="4">
        <v>81.099999999999994</v>
      </c>
      <c r="H1338">
        <v>1</v>
      </c>
      <c r="I1338">
        <v>3</v>
      </c>
      <c r="J1338">
        <v>2</v>
      </c>
      <c r="K1338" s="4">
        <v>71.3</v>
      </c>
      <c r="L1338" s="4">
        <v>100</v>
      </c>
      <c r="M1338" s="4">
        <v>76.2</v>
      </c>
      <c r="N1338">
        <v>0</v>
      </c>
      <c r="O1338" t="s">
        <v>58</v>
      </c>
      <c r="P1338" t="s">
        <v>90</v>
      </c>
      <c r="Q1338" t="s">
        <v>60</v>
      </c>
      <c r="R1338" t="s">
        <v>85</v>
      </c>
      <c r="S1338" s="3">
        <v>8.27</v>
      </c>
      <c r="T1338" s="5">
        <v>44837</v>
      </c>
      <c r="U1338">
        <v>1</v>
      </c>
      <c r="V1338">
        <v>2022</v>
      </c>
      <c r="X1338">
        <f t="shared" si="60"/>
        <v>6.8598661999999999</v>
      </c>
      <c r="Y1338">
        <f t="shared" si="61"/>
        <v>8.2698661999999992</v>
      </c>
      <c r="Z1338">
        <f t="shared" si="62"/>
        <v>99.9998662</v>
      </c>
    </row>
    <row r="1339" spans="1:26" x14ac:dyDescent="0.3">
      <c r="A1339" t="s">
        <v>1429</v>
      </c>
      <c r="B1339" t="s">
        <v>107</v>
      </c>
      <c r="C1339" t="s">
        <v>68</v>
      </c>
      <c r="D1339" t="s">
        <v>57</v>
      </c>
      <c r="E1339">
        <v>20</v>
      </c>
      <c r="F1339" s="3">
        <v>7.81</v>
      </c>
      <c r="G1339" s="4">
        <v>74.8</v>
      </c>
      <c r="H1339">
        <v>1</v>
      </c>
      <c r="I1339">
        <v>0</v>
      </c>
      <c r="J1339">
        <v>5</v>
      </c>
      <c r="K1339" s="4">
        <v>57</v>
      </c>
      <c r="L1339" s="4">
        <v>57.4</v>
      </c>
      <c r="M1339" s="4">
        <v>74.400000000000006</v>
      </c>
      <c r="N1339">
        <v>0</v>
      </c>
      <c r="O1339" t="s">
        <v>58</v>
      </c>
      <c r="P1339" t="s">
        <v>59</v>
      </c>
      <c r="Q1339" t="s">
        <v>60</v>
      </c>
      <c r="R1339" t="s">
        <v>85</v>
      </c>
      <c r="S1339" s="3">
        <v>19.47</v>
      </c>
      <c r="T1339" s="5">
        <v>44419</v>
      </c>
      <c r="U1339">
        <v>1</v>
      </c>
      <c r="V1339">
        <v>2021</v>
      </c>
      <c r="X1339">
        <f t="shared" si="60"/>
        <v>7.8098660999999998</v>
      </c>
      <c r="Y1339">
        <f t="shared" si="61"/>
        <v>19.469866099999997</v>
      </c>
      <c r="Z1339">
        <f t="shared" si="62"/>
        <v>57.399866099999997</v>
      </c>
    </row>
    <row r="1340" spans="1:26" x14ac:dyDescent="0.3">
      <c r="A1340" t="s">
        <v>1430</v>
      </c>
      <c r="B1340" t="s">
        <v>55</v>
      </c>
      <c r="C1340" t="s">
        <v>78</v>
      </c>
      <c r="D1340" t="s">
        <v>57</v>
      </c>
      <c r="E1340">
        <v>23</v>
      </c>
      <c r="F1340" s="3">
        <v>7.66</v>
      </c>
      <c r="G1340" s="4">
        <v>84.5</v>
      </c>
      <c r="H1340">
        <v>2</v>
      </c>
      <c r="I1340">
        <v>2</v>
      </c>
      <c r="J1340">
        <v>6</v>
      </c>
      <c r="K1340" s="4">
        <v>62.5</v>
      </c>
      <c r="L1340" s="4">
        <v>66.7</v>
      </c>
      <c r="M1340" s="4">
        <v>76.2</v>
      </c>
      <c r="N1340">
        <v>0</v>
      </c>
      <c r="O1340" t="s">
        <v>58</v>
      </c>
      <c r="P1340" t="s">
        <v>59</v>
      </c>
      <c r="Q1340" t="s">
        <v>60</v>
      </c>
      <c r="R1340" t="s">
        <v>130</v>
      </c>
      <c r="S1340" s="3">
        <v>19.600000000000001</v>
      </c>
      <c r="T1340" s="5">
        <v>45510</v>
      </c>
      <c r="U1340">
        <v>2</v>
      </c>
      <c r="V1340">
        <v>2024</v>
      </c>
      <c r="X1340">
        <f t="shared" si="60"/>
        <v>7.6598660000000001</v>
      </c>
      <c r="Y1340">
        <f t="shared" si="61"/>
        <v>19.599866000000002</v>
      </c>
      <c r="Z1340">
        <f t="shared" si="62"/>
        <v>66.699866</v>
      </c>
    </row>
    <row r="1341" spans="1:26" x14ac:dyDescent="0.3">
      <c r="A1341" t="s">
        <v>1431</v>
      </c>
      <c r="B1341" t="s">
        <v>63</v>
      </c>
      <c r="C1341" t="s">
        <v>78</v>
      </c>
      <c r="D1341" t="s">
        <v>69</v>
      </c>
      <c r="E1341">
        <v>20</v>
      </c>
      <c r="F1341" s="3">
        <v>5.9</v>
      </c>
      <c r="G1341" s="4">
        <v>77.599999999999994</v>
      </c>
      <c r="H1341">
        <v>0</v>
      </c>
      <c r="I1341">
        <v>2</v>
      </c>
      <c r="J1341">
        <v>4</v>
      </c>
      <c r="K1341" s="4">
        <v>63.7</v>
      </c>
      <c r="L1341" s="4">
        <v>90.8</v>
      </c>
      <c r="M1341" s="4">
        <v>58.6</v>
      </c>
      <c r="N1341">
        <v>0</v>
      </c>
      <c r="O1341" t="s">
        <v>58</v>
      </c>
      <c r="P1341" t="s">
        <v>87</v>
      </c>
      <c r="Q1341" t="s">
        <v>71</v>
      </c>
      <c r="R1341" t="s">
        <v>80</v>
      </c>
      <c r="S1341" s="3">
        <v>5.2</v>
      </c>
      <c r="T1341" s="5">
        <v>45871</v>
      </c>
      <c r="U1341">
        <v>1</v>
      </c>
      <c r="V1341">
        <v>2025</v>
      </c>
      <c r="X1341">
        <f t="shared" si="60"/>
        <v>5.8998659</v>
      </c>
      <c r="Y1341">
        <f t="shared" si="61"/>
        <v>5.1998658999999998</v>
      </c>
      <c r="Z1341">
        <f t="shared" si="62"/>
        <v>90.7998659</v>
      </c>
    </row>
    <row r="1342" spans="1:26" x14ac:dyDescent="0.3">
      <c r="A1342" t="s">
        <v>1432</v>
      </c>
      <c r="B1342" t="s">
        <v>107</v>
      </c>
      <c r="C1342" t="s">
        <v>78</v>
      </c>
      <c r="D1342" t="s">
        <v>57</v>
      </c>
      <c r="E1342">
        <v>21</v>
      </c>
      <c r="F1342" s="3">
        <v>7.87</v>
      </c>
      <c r="G1342" s="4">
        <v>82.6</v>
      </c>
      <c r="H1342">
        <v>2</v>
      </c>
      <c r="I1342">
        <v>1</v>
      </c>
      <c r="J1342">
        <v>4</v>
      </c>
      <c r="K1342" s="4">
        <v>66.8</v>
      </c>
      <c r="L1342" s="4">
        <v>63.4</v>
      </c>
      <c r="M1342" s="4">
        <v>74.7</v>
      </c>
      <c r="N1342">
        <v>0</v>
      </c>
      <c r="O1342" t="s">
        <v>58</v>
      </c>
      <c r="P1342" t="s">
        <v>92</v>
      </c>
      <c r="Q1342" t="s">
        <v>93</v>
      </c>
      <c r="R1342" t="s">
        <v>80</v>
      </c>
      <c r="S1342" s="3">
        <v>8.75</v>
      </c>
      <c r="T1342" s="5">
        <v>44485</v>
      </c>
      <c r="U1342">
        <v>3</v>
      </c>
      <c r="V1342">
        <v>2021</v>
      </c>
      <c r="X1342">
        <f t="shared" si="60"/>
        <v>7.8698658000000004</v>
      </c>
      <c r="Y1342">
        <f t="shared" si="61"/>
        <v>8.7498658000000002</v>
      </c>
      <c r="Z1342">
        <f t="shared" si="62"/>
        <v>63.399865800000001</v>
      </c>
    </row>
    <row r="1343" spans="1:26" x14ac:dyDescent="0.3">
      <c r="A1343" t="s">
        <v>1433</v>
      </c>
      <c r="B1343" t="s">
        <v>107</v>
      </c>
      <c r="C1343" t="s">
        <v>68</v>
      </c>
      <c r="D1343" t="s">
        <v>69</v>
      </c>
      <c r="E1343">
        <v>22</v>
      </c>
      <c r="F1343" s="3">
        <v>6.26</v>
      </c>
      <c r="G1343" s="4">
        <v>86.1</v>
      </c>
      <c r="H1343">
        <v>1</v>
      </c>
      <c r="I1343">
        <v>0</v>
      </c>
      <c r="J1343">
        <v>3</v>
      </c>
      <c r="K1343" s="4">
        <v>80.3</v>
      </c>
      <c r="L1343" s="4">
        <v>63.1</v>
      </c>
      <c r="M1343" s="4">
        <v>62.1</v>
      </c>
      <c r="N1343">
        <v>2</v>
      </c>
      <c r="O1343" t="s">
        <v>58</v>
      </c>
      <c r="P1343" t="s">
        <v>95</v>
      </c>
      <c r="Q1343" t="s">
        <v>93</v>
      </c>
      <c r="R1343" t="s">
        <v>80</v>
      </c>
      <c r="S1343" s="3">
        <v>5.51</v>
      </c>
      <c r="T1343" s="5">
        <v>44473</v>
      </c>
      <c r="U1343">
        <v>1</v>
      </c>
      <c r="V1343">
        <v>2021</v>
      </c>
      <c r="X1343">
        <f t="shared" si="60"/>
        <v>6.2598656999999998</v>
      </c>
      <c r="Y1343">
        <f t="shared" si="61"/>
        <v>5.5098656999999998</v>
      </c>
      <c r="Z1343">
        <f t="shared" si="62"/>
        <v>63.099865700000002</v>
      </c>
    </row>
    <row r="1344" spans="1:26" x14ac:dyDescent="0.3">
      <c r="A1344" t="s">
        <v>1434</v>
      </c>
      <c r="B1344" t="s">
        <v>67</v>
      </c>
      <c r="C1344" t="s">
        <v>89</v>
      </c>
      <c r="D1344" t="s">
        <v>69</v>
      </c>
      <c r="E1344">
        <v>20</v>
      </c>
      <c r="F1344" s="3">
        <v>8.2200000000000006</v>
      </c>
      <c r="G1344" s="4">
        <v>87.4</v>
      </c>
      <c r="H1344">
        <v>1</v>
      </c>
      <c r="I1344">
        <v>4</v>
      </c>
      <c r="J1344">
        <v>3</v>
      </c>
      <c r="K1344" s="4">
        <v>64.3</v>
      </c>
      <c r="L1344" s="4">
        <v>66.599999999999994</v>
      </c>
      <c r="M1344" s="4">
        <v>84.9</v>
      </c>
      <c r="N1344">
        <v>0</v>
      </c>
      <c r="O1344" t="s">
        <v>58</v>
      </c>
      <c r="P1344" t="s">
        <v>112</v>
      </c>
      <c r="Q1344" t="s">
        <v>93</v>
      </c>
      <c r="R1344" t="s">
        <v>72</v>
      </c>
      <c r="S1344" s="3">
        <v>5.48</v>
      </c>
      <c r="T1344" s="5">
        <v>45229</v>
      </c>
      <c r="U1344">
        <v>2</v>
      </c>
      <c r="V1344">
        <v>2023</v>
      </c>
      <c r="X1344">
        <f t="shared" si="60"/>
        <v>8.2198656000000003</v>
      </c>
      <c r="Y1344">
        <f t="shared" si="61"/>
        <v>5.4798656000000001</v>
      </c>
      <c r="Z1344">
        <f t="shared" si="62"/>
        <v>66.599865600000001</v>
      </c>
    </row>
    <row r="1345" spans="1:26" x14ac:dyDescent="0.3">
      <c r="A1345" t="s">
        <v>1435</v>
      </c>
      <c r="B1345" t="s">
        <v>63</v>
      </c>
      <c r="C1345" t="s">
        <v>101</v>
      </c>
      <c r="D1345" t="s">
        <v>69</v>
      </c>
      <c r="E1345">
        <v>21</v>
      </c>
      <c r="F1345" s="3">
        <v>6.58</v>
      </c>
      <c r="G1345" s="4">
        <v>77.8</v>
      </c>
      <c r="H1345">
        <v>1</v>
      </c>
      <c r="I1345">
        <v>4</v>
      </c>
      <c r="J1345">
        <v>4</v>
      </c>
      <c r="K1345" s="4">
        <v>70.3</v>
      </c>
      <c r="L1345" s="4">
        <v>75.2</v>
      </c>
      <c r="M1345" s="4">
        <v>60.3</v>
      </c>
      <c r="N1345">
        <v>3</v>
      </c>
      <c r="O1345" t="s">
        <v>58</v>
      </c>
      <c r="P1345" t="s">
        <v>70</v>
      </c>
      <c r="Q1345" t="s">
        <v>71</v>
      </c>
      <c r="R1345" t="s">
        <v>76</v>
      </c>
      <c r="S1345" s="3">
        <v>5.46</v>
      </c>
      <c r="T1345" s="5">
        <v>45909</v>
      </c>
      <c r="U1345">
        <v>3</v>
      </c>
      <c r="V1345">
        <v>2025</v>
      </c>
      <c r="X1345">
        <f t="shared" si="60"/>
        <v>6.5798655000000004</v>
      </c>
      <c r="Y1345">
        <f t="shared" si="61"/>
        <v>5.4598655000000003</v>
      </c>
      <c r="Z1345">
        <f t="shared" si="62"/>
        <v>75.199865500000001</v>
      </c>
    </row>
    <row r="1346" spans="1:26" x14ac:dyDescent="0.3">
      <c r="A1346" t="s">
        <v>1436</v>
      </c>
      <c r="B1346" t="s">
        <v>82</v>
      </c>
      <c r="C1346" t="s">
        <v>74</v>
      </c>
      <c r="D1346" t="s">
        <v>69</v>
      </c>
      <c r="E1346">
        <v>21</v>
      </c>
      <c r="F1346" s="3">
        <v>8.1199999999999992</v>
      </c>
      <c r="G1346" s="4">
        <v>86.1</v>
      </c>
      <c r="H1346">
        <v>3</v>
      </c>
      <c r="I1346">
        <v>4</v>
      </c>
      <c r="J1346">
        <v>2</v>
      </c>
      <c r="K1346" s="4">
        <v>67.900000000000006</v>
      </c>
      <c r="L1346" s="4">
        <v>56</v>
      </c>
      <c r="M1346" s="4">
        <v>73</v>
      </c>
      <c r="N1346">
        <v>1</v>
      </c>
      <c r="O1346" t="s">
        <v>58</v>
      </c>
      <c r="P1346" t="s">
        <v>75</v>
      </c>
      <c r="Q1346" t="s">
        <v>71</v>
      </c>
      <c r="R1346" t="s">
        <v>85</v>
      </c>
      <c r="S1346" s="3">
        <v>6.87</v>
      </c>
      <c r="T1346" s="5">
        <v>44879</v>
      </c>
      <c r="U1346">
        <v>2</v>
      </c>
      <c r="V1346">
        <v>2022</v>
      </c>
      <c r="X1346">
        <f t="shared" ref="X1346:X1409" si="63">F1346-ROW()*0.0000001</f>
        <v>8.1198653999999983</v>
      </c>
      <c r="Y1346">
        <f t="shared" ref="Y1346:Y1409" si="64">S1346-ROW()*0.0000001</f>
        <v>6.8698654000000001</v>
      </c>
      <c r="Z1346">
        <f t="shared" ref="Z1346:Z1409" si="65">L1346-ROW()*0.0000001</f>
        <v>55.999865399999997</v>
      </c>
    </row>
    <row r="1347" spans="1:26" x14ac:dyDescent="0.3">
      <c r="A1347" t="s">
        <v>1437</v>
      </c>
      <c r="B1347" t="s">
        <v>55</v>
      </c>
      <c r="C1347" t="s">
        <v>101</v>
      </c>
      <c r="D1347" t="s">
        <v>69</v>
      </c>
      <c r="E1347">
        <v>21</v>
      </c>
      <c r="F1347" s="3">
        <v>7.26</v>
      </c>
      <c r="G1347" s="4">
        <v>88.1</v>
      </c>
      <c r="H1347">
        <v>3</v>
      </c>
      <c r="I1347">
        <v>5</v>
      </c>
      <c r="J1347">
        <v>3</v>
      </c>
      <c r="K1347" s="4">
        <v>58.2</v>
      </c>
      <c r="L1347" s="4">
        <v>83.8</v>
      </c>
      <c r="M1347" s="4">
        <v>64.5</v>
      </c>
      <c r="N1347">
        <v>1</v>
      </c>
      <c r="O1347" t="s">
        <v>58</v>
      </c>
      <c r="P1347" t="s">
        <v>104</v>
      </c>
      <c r="Q1347" t="s">
        <v>105</v>
      </c>
      <c r="R1347" t="s">
        <v>80</v>
      </c>
      <c r="S1347" s="3">
        <v>17.22</v>
      </c>
      <c r="T1347" s="5">
        <v>45519</v>
      </c>
      <c r="U1347">
        <v>1</v>
      </c>
      <c r="V1347">
        <v>2024</v>
      </c>
      <c r="X1347">
        <f t="shared" si="63"/>
        <v>7.2598652999999995</v>
      </c>
      <c r="Y1347">
        <f t="shared" si="64"/>
        <v>17.219865299999999</v>
      </c>
      <c r="Z1347">
        <f t="shared" si="65"/>
        <v>83.799865299999993</v>
      </c>
    </row>
    <row r="1348" spans="1:26" x14ac:dyDescent="0.3">
      <c r="A1348" t="s">
        <v>1438</v>
      </c>
      <c r="B1348" t="s">
        <v>82</v>
      </c>
      <c r="C1348" t="s">
        <v>89</v>
      </c>
      <c r="D1348" t="s">
        <v>69</v>
      </c>
      <c r="E1348">
        <v>23</v>
      </c>
      <c r="F1348" s="3">
        <v>7.04</v>
      </c>
      <c r="G1348" s="4">
        <v>90.8</v>
      </c>
      <c r="H1348">
        <v>3</v>
      </c>
      <c r="I1348">
        <v>1</v>
      </c>
      <c r="J1348">
        <v>5</v>
      </c>
      <c r="K1348" s="4">
        <v>60.4</v>
      </c>
      <c r="L1348" s="4">
        <v>64.099999999999994</v>
      </c>
      <c r="M1348" s="4">
        <v>85.4</v>
      </c>
      <c r="N1348">
        <v>0</v>
      </c>
      <c r="O1348" t="s">
        <v>58</v>
      </c>
      <c r="P1348" t="s">
        <v>87</v>
      </c>
      <c r="Q1348" t="s">
        <v>71</v>
      </c>
      <c r="R1348" t="s">
        <v>130</v>
      </c>
      <c r="S1348" s="3">
        <v>6.63</v>
      </c>
      <c r="T1348" s="5">
        <v>44872</v>
      </c>
      <c r="U1348">
        <v>2</v>
      </c>
      <c r="V1348">
        <v>2022</v>
      </c>
      <c r="X1348">
        <f t="shared" si="63"/>
        <v>7.0398652000000004</v>
      </c>
      <c r="Y1348">
        <f t="shared" si="64"/>
        <v>6.6298652000000002</v>
      </c>
      <c r="Z1348">
        <f t="shared" si="65"/>
        <v>64.099865199999996</v>
      </c>
    </row>
    <row r="1349" spans="1:26" x14ac:dyDescent="0.3">
      <c r="A1349" t="s">
        <v>1439</v>
      </c>
      <c r="B1349" t="s">
        <v>63</v>
      </c>
      <c r="C1349" t="s">
        <v>56</v>
      </c>
      <c r="D1349" t="s">
        <v>69</v>
      </c>
      <c r="E1349">
        <v>23</v>
      </c>
      <c r="F1349" s="3">
        <v>7.84</v>
      </c>
      <c r="G1349" s="4">
        <v>84.7</v>
      </c>
      <c r="H1349">
        <v>1</v>
      </c>
      <c r="I1349">
        <v>1</v>
      </c>
      <c r="J1349">
        <v>2</v>
      </c>
      <c r="K1349" s="4">
        <v>59.5</v>
      </c>
      <c r="L1349" s="4">
        <v>73.099999999999994</v>
      </c>
      <c r="M1349" s="4">
        <v>68.400000000000006</v>
      </c>
      <c r="N1349">
        <v>0</v>
      </c>
      <c r="O1349" t="s">
        <v>64</v>
      </c>
      <c r="P1349" t="s">
        <v>65</v>
      </c>
      <c r="S1349" s="3">
        <v>0</v>
      </c>
      <c r="T1349" s="5"/>
      <c r="U1349">
        <v>0</v>
      </c>
      <c r="V1349">
        <v>2025</v>
      </c>
      <c r="X1349">
        <f t="shared" si="63"/>
        <v>7.8398650999999999</v>
      </c>
      <c r="Y1349">
        <f t="shared" si="64"/>
        <v>-1.349E-4</v>
      </c>
      <c r="Z1349">
        <f t="shared" si="65"/>
        <v>73.099865099999988</v>
      </c>
    </row>
    <row r="1350" spans="1:26" x14ac:dyDescent="0.3">
      <c r="A1350" t="s">
        <v>1440</v>
      </c>
      <c r="B1350" t="s">
        <v>107</v>
      </c>
      <c r="C1350" t="s">
        <v>56</v>
      </c>
      <c r="D1350" t="s">
        <v>57</v>
      </c>
      <c r="E1350">
        <v>22</v>
      </c>
      <c r="F1350" s="3">
        <v>6.33</v>
      </c>
      <c r="G1350" s="4">
        <v>87.4</v>
      </c>
      <c r="H1350">
        <v>2</v>
      </c>
      <c r="I1350">
        <v>0</v>
      </c>
      <c r="J1350">
        <v>4</v>
      </c>
      <c r="K1350" s="4">
        <v>77.3</v>
      </c>
      <c r="L1350" s="4">
        <v>63.7</v>
      </c>
      <c r="M1350" s="4">
        <v>61.4</v>
      </c>
      <c r="N1350">
        <v>0</v>
      </c>
      <c r="O1350" t="s">
        <v>58</v>
      </c>
      <c r="P1350" t="s">
        <v>104</v>
      </c>
      <c r="Q1350" t="s">
        <v>105</v>
      </c>
      <c r="R1350" t="s">
        <v>109</v>
      </c>
      <c r="S1350" s="3">
        <v>14.25</v>
      </c>
      <c r="T1350" s="5">
        <v>44414</v>
      </c>
      <c r="U1350">
        <v>1</v>
      </c>
      <c r="V1350">
        <v>2021</v>
      </c>
      <c r="X1350">
        <f t="shared" si="63"/>
        <v>6.3298649999999999</v>
      </c>
      <c r="Y1350">
        <f t="shared" si="64"/>
        <v>14.249865</v>
      </c>
      <c r="Z1350">
        <f t="shared" si="65"/>
        <v>63.699865000000003</v>
      </c>
    </row>
    <row r="1351" spans="1:26" x14ac:dyDescent="0.3">
      <c r="A1351" t="s">
        <v>1441</v>
      </c>
      <c r="B1351" t="s">
        <v>107</v>
      </c>
      <c r="C1351" t="s">
        <v>74</v>
      </c>
      <c r="D1351" t="s">
        <v>69</v>
      </c>
      <c r="E1351">
        <v>22</v>
      </c>
      <c r="F1351" s="3">
        <v>7.59</v>
      </c>
      <c r="G1351" s="4">
        <v>78.2</v>
      </c>
      <c r="H1351">
        <v>1</v>
      </c>
      <c r="I1351">
        <v>4</v>
      </c>
      <c r="J1351">
        <v>4</v>
      </c>
      <c r="K1351" s="4">
        <v>62.8</v>
      </c>
      <c r="L1351" s="4">
        <v>50</v>
      </c>
      <c r="M1351" s="4">
        <v>86.7</v>
      </c>
      <c r="N1351">
        <v>0</v>
      </c>
      <c r="O1351" t="s">
        <v>58</v>
      </c>
      <c r="P1351" t="s">
        <v>75</v>
      </c>
      <c r="Q1351" t="s">
        <v>71</v>
      </c>
      <c r="R1351" t="s">
        <v>72</v>
      </c>
      <c r="S1351" s="3">
        <v>4.7</v>
      </c>
      <c r="T1351" s="5">
        <v>44506</v>
      </c>
      <c r="U1351">
        <v>1</v>
      </c>
      <c r="V1351">
        <v>2021</v>
      </c>
      <c r="X1351">
        <f t="shared" si="63"/>
        <v>7.5898649000000002</v>
      </c>
      <c r="Y1351">
        <f t="shared" si="64"/>
        <v>4.6998649000000006</v>
      </c>
      <c r="Z1351">
        <f t="shared" si="65"/>
        <v>49.999864899999999</v>
      </c>
    </row>
    <row r="1352" spans="1:26" x14ac:dyDescent="0.3">
      <c r="A1352" t="s">
        <v>1442</v>
      </c>
      <c r="B1352" t="s">
        <v>63</v>
      </c>
      <c r="C1352" t="s">
        <v>68</v>
      </c>
      <c r="D1352" t="s">
        <v>69</v>
      </c>
      <c r="E1352">
        <v>21</v>
      </c>
      <c r="F1352" s="3">
        <v>8.35</v>
      </c>
      <c r="G1352" s="4">
        <v>100</v>
      </c>
      <c r="H1352">
        <v>2</v>
      </c>
      <c r="I1352">
        <v>3</v>
      </c>
      <c r="J1352">
        <v>2</v>
      </c>
      <c r="K1352" s="4">
        <v>92.8</v>
      </c>
      <c r="L1352" s="4">
        <v>37.1</v>
      </c>
      <c r="M1352" s="4">
        <v>50.1</v>
      </c>
      <c r="N1352">
        <v>2</v>
      </c>
      <c r="O1352" t="s">
        <v>64</v>
      </c>
      <c r="P1352" t="s">
        <v>65</v>
      </c>
      <c r="S1352" s="3">
        <v>0</v>
      </c>
      <c r="T1352" s="5"/>
      <c r="U1352">
        <v>0</v>
      </c>
      <c r="V1352">
        <v>2025</v>
      </c>
      <c r="X1352">
        <f t="shared" si="63"/>
        <v>8.3498647999999989</v>
      </c>
      <c r="Y1352">
        <f t="shared" si="64"/>
        <v>-1.3520000000000001E-4</v>
      </c>
      <c r="Z1352">
        <f t="shared" si="65"/>
        <v>37.099864799999999</v>
      </c>
    </row>
    <row r="1353" spans="1:26" x14ac:dyDescent="0.3">
      <c r="A1353" t="s">
        <v>1443</v>
      </c>
      <c r="B1353" t="s">
        <v>107</v>
      </c>
      <c r="C1353" t="s">
        <v>101</v>
      </c>
      <c r="D1353" t="s">
        <v>57</v>
      </c>
      <c r="E1353">
        <v>22</v>
      </c>
      <c r="F1353" s="3">
        <v>8.59</v>
      </c>
      <c r="G1353" s="4">
        <v>81.400000000000006</v>
      </c>
      <c r="H1353">
        <v>1</v>
      </c>
      <c r="I1353">
        <v>2</v>
      </c>
      <c r="J1353">
        <v>1</v>
      </c>
      <c r="K1353" s="4">
        <v>57</v>
      </c>
      <c r="L1353" s="4">
        <v>73.400000000000006</v>
      </c>
      <c r="M1353" s="4">
        <v>82.3</v>
      </c>
      <c r="N1353">
        <v>0</v>
      </c>
      <c r="O1353" t="s">
        <v>58</v>
      </c>
      <c r="P1353" t="s">
        <v>112</v>
      </c>
      <c r="Q1353" t="s">
        <v>93</v>
      </c>
      <c r="R1353" t="s">
        <v>76</v>
      </c>
      <c r="S1353" s="3">
        <v>7.07</v>
      </c>
      <c r="T1353" s="5">
        <v>44504</v>
      </c>
      <c r="U1353">
        <v>2</v>
      </c>
      <c r="V1353">
        <v>2021</v>
      </c>
      <c r="X1353">
        <f t="shared" si="63"/>
        <v>8.5898646999999997</v>
      </c>
      <c r="Y1353">
        <f t="shared" si="64"/>
        <v>7.0698647000000001</v>
      </c>
      <c r="Z1353">
        <f t="shared" si="65"/>
        <v>73.399864700000009</v>
      </c>
    </row>
    <row r="1354" spans="1:26" x14ac:dyDescent="0.3">
      <c r="A1354" t="s">
        <v>1444</v>
      </c>
      <c r="B1354" t="s">
        <v>107</v>
      </c>
      <c r="C1354" t="s">
        <v>56</v>
      </c>
      <c r="D1354" t="s">
        <v>57</v>
      </c>
      <c r="E1354">
        <v>23</v>
      </c>
      <c r="F1354" s="3">
        <v>7.23</v>
      </c>
      <c r="G1354" s="4">
        <v>92.1</v>
      </c>
      <c r="H1354">
        <v>2</v>
      </c>
      <c r="I1354">
        <v>4</v>
      </c>
      <c r="J1354">
        <v>3</v>
      </c>
      <c r="K1354" s="4">
        <v>57</v>
      </c>
      <c r="L1354" s="4">
        <v>42.8</v>
      </c>
      <c r="M1354" s="4">
        <v>78</v>
      </c>
      <c r="N1354">
        <v>0</v>
      </c>
      <c r="O1354" t="s">
        <v>64</v>
      </c>
      <c r="P1354" t="s">
        <v>65</v>
      </c>
      <c r="S1354" s="3">
        <v>0</v>
      </c>
      <c r="T1354" s="5"/>
      <c r="U1354">
        <v>0</v>
      </c>
      <c r="V1354">
        <v>2021</v>
      </c>
      <c r="X1354">
        <f t="shared" si="63"/>
        <v>7.2298646000000009</v>
      </c>
      <c r="Y1354">
        <f t="shared" si="64"/>
        <v>-1.3539999999999998E-4</v>
      </c>
      <c r="Z1354">
        <f t="shared" si="65"/>
        <v>42.799864599999999</v>
      </c>
    </row>
    <row r="1355" spans="1:26" x14ac:dyDescent="0.3">
      <c r="A1355" t="s">
        <v>1445</v>
      </c>
      <c r="B1355" t="s">
        <v>107</v>
      </c>
      <c r="C1355" t="s">
        <v>101</v>
      </c>
      <c r="D1355" t="s">
        <v>69</v>
      </c>
      <c r="E1355">
        <v>22</v>
      </c>
      <c r="F1355" s="3">
        <v>7.37</v>
      </c>
      <c r="G1355" s="4">
        <v>77.599999999999994</v>
      </c>
      <c r="H1355">
        <v>3</v>
      </c>
      <c r="I1355">
        <v>2</v>
      </c>
      <c r="J1355">
        <v>4</v>
      </c>
      <c r="K1355" s="4">
        <v>53.1</v>
      </c>
      <c r="L1355" s="4">
        <v>81.5</v>
      </c>
      <c r="M1355" s="4">
        <v>100</v>
      </c>
      <c r="N1355">
        <v>1</v>
      </c>
      <c r="O1355" t="s">
        <v>58</v>
      </c>
      <c r="P1355" t="s">
        <v>59</v>
      </c>
      <c r="Q1355" t="s">
        <v>60</v>
      </c>
      <c r="R1355" t="s">
        <v>80</v>
      </c>
      <c r="S1355" s="3">
        <v>21.65</v>
      </c>
      <c r="T1355" s="5">
        <v>44463</v>
      </c>
      <c r="U1355">
        <v>1</v>
      </c>
      <c r="V1355">
        <v>2021</v>
      </c>
      <c r="X1355">
        <f t="shared" si="63"/>
        <v>7.3698645000000003</v>
      </c>
      <c r="Y1355">
        <f t="shared" si="64"/>
        <v>21.6498645</v>
      </c>
      <c r="Z1355">
        <f t="shared" si="65"/>
        <v>81.499864500000001</v>
      </c>
    </row>
    <row r="1356" spans="1:26" x14ac:dyDescent="0.3">
      <c r="A1356" t="s">
        <v>1446</v>
      </c>
      <c r="B1356" t="s">
        <v>55</v>
      </c>
      <c r="C1356" t="s">
        <v>101</v>
      </c>
      <c r="D1356" t="s">
        <v>57</v>
      </c>
      <c r="E1356">
        <v>20</v>
      </c>
      <c r="F1356" s="3">
        <v>6.31</v>
      </c>
      <c r="G1356" s="4">
        <v>85.4</v>
      </c>
      <c r="H1356">
        <v>1</v>
      </c>
      <c r="I1356">
        <v>0</v>
      </c>
      <c r="J1356">
        <v>3</v>
      </c>
      <c r="K1356" s="4">
        <v>66.5</v>
      </c>
      <c r="L1356" s="4">
        <v>71.900000000000006</v>
      </c>
      <c r="M1356" s="4">
        <v>81.8</v>
      </c>
      <c r="N1356">
        <v>0</v>
      </c>
      <c r="O1356" t="s">
        <v>58</v>
      </c>
      <c r="P1356" t="s">
        <v>59</v>
      </c>
      <c r="Q1356" t="s">
        <v>60</v>
      </c>
      <c r="R1356" t="s">
        <v>85</v>
      </c>
      <c r="S1356" s="3">
        <v>19.739999999999998</v>
      </c>
      <c r="T1356" s="5">
        <v>45588</v>
      </c>
      <c r="U1356">
        <v>1</v>
      </c>
      <c r="V1356">
        <v>2024</v>
      </c>
      <c r="X1356">
        <f t="shared" si="63"/>
        <v>6.3098643999999995</v>
      </c>
      <c r="Y1356">
        <f t="shared" si="64"/>
        <v>19.739864399999998</v>
      </c>
      <c r="Z1356">
        <f t="shared" si="65"/>
        <v>71.899864400000013</v>
      </c>
    </row>
    <row r="1357" spans="1:26" x14ac:dyDescent="0.3">
      <c r="A1357" t="s">
        <v>1447</v>
      </c>
      <c r="B1357" t="s">
        <v>55</v>
      </c>
      <c r="C1357" t="s">
        <v>56</v>
      </c>
      <c r="D1357" t="s">
        <v>69</v>
      </c>
      <c r="E1357">
        <v>23</v>
      </c>
      <c r="F1357" s="3">
        <v>6.97</v>
      </c>
      <c r="G1357" s="4">
        <v>85</v>
      </c>
      <c r="H1357">
        <v>1</v>
      </c>
      <c r="I1357">
        <v>1</v>
      </c>
      <c r="J1357">
        <v>4</v>
      </c>
      <c r="K1357" s="4">
        <v>60.5</v>
      </c>
      <c r="L1357" s="4">
        <v>100</v>
      </c>
      <c r="M1357" s="4">
        <v>80</v>
      </c>
      <c r="N1357">
        <v>2</v>
      </c>
      <c r="O1357" t="s">
        <v>58</v>
      </c>
      <c r="P1357" t="s">
        <v>59</v>
      </c>
      <c r="Q1357" t="s">
        <v>60</v>
      </c>
      <c r="R1357" t="s">
        <v>109</v>
      </c>
      <c r="S1357" s="3">
        <v>19.7</v>
      </c>
      <c r="T1357" s="5">
        <v>45603</v>
      </c>
      <c r="U1357">
        <v>1</v>
      </c>
      <c r="V1357">
        <v>2024</v>
      </c>
      <c r="X1357">
        <f t="shared" si="63"/>
        <v>6.9698642999999993</v>
      </c>
      <c r="Y1357">
        <f t="shared" si="64"/>
        <v>19.699864299999998</v>
      </c>
      <c r="Z1357">
        <f t="shared" si="65"/>
        <v>99.999864299999999</v>
      </c>
    </row>
    <row r="1358" spans="1:26" x14ac:dyDescent="0.3">
      <c r="A1358" t="s">
        <v>1448</v>
      </c>
      <c r="B1358" t="s">
        <v>67</v>
      </c>
      <c r="C1358" t="s">
        <v>101</v>
      </c>
      <c r="D1358" t="s">
        <v>69</v>
      </c>
      <c r="E1358">
        <v>21</v>
      </c>
      <c r="F1358" s="3">
        <v>6.25</v>
      </c>
      <c r="G1358" s="4">
        <v>86.8</v>
      </c>
      <c r="H1358">
        <v>0</v>
      </c>
      <c r="I1358">
        <v>0</v>
      </c>
      <c r="J1358">
        <v>4</v>
      </c>
      <c r="K1358" s="4">
        <v>63.1</v>
      </c>
      <c r="L1358" s="4">
        <v>61.2</v>
      </c>
      <c r="M1358" s="4">
        <v>63.8</v>
      </c>
      <c r="N1358">
        <v>0</v>
      </c>
      <c r="O1358" t="s">
        <v>58</v>
      </c>
      <c r="P1358" t="s">
        <v>59</v>
      </c>
      <c r="Q1358" t="s">
        <v>60</v>
      </c>
      <c r="R1358" t="s">
        <v>76</v>
      </c>
      <c r="S1358" s="3">
        <v>17.47</v>
      </c>
      <c r="T1358" s="5">
        <v>45201</v>
      </c>
      <c r="U1358">
        <v>1</v>
      </c>
      <c r="V1358">
        <v>2023</v>
      </c>
      <c r="X1358">
        <f t="shared" si="63"/>
        <v>6.2498642000000002</v>
      </c>
      <c r="Y1358">
        <f t="shared" si="64"/>
        <v>17.4698642</v>
      </c>
      <c r="Z1358">
        <f t="shared" si="65"/>
        <v>61.1998642</v>
      </c>
    </row>
    <row r="1359" spans="1:26" x14ac:dyDescent="0.3">
      <c r="A1359" t="s">
        <v>1449</v>
      </c>
      <c r="B1359" t="s">
        <v>82</v>
      </c>
      <c r="C1359" t="s">
        <v>84</v>
      </c>
      <c r="D1359" t="s">
        <v>57</v>
      </c>
      <c r="E1359">
        <v>21</v>
      </c>
      <c r="F1359" s="3">
        <v>8.0500000000000007</v>
      </c>
      <c r="G1359" s="4">
        <v>74.400000000000006</v>
      </c>
      <c r="H1359">
        <v>1</v>
      </c>
      <c r="I1359">
        <v>1</v>
      </c>
      <c r="J1359">
        <v>5</v>
      </c>
      <c r="K1359" s="4">
        <v>82.3</v>
      </c>
      <c r="L1359" s="4">
        <v>96</v>
      </c>
      <c r="M1359" s="4">
        <v>71.400000000000006</v>
      </c>
      <c r="N1359">
        <v>0</v>
      </c>
      <c r="O1359" t="s">
        <v>58</v>
      </c>
      <c r="P1359" t="s">
        <v>70</v>
      </c>
      <c r="Q1359" t="s">
        <v>71</v>
      </c>
      <c r="R1359" t="s">
        <v>72</v>
      </c>
      <c r="S1359" s="3">
        <v>6.54</v>
      </c>
      <c r="T1359" s="5">
        <v>44782</v>
      </c>
      <c r="U1359">
        <v>2</v>
      </c>
      <c r="V1359">
        <v>2022</v>
      </c>
      <c r="X1359">
        <f t="shared" si="63"/>
        <v>8.0498641000000006</v>
      </c>
      <c r="Y1359">
        <f t="shared" si="64"/>
        <v>6.5398641</v>
      </c>
      <c r="Z1359">
        <f t="shared" si="65"/>
        <v>95.999864099999996</v>
      </c>
    </row>
    <row r="1360" spans="1:26" x14ac:dyDescent="0.3">
      <c r="A1360" t="s">
        <v>1450</v>
      </c>
      <c r="B1360" t="s">
        <v>63</v>
      </c>
      <c r="C1360" t="s">
        <v>78</v>
      </c>
      <c r="D1360" t="s">
        <v>69</v>
      </c>
      <c r="E1360">
        <v>22</v>
      </c>
      <c r="F1360" s="3">
        <v>8.41</v>
      </c>
      <c r="G1360" s="4">
        <v>85.5</v>
      </c>
      <c r="H1360">
        <v>1</v>
      </c>
      <c r="I1360">
        <v>1</v>
      </c>
      <c r="J1360">
        <v>2</v>
      </c>
      <c r="K1360" s="4">
        <v>65.7</v>
      </c>
      <c r="L1360" s="4">
        <v>65.599999999999994</v>
      </c>
      <c r="M1360" s="4">
        <v>77.099999999999994</v>
      </c>
      <c r="N1360">
        <v>1</v>
      </c>
      <c r="O1360" t="s">
        <v>58</v>
      </c>
      <c r="P1360" t="s">
        <v>59</v>
      </c>
      <c r="Q1360" t="s">
        <v>60</v>
      </c>
      <c r="R1360" t="s">
        <v>61</v>
      </c>
      <c r="S1360" s="3">
        <v>21.13</v>
      </c>
      <c r="T1360" s="5">
        <v>45921</v>
      </c>
      <c r="U1360">
        <v>3</v>
      </c>
      <c r="V1360">
        <v>2025</v>
      </c>
      <c r="X1360">
        <f t="shared" si="63"/>
        <v>8.4098640000000007</v>
      </c>
      <c r="Y1360">
        <f t="shared" si="64"/>
        <v>21.129863999999998</v>
      </c>
      <c r="Z1360">
        <f t="shared" si="65"/>
        <v>65.599863999999997</v>
      </c>
    </row>
    <row r="1361" spans="1:26" x14ac:dyDescent="0.3">
      <c r="A1361" t="s">
        <v>1451</v>
      </c>
      <c r="B1361" t="s">
        <v>63</v>
      </c>
      <c r="C1361" t="s">
        <v>101</v>
      </c>
      <c r="D1361" t="s">
        <v>57</v>
      </c>
      <c r="E1361">
        <v>23</v>
      </c>
      <c r="F1361" s="3">
        <v>7.24</v>
      </c>
      <c r="G1361" s="4">
        <v>77.7</v>
      </c>
      <c r="H1361">
        <v>2</v>
      </c>
      <c r="I1361">
        <v>3</v>
      </c>
      <c r="J1361">
        <v>4</v>
      </c>
      <c r="K1361" s="4">
        <v>62.7</v>
      </c>
      <c r="L1361" s="4">
        <v>83.9</v>
      </c>
      <c r="M1361" s="4">
        <v>91.1</v>
      </c>
      <c r="N1361">
        <v>0</v>
      </c>
      <c r="O1361" t="s">
        <v>58</v>
      </c>
      <c r="P1361" t="s">
        <v>79</v>
      </c>
      <c r="Q1361" t="s">
        <v>71</v>
      </c>
      <c r="R1361" t="s">
        <v>130</v>
      </c>
      <c r="S1361" s="3">
        <v>7.94</v>
      </c>
      <c r="T1361" s="5">
        <v>45906</v>
      </c>
      <c r="U1361">
        <v>2</v>
      </c>
      <c r="V1361">
        <v>2025</v>
      </c>
      <c r="X1361">
        <f t="shared" si="63"/>
        <v>7.2398639000000005</v>
      </c>
      <c r="Y1361">
        <f t="shared" si="64"/>
        <v>7.9398639000000006</v>
      </c>
      <c r="Z1361">
        <f t="shared" si="65"/>
        <v>83.8998639</v>
      </c>
    </row>
    <row r="1362" spans="1:26" x14ac:dyDescent="0.3">
      <c r="A1362" t="s">
        <v>1452</v>
      </c>
      <c r="B1362" t="s">
        <v>63</v>
      </c>
      <c r="C1362" t="s">
        <v>84</v>
      </c>
      <c r="D1362" t="s">
        <v>69</v>
      </c>
      <c r="E1362">
        <v>21</v>
      </c>
      <c r="F1362" s="3">
        <v>6.7</v>
      </c>
      <c r="G1362" s="4">
        <v>89.4</v>
      </c>
      <c r="H1362">
        <v>1</v>
      </c>
      <c r="I1362">
        <v>1</v>
      </c>
      <c r="J1362">
        <v>2</v>
      </c>
      <c r="K1362" s="4">
        <v>72</v>
      </c>
      <c r="L1362" s="4">
        <v>78.2</v>
      </c>
      <c r="M1362" s="4">
        <v>64.8</v>
      </c>
      <c r="N1362">
        <v>0</v>
      </c>
      <c r="O1362" t="s">
        <v>58</v>
      </c>
      <c r="P1362" t="s">
        <v>92</v>
      </c>
      <c r="Q1362" t="s">
        <v>93</v>
      </c>
      <c r="R1362" t="s">
        <v>85</v>
      </c>
      <c r="S1362" s="3">
        <v>7.94</v>
      </c>
      <c r="T1362" s="5">
        <v>45939</v>
      </c>
      <c r="U1362">
        <v>3</v>
      </c>
      <c r="V1362">
        <v>2025</v>
      </c>
      <c r="X1362">
        <f t="shared" si="63"/>
        <v>6.6998638000000001</v>
      </c>
      <c r="Y1362">
        <f t="shared" si="64"/>
        <v>7.9398638000000004</v>
      </c>
      <c r="Z1362">
        <f t="shared" si="65"/>
        <v>78.199863800000003</v>
      </c>
    </row>
    <row r="1363" spans="1:26" x14ac:dyDescent="0.3">
      <c r="A1363" t="s">
        <v>1453</v>
      </c>
      <c r="B1363" t="s">
        <v>67</v>
      </c>
      <c r="C1363" t="s">
        <v>89</v>
      </c>
      <c r="D1363" t="s">
        <v>57</v>
      </c>
      <c r="E1363">
        <v>21</v>
      </c>
      <c r="F1363" s="3">
        <v>7.93</v>
      </c>
      <c r="G1363" s="4">
        <v>74.099999999999994</v>
      </c>
      <c r="H1363">
        <v>2</v>
      </c>
      <c r="I1363">
        <v>3</v>
      </c>
      <c r="J1363">
        <v>2</v>
      </c>
      <c r="K1363" s="4">
        <v>70.599999999999994</v>
      </c>
      <c r="L1363" s="4">
        <v>42.5</v>
      </c>
      <c r="M1363" s="4">
        <v>51.9</v>
      </c>
      <c r="N1363">
        <v>0</v>
      </c>
      <c r="O1363" t="s">
        <v>58</v>
      </c>
      <c r="P1363" t="s">
        <v>59</v>
      </c>
      <c r="Q1363" t="s">
        <v>60</v>
      </c>
      <c r="R1363" t="s">
        <v>61</v>
      </c>
      <c r="S1363" s="3">
        <v>19.05</v>
      </c>
      <c r="T1363" s="5">
        <v>45212</v>
      </c>
      <c r="U1363">
        <v>2</v>
      </c>
      <c r="V1363">
        <v>2023</v>
      </c>
      <c r="X1363">
        <f t="shared" si="63"/>
        <v>7.9298636999999994</v>
      </c>
      <c r="Y1363">
        <f t="shared" si="64"/>
        <v>19.0498637</v>
      </c>
      <c r="Z1363">
        <f t="shared" si="65"/>
        <v>42.499863699999999</v>
      </c>
    </row>
    <row r="1364" spans="1:26" x14ac:dyDescent="0.3">
      <c r="A1364" t="s">
        <v>1454</v>
      </c>
      <c r="B1364" t="s">
        <v>55</v>
      </c>
      <c r="C1364" t="s">
        <v>74</v>
      </c>
      <c r="D1364" t="s">
        <v>69</v>
      </c>
      <c r="E1364">
        <v>23</v>
      </c>
      <c r="F1364" s="3">
        <v>6.87</v>
      </c>
      <c r="G1364" s="4">
        <v>84.8</v>
      </c>
      <c r="H1364">
        <v>1</v>
      </c>
      <c r="I1364">
        <v>2</v>
      </c>
      <c r="J1364">
        <v>3</v>
      </c>
      <c r="K1364" s="4">
        <v>78.599999999999994</v>
      </c>
      <c r="L1364" s="4">
        <v>100</v>
      </c>
      <c r="M1364" s="4">
        <v>74.900000000000006</v>
      </c>
      <c r="N1364">
        <v>0</v>
      </c>
      <c r="O1364" t="s">
        <v>58</v>
      </c>
      <c r="P1364" t="s">
        <v>92</v>
      </c>
      <c r="Q1364" t="s">
        <v>93</v>
      </c>
      <c r="R1364" t="s">
        <v>85</v>
      </c>
      <c r="S1364" s="3">
        <v>10.7</v>
      </c>
      <c r="T1364" s="5">
        <v>45621</v>
      </c>
      <c r="U1364">
        <v>1</v>
      </c>
      <c r="V1364">
        <v>2024</v>
      </c>
      <c r="X1364">
        <f t="shared" si="63"/>
        <v>6.8698636000000004</v>
      </c>
      <c r="Y1364">
        <f t="shared" si="64"/>
        <v>10.699863599999999</v>
      </c>
      <c r="Z1364">
        <f t="shared" si="65"/>
        <v>99.999863599999998</v>
      </c>
    </row>
    <row r="1365" spans="1:26" x14ac:dyDescent="0.3">
      <c r="A1365" t="s">
        <v>1455</v>
      </c>
      <c r="B1365" t="s">
        <v>67</v>
      </c>
      <c r="C1365" t="s">
        <v>101</v>
      </c>
      <c r="D1365" t="s">
        <v>57</v>
      </c>
      <c r="E1365">
        <v>23</v>
      </c>
      <c r="F1365" s="3">
        <v>8.25</v>
      </c>
      <c r="G1365" s="4">
        <v>81.7</v>
      </c>
      <c r="H1365">
        <v>1</v>
      </c>
      <c r="I1365">
        <v>5</v>
      </c>
      <c r="J1365">
        <v>4</v>
      </c>
      <c r="K1365" s="4">
        <v>79.7</v>
      </c>
      <c r="L1365" s="4">
        <v>94.3</v>
      </c>
      <c r="M1365" s="4">
        <v>54.9</v>
      </c>
      <c r="N1365">
        <v>0</v>
      </c>
      <c r="O1365" t="s">
        <v>58</v>
      </c>
      <c r="P1365" t="s">
        <v>59</v>
      </c>
      <c r="Q1365" t="s">
        <v>60</v>
      </c>
      <c r="R1365" t="s">
        <v>130</v>
      </c>
      <c r="S1365" s="3">
        <v>22.18</v>
      </c>
      <c r="T1365" s="5">
        <v>45147</v>
      </c>
      <c r="U1365">
        <v>1</v>
      </c>
      <c r="V1365">
        <v>2023</v>
      </c>
      <c r="X1365">
        <f t="shared" si="63"/>
        <v>8.2498635</v>
      </c>
      <c r="Y1365">
        <f t="shared" si="64"/>
        <v>22.1798635</v>
      </c>
      <c r="Z1365">
        <f t="shared" si="65"/>
        <v>94.299863500000001</v>
      </c>
    </row>
    <row r="1366" spans="1:26" x14ac:dyDescent="0.3">
      <c r="A1366" t="s">
        <v>1456</v>
      </c>
      <c r="B1366" t="s">
        <v>63</v>
      </c>
      <c r="C1366" t="s">
        <v>89</v>
      </c>
      <c r="D1366" t="s">
        <v>57</v>
      </c>
      <c r="E1366">
        <v>21</v>
      </c>
      <c r="F1366" s="3">
        <v>9.39</v>
      </c>
      <c r="G1366" s="4">
        <v>98.7</v>
      </c>
      <c r="H1366">
        <v>1</v>
      </c>
      <c r="I1366">
        <v>3</v>
      </c>
      <c r="J1366">
        <v>6</v>
      </c>
      <c r="K1366" s="4">
        <v>74.3</v>
      </c>
      <c r="L1366" s="4">
        <v>76</v>
      </c>
      <c r="M1366" s="4">
        <v>83.7</v>
      </c>
      <c r="N1366">
        <v>0</v>
      </c>
      <c r="O1366" t="s">
        <v>58</v>
      </c>
      <c r="P1366" t="s">
        <v>87</v>
      </c>
      <c r="Q1366" t="s">
        <v>71</v>
      </c>
      <c r="R1366" t="s">
        <v>80</v>
      </c>
      <c r="S1366" s="3">
        <v>8.02</v>
      </c>
      <c r="T1366" s="5">
        <v>45966</v>
      </c>
      <c r="U1366">
        <v>1</v>
      </c>
      <c r="V1366">
        <v>2025</v>
      </c>
      <c r="X1366">
        <f t="shared" si="63"/>
        <v>9.3898634000000012</v>
      </c>
      <c r="Y1366">
        <f t="shared" si="64"/>
        <v>8.0198634000000002</v>
      </c>
      <c r="Z1366">
        <f t="shared" si="65"/>
        <v>75.999863399999995</v>
      </c>
    </row>
    <row r="1367" spans="1:26" x14ac:dyDescent="0.3">
      <c r="A1367" t="s">
        <v>1457</v>
      </c>
      <c r="B1367" t="s">
        <v>82</v>
      </c>
      <c r="C1367" t="s">
        <v>89</v>
      </c>
      <c r="D1367" t="s">
        <v>57</v>
      </c>
      <c r="E1367">
        <v>22</v>
      </c>
      <c r="F1367" s="3">
        <v>6.85</v>
      </c>
      <c r="G1367" s="4">
        <v>92.1</v>
      </c>
      <c r="H1367">
        <v>0</v>
      </c>
      <c r="I1367">
        <v>5</v>
      </c>
      <c r="J1367">
        <v>3</v>
      </c>
      <c r="K1367" s="4">
        <v>81.099999999999994</v>
      </c>
      <c r="L1367" s="4">
        <v>89.9</v>
      </c>
      <c r="M1367" s="4">
        <v>92.2</v>
      </c>
      <c r="N1367">
        <v>0</v>
      </c>
      <c r="O1367" t="s">
        <v>64</v>
      </c>
      <c r="P1367" t="s">
        <v>65</v>
      </c>
      <c r="S1367" s="3">
        <v>0</v>
      </c>
      <c r="T1367" s="5"/>
      <c r="U1367">
        <v>0</v>
      </c>
      <c r="V1367">
        <v>2022</v>
      </c>
      <c r="X1367">
        <f t="shared" si="63"/>
        <v>6.8498633</v>
      </c>
      <c r="Y1367">
        <f t="shared" si="64"/>
        <v>-1.3669999999999999E-4</v>
      </c>
      <c r="Z1367">
        <f t="shared" si="65"/>
        <v>89.899863300000007</v>
      </c>
    </row>
    <row r="1368" spans="1:26" x14ac:dyDescent="0.3">
      <c r="A1368" t="s">
        <v>1458</v>
      </c>
      <c r="B1368" t="s">
        <v>107</v>
      </c>
      <c r="C1368" t="s">
        <v>74</v>
      </c>
      <c r="D1368" t="s">
        <v>57</v>
      </c>
      <c r="E1368">
        <v>22</v>
      </c>
      <c r="F1368" s="3">
        <v>6.98</v>
      </c>
      <c r="G1368" s="4">
        <v>94.4</v>
      </c>
      <c r="H1368">
        <v>2</v>
      </c>
      <c r="I1368">
        <v>1</v>
      </c>
      <c r="J1368">
        <v>4</v>
      </c>
      <c r="K1368" s="4">
        <v>58.5</v>
      </c>
      <c r="L1368" s="4">
        <v>74.099999999999994</v>
      </c>
      <c r="M1368" s="4">
        <v>86.4</v>
      </c>
      <c r="N1368">
        <v>0</v>
      </c>
      <c r="O1368" t="s">
        <v>58</v>
      </c>
      <c r="P1368" t="s">
        <v>104</v>
      </c>
      <c r="Q1368" t="s">
        <v>105</v>
      </c>
      <c r="R1368" t="s">
        <v>61</v>
      </c>
      <c r="S1368" s="3">
        <v>15.42</v>
      </c>
      <c r="T1368" s="5">
        <v>44440</v>
      </c>
      <c r="U1368">
        <v>1</v>
      </c>
      <c r="V1368">
        <v>2021</v>
      </c>
      <c r="X1368">
        <f t="shared" si="63"/>
        <v>6.9798632000000005</v>
      </c>
      <c r="Y1368">
        <f t="shared" si="64"/>
        <v>15.4198632</v>
      </c>
      <c r="Z1368">
        <f t="shared" si="65"/>
        <v>74.099863199999987</v>
      </c>
    </row>
    <row r="1369" spans="1:26" x14ac:dyDescent="0.3">
      <c r="A1369" t="s">
        <v>1459</v>
      </c>
      <c r="B1369" t="s">
        <v>55</v>
      </c>
      <c r="C1369" t="s">
        <v>78</v>
      </c>
      <c r="D1369" t="s">
        <v>57</v>
      </c>
      <c r="E1369">
        <v>22</v>
      </c>
      <c r="F1369" s="3">
        <v>6.34</v>
      </c>
      <c r="G1369" s="4">
        <v>75.099999999999994</v>
      </c>
      <c r="H1369">
        <v>0</v>
      </c>
      <c r="I1369">
        <v>0</v>
      </c>
      <c r="J1369">
        <v>3</v>
      </c>
      <c r="K1369" s="4">
        <v>66.3</v>
      </c>
      <c r="L1369" s="4">
        <v>83.3</v>
      </c>
      <c r="M1369" s="4">
        <v>68</v>
      </c>
      <c r="N1369">
        <v>3</v>
      </c>
      <c r="O1369" t="s">
        <v>64</v>
      </c>
      <c r="P1369" t="s">
        <v>65</v>
      </c>
      <c r="S1369" s="3">
        <v>0</v>
      </c>
      <c r="T1369" s="5"/>
      <c r="U1369">
        <v>0</v>
      </c>
      <c r="V1369">
        <v>2024</v>
      </c>
      <c r="X1369">
        <f t="shared" si="63"/>
        <v>6.3398630999999996</v>
      </c>
      <c r="Y1369">
        <f t="shared" si="64"/>
        <v>-1.3689999999999999E-4</v>
      </c>
      <c r="Z1369">
        <f t="shared" si="65"/>
        <v>83.299863099999996</v>
      </c>
    </row>
    <row r="1370" spans="1:26" x14ac:dyDescent="0.3">
      <c r="A1370" t="s">
        <v>1460</v>
      </c>
      <c r="B1370" t="s">
        <v>55</v>
      </c>
      <c r="C1370" t="s">
        <v>56</v>
      </c>
      <c r="D1370" t="s">
        <v>57</v>
      </c>
      <c r="E1370">
        <v>20</v>
      </c>
      <c r="F1370" s="3">
        <v>7.78</v>
      </c>
      <c r="G1370" s="4">
        <v>78.5</v>
      </c>
      <c r="H1370">
        <v>2</v>
      </c>
      <c r="I1370">
        <v>2</v>
      </c>
      <c r="J1370">
        <v>4</v>
      </c>
      <c r="K1370" s="4">
        <v>69.7</v>
      </c>
      <c r="L1370" s="4">
        <v>72.3</v>
      </c>
      <c r="M1370" s="4">
        <v>93.4</v>
      </c>
      <c r="N1370">
        <v>0</v>
      </c>
      <c r="O1370" t="s">
        <v>64</v>
      </c>
      <c r="P1370" t="s">
        <v>65</v>
      </c>
      <c r="S1370" s="3">
        <v>0</v>
      </c>
      <c r="T1370" s="5"/>
      <c r="U1370">
        <v>0</v>
      </c>
      <c r="V1370">
        <v>2024</v>
      </c>
      <c r="X1370">
        <f t="shared" si="63"/>
        <v>7.7798630000000006</v>
      </c>
      <c r="Y1370">
        <f t="shared" si="64"/>
        <v>-1.37E-4</v>
      </c>
      <c r="Z1370">
        <f t="shared" si="65"/>
        <v>72.299863000000002</v>
      </c>
    </row>
    <row r="1371" spans="1:26" x14ac:dyDescent="0.3">
      <c r="A1371" t="s">
        <v>1461</v>
      </c>
      <c r="B1371" t="s">
        <v>67</v>
      </c>
      <c r="C1371" t="s">
        <v>84</v>
      </c>
      <c r="D1371" t="s">
        <v>57</v>
      </c>
      <c r="E1371">
        <v>23</v>
      </c>
      <c r="F1371" s="3">
        <v>7.72</v>
      </c>
      <c r="G1371" s="4">
        <v>82</v>
      </c>
      <c r="H1371">
        <v>0</v>
      </c>
      <c r="I1371">
        <v>0</v>
      </c>
      <c r="J1371">
        <v>3</v>
      </c>
      <c r="K1371" s="4">
        <v>69.2</v>
      </c>
      <c r="L1371" s="4">
        <v>54.4</v>
      </c>
      <c r="M1371" s="4">
        <v>64.8</v>
      </c>
      <c r="N1371">
        <v>0</v>
      </c>
      <c r="O1371" t="s">
        <v>58</v>
      </c>
      <c r="P1371" t="s">
        <v>95</v>
      </c>
      <c r="Q1371" t="s">
        <v>93</v>
      </c>
      <c r="R1371" t="s">
        <v>61</v>
      </c>
      <c r="S1371" s="3">
        <v>6.89</v>
      </c>
      <c r="T1371" s="5">
        <v>45222</v>
      </c>
      <c r="U1371">
        <v>3</v>
      </c>
      <c r="V1371">
        <v>2023</v>
      </c>
      <c r="X1371">
        <f t="shared" si="63"/>
        <v>7.7198628999999999</v>
      </c>
      <c r="Y1371">
        <f t="shared" si="64"/>
        <v>6.8898628999999998</v>
      </c>
      <c r="Z1371">
        <f t="shared" si="65"/>
        <v>54.399862899999995</v>
      </c>
    </row>
    <row r="1372" spans="1:26" x14ac:dyDescent="0.3">
      <c r="A1372" t="s">
        <v>1462</v>
      </c>
      <c r="B1372" t="s">
        <v>55</v>
      </c>
      <c r="C1372" t="s">
        <v>74</v>
      </c>
      <c r="D1372" t="s">
        <v>69</v>
      </c>
      <c r="E1372">
        <v>21</v>
      </c>
      <c r="F1372" s="3">
        <v>7.41</v>
      </c>
      <c r="G1372" s="4">
        <v>92.3</v>
      </c>
      <c r="H1372">
        <v>3</v>
      </c>
      <c r="I1372">
        <v>2</v>
      </c>
      <c r="J1372">
        <v>4</v>
      </c>
      <c r="K1372" s="4">
        <v>100</v>
      </c>
      <c r="L1372" s="4">
        <v>68.5</v>
      </c>
      <c r="M1372" s="4">
        <v>62.2</v>
      </c>
      <c r="N1372">
        <v>0</v>
      </c>
      <c r="O1372" t="s">
        <v>58</v>
      </c>
      <c r="P1372" t="s">
        <v>75</v>
      </c>
      <c r="Q1372" t="s">
        <v>71</v>
      </c>
      <c r="R1372" t="s">
        <v>76</v>
      </c>
      <c r="S1372" s="3">
        <v>5.94</v>
      </c>
      <c r="T1372" s="5">
        <v>45588</v>
      </c>
      <c r="U1372">
        <v>1</v>
      </c>
      <c r="V1372">
        <v>2024</v>
      </c>
      <c r="X1372">
        <f t="shared" si="63"/>
        <v>7.4098628</v>
      </c>
      <c r="Y1372">
        <f t="shared" si="64"/>
        <v>5.9398628000000002</v>
      </c>
      <c r="Z1372">
        <f t="shared" si="65"/>
        <v>68.499862800000002</v>
      </c>
    </row>
    <row r="1373" spans="1:26" x14ac:dyDescent="0.3">
      <c r="A1373" t="s">
        <v>1463</v>
      </c>
      <c r="B1373" t="s">
        <v>63</v>
      </c>
      <c r="C1373" t="s">
        <v>56</v>
      </c>
      <c r="D1373" t="s">
        <v>69</v>
      </c>
      <c r="E1373">
        <v>20</v>
      </c>
      <c r="F1373" s="3">
        <v>7.66</v>
      </c>
      <c r="G1373" s="4">
        <v>85.4</v>
      </c>
      <c r="H1373">
        <v>2</v>
      </c>
      <c r="I1373">
        <v>1</v>
      </c>
      <c r="J1373">
        <v>4</v>
      </c>
      <c r="K1373" s="4">
        <v>83.4</v>
      </c>
      <c r="L1373" s="4">
        <v>62.1</v>
      </c>
      <c r="M1373" s="4">
        <v>91.2</v>
      </c>
      <c r="N1373">
        <v>1</v>
      </c>
      <c r="O1373" t="s">
        <v>58</v>
      </c>
      <c r="P1373" t="s">
        <v>112</v>
      </c>
      <c r="Q1373" t="s">
        <v>93</v>
      </c>
      <c r="R1373" t="s">
        <v>80</v>
      </c>
      <c r="S1373" s="3">
        <v>7.21</v>
      </c>
      <c r="T1373" s="5">
        <v>45872</v>
      </c>
      <c r="U1373">
        <v>2</v>
      </c>
      <c r="V1373">
        <v>2025</v>
      </c>
      <c r="X1373">
        <f t="shared" si="63"/>
        <v>7.6598627000000006</v>
      </c>
      <c r="Y1373">
        <f t="shared" si="64"/>
        <v>7.2098627000000004</v>
      </c>
      <c r="Z1373">
        <f t="shared" si="65"/>
        <v>62.099862700000003</v>
      </c>
    </row>
    <row r="1374" spans="1:26" x14ac:dyDescent="0.3">
      <c r="A1374" t="s">
        <v>1464</v>
      </c>
      <c r="B1374" t="s">
        <v>63</v>
      </c>
      <c r="C1374" t="s">
        <v>68</v>
      </c>
      <c r="D1374" t="s">
        <v>69</v>
      </c>
      <c r="E1374">
        <v>22</v>
      </c>
      <c r="F1374" s="3">
        <v>6.71</v>
      </c>
      <c r="G1374" s="4">
        <v>75.3</v>
      </c>
      <c r="H1374">
        <v>1</v>
      </c>
      <c r="I1374">
        <v>2</v>
      </c>
      <c r="J1374">
        <v>4</v>
      </c>
      <c r="K1374" s="4">
        <v>82.8</v>
      </c>
      <c r="L1374" s="4">
        <v>79.5</v>
      </c>
      <c r="M1374" s="4">
        <v>69.7</v>
      </c>
      <c r="N1374">
        <v>0</v>
      </c>
      <c r="O1374" t="s">
        <v>64</v>
      </c>
      <c r="P1374" t="s">
        <v>65</v>
      </c>
      <c r="S1374" s="3">
        <v>0</v>
      </c>
      <c r="T1374" s="5"/>
      <c r="U1374">
        <v>0</v>
      </c>
      <c r="V1374">
        <v>2025</v>
      </c>
      <c r="X1374">
        <f t="shared" si="63"/>
        <v>6.7098626000000001</v>
      </c>
      <c r="Y1374">
        <f t="shared" si="64"/>
        <v>-1.3740000000000001E-4</v>
      </c>
      <c r="Z1374">
        <f t="shared" si="65"/>
        <v>79.4998626</v>
      </c>
    </row>
    <row r="1375" spans="1:26" x14ac:dyDescent="0.3">
      <c r="A1375" t="s">
        <v>1465</v>
      </c>
      <c r="B1375" t="s">
        <v>67</v>
      </c>
      <c r="C1375" t="s">
        <v>56</v>
      </c>
      <c r="D1375" t="s">
        <v>69</v>
      </c>
      <c r="E1375">
        <v>20</v>
      </c>
      <c r="F1375" s="3">
        <v>6.15</v>
      </c>
      <c r="G1375" s="4">
        <v>75.599999999999994</v>
      </c>
      <c r="H1375">
        <v>1</v>
      </c>
      <c r="I1375">
        <v>4</v>
      </c>
      <c r="J1375">
        <v>2</v>
      </c>
      <c r="K1375" s="4">
        <v>64</v>
      </c>
      <c r="L1375" s="4">
        <v>54.2</v>
      </c>
      <c r="M1375" s="4">
        <v>75.900000000000006</v>
      </c>
      <c r="N1375">
        <v>1</v>
      </c>
      <c r="O1375" t="s">
        <v>58</v>
      </c>
      <c r="P1375" t="s">
        <v>112</v>
      </c>
      <c r="Q1375" t="s">
        <v>93</v>
      </c>
      <c r="R1375" t="s">
        <v>130</v>
      </c>
      <c r="S1375" s="3">
        <v>4.1900000000000004</v>
      </c>
      <c r="T1375" s="5">
        <v>45159</v>
      </c>
      <c r="U1375">
        <v>1</v>
      </c>
      <c r="V1375">
        <v>2023</v>
      </c>
      <c r="X1375">
        <f t="shared" si="63"/>
        <v>6.1498625000000002</v>
      </c>
      <c r="Y1375">
        <f t="shared" si="64"/>
        <v>4.1898625000000003</v>
      </c>
      <c r="Z1375">
        <f t="shared" si="65"/>
        <v>54.199862500000002</v>
      </c>
    </row>
    <row r="1376" spans="1:26" x14ac:dyDescent="0.3">
      <c r="A1376" t="s">
        <v>1466</v>
      </c>
      <c r="B1376" t="s">
        <v>63</v>
      </c>
      <c r="C1376" t="s">
        <v>78</v>
      </c>
      <c r="D1376" t="s">
        <v>57</v>
      </c>
      <c r="E1376">
        <v>21</v>
      </c>
      <c r="F1376" s="3">
        <v>6.97</v>
      </c>
      <c r="G1376" s="4">
        <v>92.7</v>
      </c>
      <c r="H1376">
        <v>1</v>
      </c>
      <c r="I1376">
        <v>1</v>
      </c>
      <c r="J1376">
        <v>4</v>
      </c>
      <c r="K1376" s="4">
        <v>67.099999999999994</v>
      </c>
      <c r="L1376" s="4">
        <v>72.2</v>
      </c>
      <c r="M1376" s="4">
        <v>86.2</v>
      </c>
      <c r="N1376">
        <v>0</v>
      </c>
      <c r="O1376" t="s">
        <v>58</v>
      </c>
      <c r="P1376" t="s">
        <v>104</v>
      </c>
      <c r="Q1376" t="s">
        <v>105</v>
      </c>
      <c r="R1376" t="s">
        <v>109</v>
      </c>
      <c r="S1376" s="3">
        <v>15</v>
      </c>
      <c r="T1376" s="5">
        <v>45941</v>
      </c>
      <c r="U1376">
        <v>2</v>
      </c>
      <c r="V1376">
        <v>2025</v>
      </c>
      <c r="X1376">
        <f t="shared" si="63"/>
        <v>6.9698623999999993</v>
      </c>
      <c r="Y1376">
        <f t="shared" si="64"/>
        <v>14.9998624</v>
      </c>
      <c r="Z1376">
        <f t="shared" si="65"/>
        <v>72.199862400000001</v>
      </c>
    </row>
    <row r="1377" spans="1:26" x14ac:dyDescent="0.3">
      <c r="A1377" t="s">
        <v>1467</v>
      </c>
      <c r="B1377" t="s">
        <v>82</v>
      </c>
      <c r="C1377" t="s">
        <v>84</v>
      </c>
      <c r="D1377" t="s">
        <v>57</v>
      </c>
      <c r="E1377">
        <v>21</v>
      </c>
      <c r="F1377" s="3">
        <v>5.93</v>
      </c>
      <c r="G1377" s="4">
        <v>85.7</v>
      </c>
      <c r="H1377">
        <v>2</v>
      </c>
      <c r="I1377">
        <v>5</v>
      </c>
      <c r="J1377">
        <v>3</v>
      </c>
      <c r="K1377" s="4">
        <v>78.7</v>
      </c>
      <c r="L1377" s="4">
        <v>48.9</v>
      </c>
      <c r="M1377" s="4">
        <v>60.8</v>
      </c>
      <c r="N1377">
        <v>1</v>
      </c>
      <c r="O1377" t="s">
        <v>64</v>
      </c>
      <c r="P1377" t="s">
        <v>65</v>
      </c>
      <c r="S1377" s="3">
        <v>0</v>
      </c>
      <c r="T1377" s="5"/>
      <c r="U1377">
        <v>0</v>
      </c>
      <c r="V1377">
        <v>2022</v>
      </c>
      <c r="X1377">
        <f t="shared" si="63"/>
        <v>5.9298622999999999</v>
      </c>
      <c r="Y1377">
        <f t="shared" si="64"/>
        <v>-1.3769999999999999E-4</v>
      </c>
      <c r="Z1377">
        <f t="shared" si="65"/>
        <v>48.899862299999995</v>
      </c>
    </row>
    <row r="1378" spans="1:26" x14ac:dyDescent="0.3">
      <c r="A1378" t="s">
        <v>1468</v>
      </c>
      <c r="B1378" t="s">
        <v>67</v>
      </c>
      <c r="C1378" t="s">
        <v>101</v>
      </c>
      <c r="D1378" t="s">
        <v>57</v>
      </c>
      <c r="E1378">
        <v>23</v>
      </c>
      <c r="F1378" s="3">
        <v>6.85</v>
      </c>
      <c r="G1378" s="4">
        <v>82.5</v>
      </c>
      <c r="H1378">
        <v>1</v>
      </c>
      <c r="I1378">
        <v>1</v>
      </c>
      <c r="J1378">
        <v>2</v>
      </c>
      <c r="K1378" s="4">
        <v>89</v>
      </c>
      <c r="L1378" s="4">
        <v>81.599999999999994</v>
      </c>
      <c r="M1378" s="4">
        <v>67.599999999999994</v>
      </c>
      <c r="N1378">
        <v>0</v>
      </c>
      <c r="O1378" t="s">
        <v>58</v>
      </c>
      <c r="P1378" t="s">
        <v>112</v>
      </c>
      <c r="Q1378" t="s">
        <v>93</v>
      </c>
      <c r="R1378" t="s">
        <v>76</v>
      </c>
      <c r="S1378" s="3">
        <v>6.37</v>
      </c>
      <c r="T1378" s="5">
        <v>45257</v>
      </c>
      <c r="U1378">
        <v>2</v>
      </c>
      <c r="V1378">
        <v>2023</v>
      </c>
      <c r="X1378">
        <f t="shared" si="63"/>
        <v>6.8498621999999996</v>
      </c>
      <c r="Y1378">
        <f t="shared" si="64"/>
        <v>6.3698622</v>
      </c>
      <c r="Z1378">
        <f t="shared" si="65"/>
        <v>81.59986219999999</v>
      </c>
    </row>
    <row r="1379" spans="1:26" x14ac:dyDescent="0.3">
      <c r="A1379" t="s">
        <v>1469</v>
      </c>
      <c r="B1379" t="s">
        <v>82</v>
      </c>
      <c r="C1379" t="s">
        <v>56</v>
      </c>
      <c r="D1379" t="s">
        <v>69</v>
      </c>
      <c r="E1379">
        <v>22</v>
      </c>
      <c r="F1379" s="3">
        <v>7.93</v>
      </c>
      <c r="G1379" s="4">
        <v>81.7</v>
      </c>
      <c r="H1379">
        <v>2</v>
      </c>
      <c r="I1379">
        <v>1</v>
      </c>
      <c r="J1379">
        <v>3</v>
      </c>
      <c r="K1379" s="4">
        <v>56</v>
      </c>
      <c r="L1379" s="4">
        <v>51.7</v>
      </c>
      <c r="M1379" s="4">
        <v>66.900000000000006</v>
      </c>
      <c r="N1379">
        <v>0</v>
      </c>
      <c r="O1379" t="s">
        <v>64</v>
      </c>
      <c r="P1379" t="s">
        <v>65</v>
      </c>
      <c r="S1379" s="3">
        <v>0</v>
      </c>
      <c r="T1379" s="5"/>
      <c r="U1379">
        <v>0</v>
      </c>
      <c r="V1379">
        <v>2022</v>
      </c>
      <c r="X1379">
        <f t="shared" si="63"/>
        <v>7.9298620999999994</v>
      </c>
      <c r="Y1379">
        <f t="shared" si="64"/>
        <v>-1.3789999999999999E-4</v>
      </c>
      <c r="Z1379">
        <f t="shared" si="65"/>
        <v>51.699862100000004</v>
      </c>
    </row>
    <row r="1380" spans="1:26" x14ac:dyDescent="0.3">
      <c r="A1380" t="s">
        <v>1470</v>
      </c>
      <c r="B1380" t="s">
        <v>107</v>
      </c>
      <c r="C1380" t="s">
        <v>56</v>
      </c>
      <c r="D1380" t="s">
        <v>69</v>
      </c>
      <c r="E1380">
        <v>22</v>
      </c>
      <c r="F1380" s="3">
        <v>7.7</v>
      </c>
      <c r="G1380" s="4">
        <v>90.1</v>
      </c>
      <c r="H1380">
        <v>0</v>
      </c>
      <c r="I1380">
        <v>2</v>
      </c>
      <c r="J1380">
        <v>5</v>
      </c>
      <c r="K1380" s="4">
        <v>61.4</v>
      </c>
      <c r="L1380" s="4">
        <v>79.099999999999994</v>
      </c>
      <c r="M1380" s="4">
        <v>71.2</v>
      </c>
      <c r="N1380">
        <v>0</v>
      </c>
      <c r="O1380" t="s">
        <v>58</v>
      </c>
      <c r="P1380" t="s">
        <v>92</v>
      </c>
      <c r="Q1380" t="s">
        <v>93</v>
      </c>
      <c r="R1380" t="s">
        <v>61</v>
      </c>
      <c r="S1380" s="3">
        <v>8.4499999999999993</v>
      </c>
      <c r="T1380" s="5">
        <v>44496</v>
      </c>
      <c r="U1380">
        <v>3</v>
      </c>
      <c r="V1380">
        <v>2021</v>
      </c>
      <c r="X1380">
        <f t="shared" si="63"/>
        <v>7.6998620000000004</v>
      </c>
      <c r="Y1380">
        <f t="shared" si="64"/>
        <v>8.4498619999999995</v>
      </c>
      <c r="Z1380">
        <f t="shared" si="65"/>
        <v>79.099861999999987</v>
      </c>
    </row>
    <row r="1381" spans="1:26" x14ac:dyDescent="0.3">
      <c r="A1381" t="s">
        <v>1471</v>
      </c>
      <c r="B1381" t="s">
        <v>82</v>
      </c>
      <c r="C1381" t="s">
        <v>101</v>
      </c>
      <c r="D1381" t="s">
        <v>57</v>
      </c>
      <c r="E1381">
        <v>20</v>
      </c>
      <c r="F1381" s="3">
        <v>6.05</v>
      </c>
      <c r="G1381" s="4">
        <v>72.5</v>
      </c>
      <c r="H1381">
        <v>0</v>
      </c>
      <c r="I1381">
        <v>3</v>
      </c>
      <c r="J1381">
        <v>5</v>
      </c>
      <c r="K1381" s="4">
        <v>65.2</v>
      </c>
      <c r="L1381" s="4">
        <v>71.8</v>
      </c>
      <c r="M1381" s="4">
        <v>65.5</v>
      </c>
      <c r="N1381">
        <v>0</v>
      </c>
      <c r="O1381" t="s">
        <v>64</v>
      </c>
      <c r="P1381" t="s">
        <v>65</v>
      </c>
      <c r="S1381" s="3">
        <v>0</v>
      </c>
      <c r="T1381" s="5"/>
      <c r="U1381">
        <v>0</v>
      </c>
      <c r="V1381">
        <v>2022</v>
      </c>
      <c r="X1381">
        <f t="shared" si="63"/>
        <v>6.0498618999999998</v>
      </c>
      <c r="Y1381">
        <f t="shared" si="64"/>
        <v>-1.381E-4</v>
      </c>
      <c r="Z1381">
        <f t="shared" si="65"/>
        <v>71.799861899999996</v>
      </c>
    </row>
    <row r="1382" spans="1:26" x14ac:dyDescent="0.3">
      <c r="A1382" t="s">
        <v>1472</v>
      </c>
      <c r="B1382" t="s">
        <v>107</v>
      </c>
      <c r="C1382" t="s">
        <v>84</v>
      </c>
      <c r="D1382" t="s">
        <v>57</v>
      </c>
      <c r="E1382">
        <v>22</v>
      </c>
      <c r="F1382" s="3">
        <v>8.59</v>
      </c>
      <c r="G1382" s="4">
        <v>82.5</v>
      </c>
      <c r="H1382">
        <v>1</v>
      </c>
      <c r="I1382">
        <v>3</v>
      </c>
      <c r="J1382">
        <v>1</v>
      </c>
      <c r="K1382" s="4">
        <v>71.599999999999994</v>
      </c>
      <c r="L1382" s="4">
        <v>85.6</v>
      </c>
      <c r="M1382" s="4">
        <v>78.5</v>
      </c>
      <c r="N1382">
        <v>0</v>
      </c>
      <c r="O1382" t="s">
        <v>58</v>
      </c>
      <c r="P1382" t="s">
        <v>79</v>
      </c>
      <c r="Q1382" t="s">
        <v>71</v>
      </c>
      <c r="R1382" t="s">
        <v>85</v>
      </c>
      <c r="S1382" s="3">
        <v>7.92</v>
      </c>
      <c r="T1382" s="5">
        <v>44429</v>
      </c>
      <c r="U1382">
        <v>1</v>
      </c>
      <c r="V1382">
        <v>2021</v>
      </c>
      <c r="X1382">
        <f t="shared" si="63"/>
        <v>8.5898617999999995</v>
      </c>
      <c r="Y1382">
        <f t="shared" si="64"/>
        <v>7.9198617999999996</v>
      </c>
      <c r="Z1382">
        <f t="shared" si="65"/>
        <v>85.599861799999999</v>
      </c>
    </row>
    <row r="1383" spans="1:26" x14ac:dyDescent="0.3">
      <c r="A1383" t="s">
        <v>1473</v>
      </c>
      <c r="B1383" t="s">
        <v>107</v>
      </c>
      <c r="C1383" t="s">
        <v>68</v>
      </c>
      <c r="D1383" t="s">
        <v>57</v>
      </c>
      <c r="E1383">
        <v>20</v>
      </c>
      <c r="F1383" s="3">
        <v>7.47</v>
      </c>
      <c r="G1383" s="4">
        <v>83</v>
      </c>
      <c r="H1383">
        <v>0</v>
      </c>
      <c r="I1383">
        <v>3</v>
      </c>
      <c r="J1383">
        <v>4</v>
      </c>
      <c r="K1383" s="4">
        <v>78.8</v>
      </c>
      <c r="L1383" s="4">
        <v>67.7</v>
      </c>
      <c r="M1383" s="4">
        <v>78.3</v>
      </c>
      <c r="N1383">
        <v>0</v>
      </c>
      <c r="O1383" t="s">
        <v>58</v>
      </c>
      <c r="P1383" t="s">
        <v>79</v>
      </c>
      <c r="Q1383" t="s">
        <v>71</v>
      </c>
      <c r="R1383" t="s">
        <v>72</v>
      </c>
      <c r="S1383" s="3">
        <v>5.75</v>
      </c>
      <c r="T1383" s="5">
        <v>44450</v>
      </c>
      <c r="U1383">
        <v>1</v>
      </c>
      <c r="V1383">
        <v>2021</v>
      </c>
      <c r="X1383">
        <f t="shared" si="63"/>
        <v>7.4698617</v>
      </c>
      <c r="Y1383">
        <f t="shared" si="64"/>
        <v>5.7498617000000003</v>
      </c>
      <c r="Z1383">
        <f t="shared" si="65"/>
        <v>67.6998617</v>
      </c>
    </row>
    <row r="1384" spans="1:26" x14ac:dyDescent="0.3">
      <c r="A1384" t="s">
        <v>1474</v>
      </c>
      <c r="B1384" t="s">
        <v>82</v>
      </c>
      <c r="C1384" t="s">
        <v>68</v>
      </c>
      <c r="D1384" t="s">
        <v>69</v>
      </c>
      <c r="E1384">
        <v>21</v>
      </c>
      <c r="F1384" s="3">
        <v>6.48</v>
      </c>
      <c r="G1384" s="4">
        <v>70.8</v>
      </c>
      <c r="H1384">
        <v>2</v>
      </c>
      <c r="I1384">
        <v>1</v>
      </c>
      <c r="J1384">
        <v>4</v>
      </c>
      <c r="K1384" s="4">
        <v>78</v>
      </c>
      <c r="L1384" s="4">
        <v>82.2</v>
      </c>
      <c r="M1384" s="4">
        <v>74</v>
      </c>
      <c r="N1384">
        <v>0</v>
      </c>
      <c r="O1384" t="s">
        <v>58</v>
      </c>
      <c r="P1384" t="s">
        <v>87</v>
      </c>
      <c r="Q1384" t="s">
        <v>71</v>
      </c>
      <c r="R1384" t="s">
        <v>72</v>
      </c>
      <c r="S1384" s="3">
        <v>6.5</v>
      </c>
      <c r="T1384" s="5">
        <v>44869</v>
      </c>
      <c r="U1384">
        <v>1</v>
      </c>
      <c r="V1384">
        <v>2022</v>
      </c>
      <c r="X1384">
        <f t="shared" si="63"/>
        <v>6.4798616000000004</v>
      </c>
      <c r="Y1384">
        <f t="shared" si="64"/>
        <v>6.4998616</v>
      </c>
      <c r="Z1384">
        <f t="shared" si="65"/>
        <v>82.199861600000006</v>
      </c>
    </row>
    <row r="1385" spans="1:26" x14ac:dyDescent="0.3">
      <c r="A1385" t="s">
        <v>1475</v>
      </c>
      <c r="B1385" t="s">
        <v>67</v>
      </c>
      <c r="C1385" t="s">
        <v>74</v>
      </c>
      <c r="D1385" t="s">
        <v>69</v>
      </c>
      <c r="E1385">
        <v>21</v>
      </c>
      <c r="F1385" s="3">
        <v>7.32</v>
      </c>
      <c r="G1385" s="4">
        <v>80.099999999999994</v>
      </c>
      <c r="H1385">
        <v>0</v>
      </c>
      <c r="I1385">
        <v>0</v>
      </c>
      <c r="J1385">
        <v>6</v>
      </c>
      <c r="K1385" s="4">
        <v>74.400000000000006</v>
      </c>
      <c r="L1385" s="4">
        <v>72.2</v>
      </c>
      <c r="M1385" s="4">
        <v>76.7</v>
      </c>
      <c r="N1385">
        <v>0</v>
      </c>
      <c r="O1385" t="s">
        <v>58</v>
      </c>
      <c r="P1385" t="s">
        <v>90</v>
      </c>
      <c r="Q1385" t="s">
        <v>60</v>
      </c>
      <c r="R1385" t="s">
        <v>130</v>
      </c>
      <c r="S1385" s="3">
        <v>8.33</v>
      </c>
      <c r="T1385" s="5">
        <v>45155</v>
      </c>
      <c r="U1385">
        <v>1</v>
      </c>
      <c r="V1385">
        <v>2023</v>
      </c>
      <c r="X1385">
        <f t="shared" si="63"/>
        <v>7.3198615</v>
      </c>
      <c r="Y1385">
        <f t="shared" si="64"/>
        <v>8.3298614999999998</v>
      </c>
      <c r="Z1385">
        <f t="shared" si="65"/>
        <v>72.199861499999997</v>
      </c>
    </row>
    <row r="1386" spans="1:26" x14ac:dyDescent="0.3">
      <c r="A1386" t="s">
        <v>1476</v>
      </c>
      <c r="B1386" t="s">
        <v>63</v>
      </c>
      <c r="C1386" t="s">
        <v>84</v>
      </c>
      <c r="D1386" t="s">
        <v>57</v>
      </c>
      <c r="E1386">
        <v>21</v>
      </c>
      <c r="F1386" s="3">
        <v>7.13</v>
      </c>
      <c r="G1386" s="4">
        <v>100</v>
      </c>
      <c r="H1386">
        <v>2</v>
      </c>
      <c r="I1386">
        <v>1</v>
      </c>
      <c r="J1386">
        <v>6</v>
      </c>
      <c r="K1386" s="4">
        <v>57.4</v>
      </c>
      <c r="L1386" s="4">
        <v>76.400000000000006</v>
      </c>
      <c r="M1386" s="4">
        <v>66.099999999999994</v>
      </c>
      <c r="N1386">
        <v>0</v>
      </c>
      <c r="O1386" t="s">
        <v>58</v>
      </c>
      <c r="P1386" t="s">
        <v>112</v>
      </c>
      <c r="Q1386" t="s">
        <v>93</v>
      </c>
      <c r="R1386" t="s">
        <v>76</v>
      </c>
      <c r="S1386" s="3">
        <v>7.08</v>
      </c>
      <c r="T1386" s="5">
        <v>45909</v>
      </c>
      <c r="U1386">
        <v>1</v>
      </c>
      <c r="V1386">
        <v>2025</v>
      </c>
      <c r="X1386">
        <f t="shared" si="63"/>
        <v>7.1298614000000002</v>
      </c>
      <c r="Y1386">
        <f t="shared" si="64"/>
        <v>7.0798614000000004</v>
      </c>
      <c r="Z1386">
        <f t="shared" si="65"/>
        <v>76.399861400000006</v>
      </c>
    </row>
    <row r="1387" spans="1:26" x14ac:dyDescent="0.3">
      <c r="A1387" t="s">
        <v>1477</v>
      </c>
      <c r="B1387" t="s">
        <v>63</v>
      </c>
      <c r="C1387" t="s">
        <v>89</v>
      </c>
      <c r="D1387" t="s">
        <v>57</v>
      </c>
      <c r="E1387">
        <v>21</v>
      </c>
      <c r="F1387" s="3">
        <v>6.87</v>
      </c>
      <c r="G1387" s="4">
        <v>74.5</v>
      </c>
      <c r="H1387">
        <v>2</v>
      </c>
      <c r="I1387">
        <v>1</v>
      </c>
      <c r="J1387">
        <v>4</v>
      </c>
      <c r="K1387" s="4">
        <v>65.599999999999994</v>
      </c>
      <c r="L1387" s="4">
        <v>43.1</v>
      </c>
      <c r="M1387" s="4">
        <v>74.3</v>
      </c>
      <c r="N1387">
        <v>0</v>
      </c>
      <c r="O1387" t="s">
        <v>58</v>
      </c>
      <c r="P1387" t="s">
        <v>95</v>
      </c>
      <c r="Q1387" t="s">
        <v>93</v>
      </c>
      <c r="R1387" t="s">
        <v>109</v>
      </c>
      <c r="S1387" s="3">
        <v>5.29</v>
      </c>
      <c r="T1387" s="5">
        <v>45927</v>
      </c>
      <c r="U1387">
        <v>2</v>
      </c>
      <c r="V1387">
        <v>2025</v>
      </c>
      <c r="X1387">
        <f t="shared" si="63"/>
        <v>6.8698613000000002</v>
      </c>
      <c r="Y1387">
        <f t="shared" si="64"/>
        <v>5.2898613000000001</v>
      </c>
      <c r="Z1387">
        <f t="shared" si="65"/>
        <v>43.099861300000001</v>
      </c>
    </row>
    <row r="1388" spans="1:26" x14ac:dyDescent="0.3">
      <c r="A1388" t="s">
        <v>1478</v>
      </c>
      <c r="B1388" t="s">
        <v>107</v>
      </c>
      <c r="C1388" t="s">
        <v>74</v>
      </c>
      <c r="D1388" t="s">
        <v>69</v>
      </c>
      <c r="E1388">
        <v>21</v>
      </c>
      <c r="F1388" s="3">
        <v>8.3800000000000008</v>
      </c>
      <c r="G1388" s="4">
        <v>83.1</v>
      </c>
      <c r="H1388">
        <v>1</v>
      </c>
      <c r="I1388">
        <v>5</v>
      </c>
      <c r="J1388">
        <v>2</v>
      </c>
      <c r="K1388" s="4">
        <v>49.3</v>
      </c>
      <c r="L1388" s="4">
        <v>60.3</v>
      </c>
      <c r="M1388" s="4">
        <v>53.8</v>
      </c>
      <c r="N1388">
        <v>0</v>
      </c>
      <c r="O1388" t="s">
        <v>58</v>
      </c>
      <c r="P1388" t="s">
        <v>104</v>
      </c>
      <c r="Q1388" t="s">
        <v>105</v>
      </c>
      <c r="R1388" t="s">
        <v>80</v>
      </c>
      <c r="S1388" s="3">
        <v>14.94</v>
      </c>
      <c r="T1388" s="5">
        <v>44523</v>
      </c>
      <c r="U1388">
        <v>1</v>
      </c>
      <c r="V1388">
        <v>2021</v>
      </c>
      <c r="X1388">
        <f t="shared" si="63"/>
        <v>8.3798612000000006</v>
      </c>
      <c r="Y1388">
        <f t="shared" si="64"/>
        <v>14.939861199999999</v>
      </c>
      <c r="Z1388">
        <f t="shared" si="65"/>
        <v>60.299861199999995</v>
      </c>
    </row>
    <row r="1389" spans="1:26" x14ac:dyDescent="0.3">
      <c r="A1389" t="s">
        <v>1479</v>
      </c>
      <c r="B1389" t="s">
        <v>107</v>
      </c>
      <c r="C1389" t="s">
        <v>74</v>
      </c>
      <c r="D1389" t="s">
        <v>69</v>
      </c>
      <c r="E1389">
        <v>20</v>
      </c>
      <c r="F1389" s="3">
        <v>6.65</v>
      </c>
      <c r="G1389" s="4">
        <v>63.3</v>
      </c>
      <c r="H1389">
        <v>1</v>
      </c>
      <c r="I1389">
        <v>4</v>
      </c>
      <c r="J1389">
        <v>3</v>
      </c>
      <c r="K1389" s="4">
        <v>81.7</v>
      </c>
      <c r="L1389" s="4">
        <v>67.599999999999994</v>
      </c>
      <c r="M1389" s="4">
        <v>85.9</v>
      </c>
      <c r="N1389">
        <v>0</v>
      </c>
      <c r="O1389" t="s">
        <v>64</v>
      </c>
      <c r="P1389" t="s">
        <v>65</v>
      </c>
      <c r="S1389" s="3">
        <v>0</v>
      </c>
      <c r="T1389" s="5"/>
      <c r="U1389">
        <v>0</v>
      </c>
      <c r="V1389">
        <v>2021</v>
      </c>
      <c r="X1389">
        <f t="shared" si="63"/>
        <v>6.6498611000000007</v>
      </c>
      <c r="Y1389">
        <f t="shared" si="64"/>
        <v>-1.3889999999999999E-4</v>
      </c>
      <c r="Z1389">
        <f t="shared" si="65"/>
        <v>67.599861099999998</v>
      </c>
    </row>
    <row r="1390" spans="1:26" x14ac:dyDescent="0.3">
      <c r="A1390" t="s">
        <v>1480</v>
      </c>
      <c r="B1390" t="s">
        <v>67</v>
      </c>
      <c r="C1390" t="s">
        <v>84</v>
      </c>
      <c r="D1390" t="s">
        <v>57</v>
      </c>
      <c r="E1390">
        <v>21</v>
      </c>
      <c r="F1390" s="3">
        <v>7.82</v>
      </c>
      <c r="G1390" s="4">
        <v>80.7</v>
      </c>
      <c r="H1390">
        <v>1</v>
      </c>
      <c r="I1390">
        <v>1</v>
      </c>
      <c r="J1390">
        <v>4</v>
      </c>
      <c r="K1390" s="4">
        <v>68.5</v>
      </c>
      <c r="L1390" s="4">
        <v>90.6</v>
      </c>
      <c r="M1390" s="4">
        <v>67.3</v>
      </c>
      <c r="N1390">
        <v>0</v>
      </c>
      <c r="O1390" t="s">
        <v>58</v>
      </c>
      <c r="P1390" t="s">
        <v>112</v>
      </c>
      <c r="Q1390" t="s">
        <v>93</v>
      </c>
      <c r="R1390" t="s">
        <v>109</v>
      </c>
      <c r="S1390" s="3">
        <v>8.85</v>
      </c>
      <c r="T1390" s="5">
        <v>45180</v>
      </c>
      <c r="U1390">
        <v>1</v>
      </c>
      <c r="V1390">
        <v>2023</v>
      </c>
      <c r="X1390">
        <f t="shared" si="63"/>
        <v>7.8198610000000004</v>
      </c>
      <c r="Y1390">
        <f t="shared" si="64"/>
        <v>8.8498609999999989</v>
      </c>
      <c r="Z1390">
        <f t="shared" si="65"/>
        <v>90.59986099999999</v>
      </c>
    </row>
    <row r="1391" spans="1:26" x14ac:dyDescent="0.3">
      <c r="A1391" t="s">
        <v>1481</v>
      </c>
      <c r="B1391" t="s">
        <v>55</v>
      </c>
      <c r="C1391" t="s">
        <v>56</v>
      </c>
      <c r="D1391" t="s">
        <v>69</v>
      </c>
      <c r="E1391">
        <v>20</v>
      </c>
      <c r="F1391" s="3">
        <v>6.44</v>
      </c>
      <c r="G1391" s="4">
        <v>72.3</v>
      </c>
      <c r="H1391">
        <v>2</v>
      </c>
      <c r="I1391">
        <v>3</v>
      </c>
      <c r="J1391">
        <v>6</v>
      </c>
      <c r="K1391" s="4">
        <v>51.7</v>
      </c>
      <c r="L1391" s="4">
        <v>75.2</v>
      </c>
      <c r="M1391" s="4">
        <v>67.8</v>
      </c>
      <c r="N1391">
        <v>0</v>
      </c>
      <c r="O1391" t="s">
        <v>58</v>
      </c>
      <c r="P1391" t="s">
        <v>92</v>
      </c>
      <c r="Q1391" t="s">
        <v>93</v>
      </c>
      <c r="R1391" t="s">
        <v>85</v>
      </c>
      <c r="S1391" s="3">
        <v>10.52</v>
      </c>
      <c r="T1391" s="5">
        <v>45591</v>
      </c>
      <c r="U1391">
        <v>1</v>
      </c>
      <c r="V1391">
        <v>2024</v>
      </c>
      <c r="X1391">
        <f t="shared" si="63"/>
        <v>6.4398609000000002</v>
      </c>
      <c r="Y1391">
        <f t="shared" si="64"/>
        <v>10.519860899999999</v>
      </c>
      <c r="Z1391">
        <f t="shared" si="65"/>
        <v>75.199860900000004</v>
      </c>
    </row>
    <row r="1392" spans="1:26" x14ac:dyDescent="0.3">
      <c r="A1392" t="s">
        <v>1482</v>
      </c>
      <c r="B1392" t="s">
        <v>82</v>
      </c>
      <c r="C1392" t="s">
        <v>74</v>
      </c>
      <c r="D1392" t="s">
        <v>57</v>
      </c>
      <c r="E1392">
        <v>21</v>
      </c>
      <c r="F1392" s="3">
        <v>7.62</v>
      </c>
      <c r="G1392" s="4">
        <v>78.8</v>
      </c>
      <c r="H1392">
        <v>1</v>
      </c>
      <c r="I1392">
        <v>2</v>
      </c>
      <c r="J1392">
        <v>3</v>
      </c>
      <c r="K1392" s="4">
        <v>100</v>
      </c>
      <c r="L1392" s="4">
        <v>44.2</v>
      </c>
      <c r="M1392" s="4">
        <v>62.8</v>
      </c>
      <c r="N1392">
        <v>0</v>
      </c>
      <c r="O1392" t="s">
        <v>58</v>
      </c>
      <c r="P1392" t="s">
        <v>79</v>
      </c>
      <c r="Q1392" t="s">
        <v>71</v>
      </c>
      <c r="R1392" t="s">
        <v>76</v>
      </c>
      <c r="S1392" s="3">
        <v>5.79</v>
      </c>
      <c r="T1392" s="5">
        <v>44830</v>
      </c>
      <c r="U1392">
        <v>1</v>
      </c>
      <c r="V1392">
        <v>2022</v>
      </c>
      <c r="X1392">
        <f t="shared" si="63"/>
        <v>7.6198608000000005</v>
      </c>
      <c r="Y1392">
        <f t="shared" si="64"/>
        <v>5.7898608000000005</v>
      </c>
      <c r="Z1392">
        <f t="shared" si="65"/>
        <v>44.199860800000003</v>
      </c>
    </row>
    <row r="1393" spans="1:26" x14ac:dyDescent="0.3">
      <c r="A1393" t="s">
        <v>1483</v>
      </c>
      <c r="B1393" t="s">
        <v>107</v>
      </c>
      <c r="C1393" t="s">
        <v>68</v>
      </c>
      <c r="D1393" t="s">
        <v>69</v>
      </c>
      <c r="E1393">
        <v>20</v>
      </c>
      <c r="F1393" s="3">
        <v>7.89</v>
      </c>
      <c r="G1393" s="4">
        <v>85.8</v>
      </c>
      <c r="H1393">
        <v>0</v>
      </c>
      <c r="I1393">
        <v>0</v>
      </c>
      <c r="J1393">
        <v>5</v>
      </c>
      <c r="K1393" s="4">
        <v>32.299999999999997</v>
      </c>
      <c r="L1393" s="4">
        <v>76.599999999999994</v>
      </c>
      <c r="M1393" s="4">
        <v>75.7</v>
      </c>
      <c r="N1393">
        <v>1</v>
      </c>
      <c r="O1393" t="s">
        <v>64</v>
      </c>
      <c r="P1393" t="s">
        <v>65</v>
      </c>
      <c r="S1393" s="3">
        <v>0</v>
      </c>
      <c r="T1393" s="5"/>
      <c r="U1393">
        <v>0</v>
      </c>
      <c r="V1393">
        <v>2021</v>
      </c>
      <c r="X1393">
        <f t="shared" si="63"/>
        <v>7.8898606999999998</v>
      </c>
      <c r="Y1393">
        <f t="shared" si="64"/>
        <v>-1.393E-4</v>
      </c>
      <c r="Z1393">
        <f t="shared" si="65"/>
        <v>76.599860699999994</v>
      </c>
    </row>
    <row r="1394" spans="1:26" x14ac:dyDescent="0.3">
      <c r="A1394" t="s">
        <v>1484</v>
      </c>
      <c r="B1394" t="s">
        <v>63</v>
      </c>
      <c r="C1394" t="s">
        <v>56</v>
      </c>
      <c r="D1394" t="s">
        <v>69</v>
      </c>
      <c r="E1394">
        <v>20</v>
      </c>
      <c r="F1394" s="3">
        <v>7.89</v>
      </c>
      <c r="G1394" s="4">
        <v>71.900000000000006</v>
      </c>
      <c r="H1394">
        <v>1</v>
      </c>
      <c r="I1394">
        <v>1</v>
      </c>
      <c r="J1394">
        <v>4</v>
      </c>
      <c r="K1394" s="4">
        <v>67.099999999999994</v>
      </c>
      <c r="L1394" s="4">
        <v>56.8</v>
      </c>
      <c r="M1394" s="4">
        <v>67.599999999999994</v>
      </c>
      <c r="N1394">
        <v>0</v>
      </c>
      <c r="O1394" t="s">
        <v>58</v>
      </c>
      <c r="P1394" t="s">
        <v>104</v>
      </c>
      <c r="Q1394" t="s">
        <v>105</v>
      </c>
      <c r="R1394" t="s">
        <v>72</v>
      </c>
      <c r="S1394" s="3">
        <v>14.56</v>
      </c>
      <c r="T1394" s="5">
        <v>45921</v>
      </c>
      <c r="U1394">
        <v>1</v>
      </c>
      <c r="V1394">
        <v>2025</v>
      </c>
      <c r="X1394">
        <f t="shared" si="63"/>
        <v>7.8898605999999996</v>
      </c>
      <c r="Y1394">
        <f t="shared" si="64"/>
        <v>14.5598606</v>
      </c>
      <c r="Z1394">
        <f t="shared" si="65"/>
        <v>56.799860599999995</v>
      </c>
    </row>
    <row r="1395" spans="1:26" x14ac:dyDescent="0.3">
      <c r="A1395" t="s">
        <v>1485</v>
      </c>
      <c r="B1395" t="s">
        <v>67</v>
      </c>
      <c r="C1395" t="s">
        <v>56</v>
      </c>
      <c r="D1395" t="s">
        <v>57</v>
      </c>
      <c r="E1395">
        <v>20</v>
      </c>
      <c r="F1395" s="3">
        <v>7.72</v>
      </c>
      <c r="G1395" s="4">
        <v>84.2</v>
      </c>
      <c r="H1395">
        <v>1</v>
      </c>
      <c r="I1395">
        <v>2</v>
      </c>
      <c r="J1395">
        <v>2</v>
      </c>
      <c r="K1395" s="4">
        <v>86.4</v>
      </c>
      <c r="L1395" s="4">
        <v>58.1</v>
      </c>
      <c r="M1395" s="4">
        <v>81.599999999999994</v>
      </c>
      <c r="N1395">
        <v>0</v>
      </c>
      <c r="O1395" t="s">
        <v>58</v>
      </c>
      <c r="P1395" t="s">
        <v>112</v>
      </c>
      <c r="Q1395" t="s">
        <v>93</v>
      </c>
      <c r="R1395" t="s">
        <v>72</v>
      </c>
      <c r="S1395" s="3">
        <v>5.79</v>
      </c>
      <c r="T1395" s="5">
        <v>45160</v>
      </c>
      <c r="U1395">
        <v>3</v>
      </c>
      <c r="V1395">
        <v>2023</v>
      </c>
      <c r="X1395">
        <f t="shared" si="63"/>
        <v>7.7198604999999993</v>
      </c>
      <c r="Y1395">
        <f t="shared" si="64"/>
        <v>5.7898604999999996</v>
      </c>
      <c r="Z1395">
        <f t="shared" si="65"/>
        <v>58.099860499999998</v>
      </c>
    </row>
    <row r="1396" spans="1:26" x14ac:dyDescent="0.3">
      <c r="A1396" t="s">
        <v>1486</v>
      </c>
      <c r="B1396" t="s">
        <v>82</v>
      </c>
      <c r="C1396" t="s">
        <v>101</v>
      </c>
      <c r="D1396" t="s">
        <v>57</v>
      </c>
      <c r="E1396">
        <v>22</v>
      </c>
      <c r="F1396" s="3">
        <v>7.43</v>
      </c>
      <c r="G1396" s="4">
        <v>75</v>
      </c>
      <c r="H1396">
        <v>3</v>
      </c>
      <c r="I1396">
        <v>2</v>
      </c>
      <c r="J1396">
        <v>4</v>
      </c>
      <c r="K1396" s="4">
        <v>61.2</v>
      </c>
      <c r="L1396" s="4">
        <v>69.099999999999994</v>
      </c>
      <c r="M1396" s="4">
        <v>61.4</v>
      </c>
      <c r="N1396">
        <v>0</v>
      </c>
      <c r="O1396" t="s">
        <v>64</v>
      </c>
      <c r="P1396" t="s">
        <v>65</v>
      </c>
      <c r="S1396" s="3">
        <v>0</v>
      </c>
      <c r="T1396" s="5"/>
      <c r="U1396">
        <v>0</v>
      </c>
      <c r="V1396">
        <v>2022</v>
      </c>
      <c r="X1396">
        <f t="shared" si="63"/>
        <v>7.4298603999999999</v>
      </c>
      <c r="Y1396">
        <f t="shared" si="64"/>
        <v>-1.3960000000000001E-4</v>
      </c>
      <c r="Z1396">
        <f t="shared" si="65"/>
        <v>69.099860399999997</v>
      </c>
    </row>
    <row r="1397" spans="1:26" x14ac:dyDescent="0.3">
      <c r="A1397" t="s">
        <v>1487</v>
      </c>
      <c r="B1397" t="s">
        <v>67</v>
      </c>
      <c r="C1397" t="s">
        <v>84</v>
      </c>
      <c r="D1397" t="s">
        <v>69</v>
      </c>
      <c r="E1397">
        <v>20</v>
      </c>
      <c r="F1397" s="3">
        <v>6.69</v>
      </c>
      <c r="G1397" s="4">
        <v>70</v>
      </c>
      <c r="H1397">
        <v>2</v>
      </c>
      <c r="I1397">
        <v>1</v>
      </c>
      <c r="J1397">
        <v>2</v>
      </c>
      <c r="K1397" s="4">
        <v>70.3</v>
      </c>
      <c r="L1397" s="4">
        <v>74.2</v>
      </c>
      <c r="M1397" s="4">
        <v>75.7</v>
      </c>
      <c r="N1397">
        <v>0</v>
      </c>
      <c r="O1397" t="s">
        <v>64</v>
      </c>
      <c r="P1397" t="s">
        <v>65</v>
      </c>
      <c r="S1397" s="3">
        <v>0</v>
      </c>
      <c r="T1397" s="5"/>
      <c r="U1397">
        <v>0</v>
      </c>
      <c r="V1397">
        <v>2023</v>
      </c>
      <c r="X1397">
        <f t="shared" si="63"/>
        <v>6.6898603000000003</v>
      </c>
      <c r="Y1397">
        <f t="shared" si="64"/>
        <v>-1.3969999999999998E-4</v>
      </c>
      <c r="Z1397">
        <f t="shared" si="65"/>
        <v>74.199860299999997</v>
      </c>
    </row>
    <row r="1398" spans="1:26" x14ac:dyDescent="0.3">
      <c r="A1398" t="s">
        <v>1488</v>
      </c>
      <c r="B1398" t="s">
        <v>82</v>
      </c>
      <c r="C1398" t="s">
        <v>101</v>
      </c>
      <c r="D1398" t="s">
        <v>57</v>
      </c>
      <c r="E1398">
        <v>20</v>
      </c>
      <c r="F1398" s="3">
        <v>6.7</v>
      </c>
      <c r="G1398" s="4">
        <v>90.8</v>
      </c>
      <c r="H1398">
        <v>1</v>
      </c>
      <c r="I1398">
        <v>4</v>
      </c>
      <c r="J1398">
        <v>4</v>
      </c>
      <c r="K1398" s="4">
        <v>74.7</v>
      </c>
      <c r="L1398" s="4">
        <v>58.3</v>
      </c>
      <c r="M1398" s="4">
        <v>79.099999999999994</v>
      </c>
      <c r="N1398">
        <v>1</v>
      </c>
      <c r="O1398" t="s">
        <v>58</v>
      </c>
      <c r="P1398" t="s">
        <v>95</v>
      </c>
      <c r="Q1398" t="s">
        <v>93</v>
      </c>
      <c r="R1398" t="s">
        <v>130</v>
      </c>
      <c r="S1398" s="3">
        <v>5.22</v>
      </c>
      <c r="T1398" s="5">
        <v>44783</v>
      </c>
      <c r="U1398">
        <v>2</v>
      </c>
      <c r="V1398">
        <v>2022</v>
      </c>
      <c r="X1398">
        <f t="shared" si="63"/>
        <v>6.6998601999999998</v>
      </c>
      <c r="Y1398">
        <f t="shared" si="64"/>
        <v>5.2198601999999994</v>
      </c>
      <c r="Z1398">
        <f t="shared" si="65"/>
        <v>58.299860199999998</v>
      </c>
    </row>
    <row r="1399" spans="1:26" x14ac:dyDescent="0.3">
      <c r="A1399" t="s">
        <v>1489</v>
      </c>
      <c r="B1399" t="s">
        <v>82</v>
      </c>
      <c r="C1399" t="s">
        <v>84</v>
      </c>
      <c r="D1399" t="s">
        <v>69</v>
      </c>
      <c r="E1399">
        <v>21</v>
      </c>
      <c r="F1399" s="3">
        <v>7.92</v>
      </c>
      <c r="G1399" s="4">
        <v>73.3</v>
      </c>
      <c r="H1399">
        <v>2</v>
      </c>
      <c r="I1399">
        <v>2</v>
      </c>
      <c r="J1399">
        <v>4</v>
      </c>
      <c r="K1399" s="4">
        <v>36</v>
      </c>
      <c r="L1399" s="4">
        <v>43.8</v>
      </c>
      <c r="M1399" s="4">
        <v>83.6</v>
      </c>
      <c r="N1399">
        <v>0</v>
      </c>
      <c r="O1399" t="s">
        <v>58</v>
      </c>
      <c r="P1399" t="s">
        <v>87</v>
      </c>
      <c r="Q1399" t="s">
        <v>71</v>
      </c>
      <c r="R1399" t="s">
        <v>72</v>
      </c>
      <c r="S1399" s="3">
        <v>7.44</v>
      </c>
      <c r="T1399" s="5">
        <v>44797</v>
      </c>
      <c r="U1399">
        <v>1</v>
      </c>
      <c r="V1399">
        <v>2022</v>
      </c>
      <c r="X1399">
        <f t="shared" si="63"/>
        <v>7.9198601000000002</v>
      </c>
      <c r="Y1399">
        <f t="shared" si="64"/>
        <v>7.4398601000000006</v>
      </c>
      <c r="Z1399">
        <f t="shared" si="65"/>
        <v>43.799860099999997</v>
      </c>
    </row>
    <row r="1400" spans="1:26" x14ac:dyDescent="0.3">
      <c r="A1400" t="s">
        <v>1490</v>
      </c>
      <c r="B1400" t="s">
        <v>107</v>
      </c>
      <c r="C1400" t="s">
        <v>68</v>
      </c>
      <c r="D1400" t="s">
        <v>69</v>
      </c>
      <c r="E1400">
        <v>20</v>
      </c>
      <c r="F1400" s="3">
        <v>6.51</v>
      </c>
      <c r="G1400" s="4">
        <v>78.2</v>
      </c>
      <c r="H1400">
        <v>3</v>
      </c>
      <c r="I1400">
        <v>1</v>
      </c>
      <c r="J1400">
        <v>6</v>
      </c>
      <c r="K1400" s="4">
        <v>52.7</v>
      </c>
      <c r="L1400" s="4">
        <v>67.3</v>
      </c>
      <c r="M1400" s="4">
        <v>82</v>
      </c>
      <c r="N1400">
        <v>0</v>
      </c>
      <c r="O1400" t="s">
        <v>58</v>
      </c>
      <c r="P1400" t="s">
        <v>104</v>
      </c>
      <c r="Q1400" t="s">
        <v>105</v>
      </c>
      <c r="R1400" t="s">
        <v>85</v>
      </c>
      <c r="S1400" s="3">
        <v>15.05</v>
      </c>
      <c r="T1400" s="5">
        <v>44443</v>
      </c>
      <c r="U1400">
        <v>1</v>
      </c>
      <c r="V1400">
        <v>2021</v>
      </c>
      <c r="X1400">
        <f t="shared" si="63"/>
        <v>6.5098599999999998</v>
      </c>
      <c r="Y1400">
        <f t="shared" si="64"/>
        <v>15.049860000000001</v>
      </c>
      <c r="Z1400">
        <f t="shared" si="65"/>
        <v>67.299859999999995</v>
      </c>
    </row>
    <row r="1401" spans="1:26" x14ac:dyDescent="0.3">
      <c r="A1401" t="s">
        <v>1491</v>
      </c>
      <c r="B1401" t="s">
        <v>67</v>
      </c>
      <c r="C1401" t="s">
        <v>101</v>
      </c>
      <c r="D1401" t="s">
        <v>69</v>
      </c>
      <c r="E1401">
        <v>20</v>
      </c>
      <c r="F1401" s="3">
        <v>6.31</v>
      </c>
      <c r="G1401" s="4">
        <v>76.900000000000006</v>
      </c>
      <c r="H1401">
        <v>0</v>
      </c>
      <c r="I1401">
        <v>1</v>
      </c>
      <c r="J1401">
        <v>6</v>
      </c>
      <c r="K1401" s="4">
        <v>67.2</v>
      </c>
      <c r="L1401" s="4">
        <v>66.599999999999994</v>
      </c>
      <c r="M1401" s="4">
        <v>63.1</v>
      </c>
      <c r="N1401">
        <v>0</v>
      </c>
      <c r="O1401" t="s">
        <v>58</v>
      </c>
      <c r="P1401" t="s">
        <v>79</v>
      </c>
      <c r="Q1401" t="s">
        <v>71</v>
      </c>
      <c r="R1401" t="s">
        <v>76</v>
      </c>
      <c r="S1401" s="3">
        <v>4.41</v>
      </c>
      <c r="T1401" s="5">
        <v>45252</v>
      </c>
      <c r="U1401">
        <v>1</v>
      </c>
      <c r="V1401">
        <v>2023</v>
      </c>
      <c r="X1401">
        <f t="shared" si="63"/>
        <v>6.3098598999999993</v>
      </c>
      <c r="Y1401">
        <f t="shared" si="64"/>
        <v>4.4098598999999998</v>
      </c>
      <c r="Z1401">
        <f t="shared" si="65"/>
        <v>66.599859899999998</v>
      </c>
    </row>
    <row r="1402" spans="1:26" x14ac:dyDescent="0.3">
      <c r="A1402" t="s">
        <v>1492</v>
      </c>
      <c r="B1402" t="s">
        <v>67</v>
      </c>
      <c r="C1402" t="s">
        <v>74</v>
      </c>
      <c r="D1402" t="s">
        <v>57</v>
      </c>
      <c r="E1402">
        <v>23</v>
      </c>
      <c r="F1402" s="3">
        <v>8.94</v>
      </c>
      <c r="G1402" s="4">
        <v>84</v>
      </c>
      <c r="H1402">
        <v>2</v>
      </c>
      <c r="I1402">
        <v>3</v>
      </c>
      <c r="J1402">
        <v>1</v>
      </c>
      <c r="K1402" s="4">
        <v>66.900000000000006</v>
      </c>
      <c r="L1402" s="4">
        <v>91.5</v>
      </c>
      <c r="M1402" s="4">
        <v>74.8</v>
      </c>
      <c r="N1402">
        <v>0</v>
      </c>
      <c r="O1402" t="s">
        <v>58</v>
      </c>
      <c r="P1402" t="s">
        <v>75</v>
      </c>
      <c r="Q1402" t="s">
        <v>71</v>
      </c>
      <c r="R1402" t="s">
        <v>76</v>
      </c>
      <c r="S1402" s="3">
        <v>8.74</v>
      </c>
      <c r="T1402" s="5">
        <v>45216</v>
      </c>
      <c r="U1402">
        <v>1</v>
      </c>
      <c r="V1402">
        <v>2023</v>
      </c>
      <c r="X1402">
        <f t="shared" si="63"/>
        <v>8.9398597999999989</v>
      </c>
      <c r="Y1402">
        <f t="shared" si="64"/>
        <v>8.7398597999999996</v>
      </c>
      <c r="Z1402">
        <f t="shared" si="65"/>
        <v>91.499859799999996</v>
      </c>
    </row>
    <row r="1403" spans="1:26" x14ac:dyDescent="0.3">
      <c r="A1403" t="s">
        <v>1493</v>
      </c>
      <c r="B1403" t="s">
        <v>63</v>
      </c>
      <c r="C1403" t="s">
        <v>78</v>
      </c>
      <c r="D1403" t="s">
        <v>57</v>
      </c>
      <c r="E1403">
        <v>22</v>
      </c>
      <c r="F1403" s="3">
        <v>7.42</v>
      </c>
      <c r="G1403" s="4">
        <v>82.3</v>
      </c>
      <c r="H1403">
        <v>1</v>
      </c>
      <c r="I1403">
        <v>2</v>
      </c>
      <c r="J1403">
        <v>2</v>
      </c>
      <c r="K1403" s="4">
        <v>49.2</v>
      </c>
      <c r="L1403" s="4">
        <v>70.599999999999994</v>
      </c>
      <c r="M1403" s="4">
        <v>72.8</v>
      </c>
      <c r="N1403">
        <v>1</v>
      </c>
      <c r="O1403" t="s">
        <v>64</v>
      </c>
      <c r="P1403" t="s">
        <v>65</v>
      </c>
      <c r="S1403" s="3">
        <v>0</v>
      </c>
      <c r="T1403" s="5"/>
      <c r="U1403">
        <v>0</v>
      </c>
      <c r="V1403">
        <v>2025</v>
      </c>
      <c r="X1403">
        <f t="shared" si="63"/>
        <v>7.4198596999999999</v>
      </c>
      <c r="Y1403">
        <f t="shared" si="64"/>
        <v>-1.403E-4</v>
      </c>
      <c r="Z1403">
        <f t="shared" si="65"/>
        <v>70.599859699999996</v>
      </c>
    </row>
    <row r="1404" spans="1:26" x14ac:dyDescent="0.3">
      <c r="A1404" t="s">
        <v>1494</v>
      </c>
      <c r="B1404" t="s">
        <v>63</v>
      </c>
      <c r="C1404" t="s">
        <v>84</v>
      </c>
      <c r="D1404" t="s">
        <v>69</v>
      </c>
      <c r="E1404">
        <v>23</v>
      </c>
      <c r="F1404" s="3">
        <v>8.2200000000000006</v>
      </c>
      <c r="G1404" s="4">
        <v>80.5</v>
      </c>
      <c r="H1404">
        <v>2</v>
      </c>
      <c r="I1404">
        <v>3</v>
      </c>
      <c r="J1404">
        <v>5</v>
      </c>
      <c r="K1404" s="4">
        <v>67.7</v>
      </c>
      <c r="L1404" s="4">
        <v>87.7</v>
      </c>
      <c r="M1404" s="4">
        <v>61.4</v>
      </c>
      <c r="N1404">
        <v>0</v>
      </c>
      <c r="O1404" t="s">
        <v>58</v>
      </c>
      <c r="P1404" t="s">
        <v>112</v>
      </c>
      <c r="Q1404" t="s">
        <v>93</v>
      </c>
      <c r="R1404" t="s">
        <v>109</v>
      </c>
      <c r="S1404" s="3">
        <v>8.76</v>
      </c>
      <c r="T1404" s="5">
        <v>45979</v>
      </c>
      <c r="U1404">
        <v>3</v>
      </c>
      <c r="V1404">
        <v>2025</v>
      </c>
      <c r="X1404">
        <f t="shared" si="63"/>
        <v>8.2198596000000013</v>
      </c>
      <c r="Y1404">
        <f t="shared" si="64"/>
        <v>8.7598596000000004</v>
      </c>
      <c r="Z1404">
        <f t="shared" si="65"/>
        <v>87.699859599999996</v>
      </c>
    </row>
    <row r="1405" spans="1:26" x14ac:dyDescent="0.3">
      <c r="A1405" t="s">
        <v>1495</v>
      </c>
      <c r="B1405" t="s">
        <v>107</v>
      </c>
      <c r="C1405" t="s">
        <v>56</v>
      </c>
      <c r="D1405" t="s">
        <v>57</v>
      </c>
      <c r="E1405">
        <v>21</v>
      </c>
      <c r="F1405" s="3">
        <v>8.44</v>
      </c>
      <c r="G1405" s="4">
        <v>75.599999999999994</v>
      </c>
      <c r="H1405">
        <v>2</v>
      </c>
      <c r="I1405">
        <v>1</v>
      </c>
      <c r="J1405">
        <v>4</v>
      </c>
      <c r="K1405" s="4">
        <v>75.5</v>
      </c>
      <c r="L1405" s="4">
        <v>100</v>
      </c>
      <c r="M1405" s="4">
        <v>73.7</v>
      </c>
      <c r="N1405">
        <v>0</v>
      </c>
      <c r="O1405" t="s">
        <v>58</v>
      </c>
      <c r="P1405" t="s">
        <v>87</v>
      </c>
      <c r="Q1405" t="s">
        <v>71</v>
      </c>
      <c r="R1405" t="s">
        <v>130</v>
      </c>
      <c r="S1405" s="3">
        <v>9.0399999999999991</v>
      </c>
      <c r="T1405" s="5">
        <v>44460</v>
      </c>
      <c r="U1405">
        <v>2</v>
      </c>
      <c r="V1405">
        <v>2021</v>
      </c>
      <c r="X1405">
        <f t="shared" si="63"/>
        <v>8.439859499999999</v>
      </c>
      <c r="Y1405">
        <f t="shared" si="64"/>
        <v>9.0398594999999986</v>
      </c>
      <c r="Z1405">
        <f t="shared" si="65"/>
        <v>99.999859499999999</v>
      </c>
    </row>
    <row r="1406" spans="1:26" x14ac:dyDescent="0.3">
      <c r="A1406" t="s">
        <v>1496</v>
      </c>
      <c r="B1406" t="s">
        <v>107</v>
      </c>
      <c r="C1406" t="s">
        <v>74</v>
      </c>
      <c r="D1406" t="s">
        <v>69</v>
      </c>
      <c r="E1406">
        <v>22</v>
      </c>
      <c r="F1406" s="3">
        <v>7.7</v>
      </c>
      <c r="G1406" s="4">
        <v>79.599999999999994</v>
      </c>
      <c r="H1406">
        <v>3</v>
      </c>
      <c r="I1406">
        <v>1</v>
      </c>
      <c r="J1406">
        <v>5</v>
      </c>
      <c r="K1406" s="4">
        <v>86.1</v>
      </c>
      <c r="L1406" s="4">
        <v>53.4</v>
      </c>
      <c r="M1406" s="4">
        <v>57.3</v>
      </c>
      <c r="N1406">
        <v>0</v>
      </c>
      <c r="O1406" t="s">
        <v>58</v>
      </c>
      <c r="P1406" t="s">
        <v>95</v>
      </c>
      <c r="Q1406" t="s">
        <v>93</v>
      </c>
      <c r="R1406" t="s">
        <v>80</v>
      </c>
      <c r="S1406" s="3">
        <v>7.55</v>
      </c>
      <c r="T1406" s="5">
        <v>44527</v>
      </c>
      <c r="U1406">
        <v>2</v>
      </c>
      <c r="V1406">
        <v>2021</v>
      </c>
      <c r="X1406">
        <f t="shared" si="63"/>
        <v>7.6998594000000002</v>
      </c>
      <c r="Y1406">
        <f t="shared" si="64"/>
        <v>7.5498593999999999</v>
      </c>
      <c r="Z1406">
        <f t="shared" si="65"/>
        <v>53.399859399999997</v>
      </c>
    </row>
    <row r="1407" spans="1:26" x14ac:dyDescent="0.3">
      <c r="A1407" t="s">
        <v>1497</v>
      </c>
      <c r="B1407" t="s">
        <v>55</v>
      </c>
      <c r="C1407" t="s">
        <v>68</v>
      </c>
      <c r="D1407" t="s">
        <v>69</v>
      </c>
      <c r="E1407">
        <v>22</v>
      </c>
      <c r="F1407" s="3">
        <v>7.31</v>
      </c>
      <c r="G1407" s="4">
        <v>84.6</v>
      </c>
      <c r="H1407">
        <v>1</v>
      </c>
      <c r="I1407">
        <v>1</v>
      </c>
      <c r="J1407">
        <v>3</v>
      </c>
      <c r="K1407" s="4">
        <v>70.900000000000006</v>
      </c>
      <c r="L1407" s="4">
        <v>92.1</v>
      </c>
      <c r="M1407" s="4">
        <v>76.8</v>
      </c>
      <c r="N1407">
        <v>0</v>
      </c>
      <c r="O1407" t="s">
        <v>58</v>
      </c>
      <c r="P1407" t="s">
        <v>75</v>
      </c>
      <c r="Q1407" t="s">
        <v>71</v>
      </c>
      <c r="R1407" t="s">
        <v>85</v>
      </c>
      <c r="S1407" s="3">
        <v>8.08</v>
      </c>
      <c r="T1407" s="5">
        <v>45518</v>
      </c>
      <c r="U1407">
        <v>2</v>
      </c>
      <c r="V1407">
        <v>2024</v>
      </c>
      <c r="X1407">
        <f t="shared" si="63"/>
        <v>7.3098592999999994</v>
      </c>
      <c r="Y1407">
        <f t="shared" si="64"/>
        <v>8.0798593000000007</v>
      </c>
      <c r="Z1407">
        <f t="shared" si="65"/>
        <v>92.099859299999991</v>
      </c>
    </row>
    <row r="1408" spans="1:26" x14ac:dyDescent="0.3">
      <c r="A1408" t="s">
        <v>1498</v>
      </c>
      <c r="B1408" t="s">
        <v>63</v>
      </c>
      <c r="C1408" t="s">
        <v>56</v>
      </c>
      <c r="D1408" t="s">
        <v>57</v>
      </c>
      <c r="E1408">
        <v>23</v>
      </c>
      <c r="F1408" s="3">
        <v>7.33</v>
      </c>
      <c r="G1408" s="4">
        <v>83.1</v>
      </c>
      <c r="H1408">
        <v>2</v>
      </c>
      <c r="I1408">
        <v>1</v>
      </c>
      <c r="J1408">
        <v>5</v>
      </c>
      <c r="K1408" s="4">
        <v>55.3</v>
      </c>
      <c r="L1408" s="4">
        <v>84</v>
      </c>
      <c r="M1408" s="4">
        <v>88.5</v>
      </c>
      <c r="N1408">
        <v>0</v>
      </c>
      <c r="O1408" t="s">
        <v>58</v>
      </c>
      <c r="P1408" t="s">
        <v>59</v>
      </c>
      <c r="Q1408" t="s">
        <v>60</v>
      </c>
      <c r="R1408" t="s">
        <v>109</v>
      </c>
      <c r="S1408" s="3">
        <v>18.600000000000001</v>
      </c>
      <c r="T1408" s="5">
        <v>45908</v>
      </c>
      <c r="U1408">
        <v>1</v>
      </c>
      <c r="V1408">
        <v>2025</v>
      </c>
      <c r="X1408">
        <f t="shared" si="63"/>
        <v>7.3298592000000005</v>
      </c>
      <c r="Y1408">
        <f t="shared" si="64"/>
        <v>18.599859200000001</v>
      </c>
      <c r="Z1408">
        <f t="shared" si="65"/>
        <v>83.999859200000003</v>
      </c>
    </row>
    <row r="1409" spans="1:26" x14ac:dyDescent="0.3">
      <c r="A1409" t="s">
        <v>1499</v>
      </c>
      <c r="B1409" t="s">
        <v>82</v>
      </c>
      <c r="C1409" t="s">
        <v>56</v>
      </c>
      <c r="D1409" t="s">
        <v>69</v>
      </c>
      <c r="E1409">
        <v>22</v>
      </c>
      <c r="F1409" s="3">
        <v>9.1</v>
      </c>
      <c r="G1409" s="4">
        <v>92.1</v>
      </c>
      <c r="H1409">
        <v>1</v>
      </c>
      <c r="I1409">
        <v>3</v>
      </c>
      <c r="J1409">
        <v>3</v>
      </c>
      <c r="K1409" s="4">
        <v>76</v>
      </c>
      <c r="L1409" s="4">
        <v>36.700000000000003</v>
      </c>
      <c r="M1409" s="4">
        <v>86</v>
      </c>
      <c r="N1409">
        <v>0</v>
      </c>
      <c r="O1409" t="s">
        <v>58</v>
      </c>
      <c r="P1409" t="s">
        <v>104</v>
      </c>
      <c r="Q1409" t="s">
        <v>105</v>
      </c>
      <c r="R1409" t="s">
        <v>76</v>
      </c>
      <c r="S1409" s="3">
        <v>14.71</v>
      </c>
      <c r="T1409" s="5">
        <v>44846</v>
      </c>
      <c r="U1409">
        <v>2</v>
      </c>
      <c r="V1409">
        <v>2022</v>
      </c>
      <c r="X1409">
        <f t="shared" si="63"/>
        <v>9.0998590999999998</v>
      </c>
      <c r="Y1409">
        <f t="shared" si="64"/>
        <v>14.709859100000001</v>
      </c>
      <c r="Z1409">
        <f t="shared" si="65"/>
        <v>36.699859100000005</v>
      </c>
    </row>
    <row r="1410" spans="1:26" x14ac:dyDescent="0.3">
      <c r="A1410" t="s">
        <v>1500</v>
      </c>
      <c r="B1410" t="s">
        <v>67</v>
      </c>
      <c r="C1410" t="s">
        <v>101</v>
      </c>
      <c r="D1410" t="s">
        <v>57</v>
      </c>
      <c r="E1410">
        <v>23</v>
      </c>
      <c r="F1410" s="3">
        <v>7.15</v>
      </c>
      <c r="G1410" s="4">
        <v>88.9</v>
      </c>
      <c r="H1410">
        <v>1</v>
      </c>
      <c r="I1410">
        <v>1</v>
      </c>
      <c r="J1410">
        <v>3</v>
      </c>
      <c r="K1410" s="4">
        <v>77.599999999999994</v>
      </c>
      <c r="L1410" s="4">
        <v>67.2</v>
      </c>
      <c r="M1410" s="4">
        <v>78.7</v>
      </c>
      <c r="N1410">
        <v>0</v>
      </c>
      <c r="O1410" t="s">
        <v>58</v>
      </c>
      <c r="P1410" t="s">
        <v>75</v>
      </c>
      <c r="Q1410" t="s">
        <v>71</v>
      </c>
      <c r="R1410" t="s">
        <v>109</v>
      </c>
      <c r="S1410" s="3">
        <v>6.75</v>
      </c>
      <c r="T1410" s="5">
        <v>45172</v>
      </c>
      <c r="U1410">
        <v>1</v>
      </c>
      <c r="V1410">
        <v>2023</v>
      </c>
      <c r="X1410">
        <f t="shared" ref="X1410:X1473" si="66">F1410-ROW()*0.0000001</f>
        <v>7.1498590000000002</v>
      </c>
      <c r="Y1410">
        <f t="shared" ref="Y1410:Y1473" si="67">S1410-ROW()*0.0000001</f>
        <v>6.7498589999999998</v>
      </c>
      <c r="Z1410">
        <f t="shared" ref="Z1410:Z1473" si="68">L1410-ROW()*0.0000001</f>
        <v>67.199859000000004</v>
      </c>
    </row>
    <row r="1411" spans="1:26" x14ac:dyDescent="0.3">
      <c r="A1411" t="s">
        <v>1501</v>
      </c>
      <c r="B1411" t="s">
        <v>107</v>
      </c>
      <c r="C1411" t="s">
        <v>84</v>
      </c>
      <c r="D1411" t="s">
        <v>57</v>
      </c>
      <c r="E1411">
        <v>20</v>
      </c>
      <c r="F1411" s="3">
        <v>7.81</v>
      </c>
      <c r="G1411" s="4">
        <v>92</v>
      </c>
      <c r="H1411">
        <v>3</v>
      </c>
      <c r="I1411">
        <v>1</v>
      </c>
      <c r="J1411">
        <v>1</v>
      </c>
      <c r="K1411" s="4">
        <v>65.7</v>
      </c>
      <c r="L1411" s="4">
        <v>80.599999999999994</v>
      </c>
      <c r="M1411" s="4">
        <v>77.099999999999994</v>
      </c>
      <c r="N1411">
        <v>0</v>
      </c>
      <c r="O1411" t="s">
        <v>58</v>
      </c>
      <c r="P1411" t="s">
        <v>87</v>
      </c>
      <c r="Q1411" t="s">
        <v>71</v>
      </c>
      <c r="R1411" t="s">
        <v>109</v>
      </c>
      <c r="S1411" s="3">
        <v>7.69</v>
      </c>
      <c r="T1411" s="5">
        <v>44492</v>
      </c>
      <c r="U1411">
        <v>1</v>
      </c>
      <c r="V1411">
        <v>2021</v>
      </c>
      <c r="X1411">
        <f t="shared" si="66"/>
        <v>7.8098589</v>
      </c>
      <c r="Y1411">
        <f t="shared" si="67"/>
        <v>7.6898589000000008</v>
      </c>
      <c r="Z1411">
        <f t="shared" si="68"/>
        <v>80.599858900000001</v>
      </c>
    </row>
    <row r="1412" spans="1:26" x14ac:dyDescent="0.3">
      <c r="A1412" t="s">
        <v>1502</v>
      </c>
      <c r="B1412" t="s">
        <v>67</v>
      </c>
      <c r="C1412" t="s">
        <v>74</v>
      </c>
      <c r="D1412" t="s">
        <v>69</v>
      </c>
      <c r="E1412">
        <v>23</v>
      </c>
      <c r="F1412" s="3">
        <v>8.26</v>
      </c>
      <c r="G1412" s="4">
        <v>94.2</v>
      </c>
      <c r="H1412">
        <v>2</v>
      </c>
      <c r="I1412">
        <v>1</v>
      </c>
      <c r="J1412">
        <v>5</v>
      </c>
      <c r="K1412" s="4">
        <v>62.7</v>
      </c>
      <c r="L1412" s="4">
        <v>75.099999999999994</v>
      </c>
      <c r="M1412" s="4">
        <v>72.599999999999994</v>
      </c>
      <c r="N1412">
        <v>0</v>
      </c>
      <c r="O1412" t="s">
        <v>58</v>
      </c>
      <c r="P1412" t="s">
        <v>87</v>
      </c>
      <c r="Q1412" t="s">
        <v>71</v>
      </c>
      <c r="R1412" t="s">
        <v>109</v>
      </c>
      <c r="S1412" s="3">
        <v>8.01</v>
      </c>
      <c r="T1412" s="5">
        <v>45205</v>
      </c>
      <c r="U1412">
        <v>1</v>
      </c>
      <c r="V1412">
        <v>2023</v>
      </c>
      <c r="X1412">
        <f t="shared" si="66"/>
        <v>8.2598587999999999</v>
      </c>
      <c r="Y1412">
        <f t="shared" si="67"/>
        <v>8.0098587999999999</v>
      </c>
      <c r="Z1412">
        <f t="shared" si="68"/>
        <v>75.099858799999993</v>
      </c>
    </row>
    <row r="1413" spans="1:26" x14ac:dyDescent="0.3">
      <c r="A1413" t="s">
        <v>1503</v>
      </c>
      <c r="B1413" t="s">
        <v>67</v>
      </c>
      <c r="C1413" t="s">
        <v>56</v>
      </c>
      <c r="D1413" t="s">
        <v>69</v>
      </c>
      <c r="E1413">
        <v>22</v>
      </c>
      <c r="F1413" s="3">
        <v>7.88</v>
      </c>
      <c r="G1413" s="4">
        <v>83.7</v>
      </c>
      <c r="H1413">
        <v>1</v>
      </c>
      <c r="I1413">
        <v>2</v>
      </c>
      <c r="J1413">
        <v>4</v>
      </c>
      <c r="K1413" s="4">
        <v>61.6</v>
      </c>
      <c r="L1413" s="4">
        <v>94.9</v>
      </c>
      <c r="M1413" s="4">
        <v>99.9</v>
      </c>
      <c r="N1413">
        <v>0</v>
      </c>
      <c r="O1413" t="s">
        <v>58</v>
      </c>
      <c r="P1413" t="s">
        <v>95</v>
      </c>
      <c r="Q1413" t="s">
        <v>93</v>
      </c>
      <c r="R1413" t="s">
        <v>130</v>
      </c>
      <c r="S1413" s="3">
        <v>5.62</v>
      </c>
      <c r="T1413" s="5">
        <v>45214</v>
      </c>
      <c r="U1413">
        <v>1</v>
      </c>
      <c r="V1413">
        <v>2023</v>
      </c>
      <c r="X1413">
        <f t="shared" si="66"/>
        <v>7.8798586999999998</v>
      </c>
      <c r="Y1413">
        <f t="shared" si="67"/>
        <v>5.6198587</v>
      </c>
      <c r="Z1413">
        <f t="shared" si="68"/>
        <v>94.89985870000001</v>
      </c>
    </row>
    <row r="1414" spans="1:26" x14ac:dyDescent="0.3">
      <c r="A1414" t="s">
        <v>1504</v>
      </c>
      <c r="B1414" t="s">
        <v>55</v>
      </c>
      <c r="C1414" t="s">
        <v>56</v>
      </c>
      <c r="D1414" t="s">
        <v>57</v>
      </c>
      <c r="E1414">
        <v>22</v>
      </c>
      <c r="F1414" s="3">
        <v>8.6300000000000008</v>
      </c>
      <c r="G1414" s="4">
        <v>89.7</v>
      </c>
      <c r="H1414">
        <v>2</v>
      </c>
      <c r="I1414">
        <v>3</v>
      </c>
      <c r="J1414">
        <v>6</v>
      </c>
      <c r="K1414" s="4">
        <v>76.8</v>
      </c>
      <c r="L1414" s="4">
        <v>78.900000000000006</v>
      </c>
      <c r="M1414" s="4">
        <v>71.400000000000006</v>
      </c>
      <c r="N1414">
        <v>0</v>
      </c>
      <c r="O1414" t="s">
        <v>64</v>
      </c>
      <c r="P1414" t="s">
        <v>65</v>
      </c>
      <c r="S1414" s="3">
        <v>0</v>
      </c>
      <c r="T1414" s="5"/>
      <c r="U1414">
        <v>0</v>
      </c>
      <c r="V1414">
        <v>2024</v>
      </c>
      <c r="X1414">
        <f t="shared" si="66"/>
        <v>8.6298586000000004</v>
      </c>
      <c r="Y1414">
        <f t="shared" si="67"/>
        <v>-1.4139999999999999E-4</v>
      </c>
      <c r="Z1414">
        <f t="shared" si="68"/>
        <v>78.899858600000002</v>
      </c>
    </row>
    <row r="1415" spans="1:26" x14ac:dyDescent="0.3">
      <c r="A1415" t="s">
        <v>1505</v>
      </c>
      <c r="B1415" t="s">
        <v>63</v>
      </c>
      <c r="C1415" t="s">
        <v>84</v>
      </c>
      <c r="D1415" t="s">
        <v>69</v>
      </c>
      <c r="E1415">
        <v>21</v>
      </c>
      <c r="F1415" s="3">
        <v>7.3</v>
      </c>
      <c r="G1415" s="4">
        <v>85</v>
      </c>
      <c r="H1415">
        <v>0</v>
      </c>
      <c r="I1415">
        <v>3</v>
      </c>
      <c r="J1415">
        <v>4</v>
      </c>
      <c r="K1415" s="4">
        <v>66</v>
      </c>
      <c r="L1415" s="4">
        <v>48.6</v>
      </c>
      <c r="M1415" s="4">
        <v>58.2</v>
      </c>
      <c r="N1415">
        <v>1</v>
      </c>
      <c r="O1415" t="s">
        <v>58</v>
      </c>
      <c r="P1415" t="s">
        <v>90</v>
      </c>
      <c r="Q1415" t="s">
        <v>60</v>
      </c>
      <c r="R1415" t="s">
        <v>76</v>
      </c>
      <c r="S1415" s="3">
        <v>5.42</v>
      </c>
      <c r="T1415" s="5">
        <v>45981</v>
      </c>
      <c r="U1415">
        <v>1</v>
      </c>
      <c r="V1415">
        <v>2025</v>
      </c>
      <c r="X1415">
        <f t="shared" si="66"/>
        <v>7.2998585</v>
      </c>
      <c r="Y1415">
        <f t="shared" si="67"/>
        <v>5.4198585000000001</v>
      </c>
      <c r="Z1415">
        <f t="shared" si="68"/>
        <v>48.599858500000003</v>
      </c>
    </row>
    <row r="1416" spans="1:26" x14ac:dyDescent="0.3">
      <c r="A1416" t="s">
        <v>1506</v>
      </c>
      <c r="B1416" t="s">
        <v>107</v>
      </c>
      <c r="C1416" t="s">
        <v>68</v>
      </c>
      <c r="D1416" t="s">
        <v>57</v>
      </c>
      <c r="E1416">
        <v>21</v>
      </c>
      <c r="F1416" s="3">
        <v>8.26</v>
      </c>
      <c r="G1416" s="4">
        <v>93.9</v>
      </c>
      <c r="H1416">
        <v>1</v>
      </c>
      <c r="I1416">
        <v>3</v>
      </c>
      <c r="J1416">
        <v>2</v>
      </c>
      <c r="K1416" s="4">
        <v>72.7</v>
      </c>
      <c r="L1416" s="4">
        <v>81.900000000000006</v>
      </c>
      <c r="M1416" s="4">
        <v>83.2</v>
      </c>
      <c r="N1416">
        <v>0</v>
      </c>
      <c r="O1416" t="s">
        <v>58</v>
      </c>
      <c r="P1416" t="s">
        <v>75</v>
      </c>
      <c r="Q1416" t="s">
        <v>71</v>
      </c>
      <c r="R1416" t="s">
        <v>130</v>
      </c>
      <c r="S1416" s="3">
        <v>6.23</v>
      </c>
      <c r="T1416" s="5">
        <v>44511</v>
      </c>
      <c r="U1416">
        <v>1</v>
      </c>
      <c r="V1416">
        <v>2021</v>
      </c>
      <c r="X1416">
        <f t="shared" si="66"/>
        <v>8.2598584000000006</v>
      </c>
      <c r="Y1416">
        <f t="shared" si="67"/>
        <v>6.2298584000000004</v>
      </c>
      <c r="Z1416">
        <f t="shared" si="68"/>
        <v>81.899858399999999</v>
      </c>
    </row>
    <row r="1417" spans="1:26" x14ac:dyDescent="0.3">
      <c r="A1417" t="s">
        <v>1507</v>
      </c>
      <c r="B1417" t="s">
        <v>67</v>
      </c>
      <c r="C1417" t="s">
        <v>74</v>
      </c>
      <c r="D1417" t="s">
        <v>57</v>
      </c>
      <c r="E1417">
        <v>21</v>
      </c>
      <c r="F1417" s="3">
        <v>6.03</v>
      </c>
      <c r="G1417" s="4">
        <v>66.2</v>
      </c>
      <c r="H1417">
        <v>2</v>
      </c>
      <c r="I1417">
        <v>2</v>
      </c>
      <c r="J1417">
        <v>4</v>
      </c>
      <c r="K1417" s="4">
        <v>57.6</v>
      </c>
      <c r="L1417" s="4">
        <v>52.9</v>
      </c>
      <c r="M1417" s="4">
        <v>79.5</v>
      </c>
      <c r="N1417">
        <v>0</v>
      </c>
      <c r="O1417" t="s">
        <v>58</v>
      </c>
      <c r="P1417" t="s">
        <v>70</v>
      </c>
      <c r="Q1417" t="s">
        <v>71</v>
      </c>
      <c r="R1417" t="s">
        <v>130</v>
      </c>
      <c r="S1417" s="3">
        <v>4.2699999999999996</v>
      </c>
      <c r="T1417" s="5">
        <v>45150</v>
      </c>
      <c r="U1417">
        <v>1</v>
      </c>
      <c r="V1417">
        <v>2023</v>
      </c>
      <c r="X1417">
        <f t="shared" si="66"/>
        <v>6.0298582999999999</v>
      </c>
      <c r="Y1417">
        <f t="shared" si="67"/>
        <v>4.2698582999999992</v>
      </c>
      <c r="Z1417">
        <f t="shared" si="68"/>
        <v>52.899858299999998</v>
      </c>
    </row>
    <row r="1418" spans="1:26" x14ac:dyDescent="0.3">
      <c r="A1418" t="s">
        <v>1508</v>
      </c>
      <c r="B1418" t="s">
        <v>107</v>
      </c>
      <c r="C1418" t="s">
        <v>68</v>
      </c>
      <c r="D1418" t="s">
        <v>57</v>
      </c>
      <c r="E1418">
        <v>21</v>
      </c>
      <c r="F1418" s="3">
        <v>8.86</v>
      </c>
      <c r="G1418" s="4">
        <v>79.2</v>
      </c>
      <c r="H1418">
        <v>1</v>
      </c>
      <c r="I1418">
        <v>1</v>
      </c>
      <c r="J1418">
        <v>1</v>
      </c>
      <c r="K1418" s="4">
        <v>69</v>
      </c>
      <c r="L1418" s="4">
        <v>61.7</v>
      </c>
      <c r="M1418" s="4">
        <v>60.8</v>
      </c>
      <c r="N1418">
        <v>0</v>
      </c>
      <c r="O1418" t="s">
        <v>58</v>
      </c>
      <c r="P1418" t="s">
        <v>90</v>
      </c>
      <c r="Q1418" t="s">
        <v>60</v>
      </c>
      <c r="R1418" t="s">
        <v>76</v>
      </c>
      <c r="S1418" s="3">
        <v>9.11</v>
      </c>
      <c r="T1418" s="5">
        <v>44450</v>
      </c>
      <c r="U1418">
        <v>1</v>
      </c>
      <c r="V1418">
        <v>2021</v>
      </c>
      <c r="X1418">
        <f t="shared" si="66"/>
        <v>8.8598581999999997</v>
      </c>
      <c r="Y1418">
        <f t="shared" si="67"/>
        <v>9.1098581999999997</v>
      </c>
      <c r="Z1418">
        <f t="shared" si="68"/>
        <v>61.699858200000001</v>
      </c>
    </row>
    <row r="1419" spans="1:26" x14ac:dyDescent="0.3">
      <c r="A1419" t="s">
        <v>1509</v>
      </c>
      <c r="B1419" t="s">
        <v>82</v>
      </c>
      <c r="C1419" t="s">
        <v>74</v>
      </c>
      <c r="D1419" t="s">
        <v>69</v>
      </c>
      <c r="E1419">
        <v>22</v>
      </c>
      <c r="F1419" s="3">
        <v>8.66</v>
      </c>
      <c r="G1419" s="4">
        <v>85.7</v>
      </c>
      <c r="H1419">
        <v>1</v>
      </c>
      <c r="I1419">
        <v>3</v>
      </c>
      <c r="J1419">
        <v>4</v>
      </c>
      <c r="K1419" s="4">
        <v>52.6</v>
      </c>
      <c r="L1419" s="4">
        <v>86.5</v>
      </c>
      <c r="M1419" s="4">
        <v>69.2</v>
      </c>
      <c r="N1419">
        <v>0</v>
      </c>
      <c r="O1419" t="s">
        <v>58</v>
      </c>
      <c r="P1419" t="s">
        <v>90</v>
      </c>
      <c r="Q1419" t="s">
        <v>60</v>
      </c>
      <c r="R1419" t="s">
        <v>109</v>
      </c>
      <c r="S1419" s="3">
        <v>10.65</v>
      </c>
      <c r="T1419" s="5">
        <v>44859</v>
      </c>
      <c r="U1419">
        <v>1</v>
      </c>
      <c r="V1419">
        <v>2022</v>
      </c>
      <c r="X1419">
        <f t="shared" si="66"/>
        <v>8.659858100000001</v>
      </c>
      <c r="Y1419">
        <f t="shared" si="67"/>
        <v>10.649858100000001</v>
      </c>
      <c r="Z1419">
        <f t="shared" si="68"/>
        <v>86.499858099999997</v>
      </c>
    </row>
    <row r="1420" spans="1:26" x14ac:dyDescent="0.3">
      <c r="A1420" t="s">
        <v>1510</v>
      </c>
      <c r="B1420" t="s">
        <v>55</v>
      </c>
      <c r="C1420" t="s">
        <v>68</v>
      </c>
      <c r="D1420" t="s">
        <v>57</v>
      </c>
      <c r="E1420">
        <v>21</v>
      </c>
      <c r="F1420" s="3">
        <v>7.38</v>
      </c>
      <c r="G1420" s="4">
        <v>87.1</v>
      </c>
      <c r="H1420">
        <v>2</v>
      </c>
      <c r="I1420">
        <v>0</v>
      </c>
      <c r="J1420">
        <v>3</v>
      </c>
      <c r="K1420" s="4">
        <v>59.8</v>
      </c>
      <c r="L1420" s="4">
        <v>84.8</v>
      </c>
      <c r="M1420" s="4">
        <v>76</v>
      </c>
      <c r="N1420">
        <v>1</v>
      </c>
      <c r="O1420" t="s">
        <v>58</v>
      </c>
      <c r="P1420" t="s">
        <v>112</v>
      </c>
      <c r="Q1420" t="s">
        <v>93</v>
      </c>
      <c r="R1420" t="s">
        <v>109</v>
      </c>
      <c r="S1420" s="3">
        <v>8.17</v>
      </c>
      <c r="T1420" s="5">
        <v>45603</v>
      </c>
      <c r="U1420">
        <v>1</v>
      </c>
      <c r="V1420">
        <v>2024</v>
      </c>
      <c r="X1420">
        <f t="shared" si="66"/>
        <v>7.3798579999999996</v>
      </c>
      <c r="Y1420">
        <f t="shared" si="67"/>
        <v>8.1698579999999996</v>
      </c>
      <c r="Z1420">
        <f t="shared" si="68"/>
        <v>84.799858</v>
      </c>
    </row>
    <row r="1421" spans="1:26" x14ac:dyDescent="0.3">
      <c r="A1421" t="s">
        <v>1511</v>
      </c>
      <c r="B1421" t="s">
        <v>82</v>
      </c>
      <c r="C1421" t="s">
        <v>101</v>
      </c>
      <c r="D1421" t="s">
        <v>57</v>
      </c>
      <c r="E1421">
        <v>23</v>
      </c>
      <c r="F1421" s="3">
        <v>8.0399999999999991</v>
      </c>
      <c r="G1421" s="4">
        <v>81.8</v>
      </c>
      <c r="H1421">
        <v>1</v>
      </c>
      <c r="I1421">
        <v>3</v>
      </c>
      <c r="J1421">
        <v>4</v>
      </c>
      <c r="K1421" s="4">
        <v>68.7</v>
      </c>
      <c r="L1421" s="4">
        <v>70.599999999999994</v>
      </c>
      <c r="M1421" s="4">
        <v>67.2</v>
      </c>
      <c r="N1421">
        <v>0</v>
      </c>
      <c r="O1421" t="s">
        <v>58</v>
      </c>
      <c r="P1421" t="s">
        <v>79</v>
      </c>
      <c r="Q1421" t="s">
        <v>71</v>
      </c>
      <c r="R1421" t="s">
        <v>130</v>
      </c>
      <c r="S1421" s="3">
        <v>6.91</v>
      </c>
      <c r="T1421" s="5">
        <v>44877</v>
      </c>
      <c r="U1421">
        <v>3</v>
      </c>
      <c r="V1421">
        <v>2022</v>
      </c>
      <c r="X1421">
        <f t="shared" si="66"/>
        <v>8.0398578999999994</v>
      </c>
      <c r="Y1421">
        <f t="shared" si="67"/>
        <v>6.9098579000000004</v>
      </c>
      <c r="Z1421">
        <f t="shared" si="68"/>
        <v>70.599857899999989</v>
      </c>
    </row>
    <row r="1422" spans="1:26" x14ac:dyDescent="0.3">
      <c r="A1422" t="s">
        <v>1512</v>
      </c>
      <c r="B1422" t="s">
        <v>107</v>
      </c>
      <c r="C1422" t="s">
        <v>89</v>
      </c>
      <c r="D1422" t="s">
        <v>57</v>
      </c>
      <c r="E1422">
        <v>20</v>
      </c>
      <c r="F1422" s="3">
        <v>8.4499999999999993</v>
      </c>
      <c r="G1422" s="4">
        <v>67</v>
      </c>
      <c r="H1422">
        <v>0</v>
      </c>
      <c r="I1422">
        <v>3</v>
      </c>
      <c r="J1422">
        <v>4</v>
      </c>
      <c r="K1422" s="4">
        <v>57.6</v>
      </c>
      <c r="L1422" s="4">
        <v>59.1</v>
      </c>
      <c r="M1422" s="4">
        <v>85</v>
      </c>
      <c r="N1422">
        <v>0</v>
      </c>
      <c r="O1422" t="s">
        <v>58</v>
      </c>
      <c r="P1422" t="s">
        <v>59</v>
      </c>
      <c r="Q1422" t="s">
        <v>60</v>
      </c>
      <c r="R1422" t="s">
        <v>72</v>
      </c>
      <c r="S1422" s="3">
        <v>18.670000000000002</v>
      </c>
      <c r="T1422" s="5">
        <v>44439</v>
      </c>
      <c r="U1422">
        <v>1</v>
      </c>
      <c r="V1422">
        <v>2021</v>
      </c>
      <c r="X1422">
        <f t="shared" si="66"/>
        <v>8.4498577999999984</v>
      </c>
      <c r="Y1422">
        <f t="shared" si="67"/>
        <v>18.669857800000003</v>
      </c>
      <c r="Z1422">
        <f t="shared" si="68"/>
        <v>59.099857800000002</v>
      </c>
    </row>
    <row r="1423" spans="1:26" x14ac:dyDescent="0.3">
      <c r="A1423" t="s">
        <v>1513</v>
      </c>
      <c r="B1423" t="s">
        <v>107</v>
      </c>
      <c r="C1423" t="s">
        <v>78</v>
      </c>
      <c r="D1423" t="s">
        <v>69</v>
      </c>
      <c r="E1423">
        <v>22</v>
      </c>
      <c r="F1423" s="3">
        <v>6.72</v>
      </c>
      <c r="G1423" s="4">
        <v>80.400000000000006</v>
      </c>
      <c r="H1423">
        <v>1</v>
      </c>
      <c r="I1423">
        <v>2</v>
      </c>
      <c r="J1423">
        <v>3</v>
      </c>
      <c r="K1423" s="4">
        <v>62.4</v>
      </c>
      <c r="L1423" s="4">
        <v>67</v>
      </c>
      <c r="M1423" s="4">
        <v>64.7</v>
      </c>
      <c r="N1423">
        <v>0</v>
      </c>
      <c r="O1423" t="s">
        <v>58</v>
      </c>
      <c r="P1423" t="s">
        <v>90</v>
      </c>
      <c r="Q1423" t="s">
        <v>60</v>
      </c>
      <c r="R1423" t="s">
        <v>85</v>
      </c>
      <c r="S1423" s="3">
        <v>6.6</v>
      </c>
      <c r="T1423" s="5">
        <v>44528</v>
      </c>
      <c r="U1423">
        <v>1</v>
      </c>
      <c r="V1423">
        <v>2021</v>
      </c>
      <c r="X1423">
        <f t="shared" si="66"/>
        <v>6.7198576999999995</v>
      </c>
      <c r="Y1423">
        <f t="shared" si="67"/>
        <v>6.5998576999999994</v>
      </c>
      <c r="Z1423">
        <f t="shared" si="68"/>
        <v>66.999857700000007</v>
      </c>
    </row>
    <row r="1424" spans="1:26" x14ac:dyDescent="0.3">
      <c r="A1424" t="s">
        <v>1514</v>
      </c>
      <c r="B1424" t="s">
        <v>63</v>
      </c>
      <c r="C1424" t="s">
        <v>74</v>
      </c>
      <c r="D1424" t="s">
        <v>57</v>
      </c>
      <c r="E1424">
        <v>21</v>
      </c>
      <c r="F1424" s="3">
        <v>7.52</v>
      </c>
      <c r="G1424" s="4">
        <v>89.3</v>
      </c>
      <c r="H1424">
        <v>3</v>
      </c>
      <c r="I1424">
        <v>0</v>
      </c>
      <c r="J1424">
        <v>2</v>
      </c>
      <c r="K1424" s="4">
        <v>78.599999999999994</v>
      </c>
      <c r="L1424" s="4">
        <v>68.3</v>
      </c>
      <c r="M1424" s="4">
        <v>71</v>
      </c>
      <c r="N1424">
        <v>0</v>
      </c>
      <c r="O1424" t="s">
        <v>58</v>
      </c>
      <c r="P1424" t="s">
        <v>70</v>
      </c>
      <c r="Q1424" t="s">
        <v>71</v>
      </c>
      <c r="R1424" t="s">
        <v>109</v>
      </c>
      <c r="S1424" s="3">
        <v>6.44</v>
      </c>
      <c r="T1424" s="5">
        <v>45940</v>
      </c>
      <c r="U1424">
        <v>2</v>
      </c>
      <c r="V1424">
        <v>2025</v>
      </c>
      <c r="X1424">
        <f t="shared" si="66"/>
        <v>7.5198575999999999</v>
      </c>
      <c r="Y1424">
        <f t="shared" si="67"/>
        <v>6.4398576000000007</v>
      </c>
      <c r="Z1424">
        <f t="shared" si="68"/>
        <v>68.299857599999996</v>
      </c>
    </row>
    <row r="1425" spans="1:26" x14ac:dyDescent="0.3">
      <c r="A1425" t="s">
        <v>1515</v>
      </c>
      <c r="B1425" t="s">
        <v>67</v>
      </c>
      <c r="C1425" t="s">
        <v>78</v>
      </c>
      <c r="D1425" t="s">
        <v>57</v>
      </c>
      <c r="E1425">
        <v>22</v>
      </c>
      <c r="F1425" s="3">
        <v>6.47</v>
      </c>
      <c r="G1425" s="4">
        <v>79.2</v>
      </c>
      <c r="H1425">
        <v>2</v>
      </c>
      <c r="I1425">
        <v>5</v>
      </c>
      <c r="J1425">
        <v>3</v>
      </c>
      <c r="K1425" s="4">
        <v>63.8</v>
      </c>
      <c r="L1425" s="4">
        <v>61.5</v>
      </c>
      <c r="M1425" s="4">
        <v>68.900000000000006</v>
      </c>
      <c r="N1425">
        <v>0</v>
      </c>
      <c r="O1425" t="s">
        <v>58</v>
      </c>
      <c r="P1425" t="s">
        <v>92</v>
      </c>
      <c r="Q1425" t="s">
        <v>93</v>
      </c>
      <c r="R1425" t="s">
        <v>130</v>
      </c>
      <c r="S1425" s="3">
        <v>7.46</v>
      </c>
      <c r="T1425" s="5">
        <v>45147</v>
      </c>
      <c r="U1425">
        <v>3</v>
      </c>
      <c r="V1425">
        <v>2023</v>
      </c>
      <c r="X1425">
        <f t="shared" si="66"/>
        <v>6.4698574999999998</v>
      </c>
      <c r="Y1425">
        <f t="shared" si="67"/>
        <v>7.4598575</v>
      </c>
      <c r="Z1425">
        <f t="shared" si="68"/>
        <v>61.499857499999997</v>
      </c>
    </row>
    <row r="1426" spans="1:26" x14ac:dyDescent="0.3">
      <c r="A1426" t="s">
        <v>1516</v>
      </c>
      <c r="B1426" t="s">
        <v>67</v>
      </c>
      <c r="C1426" t="s">
        <v>78</v>
      </c>
      <c r="D1426" t="s">
        <v>57</v>
      </c>
      <c r="E1426">
        <v>21</v>
      </c>
      <c r="F1426" s="3">
        <v>8.67</v>
      </c>
      <c r="G1426" s="4">
        <v>82.8</v>
      </c>
      <c r="H1426">
        <v>1</v>
      </c>
      <c r="I1426">
        <v>3</v>
      </c>
      <c r="J1426">
        <v>6</v>
      </c>
      <c r="K1426" s="4">
        <v>62.9</v>
      </c>
      <c r="L1426" s="4">
        <v>87</v>
      </c>
      <c r="M1426" s="4">
        <v>79.400000000000006</v>
      </c>
      <c r="N1426">
        <v>1</v>
      </c>
      <c r="O1426" t="s">
        <v>58</v>
      </c>
      <c r="P1426" t="s">
        <v>104</v>
      </c>
      <c r="Q1426" t="s">
        <v>105</v>
      </c>
      <c r="R1426" t="s">
        <v>80</v>
      </c>
      <c r="S1426" s="3">
        <v>15.86</v>
      </c>
      <c r="T1426" s="5">
        <v>45189</v>
      </c>
      <c r="U1426">
        <v>1</v>
      </c>
      <c r="V1426">
        <v>2023</v>
      </c>
      <c r="X1426">
        <f t="shared" si="66"/>
        <v>8.6698573999999997</v>
      </c>
      <c r="Y1426">
        <f t="shared" si="67"/>
        <v>15.859857399999999</v>
      </c>
      <c r="Z1426">
        <f t="shared" si="68"/>
        <v>86.999857399999996</v>
      </c>
    </row>
    <row r="1427" spans="1:26" x14ac:dyDescent="0.3">
      <c r="A1427" t="s">
        <v>1517</v>
      </c>
      <c r="B1427" t="s">
        <v>82</v>
      </c>
      <c r="C1427" t="s">
        <v>56</v>
      </c>
      <c r="D1427" t="s">
        <v>69</v>
      </c>
      <c r="E1427">
        <v>22</v>
      </c>
      <c r="F1427" s="3">
        <v>8.39</v>
      </c>
      <c r="G1427" s="4">
        <v>99.2</v>
      </c>
      <c r="H1427">
        <v>0</v>
      </c>
      <c r="I1427">
        <v>3</v>
      </c>
      <c r="J1427">
        <v>3</v>
      </c>
      <c r="K1427" s="4">
        <v>55.6</v>
      </c>
      <c r="L1427" s="4">
        <v>63.8</v>
      </c>
      <c r="M1427" s="4">
        <v>81.599999999999994</v>
      </c>
      <c r="N1427">
        <v>0</v>
      </c>
      <c r="O1427" t="s">
        <v>58</v>
      </c>
      <c r="P1427" t="s">
        <v>95</v>
      </c>
      <c r="Q1427" t="s">
        <v>93</v>
      </c>
      <c r="R1427" t="s">
        <v>72</v>
      </c>
      <c r="S1427" s="3">
        <v>5.2</v>
      </c>
      <c r="T1427" s="5">
        <v>44810</v>
      </c>
      <c r="U1427">
        <v>3</v>
      </c>
      <c r="V1427">
        <v>2022</v>
      </c>
      <c r="X1427">
        <f t="shared" si="66"/>
        <v>8.389857300000001</v>
      </c>
      <c r="Y1427">
        <f t="shared" si="67"/>
        <v>5.1998573000000006</v>
      </c>
      <c r="Z1427">
        <f t="shared" si="68"/>
        <v>63.799857299999999</v>
      </c>
    </row>
    <row r="1428" spans="1:26" x14ac:dyDescent="0.3">
      <c r="A1428" t="s">
        <v>1518</v>
      </c>
      <c r="B1428" t="s">
        <v>55</v>
      </c>
      <c r="C1428" t="s">
        <v>89</v>
      </c>
      <c r="D1428" t="s">
        <v>69</v>
      </c>
      <c r="E1428">
        <v>21</v>
      </c>
      <c r="F1428" s="3">
        <v>7.4</v>
      </c>
      <c r="G1428" s="4">
        <v>80.3</v>
      </c>
      <c r="H1428">
        <v>2</v>
      </c>
      <c r="I1428">
        <v>0</v>
      </c>
      <c r="J1428">
        <v>5</v>
      </c>
      <c r="K1428" s="4">
        <v>60.7</v>
      </c>
      <c r="L1428" s="4">
        <v>66.099999999999994</v>
      </c>
      <c r="M1428" s="4">
        <v>79.400000000000006</v>
      </c>
      <c r="N1428">
        <v>0</v>
      </c>
      <c r="O1428" t="s">
        <v>58</v>
      </c>
      <c r="P1428" t="s">
        <v>90</v>
      </c>
      <c r="Q1428" t="s">
        <v>60</v>
      </c>
      <c r="R1428" t="s">
        <v>80</v>
      </c>
      <c r="S1428" s="3">
        <v>8.4700000000000006</v>
      </c>
      <c r="T1428" s="5">
        <v>45526</v>
      </c>
      <c r="U1428">
        <v>1</v>
      </c>
      <c r="V1428">
        <v>2024</v>
      </c>
      <c r="X1428">
        <f t="shared" si="66"/>
        <v>7.3998572000000005</v>
      </c>
      <c r="Y1428">
        <f t="shared" si="67"/>
        <v>8.4698571999999999</v>
      </c>
      <c r="Z1428">
        <f t="shared" si="68"/>
        <v>66.099857199999988</v>
      </c>
    </row>
    <row r="1429" spans="1:26" x14ac:dyDescent="0.3">
      <c r="A1429" t="s">
        <v>1519</v>
      </c>
      <c r="B1429" t="s">
        <v>67</v>
      </c>
      <c r="C1429" t="s">
        <v>74</v>
      </c>
      <c r="D1429" t="s">
        <v>57</v>
      </c>
      <c r="E1429">
        <v>20</v>
      </c>
      <c r="F1429" s="3">
        <v>7.29</v>
      </c>
      <c r="G1429" s="4">
        <v>80.599999999999994</v>
      </c>
      <c r="H1429">
        <v>2</v>
      </c>
      <c r="I1429">
        <v>1</v>
      </c>
      <c r="J1429">
        <v>2</v>
      </c>
      <c r="K1429" s="4">
        <v>67.900000000000006</v>
      </c>
      <c r="L1429" s="4">
        <v>66.5</v>
      </c>
      <c r="M1429" s="4">
        <v>51.8</v>
      </c>
      <c r="N1429">
        <v>0</v>
      </c>
      <c r="O1429" t="s">
        <v>58</v>
      </c>
      <c r="P1429" t="s">
        <v>70</v>
      </c>
      <c r="Q1429" t="s">
        <v>71</v>
      </c>
      <c r="R1429" t="s">
        <v>130</v>
      </c>
      <c r="S1429" s="3">
        <v>5.98</v>
      </c>
      <c r="T1429" s="5">
        <v>45147</v>
      </c>
      <c r="U1429">
        <v>2</v>
      </c>
      <c r="V1429">
        <v>2023</v>
      </c>
      <c r="X1429">
        <f t="shared" si="66"/>
        <v>7.2898570999999999</v>
      </c>
      <c r="Y1429">
        <f t="shared" si="67"/>
        <v>5.9798571000000003</v>
      </c>
      <c r="Z1429">
        <f t="shared" si="68"/>
        <v>66.4998571</v>
      </c>
    </row>
    <row r="1430" spans="1:26" x14ac:dyDescent="0.3">
      <c r="A1430" t="s">
        <v>1520</v>
      </c>
      <c r="B1430" t="s">
        <v>63</v>
      </c>
      <c r="C1430" t="s">
        <v>101</v>
      </c>
      <c r="D1430" t="s">
        <v>69</v>
      </c>
      <c r="E1430">
        <v>21</v>
      </c>
      <c r="F1430" s="3">
        <v>7.52</v>
      </c>
      <c r="G1430" s="4">
        <v>83.7</v>
      </c>
      <c r="H1430">
        <v>1</v>
      </c>
      <c r="I1430">
        <v>0</v>
      </c>
      <c r="J1430">
        <v>3</v>
      </c>
      <c r="K1430" s="4">
        <v>76.900000000000006</v>
      </c>
      <c r="L1430" s="4">
        <v>80.5</v>
      </c>
      <c r="M1430" s="4">
        <v>76</v>
      </c>
      <c r="N1430">
        <v>0</v>
      </c>
      <c r="O1430" t="s">
        <v>58</v>
      </c>
      <c r="P1430" t="s">
        <v>104</v>
      </c>
      <c r="Q1430" t="s">
        <v>105</v>
      </c>
      <c r="R1430" t="s">
        <v>72</v>
      </c>
      <c r="S1430" s="3">
        <v>16.54</v>
      </c>
      <c r="T1430" s="5">
        <v>45949</v>
      </c>
      <c r="U1430">
        <v>1</v>
      </c>
      <c r="V1430">
        <v>2025</v>
      </c>
      <c r="X1430">
        <f t="shared" si="66"/>
        <v>7.519857</v>
      </c>
      <c r="Y1430">
        <f t="shared" si="67"/>
        <v>16.539856999999998</v>
      </c>
      <c r="Z1430">
        <f t="shared" si="68"/>
        <v>80.499857000000006</v>
      </c>
    </row>
    <row r="1431" spans="1:26" x14ac:dyDescent="0.3">
      <c r="A1431" t="s">
        <v>1521</v>
      </c>
      <c r="B1431" t="s">
        <v>82</v>
      </c>
      <c r="C1431" t="s">
        <v>68</v>
      </c>
      <c r="D1431" t="s">
        <v>57</v>
      </c>
      <c r="E1431">
        <v>23</v>
      </c>
      <c r="F1431" s="3">
        <v>6.84</v>
      </c>
      <c r="G1431" s="4">
        <v>84.1</v>
      </c>
      <c r="H1431">
        <v>1</v>
      </c>
      <c r="I1431">
        <v>1</v>
      </c>
      <c r="J1431">
        <v>4</v>
      </c>
      <c r="K1431" s="4">
        <v>46.5</v>
      </c>
      <c r="L1431" s="4">
        <v>73.8</v>
      </c>
      <c r="M1431" s="4">
        <v>79.7</v>
      </c>
      <c r="N1431">
        <v>0</v>
      </c>
      <c r="O1431" t="s">
        <v>58</v>
      </c>
      <c r="P1431" t="s">
        <v>87</v>
      </c>
      <c r="Q1431" t="s">
        <v>71</v>
      </c>
      <c r="R1431" t="s">
        <v>72</v>
      </c>
      <c r="S1431" s="3">
        <v>6.86</v>
      </c>
      <c r="T1431" s="5">
        <v>44889</v>
      </c>
      <c r="U1431">
        <v>2</v>
      </c>
      <c r="V1431">
        <v>2022</v>
      </c>
      <c r="X1431">
        <f t="shared" si="66"/>
        <v>6.8398569</v>
      </c>
      <c r="Y1431">
        <f t="shared" si="67"/>
        <v>6.8598569000000005</v>
      </c>
      <c r="Z1431">
        <f t="shared" si="68"/>
        <v>73.799856899999995</v>
      </c>
    </row>
    <row r="1432" spans="1:26" x14ac:dyDescent="0.3">
      <c r="A1432" t="s">
        <v>1522</v>
      </c>
      <c r="B1432" t="s">
        <v>82</v>
      </c>
      <c r="C1432" t="s">
        <v>84</v>
      </c>
      <c r="D1432" t="s">
        <v>69</v>
      </c>
      <c r="E1432">
        <v>22</v>
      </c>
      <c r="F1432" s="3">
        <v>7.49</v>
      </c>
      <c r="G1432" s="4">
        <v>83.2</v>
      </c>
      <c r="H1432">
        <v>3</v>
      </c>
      <c r="I1432">
        <v>2</v>
      </c>
      <c r="J1432">
        <v>5</v>
      </c>
      <c r="K1432" s="4">
        <v>79.3</v>
      </c>
      <c r="L1432" s="4">
        <v>73.3</v>
      </c>
      <c r="M1432" s="4">
        <v>81.099999999999994</v>
      </c>
      <c r="N1432">
        <v>2</v>
      </c>
      <c r="O1432" t="s">
        <v>64</v>
      </c>
      <c r="P1432" t="s">
        <v>65</v>
      </c>
      <c r="S1432" s="3">
        <v>0</v>
      </c>
      <c r="T1432" s="5"/>
      <c r="U1432">
        <v>0</v>
      </c>
      <c r="V1432">
        <v>2022</v>
      </c>
      <c r="X1432">
        <f t="shared" si="66"/>
        <v>7.4898568000000001</v>
      </c>
      <c r="Y1432">
        <f t="shared" si="67"/>
        <v>-1.4319999999999998E-4</v>
      </c>
      <c r="Z1432">
        <f t="shared" si="68"/>
        <v>73.299856800000001</v>
      </c>
    </row>
    <row r="1433" spans="1:26" x14ac:dyDescent="0.3">
      <c r="A1433" t="s">
        <v>1523</v>
      </c>
      <c r="B1433" t="s">
        <v>63</v>
      </c>
      <c r="C1433" t="s">
        <v>56</v>
      </c>
      <c r="D1433" t="s">
        <v>69</v>
      </c>
      <c r="E1433">
        <v>22</v>
      </c>
      <c r="F1433" s="3">
        <v>6.72</v>
      </c>
      <c r="G1433" s="4">
        <v>85.5</v>
      </c>
      <c r="H1433">
        <v>1</v>
      </c>
      <c r="I1433">
        <v>4</v>
      </c>
      <c r="J1433">
        <v>4</v>
      </c>
      <c r="K1433" s="4">
        <v>62.7</v>
      </c>
      <c r="L1433" s="4">
        <v>55.9</v>
      </c>
      <c r="M1433" s="4">
        <v>71.900000000000006</v>
      </c>
      <c r="N1433">
        <v>0</v>
      </c>
      <c r="O1433" t="s">
        <v>58</v>
      </c>
      <c r="P1433" t="s">
        <v>112</v>
      </c>
      <c r="Q1433" t="s">
        <v>93</v>
      </c>
      <c r="R1433" t="s">
        <v>85</v>
      </c>
      <c r="S1433" s="3">
        <v>7.91</v>
      </c>
      <c r="T1433" s="5">
        <v>45932</v>
      </c>
      <c r="U1433">
        <v>3</v>
      </c>
      <c r="V1433">
        <v>2025</v>
      </c>
      <c r="X1433">
        <f t="shared" si="66"/>
        <v>6.7198566999999993</v>
      </c>
      <c r="Y1433">
        <f t="shared" si="67"/>
        <v>7.9098566999999997</v>
      </c>
      <c r="Z1433">
        <f t="shared" si="68"/>
        <v>55.899856700000001</v>
      </c>
    </row>
    <row r="1434" spans="1:26" x14ac:dyDescent="0.3">
      <c r="A1434" t="s">
        <v>1524</v>
      </c>
      <c r="B1434" t="s">
        <v>55</v>
      </c>
      <c r="C1434" t="s">
        <v>101</v>
      </c>
      <c r="D1434" t="s">
        <v>57</v>
      </c>
      <c r="E1434">
        <v>23</v>
      </c>
      <c r="F1434" s="3">
        <v>8.4600000000000009</v>
      </c>
      <c r="G1434" s="4">
        <v>71.3</v>
      </c>
      <c r="H1434">
        <v>1</v>
      </c>
      <c r="I1434">
        <v>1</v>
      </c>
      <c r="J1434">
        <v>4</v>
      </c>
      <c r="K1434" s="4">
        <v>66.7</v>
      </c>
      <c r="L1434" s="4">
        <v>73.5</v>
      </c>
      <c r="M1434" s="4">
        <v>74.3</v>
      </c>
      <c r="N1434">
        <v>0</v>
      </c>
      <c r="O1434" t="s">
        <v>58</v>
      </c>
      <c r="P1434" t="s">
        <v>95</v>
      </c>
      <c r="Q1434" t="s">
        <v>93</v>
      </c>
      <c r="R1434" t="s">
        <v>109</v>
      </c>
      <c r="S1434" s="3">
        <v>6.68</v>
      </c>
      <c r="T1434" s="5">
        <v>45589</v>
      </c>
      <c r="U1434">
        <v>1</v>
      </c>
      <c r="V1434">
        <v>2024</v>
      </c>
      <c r="X1434">
        <f t="shared" si="66"/>
        <v>8.4598566000000002</v>
      </c>
      <c r="Y1434">
        <f t="shared" si="67"/>
        <v>6.6798565999999999</v>
      </c>
      <c r="Z1434">
        <f t="shared" si="68"/>
        <v>73.499856600000001</v>
      </c>
    </row>
    <row r="1435" spans="1:26" x14ac:dyDescent="0.3">
      <c r="A1435" t="s">
        <v>1525</v>
      </c>
      <c r="B1435" t="s">
        <v>63</v>
      </c>
      <c r="C1435" t="s">
        <v>78</v>
      </c>
      <c r="D1435" t="s">
        <v>57</v>
      </c>
      <c r="E1435">
        <v>23</v>
      </c>
      <c r="F1435" s="3">
        <v>8.67</v>
      </c>
      <c r="G1435" s="4">
        <v>80.900000000000006</v>
      </c>
      <c r="H1435">
        <v>2</v>
      </c>
      <c r="I1435">
        <v>2</v>
      </c>
      <c r="J1435">
        <v>5</v>
      </c>
      <c r="K1435" s="4">
        <v>77.900000000000006</v>
      </c>
      <c r="L1435" s="4">
        <v>81.2</v>
      </c>
      <c r="M1435" s="4">
        <v>67.2</v>
      </c>
      <c r="N1435">
        <v>0</v>
      </c>
      <c r="O1435" t="s">
        <v>64</v>
      </c>
      <c r="P1435" t="s">
        <v>65</v>
      </c>
      <c r="S1435" s="3">
        <v>0</v>
      </c>
      <c r="T1435" s="5"/>
      <c r="U1435">
        <v>0</v>
      </c>
      <c r="V1435">
        <v>2025</v>
      </c>
      <c r="X1435">
        <f t="shared" si="66"/>
        <v>8.6698564999999999</v>
      </c>
      <c r="Y1435">
        <f t="shared" si="67"/>
        <v>-1.4349999999999999E-4</v>
      </c>
      <c r="Z1435">
        <f t="shared" si="68"/>
        <v>81.19985650000001</v>
      </c>
    </row>
    <row r="1436" spans="1:26" x14ac:dyDescent="0.3">
      <c r="A1436" t="s">
        <v>1526</v>
      </c>
      <c r="B1436" t="s">
        <v>55</v>
      </c>
      <c r="C1436" t="s">
        <v>78</v>
      </c>
      <c r="D1436" t="s">
        <v>69</v>
      </c>
      <c r="E1436">
        <v>20</v>
      </c>
      <c r="F1436" s="3">
        <v>8.5</v>
      </c>
      <c r="G1436" s="4">
        <v>70.900000000000006</v>
      </c>
      <c r="H1436">
        <v>1</v>
      </c>
      <c r="I1436">
        <v>1</v>
      </c>
      <c r="J1436">
        <v>3</v>
      </c>
      <c r="K1436" s="4">
        <v>99.1</v>
      </c>
      <c r="L1436" s="4">
        <v>64.8</v>
      </c>
      <c r="M1436" s="4">
        <v>89.3</v>
      </c>
      <c r="N1436">
        <v>1</v>
      </c>
      <c r="O1436" t="s">
        <v>64</v>
      </c>
      <c r="P1436" t="s">
        <v>65</v>
      </c>
      <c r="S1436" s="3">
        <v>0</v>
      </c>
      <c r="T1436" s="5"/>
      <c r="U1436">
        <v>0</v>
      </c>
      <c r="V1436">
        <v>2024</v>
      </c>
      <c r="X1436">
        <f t="shared" si="66"/>
        <v>8.4998564000000005</v>
      </c>
      <c r="Y1436">
        <f t="shared" si="67"/>
        <v>-1.4359999999999999E-4</v>
      </c>
      <c r="Z1436">
        <f t="shared" si="68"/>
        <v>64.799856399999996</v>
      </c>
    </row>
    <row r="1437" spans="1:26" x14ac:dyDescent="0.3">
      <c r="A1437" t="s">
        <v>1527</v>
      </c>
      <c r="B1437" t="s">
        <v>63</v>
      </c>
      <c r="C1437" t="s">
        <v>74</v>
      </c>
      <c r="D1437" t="s">
        <v>69</v>
      </c>
      <c r="E1437">
        <v>22</v>
      </c>
      <c r="F1437" s="3">
        <v>6.58</v>
      </c>
      <c r="G1437" s="4">
        <v>82.5</v>
      </c>
      <c r="H1437">
        <v>1</v>
      </c>
      <c r="I1437">
        <v>1</v>
      </c>
      <c r="J1437">
        <v>2</v>
      </c>
      <c r="K1437" s="4">
        <v>75.599999999999994</v>
      </c>
      <c r="L1437" s="4">
        <v>72.2</v>
      </c>
      <c r="M1437" s="4">
        <v>57.9</v>
      </c>
      <c r="N1437">
        <v>0</v>
      </c>
      <c r="O1437" t="s">
        <v>58</v>
      </c>
      <c r="P1437" t="s">
        <v>79</v>
      </c>
      <c r="Q1437" t="s">
        <v>71</v>
      </c>
      <c r="R1437" t="s">
        <v>72</v>
      </c>
      <c r="S1437" s="3">
        <v>5.2</v>
      </c>
      <c r="T1437" s="5">
        <v>45896</v>
      </c>
      <c r="U1437">
        <v>3</v>
      </c>
      <c r="V1437">
        <v>2025</v>
      </c>
      <c r="X1437">
        <f t="shared" si="66"/>
        <v>6.5798563000000003</v>
      </c>
      <c r="Y1437">
        <f t="shared" si="67"/>
        <v>5.1998563000000004</v>
      </c>
      <c r="Z1437">
        <f t="shared" si="68"/>
        <v>72.199856300000008</v>
      </c>
    </row>
    <row r="1438" spans="1:26" x14ac:dyDescent="0.3">
      <c r="A1438" t="s">
        <v>1528</v>
      </c>
      <c r="B1438" t="s">
        <v>63</v>
      </c>
      <c r="C1438" t="s">
        <v>68</v>
      </c>
      <c r="D1438" t="s">
        <v>57</v>
      </c>
      <c r="E1438">
        <v>20</v>
      </c>
      <c r="F1438" s="3">
        <v>7.46</v>
      </c>
      <c r="G1438" s="4">
        <v>87.4</v>
      </c>
      <c r="H1438">
        <v>3</v>
      </c>
      <c r="I1438">
        <v>4</v>
      </c>
      <c r="J1438">
        <v>3</v>
      </c>
      <c r="K1438" s="4">
        <v>61.1</v>
      </c>
      <c r="L1438" s="4">
        <v>83.8</v>
      </c>
      <c r="M1438" s="4">
        <v>79.400000000000006</v>
      </c>
      <c r="N1438">
        <v>0</v>
      </c>
      <c r="O1438" t="s">
        <v>58</v>
      </c>
      <c r="P1438" t="s">
        <v>70</v>
      </c>
      <c r="Q1438" t="s">
        <v>71</v>
      </c>
      <c r="R1438" t="s">
        <v>61</v>
      </c>
      <c r="S1438" s="3">
        <v>5.73</v>
      </c>
      <c r="T1438" s="5">
        <v>45985</v>
      </c>
      <c r="U1438">
        <v>1</v>
      </c>
      <c r="V1438">
        <v>2025</v>
      </c>
      <c r="X1438">
        <f t="shared" si="66"/>
        <v>7.4598561999999999</v>
      </c>
      <c r="Y1438">
        <f t="shared" si="67"/>
        <v>5.7298562000000004</v>
      </c>
      <c r="Z1438">
        <f t="shared" si="68"/>
        <v>83.799856199999994</v>
      </c>
    </row>
    <row r="1439" spans="1:26" x14ac:dyDescent="0.3">
      <c r="A1439" t="s">
        <v>1529</v>
      </c>
      <c r="B1439" t="s">
        <v>107</v>
      </c>
      <c r="C1439" t="s">
        <v>101</v>
      </c>
      <c r="D1439" t="s">
        <v>69</v>
      </c>
      <c r="E1439">
        <v>22</v>
      </c>
      <c r="F1439" s="3">
        <v>8.18</v>
      </c>
      <c r="G1439" s="4">
        <v>80.8</v>
      </c>
      <c r="H1439">
        <v>1</v>
      </c>
      <c r="I1439">
        <v>3</v>
      </c>
      <c r="J1439">
        <v>2</v>
      </c>
      <c r="K1439" s="4">
        <v>70.599999999999994</v>
      </c>
      <c r="L1439" s="4">
        <v>58</v>
      </c>
      <c r="M1439" s="4">
        <v>62.1</v>
      </c>
      <c r="N1439">
        <v>1</v>
      </c>
      <c r="O1439" t="s">
        <v>58</v>
      </c>
      <c r="P1439" t="s">
        <v>95</v>
      </c>
      <c r="Q1439" t="s">
        <v>93</v>
      </c>
      <c r="R1439" t="s">
        <v>61</v>
      </c>
      <c r="S1439" s="3">
        <v>5.96</v>
      </c>
      <c r="T1439" s="5">
        <v>44455</v>
      </c>
      <c r="U1439">
        <v>1</v>
      </c>
      <c r="V1439">
        <v>2021</v>
      </c>
      <c r="X1439">
        <f t="shared" si="66"/>
        <v>8.1798561000000003</v>
      </c>
      <c r="Y1439">
        <f t="shared" si="67"/>
        <v>5.9598560999999997</v>
      </c>
      <c r="Z1439">
        <f t="shared" si="68"/>
        <v>57.999856100000002</v>
      </c>
    </row>
    <row r="1440" spans="1:26" x14ac:dyDescent="0.3">
      <c r="A1440" t="s">
        <v>1530</v>
      </c>
      <c r="B1440" t="s">
        <v>82</v>
      </c>
      <c r="C1440" t="s">
        <v>56</v>
      </c>
      <c r="D1440" t="s">
        <v>57</v>
      </c>
      <c r="E1440">
        <v>22</v>
      </c>
      <c r="F1440" s="3">
        <v>8.34</v>
      </c>
      <c r="G1440" s="4">
        <v>73.5</v>
      </c>
      <c r="H1440">
        <v>1</v>
      </c>
      <c r="I1440">
        <v>2</v>
      </c>
      <c r="J1440">
        <v>6</v>
      </c>
      <c r="K1440" s="4">
        <v>73.900000000000006</v>
      </c>
      <c r="L1440" s="4">
        <v>58.2</v>
      </c>
      <c r="M1440" s="4">
        <v>68.2</v>
      </c>
      <c r="N1440">
        <v>1</v>
      </c>
      <c r="O1440" t="s">
        <v>58</v>
      </c>
      <c r="P1440" t="s">
        <v>92</v>
      </c>
      <c r="Q1440" t="s">
        <v>93</v>
      </c>
      <c r="R1440" t="s">
        <v>85</v>
      </c>
      <c r="S1440" s="3">
        <v>9.19</v>
      </c>
      <c r="T1440" s="5">
        <v>44887</v>
      </c>
      <c r="U1440">
        <v>1</v>
      </c>
      <c r="V1440">
        <v>2022</v>
      </c>
      <c r="X1440">
        <f t="shared" si="66"/>
        <v>8.3398559999999993</v>
      </c>
      <c r="Y1440">
        <f t="shared" si="67"/>
        <v>9.1898559999999989</v>
      </c>
      <c r="Z1440">
        <f t="shared" si="68"/>
        <v>58.199856000000004</v>
      </c>
    </row>
    <row r="1441" spans="1:26" x14ac:dyDescent="0.3">
      <c r="A1441" t="s">
        <v>1531</v>
      </c>
      <c r="B1441" t="s">
        <v>63</v>
      </c>
      <c r="C1441" t="s">
        <v>56</v>
      </c>
      <c r="D1441" t="s">
        <v>57</v>
      </c>
      <c r="E1441">
        <v>20</v>
      </c>
      <c r="F1441" s="3">
        <v>6</v>
      </c>
      <c r="G1441" s="4">
        <v>78.099999999999994</v>
      </c>
      <c r="H1441">
        <v>1</v>
      </c>
      <c r="I1441">
        <v>1</v>
      </c>
      <c r="J1441">
        <v>4</v>
      </c>
      <c r="K1441" s="4">
        <v>48.4</v>
      </c>
      <c r="L1441" s="4">
        <v>68.2</v>
      </c>
      <c r="M1441" s="4">
        <v>73.5</v>
      </c>
      <c r="N1441">
        <v>0</v>
      </c>
      <c r="O1441" t="s">
        <v>58</v>
      </c>
      <c r="P1441" t="s">
        <v>87</v>
      </c>
      <c r="Q1441" t="s">
        <v>71</v>
      </c>
      <c r="R1441" t="s">
        <v>80</v>
      </c>
      <c r="S1441" s="3">
        <v>5.96</v>
      </c>
      <c r="T1441" s="5">
        <v>45942</v>
      </c>
      <c r="U1441">
        <v>2</v>
      </c>
      <c r="V1441">
        <v>2025</v>
      </c>
      <c r="X1441">
        <f t="shared" si="66"/>
        <v>5.9998559</v>
      </c>
      <c r="Y1441">
        <f t="shared" si="67"/>
        <v>5.9598559</v>
      </c>
      <c r="Z1441">
        <f t="shared" si="68"/>
        <v>68.199855900000003</v>
      </c>
    </row>
    <row r="1442" spans="1:26" x14ac:dyDescent="0.3">
      <c r="A1442" t="s">
        <v>1532</v>
      </c>
      <c r="B1442" t="s">
        <v>63</v>
      </c>
      <c r="C1442" t="s">
        <v>68</v>
      </c>
      <c r="D1442" t="s">
        <v>57</v>
      </c>
      <c r="E1442">
        <v>22</v>
      </c>
      <c r="F1442" s="3">
        <v>8.32</v>
      </c>
      <c r="G1442" s="4">
        <v>98.2</v>
      </c>
      <c r="H1442">
        <v>2</v>
      </c>
      <c r="I1442">
        <v>1</v>
      </c>
      <c r="J1442">
        <v>3</v>
      </c>
      <c r="K1442" s="4">
        <v>52.8</v>
      </c>
      <c r="L1442" s="4">
        <v>81.7</v>
      </c>
      <c r="M1442" s="4">
        <v>50.2</v>
      </c>
      <c r="N1442">
        <v>1</v>
      </c>
      <c r="O1442" t="s">
        <v>58</v>
      </c>
      <c r="P1442" t="s">
        <v>92</v>
      </c>
      <c r="Q1442" t="s">
        <v>93</v>
      </c>
      <c r="R1442" t="s">
        <v>130</v>
      </c>
      <c r="S1442" s="3">
        <v>9.09</v>
      </c>
      <c r="T1442" s="5">
        <v>45960</v>
      </c>
      <c r="U1442">
        <v>1</v>
      </c>
      <c r="V1442">
        <v>2025</v>
      </c>
      <c r="X1442">
        <f t="shared" si="66"/>
        <v>8.3198558000000009</v>
      </c>
      <c r="Y1442">
        <f t="shared" si="67"/>
        <v>9.0898558000000005</v>
      </c>
      <c r="Z1442">
        <f t="shared" si="68"/>
        <v>81.699855800000009</v>
      </c>
    </row>
    <row r="1443" spans="1:26" x14ac:dyDescent="0.3">
      <c r="A1443" t="s">
        <v>1533</v>
      </c>
      <c r="B1443" t="s">
        <v>67</v>
      </c>
      <c r="C1443" t="s">
        <v>68</v>
      </c>
      <c r="D1443" t="s">
        <v>69</v>
      </c>
      <c r="E1443">
        <v>22</v>
      </c>
      <c r="F1443" s="3">
        <v>6.53</v>
      </c>
      <c r="G1443" s="4">
        <v>95</v>
      </c>
      <c r="H1443">
        <v>2</v>
      </c>
      <c r="I1443">
        <v>1</v>
      </c>
      <c r="J1443">
        <v>6</v>
      </c>
      <c r="K1443" s="4">
        <v>73.599999999999994</v>
      </c>
      <c r="L1443" s="4">
        <v>25.3</v>
      </c>
      <c r="M1443" s="4">
        <v>57.3</v>
      </c>
      <c r="N1443">
        <v>0</v>
      </c>
      <c r="O1443" t="s">
        <v>64</v>
      </c>
      <c r="P1443" t="s">
        <v>65</v>
      </c>
      <c r="S1443" s="3">
        <v>0</v>
      </c>
      <c r="T1443" s="5"/>
      <c r="U1443">
        <v>0</v>
      </c>
      <c r="V1443">
        <v>2023</v>
      </c>
      <c r="X1443">
        <f t="shared" si="66"/>
        <v>6.5298557000000006</v>
      </c>
      <c r="Y1443">
        <f t="shared" si="67"/>
        <v>-1.4429999999999998E-4</v>
      </c>
      <c r="Z1443">
        <f t="shared" si="68"/>
        <v>25.299855700000002</v>
      </c>
    </row>
    <row r="1444" spans="1:26" x14ac:dyDescent="0.3">
      <c r="A1444" t="s">
        <v>1534</v>
      </c>
      <c r="B1444" t="s">
        <v>82</v>
      </c>
      <c r="C1444" t="s">
        <v>74</v>
      </c>
      <c r="D1444" t="s">
        <v>69</v>
      </c>
      <c r="E1444">
        <v>20</v>
      </c>
      <c r="F1444" s="3">
        <v>7.51</v>
      </c>
      <c r="G1444" s="4">
        <v>77.099999999999994</v>
      </c>
      <c r="H1444">
        <v>0</v>
      </c>
      <c r="I1444">
        <v>1</v>
      </c>
      <c r="J1444">
        <v>6</v>
      </c>
      <c r="K1444" s="4">
        <v>75.400000000000006</v>
      </c>
      <c r="L1444" s="4">
        <v>67.099999999999994</v>
      </c>
      <c r="M1444" s="4">
        <v>54.8</v>
      </c>
      <c r="N1444">
        <v>0</v>
      </c>
      <c r="O1444" t="s">
        <v>58</v>
      </c>
      <c r="P1444" t="s">
        <v>112</v>
      </c>
      <c r="Q1444" t="s">
        <v>93</v>
      </c>
      <c r="R1444" t="s">
        <v>76</v>
      </c>
      <c r="S1444" s="3">
        <v>5.36</v>
      </c>
      <c r="T1444" s="5">
        <v>44808</v>
      </c>
      <c r="U1444">
        <v>1</v>
      </c>
      <c r="V1444">
        <v>2022</v>
      </c>
      <c r="X1444">
        <f t="shared" si="66"/>
        <v>7.5098555999999999</v>
      </c>
      <c r="Y1444">
        <f t="shared" si="67"/>
        <v>5.3598556000000004</v>
      </c>
      <c r="Z1444">
        <f t="shared" si="68"/>
        <v>67.099855599999998</v>
      </c>
    </row>
    <row r="1445" spans="1:26" x14ac:dyDescent="0.3">
      <c r="A1445" t="s">
        <v>1535</v>
      </c>
      <c r="B1445" t="s">
        <v>67</v>
      </c>
      <c r="C1445" t="s">
        <v>74</v>
      </c>
      <c r="D1445" t="s">
        <v>57</v>
      </c>
      <c r="E1445">
        <v>21</v>
      </c>
      <c r="F1445" s="3">
        <v>8.7799999999999994</v>
      </c>
      <c r="G1445" s="4">
        <v>77.099999999999994</v>
      </c>
      <c r="H1445">
        <v>2</v>
      </c>
      <c r="I1445">
        <v>1</v>
      </c>
      <c r="J1445">
        <v>3</v>
      </c>
      <c r="K1445" s="4">
        <v>73.3</v>
      </c>
      <c r="L1445" s="4">
        <v>59.4</v>
      </c>
      <c r="M1445" s="4">
        <v>79.099999999999994</v>
      </c>
      <c r="N1445">
        <v>2</v>
      </c>
      <c r="O1445" t="s">
        <v>58</v>
      </c>
      <c r="P1445" t="s">
        <v>92</v>
      </c>
      <c r="Q1445" t="s">
        <v>93</v>
      </c>
      <c r="R1445" t="s">
        <v>130</v>
      </c>
      <c r="S1445" s="3">
        <v>10.039999999999999</v>
      </c>
      <c r="T1445" s="5">
        <v>45245</v>
      </c>
      <c r="U1445">
        <v>1</v>
      </c>
      <c r="V1445">
        <v>2023</v>
      </c>
      <c r="X1445">
        <f t="shared" si="66"/>
        <v>8.7798555</v>
      </c>
      <c r="Y1445">
        <f t="shared" si="67"/>
        <v>10.0398555</v>
      </c>
      <c r="Z1445">
        <f t="shared" si="68"/>
        <v>59.399855500000001</v>
      </c>
    </row>
    <row r="1446" spans="1:26" x14ac:dyDescent="0.3">
      <c r="A1446" t="s">
        <v>1536</v>
      </c>
      <c r="B1446" t="s">
        <v>82</v>
      </c>
      <c r="C1446" t="s">
        <v>74</v>
      </c>
      <c r="D1446" t="s">
        <v>57</v>
      </c>
      <c r="E1446">
        <v>20</v>
      </c>
      <c r="F1446" s="3">
        <v>8.66</v>
      </c>
      <c r="G1446" s="4">
        <v>81</v>
      </c>
      <c r="H1446">
        <v>1</v>
      </c>
      <c r="I1446">
        <v>3</v>
      </c>
      <c r="J1446">
        <v>5</v>
      </c>
      <c r="K1446" s="4">
        <v>77.099999999999994</v>
      </c>
      <c r="L1446" s="4">
        <v>75.400000000000006</v>
      </c>
      <c r="M1446" s="4">
        <v>86.3</v>
      </c>
      <c r="N1446">
        <v>0</v>
      </c>
      <c r="O1446" t="s">
        <v>58</v>
      </c>
      <c r="P1446" t="s">
        <v>75</v>
      </c>
      <c r="Q1446" t="s">
        <v>71</v>
      </c>
      <c r="R1446" t="s">
        <v>130</v>
      </c>
      <c r="S1446" s="3">
        <v>6.04</v>
      </c>
      <c r="T1446" s="5">
        <v>44811</v>
      </c>
      <c r="U1446">
        <v>2</v>
      </c>
      <c r="V1446">
        <v>2022</v>
      </c>
      <c r="X1446">
        <f t="shared" si="66"/>
        <v>8.6598553999999996</v>
      </c>
      <c r="Y1446">
        <f t="shared" si="67"/>
        <v>6.0398554000000004</v>
      </c>
      <c r="Z1446">
        <f t="shared" si="68"/>
        <v>75.399855400000007</v>
      </c>
    </row>
    <row r="1447" spans="1:26" x14ac:dyDescent="0.3">
      <c r="A1447" t="s">
        <v>1537</v>
      </c>
      <c r="B1447" t="s">
        <v>67</v>
      </c>
      <c r="C1447" t="s">
        <v>78</v>
      </c>
      <c r="D1447" t="s">
        <v>57</v>
      </c>
      <c r="E1447">
        <v>22</v>
      </c>
      <c r="F1447" s="3">
        <v>8.84</v>
      </c>
      <c r="G1447" s="4">
        <v>93.2</v>
      </c>
      <c r="H1447">
        <v>1</v>
      </c>
      <c r="I1447">
        <v>0</v>
      </c>
      <c r="J1447">
        <v>2</v>
      </c>
      <c r="K1447" s="4">
        <v>62.8</v>
      </c>
      <c r="L1447" s="4">
        <v>68.5</v>
      </c>
      <c r="M1447" s="4">
        <v>54.8</v>
      </c>
      <c r="N1447">
        <v>1</v>
      </c>
      <c r="O1447" t="s">
        <v>58</v>
      </c>
      <c r="P1447" t="s">
        <v>95</v>
      </c>
      <c r="Q1447" t="s">
        <v>93</v>
      </c>
      <c r="R1447" t="s">
        <v>61</v>
      </c>
      <c r="S1447" s="3">
        <v>6.17</v>
      </c>
      <c r="T1447" s="5">
        <v>45234</v>
      </c>
      <c r="U1447">
        <v>1</v>
      </c>
      <c r="V1447">
        <v>2023</v>
      </c>
      <c r="X1447">
        <f t="shared" si="66"/>
        <v>8.8398553</v>
      </c>
      <c r="Y1447">
        <f t="shared" si="67"/>
        <v>6.1698553</v>
      </c>
      <c r="Z1447">
        <f t="shared" si="68"/>
        <v>68.499855299999993</v>
      </c>
    </row>
    <row r="1448" spans="1:26" x14ac:dyDescent="0.3">
      <c r="A1448" t="s">
        <v>1538</v>
      </c>
      <c r="B1448" t="s">
        <v>63</v>
      </c>
      <c r="C1448" t="s">
        <v>89</v>
      </c>
      <c r="D1448" t="s">
        <v>57</v>
      </c>
      <c r="E1448">
        <v>23</v>
      </c>
      <c r="F1448" s="3">
        <v>6.69</v>
      </c>
      <c r="G1448" s="4">
        <v>66.2</v>
      </c>
      <c r="H1448">
        <v>2</v>
      </c>
      <c r="I1448">
        <v>1</v>
      </c>
      <c r="J1448">
        <v>5</v>
      </c>
      <c r="K1448" s="4">
        <v>83.1</v>
      </c>
      <c r="L1448" s="4">
        <v>87.1</v>
      </c>
      <c r="M1448" s="4">
        <v>71.900000000000006</v>
      </c>
      <c r="N1448">
        <v>1</v>
      </c>
      <c r="O1448" t="s">
        <v>58</v>
      </c>
      <c r="P1448" t="s">
        <v>90</v>
      </c>
      <c r="Q1448" t="s">
        <v>60</v>
      </c>
      <c r="R1448" t="s">
        <v>72</v>
      </c>
      <c r="S1448" s="3">
        <v>7.55</v>
      </c>
      <c r="T1448" s="5">
        <v>45910</v>
      </c>
      <c r="U1448">
        <v>1</v>
      </c>
      <c r="V1448">
        <v>2025</v>
      </c>
      <c r="X1448">
        <f t="shared" si="66"/>
        <v>6.6898552000000002</v>
      </c>
      <c r="Y1448">
        <f t="shared" si="67"/>
        <v>7.5498551999999997</v>
      </c>
      <c r="Z1448">
        <f t="shared" si="68"/>
        <v>87.099855199999993</v>
      </c>
    </row>
    <row r="1449" spans="1:26" x14ac:dyDescent="0.3">
      <c r="A1449" t="s">
        <v>1539</v>
      </c>
      <c r="B1449" t="s">
        <v>63</v>
      </c>
      <c r="C1449" t="s">
        <v>101</v>
      </c>
      <c r="D1449" t="s">
        <v>57</v>
      </c>
      <c r="E1449">
        <v>21</v>
      </c>
      <c r="F1449" s="3">
        <v>6.91</v>
      </c>
      <c r="G1449" s="4">
        <v>77</v>
      </c>
      <c r="H1449">
        <v>1</v>
      </c>
      <c r="I1449">
        <v>3</v>
      </c>
      <c r="J1449">
        <v>3</v>
      </c>
      <c r="K1449" s="4">
        <v>93.5</v>
      </c>
      <c r="L1449" s="4">
        <v>79.7</v>
      </c>
      <c r="M1449" s="4">
        <v>77.3</v>
      </c>
      <c r="N1449">
        <v>1</v>
      </c>
      <c r="O1449" t="s">
        <v>64</v>
      </c>
      <c r="P1449" t="s">
        <v>65</v>
      </c>
      <c r="S1449" s="3">
        <v>0</v>
      </c>
      <c r="T1449" s="5"/>
      <c r="U1449">
        <v>0</v>
      </c>
      <c r="V1449">
        <v>2025</v>
      </c>
      <c r="X1449">
        <f t="shared" si="66"/>
        <v>6.9098551000000006</v>
      </c>
      <c r="Y1449">
        <f t="shared" si="67"/>
        <v>-1.449E-4</v>
      </c>
      <c r="Z1449">
        <f t="shared" si="68"/>
        <v>79.699855100000008</v>
      </c>
    </row>
    <row r="1450" spans="1:26" x14ac:dyDescent="0.3">
      <c r="A1450" t="s">
        <v>1540</v>
      </c>
      <c r="B1450" t="s">
        <v>107</v>
      </c>
      <c r="C1450" t="s">
        <v>84</v>
      </c>
      <c r="D1450" t="s">
        <v>57</v>
      </c>
      <c r="E1450">
        <v>23</v>
      </c>
      <c r="F1450" s="3">
        <v>7.14</v>
      </c>
      <c r="G1450" s="4">
        <v>85.7</v>
      </c>
      <c r="H1450">
        <v>3</v>
      </c>
      <c r="I1450">
        <v>4</v>
      </c>
      <c r="J1450">
        <v>4</v>
      </c>
      <c r="K1450" s="4">
        <v>59</v>
      </c>
      <c r="L1450" s="4">
        <v>66.599999999999994</v>
      </c>
      <c r="M1450" s="4">
        <v>77.2</v>
      </c>
      <c r="N1450">
        <v>2</v>
      </c>
      <c r="O1450" t="s">
        <v>58</v>
      </c>
      <c r="P1450" t="s">
        <v>70</v>
      </c>
      <c r="Q1450" t="s">
        <v>71</v>
      </c>
      <c r="R1450" t="s">
        <v>130</v>
      </c>
      <c r="S1450" s="3">
        <v>6.22</v>
      </c>
      <c r="T1450" s="5">
        <v>44464</v>
      </c>
      <c r="U1450">
        <v>1</v>
      </c>
      <c r="V1450">
        <v>2021</v>
      </c>
      <c r="X1450">
        <f t="shared" si="66"/>
        <v>7.1398549999999998</v>
      </c>
      <c r="Y1450">
        <f t="shared" si="67"/>
        <v>6.2198549999999999</v>
      </c>
      <c r="Z1450">
        <f t="shared" si="68"/>
        <v>66.599854999999991</v>
      </c>
    </row>
    <row r="1451" spans="1:26" x14ac:dyDescent="0.3">
      <c r="A1451" t="s">
        <v>1541</v>
      </c>
      <c r="B1451" t="s">
        <v>67</v>
      </c>
      <c r="C1451" t="s">
        <v>68</v>
      </c>
      <c r="D1451" t="s">
        <v>57</v>
      </c>
      <c r="E1451">
        <v>21</v>
      </c>
      <c r="F1451" s="3">
        <v>7.52</v>
      </c>
      <c r="G1451" s="4">
        <v>84.7</v>
      </c>
      <c r="H1451">
        <v>2</v>
      </c>
      <c r="I1451">
        <v>5</v>
      </c>
      <c r="J1451">
        <v>3</v>
      </c>
      <c r="K1451" s="4">
        <v>50.4</v>
      </c>
      <c r="L1451" s="4">
        <v>54.7</v>
      </c>
      <c r="M1451" s="4">
        <v>98.1</v>
      </c>
      <c r="N1451">
        <v>0</v>
      </c>
      <c r="O1451" t="s">
        <v>64</v>
      </c>
      <c r="P1451" t="s">
        <v>65</v>
      </c>
      <c r="S1451" s="3">
        <v>0</v>
      </c>
      <c r="T1451" s="5"/>
      <c r="U1451">
        <v>0</v>
      </c>
      <c r="V1451">
        <v>2023</v>
      </c>
      <c r="X1451">
        <f t="shared" si="66"/>
        <v>7.5198548999999995</v>
      </c>
      <c r="Y1451">
        <f t="shared" si="67"/>
        <v>-1.451E-4</v>
      </c>
      <c r="Z1451">
        <f t="shared" si="68"/>
        <v>54.699854900000005</v>
      </c>
    </row>
    <row r="1452" spans="1:26" x14ac:dyDescent="0.3">
      <c r="A1452" t="s">
        <v>1542</v>
      </c>
      <c r="B1452" t="s">
        <v>55</v>
      </c>
      <c r="C1452" t="s">
        <v>56</v>
      </c>
      <c r="D1452" t="s">
        <v>57</v>
      </c>
      <c r="E1452">
        <v>23</v>
      </c>
      <c r="F1452" s="3">
        <v>7.85</v>
      </c>
      <c r="G1452" s="4">
        <v>78.2</v>
      </c>
      <c r="H1452">
        <v>1</v>
      </c>
      <c r="I1452">
        <v>3</v>
      </c>
      <c r="J1452">
        <v>6</v>
      </c>
      <c r="K1452" s="4">
        <v>67</v>
      </c>
      <c r="L1452" s="4">
        <v>75.2</v>
      </c>
      <c r="M1452" s="4">
        <v>75.8</v>
      </c>
      <c r="N1452">
        <v>0</v>
      </c>
      <c r="O1452" t="s">
        <v>58</v>
      </c>
      <c r="P1452" t="s">
        <v>87</v>
      </c>
      <c r="Q1452" t="s">
        <v>71</v>
      </c>
      <c r="R1452" t="s">
        <v>61</v>
      </c>
      <c r="S1452" s="3">
        <v>7.17</v>
      </c>
      <c r="T1452" s="5">
        <v>45507</v>
      </c>
      <c r="U1452">
        <v>1</v>
      </c>
      <c r="V1452">
        <v>2024</v>
      </c>
      <c r="X1452">
        <f t="shared" si="66"/>
        <v>7.8498547999999992</v>
      </c>
      <c r="Y1452">
        <f t="shared" si="67"/>
        <v>7.1698547999999995</v>
      </c>
      <c r="Z1452">
        <f t="shared" si="68"/>
        <v>75.199854799999997</v>
      </c>
    </row>
    <row r="1453" spans="1:26" x14ac:dyDescent="0.3">
      <c r="A1453" t="s">
        <v>1543</v>
      </c>
      <c r="B1453" t="s">
        <v>107</v>
      </c>
      <c r="C1453" t="s">
        <v>56</v>
      </c>
      <c r="D1453" t="s">
        <v>69</v>
      </c>
      <c r="E1453">
        <v>21</v>
      </c>
      <c r="F1453" s="3">
        <v>8.8000000000000007</v>
      </c>
      <c r="G1453" s="4">
        <v>79.7</v>
      </c>
      <c r="H1453">
        <v>2</v>
      </c>
      <c r="I1453">
        <v>1</v>
      </c>
      <c r="J1453">
        <v>2</v>
      </c>
      <c r="K1453" s="4">
        <v>80.3</v>
      </c>
      <c r="L1453" s="4">
        <v>65.5</v>
      </c>
      <c r="M1453" s="4">
        <v>62.9</v>
      </c>
      <c r="N1453">
        <v>0</v>
      </c>
      <c r="O1453" t="s">
        <v>58</v>
      </c>
      <c r="P1453" t="s">
        <v>112</v>
      </c>
      <c r="Q1453" t="s">
        <v>93</v>
      </c>
      <c r="R1453" t="s">
        <v>76</v>
      </c>
      <c r="S1453" s="3">
        <v>8.75</v>
      </c>
      <c r="T1453" s="5">
        <v>44459</v>
      </c>
      <c r="U1453">
        <v>3</v>
      </c>
      <c r="V1453">
        <v>2021</v>
      </c>
      <c r="X1453">
        <f t="shared" si="66"/>
        <v>8.7998547000000009</v>
      </c>
      <c r="Y1453">
        <f t="shared" si="67"/>
        <v>8.7498547000000002</v>
      </c>
      <c r="Z1453">
        <f t="shared" si="68"/>
        <v>65.4998547</v>
      </c>
    </row>
    <row r="1454" spans="1:26" x14ac:dyDescent="0.3">
      <c r="A1454" t="s">
        <v>1544</v>
      </c>
      <c r="B1454" t="s">
        <v>67</v>
      </c>
      <c r="C1454" t="s">
        <v>74</v>
      </c>
      <c r="D1454" t="s">
        <v>57</v>
      </c>
      <c r="E1454">
        <v>20</v>
      </c>
      <c r="F1454" s="3">
        <v>6.81</v>
      </c>
      <c r="G1454" s="4">
        <v>85</v>
      </c>
      <c r="H1454">
        <v>1</v>
      </c>
      <c r="I1454">
        <v>1</v>
      </c>
      <c r="J1454">
        <v>3</v>
      </c>
      <c r="K1454" s="4">
        <v>77.3</v>
      </c>
      <c r="L1454" s="4">
        <v>66.900000000000006</v>
      </c>
      <c r="M1454" s="4">
        <v>83</v>
      </c>
      <c r="N1454">
        <v>2</v>
      </c>
      <c r="O1454" t="s">
        <v>64</v>
      </c>
      <c r="P1454" t="s">
        <v>65</v>
      </c>
      <c r="S1454" s="3">
        <v>0</v>
      </c>
      <c r="T1454" s="5"/>
      <c r="U1454">
        <v>0</v>
      </c>
      <c r="V1454">
        <v>2023</v>
      </c>
      <c r="X1454">
        <f t="shared" si="66"/>
        <v>6.8098545999999995</v>
      </c>
      <c r="Y1454">
        <f t="shared" si="67"/>
        <v>-1.4539999999999998E-4</v>
      </c>
      <c r="Z1454">
        <f t="shared" si="68"/>
        <v>66.899854600000012</v>
      </c>
    </row>
    <row r="1455" spans="1:26" x14ac:dyDescent="0.3">
      <c r="A1455" t="s">
        <v>1545</v>
      </c>
      <c r="B1455" t="s">
        <v>67</v>
      </c>
      <c r="C1455" t="s">
        <v>84</v>
      </c>
      <c r="D1455" t="s">
        <v>57</v>
      </c>
      <c r="E1455">
        <v>21</v>
      </c>
      <c r="F1455" s="3">
        <v>7.08</v>
      </c>
      <c r="G1455" s="4">
        <v>78.3</v>
      </c>
      <c r="H1455">
        <v>2</v>
      </c>
      <c r="I1455">
        <v>4</v>
      </c>
      <c r="J1455">
        <v>4</v>
      </c>
      <c r="K1455" s="4">
        <v>70</v>
      </c>
      <c r="L1455" s="4">
        <v>52.6</v>
      </c>
      <c r="M1455" s="4">
        <v>93.1</v>
      </c>
      <c r="N1455">
        <v>0</v>
      </c>
      <c r="O1455" t="s">
        <v>58</v>
      </c>
      <c r="P1455" t="s">
        <v>90</v>
      </c>
      <c r="Q1455" t="s">
        <v>60</v>
      </c>
      <c r="R1455" t="s">
        <v>130</v>
      </c>
      <c r="S1455" s="3">
        <v>7.05</v>
      </c>
      <c r="T1455" s="5">
        <v>45215</v>
      </c>
      <c r="U1455">
        <v>2</v>
      </c>
      <c r="V1455">
        <v>2023</v>
      </c>
      <c r="X1455">
        <f t="shared" si="66"/>
        <v>7.0798544999999997</v>
      </c>
      <c r="Y1455">
        <f t="shared" si="67"/>
        <v>7.0498544999999995</v>
      </c>
      <c r="Z1455">
        <f t="shared" si="68"/>
        <v>52.599854499999999</v>
      </c>
    </row>
    <row r="1456" spans="1:26" x14ac:dyDescent="0.3">
      <c r="A1456" t="s">
        <v>1546</v>
      </c>
      <c r="B1456" t="s">
        <v>107</v>
      </c>
      <c r="C1456" t="s">
        <v>68</v>
      </c>
      <c r="D1456" t="s">
        <v>69</v>
      </c>
      <c r="E1456">
        <v>21</v>
      </c>
      <c r="F1456" s="3">
        <v>8.93</v>
      </c>
      <c r="G1456" s="4">
        <v>72.400000000000006</v>
      </c>
      <c r="H1456">
        <v>0</v>
      </c>
      <c r="I1456">
        <v>4</v>
      </c>
      <c r="J1456">
        <v>4</v>
      </c>
      <c r="K1456" s="4">
        <v>35.6</v>
      </c>
      <c r="L1456" s="4">
        <v>72.3</v>
      </c>
      <c r="M1456" s="4">
        <v>58.4</v>
      </c>
      <c r="N1456">
        <v>1</v>
      </c>
      <c r="O1456" t="s">
        <v>64</v>
      </c>
      <c r="P1456" t="s">
        <v>65</v>
      </c>
      <c r="S1456" s="3">
        <v>0</v>
      </c>
      <c r="T1456" s="5"/>
      <c r="U1456">
        <v>0</v>
      </c>
      <c r="V1456">
        <v>2021</v>
      </c>
      <c r="X1456">
        <f t="shared" si="66"/>
        <v>8.9298544</v>
      </c>
      <c r="Y1456">
        <f t="shared" si="67"/>
        <v>-1.4559999999999999E-4</v>
      </c>
      <c r="Z1456">
        <f t="shared" si="68"/>
        <v>72.299854400000001</v>
      </c>
    </row>
    <row r="1457" spans="1:26" x14ac:dyDescent="0.3">
      <c r="A1457" t="s">
        <v>1547</v>
      </c>
      <c r="B1457" t="s">
        <v>63</v>
      </c>
      <c r="C1457" t="s">
        <v>74</v>
      </c>
      <c r="D1457" t="s">
        <v>57</v>
      </c>
      <c r="E1457">
        <v>21</v>
      </c>
      <c r="F1457" s="3">
        <v>6.61</v>
      </c>
      <c r="G1457" s="4">
        <v>80.3</v>
      </c>
      <c r="H1457">
        <v>1</v>
      </c>
      <c r="I1457">
        <v>2</v>
      </c>
      <c r="J1457">
        <v>5</v>
      </c>
      <c r="K1457" s="4">
        <v>58.3</v>
      </c>
      <c r="L1457" s="4">
        <v>62.4</v>
      </c>
      <c r="M1457" s="4">
        <v>80.400000000000006</v>
      </c>
      <c r="N1457">
        <v>1</v>
      </c>
      <c r="O1457" t="s">
        <v>64</v>
      </c>
      <c r="P1457" t="s">
        <v>65</v>
      </c>
      <c r="S1457" s="3">
        <v>0</v>
      </c>
      <c r="T1457" s="5"/>
      <c r="U1457">
        <v>0</v>
      </c>
      <c r="V1457">
        <v>2025</v>
      </c>
      <c r="X1457">
        <f t="shared" si="66"/>
        <v>6.6098543000000003</v>
      </c>
      <c r="Y1457">
        <f t="shared" si="67"/>
        <v>-1.4569999999999999E-4</v>
      </c>
      <c r="Z1457">
        <f t="shared" si="68"/>
        <v>62.399854300000001</v>
      </c>
    </row>
    <row r="1458" spans="1:26" x14ac:dyDescent="0.3">
      <c r="A1458" t="s">
        <v>1548</v>
      </c>
      <c r="B1458" t="s">
        <v>67</v>
      </c>
      <c r="C1458" t="s">
        <v>74</v>
      </c>
      <c r="D1458" t="s">
        <v>69</v>
      </c>
      <c r="E1458">
        <v>22</v>
      </c>
      <c r="F1458" s="3">
        <v>8.3000000000000007</v>
      </c>
      <c r="G1458" s="4">
        <v>83.7</v>
      </c>
      <c r="H1458">
        <v>2</v>
      </c>
      <c r="I1458">
        <v>1</v>
      </c>
      <c r="J1458">
        <v>4</v>
      </c>
      <c r="K1458" s="4">
        <v>83.5</v>
      </c>
      <c r="L1458" s="4">
        <v>63.9</v>
      </c>
      <c r="M1458" s="4">
        <v>74.3</v>
      </c>
      <c r="N1458">
        <v>0</v>
      </c>
      <c r="O1458" t="s">
        <v>58</v>
      </c>
      <c r="P1458" t="s">
        <v>59</v>
      </c>
      <c r="Q1458" t="s">
        <v>60</v>
      </c>
      <c r="R1458" t="s">
        <v>85</v>
      </c>
      <c r="S1458" s="3">
        <v>20.37</v>
      </c>
      <c r="T1458" s="5">
        <v>45232</v>
      </c>
      <c r="U1458">
        <v>1</v>
      </c>
      <c r="V1458">
        <v>2023</v>
      </c>
      <c r="X1458">
        <f t="shared" si="66"/>
        <v>8.2998542000000004</v>
      </c>
      <c r="Y1458">
        <f t="shared" si="67"/>
        <v>20.369854200000002</v>
      </c>
      <c r="Z1458">
        <f t="shared" si="68"/>
        <v>63.8998542</v>
      </c>
    </row>
    <row r="1459" spans="1:26" x14ac:dyDescent="0.3">
      <c r="A1459" t="s">
        <v>1549</v>
      </c>
      <c r="B1459" t="s">
        <v>63</v>
      </c>
      <c r="C1459" t="s">
        <v>89</v>
      </c>
      <c r="D1459" t="s">
        <v>57</v>
      </c>
      <c r="E1459">
        <v>23</v>
      </c>
      <c r="F1459" s="3">
        <v>7.57</v>
      </c>
      <c r="G1459" s="4">
        <v>62.9</v>
      </c>
      <c r="H1459">
        <v>2</v>
      </c>
      <c r="I1459">
        <v>1</v>
      </c>
      <c r="J1459">
        <v>5</v>
      </c>
      <c r="K1459" s="4">
        <v>43.6</v>
      </c>
      <c r="L1459" s="4">
        <v>20</v>
      </c>
      <c r="M1459" s="4">
        <v>62.6</v>
      </c>
      <c r="N1459">
        <v>0</v>
      </c>
      <c r="O1459" t="s">
        <v>58</v>
      </c>
      <c r="P1459" t="s">
        <v>112</v>
      </c>
      <c r="Q1459" t="s">
        <v>93</v>
      </c>
      <c r="R1459" t="s">
        <v>130</v>
      </c>
      <c r="S1459" s="3">
        <v>5.75</v>
      </c>
      <c r="T1459" s="5">
        <v>45949</v>
      </c>
      <c r="U1459">
        <v>1</v>
      </c>
      <c r="V1459">
        <v>2025</v>
      </c>
      <c r="X1459">
        <f t="shared" si="66"/>
        <v>7.5698541000000006</v>
      </c>
      <c r="Y1459">
        <f t="shared" si="67"/>
        <v>5.7498541000000003</v>
      </c>
      <c r="Z1459">
        <f t="shared" si="68"/>
        <v>19.9998541</v>
      </c>
    </row>
    <row r="1460" spans="1:26" x14ac:dyDescent="0.3">
      <c r="A1460" t="s">
        <v>1550</v>
      </c>
      <c r="B1460" t="s">
        <v>107</v>
      </c>
      <c r="C1460" t="s">
        <v>89</v>
      </c>
      <c r="D1460" t="s">
        <v>57</v>
      </c>
      <c r="E1460">
        <v>20</v>
      </c>
      <c r="F1460" s="3">
        <v>8</v>
      </c>
      <c r="G1460" s="4">
        <v>85.5</v>
      </c>
      <c r="H1460">
        <v>1</v>
      </c>
      <c r="I1460">
        <v>3</v>
      </c>
      <c r="J1460">
        <v>3</v>
      </c>
      <c r="K1460" s="4">
        <v>68.3</v>
      </c>
      <c r="L1460" s="4">
        <v>70.5</v>
      </c>
      <c r="M1460" s="4">
        <v>66.3</v>
      </c>
      <c r="N1460">
        <v>0</v>
      </c>
      <c r="O1460" t="s">
        <v>58</v>
      </c>
      <c r="P1460" t="s">
        <v>79</v>
      </c>
      <c r="Q1460" t="s">
        <v>71</v>
      </c>
      <c r="R1460" t="s">
        <v>109</v>
      </c>
      <c r="S1460" s="3">
        <v>7.34</v>
      </c>
      <c r="T1460" s="5">
        <v>44505</v>
      </c>
      <c r="U1460">
        <v>1</v>
      </c>
      <c r="V1460">
        <v>2021</v>
      </c>
      <c r="X1460">
        <f t="shared" si="66"/>
        <v>7.999854</v>
      </c>
      <c r="Y1460">
        <f t="shared" si="67"/>
        <v>7.3398539999999999</v>
      </c>
      <c r="Z1460">
        <f t="shared" si="68"/>
        <v>70.499853999999999</v>
      </c>
    </row>
    <row r="1461" spans="1:26" x14ac:dyDescent="0.3">
      <c r="A1461" t="s">
        <v>1551</v>
      </c>
      <c r="B1461" t="s">
        <v>63</v>
      </c>
      <c r="C1461" t="s">
        <v>56</v>
      </c>
      <c r="D1461" t="s">
        <v>57</v>
      </c>
      <c r="E1461">
        <v>23</v>
      </c>
      <c r="F1461" s="3">
        <v>6.92</v>
      </c>
      <c r="G1461" s="4">
        <v>90.8</v>
      </c>
      <c r="H1461">
        <v>1</v>
      </c>
      <c r="I1461">
        <v>1</v>
      </c>
      <c r="J1461">
        <v>3</v>
      </c>
      <c r="K1461" s="4">
        <v>60</v>
      </c>
      <c r="L1461" s="4">
        <v>55.7</v>
      </c>
      <c r="M1461" s="4">
        <v>93.1</v>
      </c>
      <c r="N1461">
        <v>0</v>
      </c>
      <c r="O1461" t="s">
        <v>58</v>
      </c>
      <c r="P1461" t="s">
        <v>92</v>
      </c>
      <c r="Q1461" t="s">
        <v>93</v>
      </c>
      <c r="R1461" t="s">
        <v>109</v>
      </c>
      <c r="S1461" s="3">
        <v>8.56</v>
      </c>
      <c r="T1461" s="5">
        <v>45904</v>
      </c>
      <c r="U1461">
        <v>1</v>
      </c>
      <c r="V1461">
        <v>2025</v>
      </c>
      <c r="X1461">
        <f t="shared" si="66"/>
        <v>6.9198538999999997</v>
      </c>
      <c r="Y1461">
        <f t="shared" si="67"/>
        <v>8.5598539000000002</v>
      </c>
      <c r="Z1461">
        <f t="shared" si="68"/>
        <v>55.699853900000001</v>
      </c>
    </row>
    <row r="1462" spans="1:26" x14ac:dyDescent="0.3">
      <c r="A1462" t="s">
        <v>1552</v>
      </c>
      <c r="B1462" t="s">
        <v>82</v>
      </c>
      <c r="C1462" t="s">
        <v>84</v>
      </c>
      <c r="D1462" t="s">
        <v>57</v>
      </c>
      <c r="E1462">
        <v>23</v>
      </c>
      <c r="F1462" s="3">
        <v>8.2899999999999991</v>
      </c>
      <c r="G1462" s="4">
        <v>78.8</v>
      </c>
      <c r="H1462">
        <v>1</v>
      </c>
      <c r="I1462">
        <v>2</v>
      </c>
      <c r="J1462">
        <v>3</v>
      </c>
      <c r="K1462" s="4">
        <v>77.2</v>
      </c>
      <c r="L1462" s="4">
        <v>77.7</v>
      </c>
      <c r="M1462" s="4">
        <v>83.3</v>
      </c>
      <c r="N1462">
        <v>1</v>
      </c>
      <c r="O1462" t="s">
        <v>58</v>
      </c>
      <c r="P1462" t="s">
        <v>70</v>
      </c>
      <c r="Q1462" t="s">
        <v>71</v>
      </c>
      <c r="R1462" t="s">
        <v>85</v>
      </c>
      <c r="S1462" s="3">
        <v>6.94</v>
      </c>
      <c r="T1462" s="5">
        <v>44789</v>
      </c>
      <c r="U1462">
        <v>1</v>
      </c>
      <c r="V1462">
        <v>2022</v>
      </c>
      <c r="X1462">
        <f t="shared" si="66"/>
        <v>8.2898537999999995</v>
      </c>
      <c r="Y1462">
        <f t="shared" si="67"/>
        <v>6.9398538000000007</v>
      </c>
      <c r="Z1462">
        <f t="shared" si="68"/>
        <v>77.6998538</v>
      </c>
    </row>
    <row r="1463" spans="1:26" x14ac:dyDescent="0.3">
      <c r="A1463" t="s">
        <v>1553</v>
      </c>
      <c r="B1463" t="s">
        <v>55</v>
      </c>
      <c r="C1463" t="s">
        <v>68</v>
      </c>
      <c r="D1463" t="s">
        <v>57</v>
      </c>
      <c r="E1463">
        <v>20</v>
      </c>
      <c r="F1463" s="3">
        <v>7.06</v>
      </c>
      <c r="G1463" s="4">
        <v>78.900000000000006</v>
      </c>
      <c r="H1463">
        <v>1</v>
      </c>
      <c r="I1463">
        <v>5</v>
      </c>
      <c r="J1463">
        <v>6</v>
      </c>
      <c r="K1463" s="4">
        <v>44.7</v>
      </c>
      <c r="L1463" s="4">
        <v>71.099999999999994</v>
      </c>
      <c r="M1463" s="4">
        <v>79.099999999999994</v>
      </c>
      <c r="N1463">
        <v>0</v>
      </c>
      <c r="O1463" t="s">
        <v>64</v>
      </c>
      <c r="P1463" t="s">
        <v>65</v>
      </c>
      <c r="S1463" s="3">
        <v>0</v>
      </c>
      <c r="T1463" s="5"/>
      <c r="U1463">
        <v>0</v>
      </c>
      <c r="V1463">
        <v>2024</v>
      </c>
      <c r="X1463">
        <f t="shared" si="66"/>
        <v>7.0598536999999997</v>
      </c>
      <c r="Y1463">
        <f t="shared" si="67"/>
        <v>-1.4630000000000001E-4</v>
      </c>
      <c r="Z1463">
        <f t="shared" si="68"/>
        <v>71.099853699999997</v>
      </c>
    </row>
    <row r="1464" spans="1:26" x14ac:dyDescent="0.3">
      <c r="A1464" t="s">
        <v>1554</v>
      </c>
      <c r="B1464" t="s">
        <v>67</v>
      </c>
      <c r="C1464" t="s">
        <v>56</v>
      </c>
      <c r="D1464" t="s">
        <v>69</v>
      </c>
      <c r="E1464">
        <v>22</v>
      </c>
      <c r="F1464" s="3">
        <v>6.37</v>
      </c>
      <c r="G1464" s="4">
        <v>75.400000000000006</v>
      </c>
      <c r="H1464">
        <v>1</v>
      </c>
      <c r="I1464">
        <v>3</v>
      </c>
      <c r="J1464">
        <v>3</v>
      </c>
      <c r="K1464" s="4">
        <v>63.8</v>
      </c>
      <c r="L1464" s="4">
        <v>48</v>
      </c>
      <c r="M1464" s="4">
        <v>56.1</v>
      </c>
      <c r="N1464">
        <v>2</v>
      </c>
      <c r="O1464" t="s">
        <v>64</v>
      </c>
      <c r="P1464" t="s">
        <v>65</v>
      </c>
      <c r="S1464" s="3">
        <v>0</v>
      </c>
      <c r="T1464" s="5"/>
      <c r="U1464">
        <v>0</v>
      </c>
      <c r="V1464">
        <v>2023</v>
      </c>
      <c r="X1464">
        <f t="shared" si="66"/>
        <v>6.3698535999999999</v>
      </c>
      <c r="Y1464">
        <f t="shared" si="67"/>
        <v>-1.4639999999999998E-4</v>
      </c>
      <c r="Z1464">
        <f t="shared" si="68"/>
        <v>47.999853600000002</v>
      </c>
    </row>
    <row r="1465" spans="1:26" x14ac:dyDescent="0.3">
      <c r="A1465" t="s">
        <v>1555</v>
      </c>
      <c r="B1465" t="s">
        <v>55</v>
      </c>
      <c r="C1465" t="s">
        <v>84</v>
      </c>
      <c r="D1465" t="s">
        <v>57</v>
      </c>
      <c r="E1465">
        <v>21</v>
      </c>
      <c r="F1465" s="3">
        <v>8.08</v>
      </c>
      <c r="G1465" s="4">
        <v>80.599999999999994</v>
      </c>
      <c r="H1465">
        <v>2</v>
      </c>
      <c r="I1465">
        <v>1</v>
      </c>
      <c r="J1465">
        <v>3</v>
      </c>
      <c r="K1465" s="4">
        <v>70.2</v>
      </c>
      <c r="L1465" s="4">
        <v>68.400000000000006</v>
      </c>
      <c r="M1465" s="4">
        <v>82.1</v>
      </c>
      <c r="N1465">
        <v>0</v>
      </c>
      <c r="O1465" t="s">
        <v>58</v>
      </c>
      <c r="P1465" t="s">
        <v>90</v>
      </c>
      <c r="Q1465" t="s">
        <v>60</v>
      </c>
      <c r="R1465" t="s">
        <v>61</v>
      </c>
      <c r="S1465" s="3">
        <v>9.5</v>
      </c>
      <c r="T1465" s="5">
        <v>45573</v>
      </c>
      <c r="U1465">
        <v>2</v>
      </c>
      <c r="V1465">
        <v>2024</v>
      </c>
      <c r="X1465">
        <f t="shared" si="66"/>
        <v>8.0798535000000005</v>
      </c>
      <c r="Y1465">
        <f t="shared" si="67"/>
        <v>9.4998535000000004</v>
      </c>
      <c r="Z1465">
        <f t="shared" si="68"/>
        <v>68.399853500000006</v>
      </c>
    </row>
    <row r="1466" spans="1:26" x14ac:dyDescent="0.3">
      <c r="A1466" t="s">
        <v>1556</v>
      </c>
      <c r="B1466" t="s">
        <v>63</v>
      </c>
      <c r="C1466" t="s">
        <v>56</v>
      </c>
      <c r="D1466" t="s">
        <v>57</v>
      </c>
      <c r="E1466">
        <v>22</v>
      </c>
      <c r="F1466" s="3">
        <v>5.4</v>
      </c>
      <c r="G1466" s="4">
        <v>77</v>
      </c>
      <c r="H1466">
        <v>1</v>
      </c>
      <c r="I1466">
        <v>1</v>
      </c>
      <c r="J1466">
        <v>4</v>
      </c>
      <c r="K1466" s="4">
        <v>63.1</v>
      </c>
      <c r="L1466" s="4">
        <v>73.2</v>
      </c>
      <c r="M1466" s="4">
        <v>87.4</v>
      </c>
      <c r="N1466">
        <v>0</v>
      </c>
      <c r="O1466" t="s">
        <v>58</v>
      </c>
      <c r="P1466" t="s">
        <v>112</v>
      </c>
      <c r="Q1466" t="s">
        <v>93</v>
      </c>
      <c r="R1466" t="s">
        <v>130</v>
      </c>
      <c r="S1466" s="3">
        <v>6.51</v>
      </c>
      <c r="T1466" s="5">
        <v>45877</v>
      </c>
      <c r="U1466">
        <v>1</v>
      </c>
      <c r="V1466">
        <v>2025</v>
      </c>
      <c r="X1466">
        <f t="shared" si="66"/>
        <v>5.3998534000000005</v>
      </c>
      <c r="Y1466">
        <f t="shared" si="67"/>
        <v>6.5098533999999999</v>
      </c>
      <c r="Z1466">
        <f t="shared" si="68"/>
        <v>73.199853400000009</v>
      </c>
    </row>
    <row r="1467" spans="1:26" x14ac:dyDescent="0.3">
      <c r="A1467" t="s">
        <v>1557</v>
      </c>
      <c r="B1467" t="s">
        <v>67</v>
      </c>
      <c r="C1467" t="s">
        <v>84</v>
      </c>
      <c r="D1467" t="s">
        <v>69</v>
      </c>
      <c r="E1467">
        <v>22</v>
      </c>
      <c r="F1467" s="3">
        <v>7.14</v>
      </c>
      <c r="G1467" s="4">
        <v>95</v>
      </c>
      <c r="H1467">
        <v>3</v>
      </c>
      <c r="I1467">
        <v>0</v>
      </c>
      <c r="J1467">
        <v>3</v>
      </c>
      <c r="K1467" s="4">
        <v>76.400000000000006</v>
      </c>
      <c r="L1467" s="4">
        <v>100</v>
      </c>
      <c r="M1467" s="4">
        <v>57.6</v>
      </c>
      <c r="N1467">
        <v>0</v>
      </c>
      <c r="O1467" t="s">
        <v>58</v>
      </c>
      <c r="P1467" t="s">
        <v>90</v>
      </c>
      <c r="Q1467" t="s">
        <v>60</v>
      </c>
      <c r="R1467" t="s">
        <v>61</v>
      </c>
      <c r="S1467" s="3">
        <v>10.44</v>
      </c>
      <c r="T1467" s="5">
        <v>45192</v>
      </c>
      <c r="U1467">
        <v>2</v>
      </c>
      <c r="V1467">
        <v>2023</v>
      </c>
      <c r="X1467">
        <f t="shared" si="66"/>
        <v>7.1398532999999995</v>
      </c>
      <c r="Y1467">
        <f t="shared" si="67"/>
        <v>10.439853299999999</v>
      </c>
      <c r="Z1467">
        <f t="shared" si="68"/>
        <v>99.999853299999998</v>
      </c>
    </row>
    <row r="1468" spans="1:26" x14ac:dyDescent="0.3">
      <c r="A1468" t="s">
        <v>1558</v>
      </c>
      <c r="B1468" t="s">
        <v>63</v>
      </c>
      <c r="C1468" t="s">
        <v>84</v>
      </c>
      <c r="D1468" t="s">
        <v>57</v>
      </c>
      <c r="E1468">
        <v>21</v>
      </c>
      <c r="F1468" s="3">
        <v>7.91</v>
      </c>
      <c r="G1468" s="4">
        <v>83.1</v>
      </c>
      <c r="H1468">
        <v>1</v>
      </c>
      <c r="I1468">
        <v>3</v>
      </c>
      <c r="J1468">
        <v>3</v>
      </c>
      <c r="K1468" s="4">
        <v>46.4</v>
      </c>
      <c r="L1468" s="4">
        <v>79</v>
      </c>
      <c r="M1468" s="4">
        <v>74.3</v>
      </c>
      <c r="N1468">
        <v>1</v>
      </c>
      <c r="O1468" t="s">
        <v>58</v>
      </c>
      <c r="P1468" t="s">
        <v>75</v>
      </c>
      <c r="Q1468" t="s">
        <v>71</v>
      </c>
      <c r="R1468" t="s">
        <v>85</v>
      </c>
      <c r="S1468" s="3">
        <v>5.33</v>
      </c>
      <c r="T1468" s="5">
        <v>45902</v>
      </c>
      <c r="U1468">
        <v>1</v>
      </c>
      <c r="V1468">
        <v>2025</v>
      </c>
      <c r="X1468">
        <f t="shared" si="66"/>
        <v>7.9098532000000006</v>
      </c>
      <c r="Y1468">
        <f t="shared" si="67"/>
        <v>5.3298532000000005</v>
      </c>
      <c r="Z1468">
        <f t="shared" si="68"/>
        <v>78.999853200000004</v>
      </c>
    </row>
    <row r="1469" spans="1:26" x14ac:dyDescent="0.3">
      <c r="A1469" t="s">
        <v>1559</v>
      </c>
      <c r="B1469" t="s">
        <v>82</v>
      </c>
      <c r="C1469" t="s">
        <v>78</v>
      </c>
      <c r="D1469" t="s">
        <v>69</v>
      </c>
      <c r="E1469">
        <v>23</v>
      </c>
      <c r="F1469" s="3">
        <v>8.33</v>
      </c>
      <c r="G1469" s="4">
        <v>62.7</v>
      </c>
      <c r="H1469">
        <v>2</v>
      </c>
      <c r="I1469">
        <v>2</v>
      </c>
      <c r="J1469">
        <v>4</v>
      </c>
      <c r="K1469" s="4">
        <v>52.3</v>
      </c>
      <c r="L1469" s="4">
        <v>50.6</v>
      </c>
      <c r="M1469" s="4">
        <v>86.1</v>
      </c>
      <c r="N1469">
        <v>0</v>
      </c>
      <c r="O1469" t="s">
        <v>58</v>
      </c>
      <c r="P1469" t="s">
        <v>59</v>
      </c>
      <c r="Q1469" t="s">
        <v>60</v>
      </c>
      <c r="R1469" t="s">
        <v>61</v>
      </c>
      <c r="S1469" s="3">
        <v>20.88</v>
      </c>
      <c r="T1469" s="5">
        <v>44824</v>
      </c>
      <c r="U1469">
        <v>2</v>
      </c>
      <c r="V1469">
        <v>2022</v>
      </c>
      <c r="X1469">
        <f t="shared" si="66"/>
        <v>8.3298530999999993</v>
      </c>
      <c r="Y1469">
        <f t="shared" si="67"/>
        <v>20.879853099999998</v>
      </c>
      <c r="Z1469">
        <f t="shared" si="68"/>
        <v>50.599853100000004</v>
      </c>
    </row>
    <row r="1470" spans="1:26" x14ac:dyDescent="0.3">
      <c r="A1470" t="s">
        <v>1560</v>
      </c>
      <c r="B1470" t="s">
        <v>107</v>
      </c>
      <c r="C1470" t="s">
        <v>78</v>
      </c>
      <c r="D1470" t="s">
        <v>57</v>
      </c>
      <c r="E1470">
        <v>21</v>
      </c>
      <c r="F1470" s="3">
        <v>8.75</v>
      </c>
      <c r="G1470" s="4">
        <v>87.1</v>
      </c>
      <c r="H1470">
        <v>1</v>
      </c>
      <c r="I1470">
        <v>1</v>
      </c>
      <c r="J1470">
        <v>2</v>
      </c>
      <c r="K1470" s="4">
        <v>63.4</v>
      </c>
      <c r="L1470" s="4">
        <v>99.1</v>
      </c>
      <c r="M1470" s="4">
        <v>84.5</v>
      </c>
      <c r="N1470">
        <v>1</v>
      </c>
      <c r="O1470" t="s">
        <v>58</v>
      </c>
      <c r="P1470" t="s">
        <v>75</v>
      </c>
      <c r="Q1470" t="s">
        <v>71</v>
      </c>
      <c r="R1470" t="s">
        <v>80</v>
      </c>
      <c r="S1470" s="3">
        <v>7.76</v>
      </c>
      <c r="T1470" s="5">
        <v>44502</v>
      </c>
      <c r="U1470">
        <v>2</v>
      </c>
      <c r="V1470">
        <v>2021</v>
      </c>
      <c r="X1470">
        <f t="shared" si="66"/>
        <v>8.7498529999999999</v>
      </c>
      <c r="Y1470">
        <f t="shared" si="67"/>
        <v>7.7598529999999997</v>
      </c>
      <c r="Z1470">
        <f t="shared" si="68"/>
        <v>99.099852999999996</v>
      </c>
    </row>
    <row r="1471" spans="1:26" x14ac:dyDescent="0.3">
      <c r="A1471" t="s">
        <v>1561</v>
      </c>
      <c r="B1471" t="s">
        <v>67</v>
      </c>
      <c r="C1471" t="s">
        <v>74</v>
      </c>
      <c r="D1471" t="s">
        <v>69</v>
      </c>
      <c r="E1471">
        <v>20</v>
      </c>
      <c r="F1471" s="3">
        <v>9.25</v>
      </c>
      <c r="G1471" s="4">
        <v>97.5</v>
      </c>
      <c r="H1471">
        <v>2</v>
      </c>
      <c r="I1471">
        <v>1</v>
      </c>
      <c r="J1471">
        <v>4</v>
      </c>
      <c r="K1471" s="4">
        <v>72.7</v>
      </c>
      <c r="L1471" s="4">
        <v>65.900000000000006</v>
      </c>
      <c r="M1471" s="4">
        <v>81.7</v>
      </c>
      <c r="N1471">
        <v>0</v>
      </c>
      <c r="O1471" t="s">
        <v>58</v>
      </c>
      <c r="P1471" t="s">
        <v>75</v>
      </c>
      <c r="Q1471" t="s">
        <v>71</v>
      </c>
      <c r="R1471" t="s">
        <v>109</v>
      </c>
      <c r="S1471" s="3">
        <v>7.74</v>
      </c>
      <c r="T1471" s="5">
        <v>45140</v>
      </c>
      <c r="U1471">
        <v>1</v>
      </c>
      <c r="V1471">
        <v>2023</v>
      </c>
      <c r="X1471">
        <f t="shared" si="66"/>
        <v>9.2498529000000005</v>
      </c>
      <c r="Y1471">
        <f t="shared" si="67"/>
        <v>7.7398528999999998</v>
      </c>
      <c r="Z1471">
        <f t="shared" si="68"/>
        <v>65.899852899999999</v>
      </c>
    </row>
    <row r="1472" spans="1:26" x14ac:dyDescent="0.3">
      <c r="A1472" t="s">
        <v>1562</v>
      </c>
      <c r="B1472" t="s">
        <v>82</v>
      </c>
      <c r="C1472" t="s">
        <v>84</v>
      </c>
      <c r="D1472" t="s">
        <v>57</v>
      </c>
      <c r="E1472">
        <v>21</v>
      </c>
      <c r="F1472" s="3">
        <v>8.9700000000000006</v>
      </c>
      <c r="G1472" s="4">
        <v>86.6</v>
      </c>
      <c r="H1472">
        <v>0</v>
      </c>
      <c r="I1472">
        <v>0</v>
      </c>
      <c r="J1472">
        <v>3</v>
      </c>
      <c r="K1472" s="4">
        <v>75.2</v>
      </c>
      <c r="L1472" s="4">
        <v>65.8</v>
      </c>
      <c r="M1472" s="4">
        <v>74.5</v>
      </c>
      <c r="N1472">
        <v>0</v>
      </c>
      <c r="O1472" t="s">
        <v>58</v>
      </c>
      <c r="P1472" t="s">
        <v>87</v>
      </c>
      <c r="Q1472" t="s">
        <v>71</v>
      </c>
      <c r="R1472" t="s">
        <v>85</v>
      </c>
      <c r="S1472" s="3">
        <v>7.11</v>
      </c>
      <c r="T1472" s="5">
        <v>44811</v>
      </c>
      <c r="U1472">
        <v>1</v>
      </c>
      <c r="V1472">
        <v>2022</v>
      </c>
      <c r="X1472">
        <f t="shared" si="66"/>
        <v>8.9698528</v>
      </c>
      <c r="Y1472">
        <f t="shared" si="67"/>
        <v>7.1098528000000005</v>
      </c>
      <c r="Z1472">
        <f t="shared" si="68"/>
        <v>65.799852799999996</v>
      </c>
    </row>
    <row r="1473" spans="1:26" x14ac:dyDescent="0.3">
      <c r="A1473" t="s">
        <v>1563</v>
      </c>
      <c r="B1473" t="s">
        <v>82</v>
      </c>
      <c r="C1473" t="s">
        <v>68</v>
      </c>
      <c r="D1473" t="s">
        <v>57</v>
      </c>
      <c r="E1473">
        <v>23</v>
      </c>
      <c r="F1473" s="3">
        <v>7.82</v>
      </c>
      <c r="G1473" s="4">
        <v>92.7</v>
      </c>
      <c r="H1473">
        <v>2</v>
      </c>
      <c r="I1473">
        <v>5</v>
      </c>
      <c r="J1473">
        <v>3</v>
      </c>
      <c r="K1473" s="4">
        <v>70.400000000000006</v>
      </c>
      <c r="L1473" s="4">
        <v>99.1</v>
      </c>
      <c r="M1473" s="4">
        <v>87</v>
      </c>
      <c r="N1473">
        <v>0</v>
      </c>
      <c r="O1473" t="s">
        <v>58</v>
      </c>
      <c r="P1473" t="s">
        <v>95</v>
      </c>
      <c r="Q1473" t="s">
        <v>93</v>
      </c>
      <c r="R1473" t="s">
        <v>61</v>
      </c>
      <c r="S1473" s="3">
        <v>7.57</v>
      </c>
      <c r="T1473" s="5">
        <v>44829</v>
      </c>
      <c r="U1473">
        <v>1</v>
      </c>
      <c r="V1473">
        <v>2022</v>
      </c>
      <c r="X1473">
        <f t="shared" si="66"/>
        <v>7.8198527000000002</v>
      </c>
      <c r="Y1473">
        <f t="shared" si="67"/>
        <v>7.5698527000000002</v>
      </c>
      <c r="Z1473">
        <f t="shared" si="68"/>
        <v>99.0998527</v>
      </c>
    </row>
    <row r="1474" spans="1:26" x14ac:dyDescent="0.3">
      <c r="A1474" t="s">
        <v>1564</v>
      </c>
      <c r="B1474" t="s">
        <v>67</v>
      </c>
      <c r="C1474" t="s">
        <v>78</v>
      </c>
      <c r="D1474" t="s">
        <v>69</v>
      </c>
      <c r="E1474">
        <v>22</v>
      </c>
      <c r="F1474" s="3">
        <v>8.66</v>
      </c>
      <c r="G1474" s="4">
        <v>88.1</v>
      </c>
      <c r="H1474">
        <v>1</v>
      </c>
      <c r="I1474">
        <v>3</v>
      </c>
      <c r="J1474">
        <v>6</v>
      </c>
      <c r="K1474" s="4">
        <v>55.1</v>
      </c>
      <c r="L1474" s="4">
        <v>60.6</v>
      </c>
      <c r="M1474" s="4">
        <v>75.900000000000006</v>
      </c>
      <c r="N1474">
        <v>0</v>
      </c>
      <c r="O1474" t="s">
        <v>58</v>
      </c>
      <c r="P1474" t="s">
        <v>90</v>
      </c>
      <c r="Q1474" t="s">
        <v>60</v>
      </c>
      <c r="R1474" t="s">
        <v>130</v>
      </c>
      <c r="S1474" s="3">
        <v>8.01</v>
      </c>
      <c r="T1474" s="5">
        <v>45240</v>
      </c>
      <c r="U1474">
        <v>2</v>
      </c>
      <c r="V1474">
        <v>2023</v>
      </c>
      <c r="X1474">
        <f t="shared" ref="X1474:X1537" si="69">F1474-ROW()*0.0000001</f>
        <v>8.6598526000000007</v>
      </c>
      <c r="Y1474">
        <f t="shared" ref="Y1474:Y1537" si="70">S1474-ROW()*0.0000001</f>
        <v>8.0098526000000003</v>
      </c>
      <c r="Z1474">
        <f t="shared" ref="Z1474:Z1537" si="71">L1474-ROW()*0.0000001</f>
        <v>60.599852599999998</v>
      </c>
    </row>
    <row r="1475" spans="1:26" x14ac:dyDescent="0.3">
      <c r="A1475" t="s">
        <v>1565</v>
      </c>
      <c r="B1475" t="s">
        <v>63</v>
      </c>
      <c r="C1475" t="s">
        <v>84</v>
      </c>
      <c r="D1475" t="s">
        <v>57</v>
      </c>
      <c r="E1475">
        <v>22</v>
      </c>
      <c r="F1475" s="3">
        <v>7.81</v>
      </c>
      <c r="G1475" s="4">
        <v>90.9</v>
      </c>
      <c r="H1475">
        <v>1</v>
      </c>
      <c r="I1475">
        <v>1</v>
      </c>
      <c r="J1475">
        <v>3</v>
      </c>
      <c r="K1475" s="4">
        <v>59.6</v>
      </c>
      <c r="L1475" s="4">
        <v>67.599999999999994</v>
      </c>
      <c r="M1475" s="4">
        <v>80.599999999999994</v>
      </c>
      <c r="N1475">
        <v>0</v>
      </c>
      <c r="O1475" t="s">
        <v>58</v>
      </c>
      <c r="P1475" t="s">
        <v>95</v>
      </c>
      <c r="Q1475" t="s">
        <v>93</v>
      </c>
      <c r="R1475" t="s">
        <v>61</v>
      </c>
      <c r="S1475" s="3">
        <v>6.73</v>
      </c>
      <c r="T1475" s="5">
        <v>45889</v>
      </c>
      <c r="U1475">
        <v>1</v>
      </c>
      <c r="V1475">
        <v>2025</v>
      </c>
      <c r="X1475">
        <f t="shared" si="69"/>
        <v>7.8098524999999999</v>
      </c>
      <c r="Y1475">
        <f t="shared" si="70"/>
        <v>6.7298525000000007</v>
      </c>
      <c r="Z1475">
        <f t="shared" si="71"/>
        <v>67.599852499999997</v>
      </c>
    </row>
    <row r="1476" spans="1:26" x14ac:dyDescent="0.3">
      <c r="A1476" t="s">
        <v>1566</v>
      </c>
      <c r="B1476" t="s">
        <v>82</v>
      </c>
      <c r="C1476" t="s">
        <v>84</v>
      </c>
      <c r="D1476" t="s">
        <v>57</v>
      </c>
      <c r="E1476">
        <v>21</v>
      </c>
      <c r="F1476" s="3">
        <v>8.27</v>
      </c>
      <c r="G1476" s="4">
        <v>90.5</v>
      </c>
      <c r="H1476">
        <v>0</v>
      </c>
      <c r="I1476">
        <v>4</v>
      </c>
      <c r="J1476">
        <v>3</v>
      </c>
      <c r="K1476" s="4">
        <v>83.5</v>
      </c>
      <c r="L1476" s="4">
        <v>45.5</v>
      </c>
      <c r="M1476" s="4">
        <v>78.099999999999994</v>
      </c>
      <c r="N1476">
        <v>0</v>
      </c>
      <c r="O1476" t="s">
        <v>58</v>
      </c>
      <c r="P1476" t="s">
        <v>59</v>
      </c>
      <c r="Q1476" t="s">
        <v>60</v>
      </c>
      <c r="R1476" t="s">
        <v>76</v>
      </c>
      <c r="S1476" s="3">
        <v>17.77</v>
      </c>
      <c r="T1476" s="5">
        <v>44825</v>
      </c>
      <c r="U1476">
        <v>2</v>
      </c>
      <c r="V1476">
        <v>2022</v>
      </c>
      <c r="X1476">
        <f t="shared" si="69"/>
        <v>8.2698523999999995</v>
      </c>
      <c r="Y1476">
        <f t="shared" si="70"/>
        <v>17.769852400000001</v>
      </c>
      <c r="Z1476">
        <f t="shared" si="71"/>
        <v>45.499852400000002</v>
      </c>
    </row>
    <row r="1477" spans="1:26" x14ac:dyDescent="0.3">
      <c r="A1477" t="s">
        <v>1567</v>
      </c>
      <c r="B1477" t="s">
        <v>55</v>
      </c>
      <c r="C1477" t="s">
        <v>101</v>
      </c>
      <c r="D1477" t="s">
        <v>69</v>
      </c>
      <c r="E1477">
        <v>20</v>
      </c>
      <c r="F1477" s="3">
        <v>7.11</v>
      </c>
      <c r="G1477" s="4">
        <v>90.6</v>
      </c>
      <c r="H1477">
        <v>0</v>
      </c>
      <c r="I1477">
        <v>2</v>
      </c>
      <c r="J1477">
        <v>5</v>
      </c>
      <c r="K1477" s="4">
        <v>96.3</v>
      </c>
      <c r="L1477" s="4">
        <v>69.400000000000006</v>
      </c>
      <c r="M1477" s="4">
        <v>61.2</v>
      </c>
      <c r="N1477">
        <v>0</v>
      </c>
      <c r="O1477" t="s">
        <v>58</v>
      </c>
      <c r="P1477" t="s">
        <v>75</v>
      </c>
      <c r="Q1477" t="s">
        <v>71</v>
      </c>
      <c r="R1477" t="s">
        <v>72</v>
      </c>
      <c r="S1477" s="3">
        <v>4.6100000000000003</v>
      </c>
      <c r="T1477" s="5">
        <v>45513</v>
      </c>
      <c r="U1477">
        <v>2</v>
      </c>
      <c r="V1477">
        <v>2024</v>
      </c>
      <c r="X1477">
        <f t="shared" si="69"/>
        <v>7.1098523</v>
      </c>
      <c r="Y1477">
        <f t="shared" si="70"/>
        <v>4.6098523</v>
      </c>
      <c r="Z1477">
        <f t="shared" si="71"/>
        <v>69.399852300000006</v>
      </c>
    </row>
    <row r="1478" spans="1:26" x14ac:dyDescent="0.3">
      <c r="A1478" t="s">
        <v>1568</v>
      </c>
      <c r="B1478" t="s">
        <v>82</v>
      </c>
      <c r="C1478" t="s">
        <v>74</v>
      </c>
      <c r="D1478" t="s">
        <v>57</v>
      </c>
      <c r="E1478">
        <v>23</v>
      </c>
      <c r="F1478" s="3">
        <v>8.07</v>
      </c>
      <c r="G1478" s="4">
        <v>84.9</v>
      </c>
      <c r="H1478">
        <v>2</v>
      </c>
      <c r="I1478">
        <v>3</v>
      </c>
      <c r="J1478">
        <v>2</v>
      </c>
      <c r="K1478" s="4">
        <v>76.5</v>
      </c>
      <c r="L1478" s="4">
        <v>67.7</v>
      </c>
      <c r="M1478" s="4">
        <v>62.9</v>
      </c>
      <c r="N1478">
        <v>0</v>
      </c>
      <c r="O1478" t="s">
        <v>58</v>
      </c>
      <c r="P1478" t="s">
        <v>87</v>
      </c>
      <c r="Q1478" t="s">
        <v>71</v>
      </c>
      <c r="R1478" t="s">
        <v>85</v>
      </c>
      <c r="S1478" s="3">
        <v>6.7</v>
      </c>
      <c r="T1478" s="5">
        <v>44838</v>
      </c>
      <c r="U1478">
        <v>1</v>
      </c>
      <c r="V1478">
        <v>2022</v>
      </c>
      <c r="X1478">
        <f t="shared" si="69"/>
        <v>8.0698521999999997</v>
      </c>
      <c r="Y1478">
        <f t="shared" si="70"/>
        <v>6.6998522000000005</v>
      </c>
      <c r="Z1478">
        <f t="shared" si="71"/>
        <v>67.699852200000009</v>
      </c>
    </row>
    <row r="1479" spans="1:26" x14ac:dyDescent="0.3">
      <c r="A1479" t="s">
        <v>1569</v>
      </c>
      <c r="B1479" t="s">
        <v>63</v>
      </c>
      <c r="C1479" t="s">
        <v>84</v>
      </c>
      <c r="D1479" t="s">
        <v>57</v>
      </c>
      <c r="E1479">
        <v>22</v>
      </c>
      <c r="F1479" s="3">
        <v>7.22</v>
      </c>
      <c r="G1479" s="4">
        <v>66.599999999999994</v>
      </c>
      <c r="H1479">
        <v>1</v>
      </c>
      <c r="I1479">
        <v>2</v>
      </c>
      <c r="J1479">
        <v>2</v>
      </c>
      <c r="K1479" s="4">
        <v>72.8</v>
      </c>
      <c r="L1479" s="4">
        <v>64</v>
      </c>
      <c r="M1479" s="4">
        <v>56.6</v>
      </c>
      <c r="N1479">
        <v>0</v>
      </c>
      <c r="O1479" t="s">
        <v>58</v>
      </c>
      <c r="P1479" t="s">
        <v>87</v>
      </c>
      <c r="Q1479" t="s">
        <v>71</v>
      </c>
      <c r="R1479" t="s">
        <v>61</v>
      </c>
      <c r="S1479" s="3">
        <v>4.33</v>
      </c>
      <c r="T1479" s="5">
        <v>45935</v>
      </c>
      <c r="U1479">
        <v>1</v>
      </c>
      <c r="V1479">
        <v>2025</v>
      </c>
      <c r="X1479">
        <f t="shared" si="69"/>
        <v>7.2198520999999998</v>
      </c>
      <c r="Y1479">
        <f t="shared" si="70"/>
        <v>4.3298521000000001</v>
      </c>
      <c r="Z1479">
        <f t="shared" si="71"/>
        <v>63.999852099999998</v>
      </c>
    </row>
    <row r="1480" spans="1:26" x14ac:dyDescent="0.3">
      <c r="A1480" t="s">
        <v>1570</v>
      </c>
      <c r="B1480" t="s">
        <v>63</v>
      </c>
      <c r="C1480" t="s">
        <v>89</v>
      </c>
      <c r="D1480" t="s">
        <v>69</v>
      </c>
      <c r="E1480">
        <v>21</v>
      </c>
      <c r="F1480" s="3">
        <v>7.49</v>
      </c>
      <c r="G1480" s="4">
        <v>72.2</v>
      </c>
      <c r="H1480">
        <v>2</v>
      </c>
      <c r="I1480">
        <v>3</v>
      </c>
      <c r="J1480">
        <v>3</v>
      </c>
      <c r="K1480" s="4">
        <v>51.8</v>
      </c>
      <c r="L1480" s="4">
        <v>72.400000000000006</v>
      </c>
      <c r="M1480" s="4">
        <v>69.400000000000006</v>
      </c>
      <c r="N1480">
        <v>0</v>
      </c>
      <c r="O1480" t="s">
        <v>58</v>
      </c>
      <c r="P1480" t="s">
        <v>75</v>
      </c>
      <c r="Q1480" t="s">
        <v>71</v>
      </c>
      <c r="R1480" t="s">
        <v>109</v>
      </c>
      <c r="S1480" s="3">
        <v>6.86</v>
      </c>
      <c r="T1480" s="5">
        <v>45985</v>
      </c>
      <c r="U1480">
        <v>3</v>
      </c>
      <c r="V1480">
        <v>2025</v>
      </c>
      <c r="X1480">
        <f t="shared" si="69"/>
        <v>7.489852</v>
      </c>
      <c r="Y1480">
        <f t="shared" si="70"/>
        <v>6.8598520000000001</v>
      </c>
      <c r="Z1480">
        <f t="shared" si="71"/>
        <v>72.39985200000001</v>
      </c>
    </row>
    <row r="1481" spans="1:26" x14ac:dyDescent="0.3">
      <c r="A1481" t="s">
        <v>1571</v>
      </c>
      <c r="B1481" t="s">
        <v>55</v>
      </c>
      <c r="C1481" t="s">
        <v>84</v>
      </c>
      <c r="D1481" t="s">
        <v>57</v>
      </c>
      <c r="E1481">
        <v>20</v>
      </c>
      <c r="F1481" s="3">
        <v>8.07</v>
      </c>
      <c r="G1481" s="4">
        <v>72.400000000000006</v>
      </c>
      <c r="H1481">
        <v>1</v>
      </c>
      <c r="I1481">
        <v>1</v>
      </c>
      <c r="J1481">
        <v>4</v>
      </c>
      <c r="K1481" s="4">
        <v>70.8</v>
      </c>
      <c r="L1481" s="4">
        <v>57.7</v>
      </c>
      <c r="M1481" s="4">
        <v>83.7</v>
      </c>
      <c r="N1481">
        <v>0</v>
      </c>
      <c r="O1481" t="s">
        <v>64</v>
      </c>
      <c r="P1481" t="s">
        <v>65</v>
      </c>
      <c r="S1481" s="3">
        <v>0</v>
      </c>
      <c r="T1481" s="5"/>
      <c r="U1481">
        <v>0</v>
      </c>
      <c r="V1481">
        <v>2024</v>
      </c>
      <c r="X1481">
        <f t="shared" si="69"/>
        <v>8.0698518999999997</v>
      </c>
      <c r="Y1481">
        <f t="shared" si="70"/>
        <v>-1.4809999999999999E-4</v>
      </c>
      <c r="Z1481">
        <f t="shared" si="71"/>
        <v>57.699851900000006</v>
      </c>
    </row>
    <row r="1482" spans="1:26" x14ac:dyDescent="0.3">
      <c r="A1482" t="s">
        <v>1572</v>
      </c>
      <c r="B1482" t="s">
        <v>82</v>
      </c>
      <c r="C1482" t="s">
        <v>78</v>
      </c>
      <c r="D1482" t="s">
        <v>69</v>
      </c>
      <c r="E1482">
        <v>20</v>
      </c>
      <c r="F1482" s="3">
        <v>9.5299999999999994</v>
      </c>
      <c r="G1482" s="4">
        <v>59.3</v>
      </c>
      <c r="H1482">
        <v>1</v>
      </c>
      <c r="I1482">
        <v>2</v>
      </c>
      <c r="J1482">
        <v>3</v>
      </c>
      <c r="K1482" s="4">
        <v>44.4</v>
      </c>
      <c r="L1482" s="4">
        <v>92</v>
      </c>
      <c r="M1482" s="4">
        <v>78.099999999999994</v>
      </c>
      <c r="N1482">
        <v>0</v>
      </c>
      <c r="O1482" t="s">
        <v>58</v>
      </c>
      <c r="P1482" t="s">
        <v>104</v>
      </c>
      <c r="Q1482" t="s">
        <v>105</v>
      </c>
      <c r="R1482" t="s">
        <v>80</v>
      </c>
      <c r="S1482" s="3">
        <v>17.829999999999998</v>
      </c>
      <c r="T1482" s="5">
        <v>44789</v>
      </c>
      <c r="U1482">
        <v>2</v>
      </c>
      <c r="V1482">
        <v>2022</v>
      </c>
      <c r="X1482">
        <f t="shared" si="69"/>
        <v>9.5298517999999994</v>
      </c>
      <c r="Y1482">
        <f t="shared" si="70"/>
        <v>17.829851799999997</v>
      </c>
      <c r="Z1482">
        <f t="shared" si="71"/>
        <v>91.999851800000002</v>
      </c>
    </row>
    <row r="1483" spans="1:26" x14ac:dyDescent="0.3">
      <c r="A1483" t="s">
        <v>1573</v>
      </c>
      <c r="B1483" t="s">
        <v>63</v>
      </c>
      <c r="C1483" t="s">
        <v>74</v>
      </c>
      <c r="D1483" t="s">
        <v>69</v>
      </c>
      <c r="E1483">
        <v>22</v>
      </c>
      <c r="F1483" s="3">
        <v>8.01</v>
      </c>
      <c r="G1483" s="4">
        <v>78.099999999999994</v>
      </c>
      <c r="H1483">
        <v>2</v>
      </c>
      <c r="I1483">
        <v>3</v>
      </c>
      <c r="J1483">
        <v>4</v>
      </c>
      <c r="K1483" s="4">
        <v>86.4</v>
      </c>
      <c r="L1483" s="4">
        <v>70.3</v>
      </c>
      <c r="M1483" s="4">
        <v>73.599999999999994</v>
      </c>
      <c r="N1483">
        <v>0</v>
      </c>
      <c r="O1483" t="s">
        <v>58</v>
      </c>
      <c r="P1483" t="s">
        <v>59</v>
      </c>
      <c r="Q1483" t="s">
        <v>60</v>
      </c>
      <c r="R1483" t="s">
        <v>109</v>
      </c>
      <c r="S1483" s="3">
        <v>18.420000000000002</v>
      </c>
      <c r="T1483" s="5">
        <v>45974</v>
      </c>
      <c r="U1483">
        <v>1</v>
      </c>
      <c r="V1483">
        <v>2025</v>
      </c>
      <c r="X1483">
        <f t="shared" si="69"/>
        <v>8.0098517000000005</v>
      </c>
      <c r="Y1483">
        <f t="shared" si="70"/>
        <v>18.419851700000002</v>
      </c>
      <c r="Z1483">
        <f t="shared" si="71"/>
        <v>70.299851699999991</v>
      </c>
    </row>
    <row r="1484" spans="1:26" x14ac:dyDescent="0.3">
      <c r="A1484" t="s">
        <v>1574</v>
      </c>
      <c r="B1484" t="s">
        <v>67</v>
      </c>
      <c r="C1484" t="s">
        <v>74</v>
      </c>
      <c r="D1484" t="s">
        <v>57</v>
      </c>
      <c r="E1484">
        <v>22</v>
      </c>
      <c r="F1484" s="3">
        <v>7.64</v>
      </c>
      <c r="G1484" s="4">
        <v>94.7</v>
      </c>
      <c r="H1484">
        <v>2</v>
      </c>
      <c r="I1484">
        <v>0</v>
      </c>
      <c r="J1484">
        <v>2</v>
      </c>
      <c r="K1484" s="4">
        <v>75.8</v>
      </c>
      <c r="L1484" s="4">
        <v>58.5</v>
      </c>
      <c r="M1484" s="4">
        <v>90.3</v>
      </c>
      <c r="N1484">
        <v>1</v>
      </c>
      <c r="O1484" t="s">
        <v>58</v>
      </c>
      <c r="P1484" t="s">
        <v>59</v>
      </c>
      <c r="Q1484" t="s">
        <v>60</v>
      </c>
      <c r="R1484" t="s">
        <v>76</v>
      </c>
      <c r="S1484" s="3">
        <v>19.66</v>
      </c>
      <c r="T1484" s="5">
        <v>45207</v>
      </c>
      <c r="U1484">
        <v>1</v>
      </c>
      <c r="V1484">
        <v>2023</v>
      </c>
      <c r="X1484">
        <f t="shared" si="69"/>
        <v>7.6398516000000001</v>
      </c>
      <c r="Y1484">
        <f t="shared" si="70"/>
        <v>19.6598516</v>
      </c>
      <c r="Z1484">
        <f t="shared" si="71"/>
        <v>58.4998516</v>
      </c>
    </row>
    <row r="1485" spans="1:26" x14ac:dyDescent="0.3">
      <c r="A1485" t="s">
        <v>1575</v>
      </c>
      <c r="B1485" t="s">
        <v>107</v>
      </c>
      <c r="C1485" t="s">
        <v>68</v>
      </c>
      <c r="D1485" t="s">
        <v>57</v>
      </c>
      <c r="E1485">
        <v>23</v>
      </c>
      <c r="F1485" s="3">
        <v>6.9</v>
      </c>
      <c r="G1485" s="4">
        <v>69.099999999999994</v>
      </c>
      <c r="H1485">
        <v>1</v>
      </c>
      <c r="I1485">
        <v>0</v>
      </c>
      <c r="J1485">
        <v>3</v>
      </c>
      <c r="K1485" s="4">
        <v>67.2</v>
      </c>
      <c r="L1485" s="4">
        <v>49.1</v>
      </c>
      <c r="M1485" s="4">
        <v>70.400000000000006</v>
      </c>
      <c r="N1485">
        <v>0</v>
      </c>
      <c r="O1485" t="s">
        <v>64</v>
      </c>
      <c r="P1485" t="s">
        <v>65</v>
      </c>
      <c r="S1485" s="3">
        <v>0</v>
      </c>
      <c r="T1485" s="5"/>
      <c r="U1485">
        <v>0</v>
      </c>
      <c r="V1485">
        <v>2021</v>
      </c>
      <c r="X1485">
        <f t="shared" si="69"/>
        <v>6.8998515000000005</v>
      </c>
      <c r="Y1485">
        <f t="shared" si="70"/>
        <v>-1.485E-4</v>
      </c>
      <c r="Z1485">
        <f t="shared" si="71"/>
        <v>49.0998515</v>
      </c>
    </row>
    <row r="1486" spans="1:26" x14ac:dyDescent="0.3">
      <c r="A1486" t="s">
        <v>1576</v>
      </c>
      <c r="B1486" t="s">
        <v>107</v>
      </c>
      <c r="C1486" t="s">
        <v>101</v>
      </c>
      <c r="D1486" t="s">
        <v>57</v>
      </c>
      <c r="E1486">
        <v>20</v>
      </c>
      <c r="F1486" s="3">
        <v>8.4600000000000009</v>
      </c>
      <c r="G1486" s="4">
        <v>88.6</v>
      </c>
      <c r="H1486">
        <v>2</v>
      </c>
      <c r="I1486">
        <v>1</v>
      </c>
      <c r="J1486">
        <v>4</v>
      </c>
      <c r="K1486" s="4">
        <v>51.8</v>
      </c>
      <c r="L1486" s="4">
        <v>70.7</v>
      </c>
      <c r="M1486" s="4">
        <v>80.7</v>
      </c>
      <c r="N1486">
        <v>0</v>
      </c>
      <c r="O1486" t="s">
        <v>58</v>
      </c>
      <c r="P1486" t="s">
        <v>90</v>
      </c>
      <c r="Q1486" t="s">
        <v>60</v>
      </c>
      <c r="R1486" t="s">
        <v>85</v>
      </c>
      <c r="S1486" s="3">
        <v>8.9700000000000006</v>
      </c>
      <c r="T1486" s="5">
        <v>44528</v>
      </c>
      <c r="U1486">
        <v>3</v>
      </c>
      <c r="V1486">
        <v>2021</v>
      </c>
      <c r="X1486">
        <f t="shared" si="69"/>
        <v>8.4598514000000016</v>
      </c>
      <c r="Y1486">
        <f t="shared" si="70"/>
        <v>8.9698514000000014</v>
      </c>
      <c r="Z1486">
        <f t="shared" si="71"/>
        <v>70.6998514</v>
      </c>
    </row>
    <row r="1487" spans="1:26" x14ac:dyDescent="0.3">
      <c r="A1487" t="s">
        <v>1577</v>
      </c>
      <c r="B1487" t="s">
        <v>107</v>
      </c>
      <c r="C1487" t="s">
        <v>74</v>
      </c>
      <c r="D1487" t="s">
        <v>57</v>
      </c>
      <c r="E1487">
        <v>23</v>
      </c>
      <c r="F1487" s="3">
        <v>7.35</v>
      </c>
      <c r="G1487" s="4">
        <v>86.8</v>
      </c>
      <c r="H1487">
        <v>2</v>
      </c>
      <c r="I1487">
        <v>1</v>
      </c>
      <c r="J1487">
        <v>3</v>
      </c>
      <c r="K1487" s="4">
        <v>70.5</v>
      </c>
      <c r="L1487" s="4">
        <v>83.8</v>
      </c>
      <c r="M1487" s="4">
        <v>69.900000000000006</v>
      </c>
      <c r="N1487">
        <v>0</v>
      </c>
      <c r="O1487" t="s">
        <v>64</v>
      </c>
      <c r="P1487" t="s">
        <v>65</v>
      </c>
      <c r="S1487" s="3">
        <v>0</v>
      </c>
      <c r="T1487" s="5"/>
      <c r="U1487">
        <v>0</v>
      </c>
      <c r="V1487">
        <v>2021</v>
      </c>
      <c r="X1487">
        <f t="shared" si="69"/>
        <v>7.3498513000000001</v>
      </c>
      <c r="Y1487">
        <f t="shared" si="70"/>
        <v>-1.4869999999999998E-4</v>
      </c>
      <c r="Z1487">
        <f t="shared" si="71"/>
        <v>83.7998513</v>
      </c>
    </row>
    <row r="1488" spans="1:26" x14ac:dyDescent="0.3">
      <c r="A1488" t="s">
        <v>1578</v>
      </c>
      <c r="B1488" t="s">
        <v>82</v>
      </c>
      <c r="C1488" t="s">
        <v>89</v>
      </c>
      <c r="D1488" t="s">
        <v>69</v>
      </c>
      <c r="E1488">
        <v>20</v>
      </c>
      <c r="F1488" s="3">
        <v>7.99</v>
      </c>
      <c r="G1488" s="4">
        <v>84.1</v>
      </c>
      <c r="H1488">
        <v>2</v>
      </c>
      <c r="I1488">
        <v>1</v>
      </c>
      <c r="J1488">
        <v>3</v>
      </c>
      <c r="K1488" s="4">
        <v>47</v>
      </c>
      <c r="L1488" s="4">
        <v>75.3</v>
      </c>
      <c r="M1488" s="4">
        <v>56</v>
      </c>
      <c r="N1488">
        <v>1</v>
      </c>
      <c r="O1488" t="s">
        <v>58</v>
      </c>
      <c r="P1488" t="s">
        <v>87</v>
      </c>
      <c r="Q1488" t="s">
        <v>71</v>
      </c>
      <c r="R1488" t="s">
        <v>76</v>
      </c>
      <c r="S1488" s="3">
        <v>7.62</v>
      </c>
      <c r="T1488" s="5">
        <v>44880</v>
      </c>
      <c r="U1488">
        <v>1</v>
      </c>
      <c r="V1488">
        <v>2022</v>
      </c>
      <c r="X1488">
        <f t="shared" si="69"/>
        <v>7.9898512000000004</v>
      </c>
      <c r="Y1488">
        <f t="shared" si="70"/>
        <v>7.6198512000000003</v>
      </c>
      <c r="Z1488">
        <f t="shared" si="71"/>
        <v>75.299851199999992</v>
      </c>
    </row>
    <row r="1489" spans="1:26" x14ac:dyDescent="0.3">
      <c r="A1489" t="s">
        <v>1579</v>
      </c>
      <c r="B1489" t="s">
        <v>55</v>
      </c>
      <c r="C1489" t="s">
        <v>74</v>
      </c>
      <c r="D1489" t="s">
        <v>57</v>
      </c>
      <c r="E1489">
        <v>20</v>
      </c>
      <c r="F1489" s="3">
        <v>8.2799999999999994</v>
      </c>
      <c r="G1489" s="4">
        <v>92.6</v>
      </c>
      <c r="H1489">
        <v>0</v>
      </c>
      <c r="I1489">
        <v>2</v>
      </c>
      <c r="J1489">
        <v>4</v>
      </c>
      <c r="K1489" s="4">
        <v>63.6</v>
      </c>
      <c r="L1489" s="4">
        <v>99.8</v>
      </c>
      <c r="M1489" s="4">
        <v>65</v>
      </c>
      <c r="N1489">
        <v>0</v>
      </c>
      <c r="O1489" t="s">
        <v>58</v>
      </c>
      <c r="P1489" t="s">
        <v>112</v>
      </c>
      <c r="Q1489" t="s">
        <v>93</v>
      </c>
      <c r="R1489" t="s">
        <v>130</v>
      </c>
      <c r="S1489" s="3">
        <v>7.16</v>
      </c>
      <c r="T1489" s="5">
        <v>45556</v>
      </c>
      <c r="U1489">
        <v>1</v>
      </c>
      <c r="V1489">
        <v>2024</v>
      </c>
      <c r="X1489">
        <f t="shared" si="69"/>
        <v>8.2798511000000001</v>
      </c>
      <c r="Y1489">
        <f t="shared" si="70"/>
        <v>7.1598511</v>
      </c>
      <c r="Z1489">
        <f t="shared" si="71"/>
        <v>99.799851099999998</v>
      </c>
    </row>
    <row r="1490" spans="1:26" x14ac:dyDescent="0.3">
      <c r="A1490" t="s">
        <v>1580</v>
      </c>
      <c r="B1490" t="s">
        <v>63</v>
      </c>
      <c r="C1490" t="s">
        <v>101</v>
      </c>
      <c r="D1490" t="s">
        <v>57</v>
      </c>
      <c r="E1490">
        <v>21</v>
      </c>
      <c r="F1490" s="3">
        <v>8.7899999999999991</v>
      </c>
      <c r="G1490" s="4">
        <v>81.599999999999994</v>
      </c>
      <c r="H1490">
        <v>2</v>
      </c>
      <c r="I1490">
        <v>1</v>
      </c>
      <c r="J1490">
        <v>6</v>
      </c>
      <c r="K1490" s="4">
        <v>73.8</v>
      </c>
      <c r="L1490" s="4">
        <v>100</v>
      </c>
      <c r="M1490" s="4">
        <v>64.599999999999994</v>
      </c>
      <c r="N1490">
        <v>0</v>
      </c>
      <c r="O1490" t="s">
        <v>58</v>
      </c>
      <c r="P1490" t="s">
        <v>112</v>
      </c>
      <c r="Q1490" t="s">
        <v>93</v>
      </c>
      <c r="R1490" t="s">
        <v>80</v>
      </c>
      <c r="S1490" s="3">
        <v>8.4</v>
      </c>
      <c r="T1490" s="5">
        <v>45883</v>
      </c>
      <c r="U1490">
        <v>1</v>
      </c>
      <c r="V1490">
        <v>2025</v>
      </c>
      <c r="X1490">
        <f t="shared" si="69"/>
        <v>8.7898509999999987</v>
      </c>
      <c r="Y1490">
        <f t="shared" si="70"/>
        <v>8.399851</v>
      </c>
      <c r="Z1490">
        <f t="shared" si="71"/>
        <v>99.999851000000007</v>
      </c>
    </row>
    <row r="1491" spans="1:26" x14ac:dyDescent="0.3">
      <c r="A1491" t="s">
        <v>1581</v>
      </c>
      <c r="B1491" t="s">
        <v>67</v>
      </c>
      <c r="C1491" t="s">
        <v>68</v>
      </c>
      <c r="D1491" t="s">
        <v>69</v>
      </c>
      <c r="E1491">
        <v>22</v>
      </c>
      <c r="F1491" s="3">
        <v>8.41</v>
      </c>
      <c r="G1491" s="4">
        <v>95.7</v>
      </c>
      <c r="H1491">
        <v>1</v>
      </c>
      <c r="I1491">
        <v>1</v>
      </c>
      <c r="J1491">
        <v>2</v>
      </c>
      <c r="K1491" s="4">
        <v>58</v>
      </c>
      <c r="L1491" s="4">
        <v>50.8</v>
      </c>
      <c r="M1491" s="4">
        <v>56.9</v>
      </c>
      <c r="N1491">
        <v>0</v>
      </c>
      <c r="O1491" t="s">
        <v>58</v>
      </c>
      <c r="P1491" t="s">
        <v>87</v>
      </c>
      <c r="Q1491" t="s">
        <v>71</v>
      </c>
      <c r="R1491" t="s">
        <v>130</v>
      </c>
      <c r="S1491" s="3">
        <v>4.5599999999999996</v>
      </c>
      <c r="T1491" s="5">
        <v>45215</v>
      </c>
      <c r="U1491">
        <v>1</v>
      </c>
      <c r="V1491">
        <v>2023</v>
      </c>
      <c r="X1491">
        <f t="shared" si="69"/>
        <v>8.4098509000000004</v>
      </c>
      <c r="Y1491">
        <f t="shared" si="70"/>
        <v>4.5598508999999998</v>
      </c>
      <c r="Z1491">
        <f t="shared" si="71"/>
        <v>50.799850899999996</v>
      </c>
    </row>
    <row r="1492" spans="1:26" x14ac:dyDescent="0.3">
      <c r="A1492" t="s">
        <v>1582</v>
      </c>
      <c r="B1492" t="s">
        <v>67</v>
      </c>
      <c r="C1492" t="s">
        <v>56</v>
      </c>
      <c r="D1492" t="s">
        <v>69</v>
      </c>
      <c r="E1492">
        <v>20</v>
      </c>
      <c r="F1492" s="3">
        <v>6.55</v>
      </c>
      <c r="G1492" s="4">
        <v>80.2</v>
      </c>
      <c r="H1492">
        <v>2</v>
      </c>
      <c r="I1492">
        <v>4</v>
      </c>
      <c r="J1492">
        <v>3</v>
      </c>
      <c r="K1492" s="4">
        <v>67.400000000000006</v>
      </c>
      <c r="L1492" s="4">
        <v>47.6</v>
      </c>
      <c r="M1492" s="4">
        <v>72.2</v>
      </c>
      <c r="N1492">
        <v>0</v>
      </c>
      <c r="O1492" t="s">
        <v>64</v>
      </c>
      <c r="P1492" t="s">
        <v>65</v>
      </c>
      <c r="S1492" s="3">
        <v>0</v>
      </c>
      <c r="T1492" s="5"/>
      <c r="U1492">
        <v>0</v>
      </c>
      <c r="V1492">
        <v>2023</v>
      </c>
      <c r="X1492">
        <f t="shared" si="69"/>
        <v>6.5498507999999998</v>
      </c>
      <c r="Y1492">
        <f t="shared" si="70"/>
        <v>-1.4919999999999999E-4</v>
      </c>
      <c r="Z1492">
        <f t="shared" si="71"/>
        <v>47.599850799999999</v>
      </c>
    </row>
    <row r="1493" spans="1:26" x14ac:dyDescent="0.3">
      <c r="A1493" t="s">
        <v>1583</v>
      </c>
      <c r="B1493" t="s">
        <v>82</v>
      </c>
      <c r="C1493" t="s">
        <v>56</v>
      </c>
      <c r="D1493" t="s">
        <v>57</v>
      </c>
      <c r="E1493">
        <v>23</v>
      </c>
      <c r="F1493" s="3">
        <v>6.1</v>
      </c>
      <c r="G1493" s="4">
        <v>85.1</v>
      </c>
      <c r="H1493">
        <v>1</v>
      </c>
      <c r="I1493">
        <v>3</v>
      </c>
      <c r="J1493">
        <v>3</v>
      </c>
      <c r="K1493" s="4">
        <v>100</v>
      </c>
      <c r="L1493" s="4">
        <v>58.5</v>
      </c>
      <c r="M1493" s="4">
        <v>65.099999999999994</v>
      </c>
      <c r="N1493">
        <v>2</v>
      </c>
      <c r="O1493" t="s">
        <v>58</v>
      </c>
      <c r="P1493" t="s">
        <v>79</v>
      </c>
      <c r="Q1493" t="s">
        <v>71</v>
      </c>
      <c r="R1493" t="s">
        <v>109</v>
      </c>
      <c r="S1493" s="3">
        <v>3.89</v>
      </c>
      <c r="T1493" s="5">
        <v>44808</v>
      </c>
      <c r="U1493">
        <v>1</v>
      </c>
      <c r="V1493">
        <v>2022</v>
      </c>
      <c r="X1493">
        <f t="shared" si="69"/>
        <v>6.0998506999999993</v>
      </c>
      <c r="Y1493">
        <f t="shared" si="70"/>
        <v>3.8898507000000002</v>
      </c>
      <c r="Z1493">
        <f t="shared" si="71"/>
        <v>58.499850700000003</v>
      </c>
    </row>
    <row r="1494" spans="1:26" x14ac:dyDescent="0.3">
      <c r="A1494" t="s">
        <v>1584</v>
      </c>
      <c r="B1494" t="s">
        <v>107</v>
      </c>
      <c r="C1494" t="s">
        <v>56</v>
      </c>
      <c r="D1494" t="s">
        <v>57</v>
      </c>
      <c r="E1494">
        <v>22</v>
      </c>
      <c r="F1494" s="3">
        <v>8.2799999999999994</v>
      </c>
      <c r="G1494" s="4">
        <v>80.7</v>
      </c>
      <c r="H1494">
        <v>2</v>
      </c>
      <c r="I1494">
        <v>1</v>
      </c>
      <c r="J1494">
        <v>5</v>
      </c>
      <c r="K1494" s="4">
        <v>43</v>
      </c>
      <c r="L1494" s="4">
        <v>80.599999999999994</v>
      </c>
      <c r="M1494" s="4">
        <v>92</v>
      </c>
      <c r="N1494">
        <v>1</v>
      </c>
      <c r="O1494" t="s">
        <v>58</v>
      </c>
      <c r="P1494" t="s">
        <v>92</v>
      </c>
      <c r="Q1494" t="s">
        <v>93</v>
      </c>
      <c r="R1494" t="s">
        <v>109</v>
      </c>
      <c r="S1494" s="3">
        <v>9.83</v>
      </c>
      <c r="T1494" s="5">
        <v>44465</v>
      </c>
      <c r="U1494">
        <v>3</v>
      </c>
      <c r="V1494">
        <v>2021</v>
      </c>
      <c r="X1494">
        <f t="shared" si="69"/>
        <v>8.2798505999999996</v>
      </c>
      <c r="Y1494">
        <f t="shared" si="70"/>
        <v>9.8298506000000003</v>
      </c>
      <c r="Z1494">
        <f t="shared" si="71"/>
        <v>80.599850599999996</v>
      </c>
    </row>
    <row r="1495" spans="1:26" x14ac:dyDescent="0.3">
      <c r="A1495" t="s">
        <v>1585</v>
      </c>
      <c r="B1495" t="s">
        <v>82</v>
      </c>
      <c r="C1495" t="s">
        <v>68</v>
      </c>
      <c r="D1495" t="s">
        <v>69</v>
      </c>
      <c r="E1495">
        <v>23</v>
      </c>
      <c r="F1495" s="3">
        <v>7.73</v>
      </c>
      <c r="G1495" s="4">
        <v>73.7</v>
      </c>
      <c r="H1495">
        <v>2</v>
      </c>
      <c r="I1495">
        <v>1</v>
      </c>
      <c r="J1495">
        <v>6</v>
      </c>
      <c r="K1495" s="4">
        <v>57.2</v>
      </c>
      <c r="L1495" s="4">
        <v>75.900000000000006</v>
      </c>
      <c r="M1495" s="4">
        <v>71.2</v>
      </c>
      <c r="N1495">
        <v>0</v>
      </c>
      <c r="O1495" t="s">
        <v>58</v>
      </c>
      <c r="P1495" t="s">
        <v>95</v>
      </c>
      <c r="Q1495" t="s">
        <v>93</v>
      </c>
      <c r="R1495" t="s">
        <v>61</v>
      </c>
      <c r="S1495" s="3">
        <v>7.92</v>
      </c>
      <c r="T1495" s="5">
        <v>44807</v>
      </c>
      <c r="U1495">
        <v>2</v>
      </c>
      <c r="V1495">
        <v>2022</v>
      </c>
      <c r="X1495">
        <f t="shared" si="69"/>
        <v>7.7298505000000004</v>
      </c>
      <c r="Y1495">
        <f t="shared" si="70"/>
        <v>7.9198504999999999</v>
      </c>
      <c r="Z1495">
        <f t="shared" si="71"/>
        <v>75.899850499999999</v>
      </c>
    </row>
    <row r="1496" spans="1:26" x14ac:dyDescent="0.3">
      <c r="A1496" t="s">
        <v>1586</v>
      </c>
      <c r="B1496" t="s">
        <v>55</v>
      </c>
      <c r="C1496" t="s">
        <v>56</v>
      </c>
      <c r="D1496" t="s">
        <v>69</v>
      </c>
      <c r="E1496">
        <v>22</v>
      </c>
      <c r="F1496" s="3">
        <v>8</v>
      </c>
      <c r="G1496" s="4">
        <v>69.900000000000006</v>
      </c>
      <c r="H1496">
        <v>1</v>
      </c>
      <c r="I1496">
        <v>3</v>
      </c>
      <c r="J1496">
        <v>6</v>
      </c>
      <c r="K1496" s="4">
        <v>64.400000000000006</v>
      </c>
      <c r="L1496" s="4">
        <v>85.2</v>
      </c>
      <c r="M1496" s="4">
        <v>64</v>
      </c>
      <c r="N1496">
        <v>0</v>
      </c>
      <c r="O1496" t="s">
        <v>58</v>
      </c>
      <c r="P1496" t="s">
        <v>95</v>
      </c>
      <c r="Q1496" t="s">
        <v>93</v>
      </c>
      <c r="R1496" t="s">
        <v>76</v>
      </c>
      <c r="S1496" s="3">
        <v>7.89</v>
      </c>
      <c r="T1496" s="5">
        <v>45563</v>
      </c>
      <c r="U1496">
        <v>2</v>
      </c>
      <c r="V1496">
        <v>2024</v>
      </c>
      <c r="X1496">
        <f t="shared" si="69"/>
        <v>7.9998503999999997</v>
      </c>
      <c r="Y1496">
        <f t="shared" si="70"/>
        <v>7.8898503999999994</v>
      </c>
      <c r="Z1496">
        <f t="shared" si="71"/>
        <v>85.199850400000003</v>
      </c>
    </row>
    <row r="1497" spans="1:26" x14ac:dyDescent="0.3">
      <c r="A1497" t="s">
        <v>1587</v>
      </c>
      <c r="B1497" t="s">
        <v>55</v>
      </c>
      <c r="C1497" t="s">
        <v>56</v>
      </c>
      <c r="D1497" t="s">
        <v>69</v>
      </c>
      <c r="E1497">
        <v>22</v>
      </c>
      <c r="F1497" s="3">
        <v>9.1999999999999993</v>
      </c>
      <c r="G1497" s="4">
        <v>87.2</v>
      </c>
      <c r="H1497">
        <v>1</v>
      </c>
      <c r="I1497">
        <v>3</v>
      </c>
      <c r="J1497">
        <v>3</v>
      </c>
      <c r="K1497" s="4">
        <v>60.6</v>
      </c>
      <c r="L1497" s="4">
        <v>54.5</v>
      </c>
      <c r="M1497" s="4">
        <v>60.9</v>
      </c>
      <c r="N1497">
        <v>0</v>
      </c>
      <c r="O1497" t="s">
        <v>58</v>
      </c>
      <c r="P1497" t="s">
        <v>70</v>
      </c>
      <c r="Q1497" t="s">
        <v>71</v>
      </c>
      <c r="R1497" t="s">
        <v>130</v>
      </c>
      <c r="S1497" s="3">
        <v>5.39</v>
      </c>
      <c r="T1497" s="5">
        <v>45584</v>
      </c>
      <c r="U1497">
        <v>2</v>
      </c>
      <c r="V1497">
        <v>2024</v>
      </c>
      <c r="X1497">
        <f t="shared" si="69"/>
        <v>9.1998502999999996</v>
      </c>
      <c r="Y1497">
        <f t="shared" si="70"/>
        <v>5.3898503</v>
      </c>
      <c r="Z1497">
        <f t="shared" si="71"/>
        <v>54.499850299999999</v>
      </c>
    </row>
    <row r="1498" spans="1:26" x14ac:dyDescent="0.3">
      <c r="A1498" t="s">
        <v>1588</v>
      </c>
      <c r="B1498" t="s">
        <v>63</v>
      </c>
      <c r="C1498" t="s">
        <v>84</v>
      </c>
      <c r="D1498" t="s">
        <v>57</v>
      </c>
      <c r="E1498">
        <v>20</v>
      </c>
      <c r="F1498" s="3">
        <v>7.1</v>
      </c>
      <c r="G1498" s="4">
        <v>94.1</v>
      </c>
      <c r="H1498">
        <v>2</v>
      </c>
      <c r="I1498">
        <v>1</v>
      </c>
      <c r="J1498">
        <v>3</v>
      </c>
      <c r="K1498" s="4">
        <v>74.3</v>
      </c>
      <c r="L1498" s="4">
        <v>43.4</v>
      </c>
      <c r="M1498" s="4">
        <v>60.5</v>
      </c>
      <c r="N1498">
        <v>2</v>
      </c>
      <c r="O1498" t="s">
        <v>58</v>
      </c>
      <c r="P1498" t="s">
        <v>92</v>
      </c>
      <c r="Q1498" t="s">
        <v>93</v>
      </c>
      <c r="R1498" t="s">
        <v>72</v>
      </c>
      <c r="S1498" s="3">
        <v>7.65</v>
      </c>
      <c r="T1498" s="5">
        <v>45897</v>
      </c>
      <c r="U1498">
        <v>2</v>
      </c>
      <c r="V1498">
        <v>2025</v>
      </c>
      <c r="X1498">
        <f t="shared" si="69"/>
        <v>7.0998501999999997</v>
      </c>
      <c r="Y1498">
        <f t="shared" si="70"/>
        <v>7.6498502000000004</v>
      </c>
      <c r="Z1498">
        <f t="shared" si="71"/>
        <v>43.399850199999996</v>
      </c>
    </row>
    <row r="1499" spans="1:26" x14ac:dyDescent="0.3">
      <c r="A1499" t="s">
        <v>1589</v>
      </c>
      <c r="B1499" t="s">
        <v>63</v>
      </c>
      <c r="C1499" t="s">
        <v>101</v>
      </c>
      <c r="D1499" t="s">
        <v>57</v>
      </c>
      <c r="E1499">
        <v>21</v>
      </c>
      <c r="F1499" s="3">
        <v>8.81</v>
      </c>
      <c r="G1499" s="4">
        <v>84.2</v>
      </c>
      <c r="H1499">
        <v>1</v>
      </c>
      <c r="I1499">
        <v>4</v>
      </c>
      <c r="J1499">
        <v>3</v>
      </c>
      <c r="K1499" s="4">
        <v>75.599999999999994</v>
      </c>
      <c r="L1499" s="4">
        <v>61.1</v>
      </c>
      <c r="M1499" s="4">
        <v>84.5</v>
      </c>
      <c r="N1499">
        <v>0</v>
      </c>
      <c r="O1499" t="s">
        <v>58</v>
      </c>
      <c r="P1499" t="s">
        <v>70</v>
      </c>
      <c r="Q1499" t="s">
        <v>71</v>
      </c>
      <c r="R1499" t="s">
        <v>61</v>
      </c>
      <c r="S1499" s="3">
        <v>6.36</v>
      </c>
      <c r="T1499" s="5">
        <v>45912</v>
      </c>
      <c r="U1499">
        <v>1</v>
      </c>
      <c r="V1499">
        <v>2025</v>
      </c>
      <c r="X1499">
        <f t="shared" si="69"/>
        <v>8.8098501000000002</v>
      </c>
      <c r="Y1499">
        <f t="shared" si="70"/>
        <v>6.3598501000000001</v>
      </c>
      <c r="Z1499">
        <f t="shared" si="71"/>
        <v>61.099850100000005</v>
      </c>
    </row>
    <row r="1500" spans="1:26" x14ac:dyDescent="0.3">
      <c r="A1500" t="s">
        <v>1590</v>
      </c>
      <c r="B1500" t="s">
        <v>55</v>
      </c>
      <c r="C1500" t="s">
        <v>68</v>
      </c>
      <c r="D1500" t="s">
        <v>57</v>
      </c>
      <c r="E1500">
        <v>20</v>
      </c>
      <c r="F1500" s="3">
        <v>7.1</v>
      </c>
      <c r="G1500" s="4">
        <v>86.6</v>
      </c>
      <c r="H1500">
        <v>0</v>
      </c>
      <c r="I1500">
        <v>3</v>
      </c>
      <c r="J1500">
        <v>3</v>
      </c>
      <c r="K1500" s="4">
        <v>68.599999999999994</v>
      </c>
      <c r="L1500" s="4">
        <v>78.8</v>
      </c>
      <c r="M1500" s="4">
        <v>85.6</v>
      </c>
      <c r="N1500">
        <v>1</v>
      </c>
      <c r="O1500" t="s">
        <v>58</v>
      </c>
      <c r="P1500" t="s">
        <v>59</v>
      </c>
      <c r="Q1500" t="s">
        <v>60</v>
      </c>
      <c r="R1500" t="s">
        <v>80</v>
      </c>
      <c r="S1500" s="3">
        <v>16.670000000000002</v>
      </c>
      <c r="T1500" s="5">
        <v>45539</v>
      </c>
      <c r="U1500">
        <v>2</v>
      </c>
      <c r="V1500">
        <v>2024</v>
      </c>
      <c r="X1500">
        <f t="shared" si="69"/>
        <v>7.09985</v>
      </c>
      <c r="Y1500">
        <f t="shared" si="70"/>
        <v>16.66985</v>
      </c>
      <c r="Z1500">
        <f t="shared" si="71"/>
        <v>78.799849999999992</v>
      </c>
    </row>
    <row r="1501" spans="1:26" x14ac:dyDescent="0.3">
      <c r="A1501" t="s">
        <v>1591</v>
      </c>
      <c r="B1501" t="s">
        <v>55</v>
      </c>
      <c r="C1501" t="s">
        <v>84</v>
      </c>
      <c r="D1501" t="s">
        <v>57</v>
      </c>
      <c r="E1501">
        <v>22</v>
      </c>
      <c r="F1501" s="3">
        <v>9.06</v>
      </c>
      <c r="G1501" s="4">
        <v>68</v>
      </c>
      <c r="H1501">
        <v>0</v>
      </c>
      <c r="I1501">
        <v>3</v>
      </c>
      <c r="J1501">
        <v>4</v>
      </c>
      <c r="K1501" s="4">
        <v>69.900000000000006</v>
      </c>
      <c r="L1501" s="4">
        <v>72.400000000000006</v>
      </c>
      <c r="M1501" s="4">
        <v>50</v>
      </c>
      <c r="N1501">
        <v>0</v>
      </c>
      <c r="O1501" t="s">
        <v>58</v>
      </c>
      <c r="P1501" t="s">
        <v>90</v>
      </c>
      <c r="Q1501" t="s">
        <v>60</v>
      </c>
      <c r="R1501" t="s">
        <v>109</v>
      </c>
      <c r="S1501" s="3">
        <v>8.83</v>
      </c>
      <c r="T1501" s="5">
        <v>45519</v>
      </c>
      <c r="U1501">
        <v>1</v>
      </c>
      <c r="V1501">
        <v>2024</v>
      </c>
      <c r="X1501">
        <f t="shared" si="69"/>
        <v>9.0598498999999997</v>
      </c>
      <c r="Y1501">
        <f t="shared" si="70"/>
        <v>8.8298498999999993</v>
      </c>
      <c r="Z1501">
        <f t="shared" si="71"/>
        <v>72.399849900000007</v>
      </c>
    </row>
    <row r="1502" spans="1:26" x14ac:dyDescent="0.3">
      <c r="A1502" t="s">
        <v>1592</v>
      </c>
      <c r="B1502" t="s">
        <v>55</v>
      </c>
      <c r="C1502" t="s">
        <v>56</v>
      </c>
      <c r="D1502" t="s">
        <v>69</v>
      </c>
      <c r="E1502">
        <v>20</v>
      </c>
      <c r="F1502" s="3">
        <v>8.33</v>
      </c>
      <c r="G1502" s="4">
        <v>85.5</v>
      </c>
      <c r="H1502">
        <v>2</v>
      </c>
      <c r="I1502">
        <v>0</v>
      </c>
      <c r="J1502">
        <v>3</v>
      </c>
      <c r="K1502" s="4">
        <v>42.8</v>
      </c>
      <c r="L1502" s="4">
        <v>88.7</v>
      </c>
      <c r="M1502" s="4">
        <v>100</v>
      </c>
      <c r="N1502">
        <v>1</v>
      </c>
      <c r="O1502" t="s">
        <v>58</v>
      </c>
      <c r="P1502" t="s">
        <v>92</v>
      </c>
      <c r="Q1502" t="s">
        <v>93</v>
      </c>
      <c r="R1502" t="s">
        <v>130</v>
      </c>
      <c r="S1502" s="3">
        <v>10.15</v>
      </c>
      <c r="T1502" s="5">
        <v>45507</v>
      </c>
      <c r="U1502">
        <v>2</v>
      </c>
      <c r="V1502">
        <v>2024</v>
      </c>
      <c r="X1502">
        <f t="shared" si="69"/>
        <v>8.3298497999999999</v>
      </c>
      <c r="Y1502">
        <f t="shared" si="70"/>
        <v>10.1498498</v>
      </c>
      <c r="Z1502">
        <f t="shared" si="71"/>
        <v>88.69984980000001</v>
      </c>
    </row>
    <row r="1503" spans="1:26" x14ac:dyDescent="0.3">
      <c r="A1503" t="s">
        <v>1593</v>
      </c>
      <c r="B1503" t="s">
        <v>82</v>
      </c>
      <c r="C1503" t="s">
        <v>89</v>
      </c>
      <c r="D1503" t="s">
        <v>69</v>
      </c>
      <c r="E1503">
        <v>20</v>
      </c>
      <c r="F1503" s="3">
        <v>6.29</v>
      </c>
      <c r="G1503" s="4">
        <v>63.3</v>
      </c>
      <c r="H1503">
        <v>2</v>
      </c>
      <c r="I1503">
        <v>0</v>
      </c>
      <c r="J1503">
        <v>4</v>
      </c>
      <c r="K1503" s="4">
        <v>74.599999999999994</v>
      </c>
      <c r="L1503" s="4">
        <v>59.3</v>
      </c>
      <c r="M1503" s="4">
        <v>74.900000000000006</v>
      </c>
      <c r="N1503">
        <v>0</v>
      </c>
      <c r="O1503" t="s">
        <v>58</v>
      </c>
      <c r="P1503" t="s">
        <v>70</v>
      </c>
      <c r="Q1503" t="s">
        <v>71</v>
      </c>
      <c r="R1503" t="s">
        <v>76</v>
      </c>
      <c r="S1503" s="3">
        <v>4.6900000000000004</v>
      </c>
      <c r="T1503" s="5">
        <v>44864</v>
      </c>
      <c r="U1503">
        <v>1</v>
      </c>
      <c r="V1503">
        <v>2022</v>
      </c>
      <c r="X1503">
        <f t="shared" si="69"/>
        <v>6.2898497000000004</v>
      </c>
      <c r="Y1503">
        <f t="shared" si="70"/>
        <v>4.6898497000000008</v>
      </c>
      <c r="Z1503">
        <f t="shared" si="71"/>
        <v>59.299849699999996</v>
      </c>
    </row>
    <row r="1504" spans="1:26" x14ac:dyDescent="0.3">
      <c r="A1504" t="s">
        <v>1594</v>
      </c>
      <c r="B1504" t="s">
        <v>55</v>
      </c>
      <c r="C1504" t="s">
        <v>89</v>
      </c>
      <c r="D1504" t="s">
        <v>69</v>
      </c>
      <c r="E1504">
        <v>22</v>
      </c>
      <c r="F1504" s="3">
        <v>7.27</v>
      </c>
      <c r="G1504" s="4">
        <v>71.2</v>
      </c>
      <c r="H1504">
        <v>2</v>
      </c>
      <c r="I1504">
        <v>1</v>
      </c>
      <c r="J1504">
        <v>6</v>
      </c>
      <c r="K1504" s="4">
        <v>70.7</v>
      </c>
      <c r="L1504" s="4">
        <v>84.9</v>
      </c>
      <c r="M1504" s="4">
        <v>86.3</v>
      </c>
      <c r="N1504">
        <v>0</v>
      </c>
      <c r="O1504" t="s">
        <v>58</v>
      </c>
      <c r="P1504" t="s">
        <v>90</v>
      </c>
      <c r="Q1504" t="s">
        <v>60</v>
      </c>
      <c r="R1504" t="s">
        <v>130</v>
      </c>
      <c r="S1504" s="3">
        <v>9.2200000000000006</v>
      </c>
      <c r="T1504" s="5">
        <v>45531</v>
      </c>
      <c r="U1504">
        <v>1</v>
      </c>
      <c r="V1504">
        <v>2024</v>
      </c>
      <c r="X1504">
        <f t="shared" si="69"/>
        <v>7.2698495999999997</v>
      </c>
      <c r="Y1504">
        <f t="shared" si="70"/>
        <v>9.2198495999999999</v>
      </c>
      <c r="Z1504">
        <f t="shared" si="71"/>
        <v>84.89984960000001</v>
      </c>
    </row>
    <row r="1505" spans="1:26" x14ac:dyDescent="0.3">
      <c r="A1505" t="s">
        <v>1595</v>
      </c>
      <c r="B1505" t="s">
        <v>67</v>
      </c>
      <c r="C1505" t="s">
        <v>68</v>
      </c>
      <c r="D1505" t="s">
        <v>57</v>
      </c>
      <c r="E1505">
        <v>22</v>
      </c>
      <c r="F1505" s="3">
        <v>9.3699999999999992</v>
      </c>
      <c r="G1505" s="4">
        <v>94</v>
      </c>
      <c r="H1505">
        <v>1</v>
      </c>
      <c r="I1505">
        <v>0</v>
      </c>
      <c r="J1505">
        <v>3</v>
      </c>
      <c r="K1505" s="4">
        <v>58.3</v>
      </c>
      <c r="L1505" s="4">
        <v>60.9</v>
      </c>
      <c r="M1505" s="4">
        <v>64.400000000000006</v>
      </c>
      <c r="N1505">
        <v>0</v>
      </c>
      <c r="O1505" t="s">
        <v>58</v>
      </c>
      <c r="P1505" t="s">
        <v>70</v>
      </c>
      <c r="Q1505" t="s">
        <v>71</v>
      </c>
      <c r="R1505" t="s">
        <v>80</v>
      </c>
      <c r="S1505" s="3">
        <v>5.74</v>
      </c>
      <c r="T1505" s="5">
        <v>45253</v>
      </c>
      <c r="U1505">
        <v>2</v>
      </c>
      <c r="V1505">
        <v>2023</v>
      </c>
      <c r="X1505">
        <f t="shared" si="69"/>
        <v>9.3698494999999991</v>
      </c>
      <c r="Y1505">
        <f t="shared" si="70"/>
        <v>5.7398495</v>
      </c>
      <c r="Z1505">
        <f t="shared" si="71"/>
        <v>60.899849500000002</v>
      </c>
    </row>
    <row r="1506" spans="1:26" x14ac:dyDescent="0.3">
      <c r="A1506" t="s">
        <v>1596</v>
      </c>
      <c r="B1506" t="s">
        <v>107</v>
      </c>
      <c r="C1506" t="s">
        <v>74</v>
      </c>
      <c r="D1506" t="s">
        <v>69</v>
      </c>
      <c r="E1506">
        <v>20</v>
      </c>
      <c r="F1506" s="3">
        <v>9.26</v>
      </c>
      <c r="G1506" s="4">
        <v>82.1</v>
      </c>
      <c r="H1506">
        <v>1</v>
      </c>
      <c r="I1506">
        <v>0</v>
      </c>
      <c r="J1506">
        <v>4</v>
      </c>
      <c r="K1506" s="4">
        <v>90.7</v>
      </c>
      <c r="L1506" s="4">
        <v>81.7</v>
      </c>
      <c r="M1506" s="4">
        <v>62.2</v>
      </c>
      <c r="N1506">
        <v>3</v>
      </c>
      <c r="O1506" t="s">
        <v>64</v>
      </c>
      <c r="P1506" t="s">
        <v>65</v>
      </c>
      <c r="S1506" s="3">
        <v>0</v>
      </c>
      <c r="T1506" s="5"/>
      <c r="U1506">
        <v>0</v>
      </c>
      <c r="V1506">
        <v>2021</v>
      </c>
      <c r="X1506">
        <f t="shared" si="69"/>
        <v>9.2598494000000002</v>
      </c>
      <c r="Y1506">
        <f t="shared" si="70"/>
        <v>-1.506E-4</v>
      </c>
      <c r="Z1506">
        <f t="shared" si="71"/>
        <v>81.699849400000005</v>
      </c>
    </row>
    <row r="1507" spans="1:26" x14ac:dyDescent="0.3">
      <c r="A1507" t="s">
        <v>1597</v>
      </c>
      <c r="B1507" t="s">
        <v>55</v>
      </c>
      <c r="C1507" t="s">
        <v>68</v>
      </c>
      <c r="D1507" t="s">
        <v>69</v>
      </c>
      <c r="E1507">
        <v>20</v>
      </c>
      <c r="F1507" s="3">
        <v>8.19</v>
      </c>
      <c r="G1507" s="4">
        <v>83</v>
      </c>
      <c r="H1507">
        <v>1</v>
      </c>
      <c r="I1507">
        <v>0</v>
      </c>
      <c r="J1507">
        <v>2</v>
      </c>
      <c r="K1507" s="4">
        <v>67</v>
      </c>
      <c r="L1507" s="4">
        <v>81.400000000000006</v>
      </c>
      <c r="M1507" s="4">
        <v>71</v>
      </c>
      <c r="N1507">
        <v>0</v>
      </c>
      <c r="O1507" t="s">
        <v>58</v>
      </c>
      <c r="P1507" t="s">
        <v>75</v>
      </c>
      <c r="Q1507" t="s">
        <v>71</v>
      </c>
      <c r="R1507" t="s">
        <v>61</v>
      </c>
      <c r="S1507" s="3">
        <v>6.78</v>
      </c>
      <c r="T1507" s="5">
        <v>45589</v>
      </c>
      <c r="U1507">
        <v>3</v>
      </c>
      <c r="V1507">
        <v>2024</v>
      </c>
      <c r="X1507">
        <f t="shared" si="69"/>
        <v>8.1898492999999988</v>
      </c>
      <c r="Y1507">
        <f t="shared" si="70"/>
        <v>6.7798493000000004</v>
      </c>
      <c r="Z1507">
        <f t="shared" si="71"/>
        <v>81.3998493</v>
      </c>
    </row>
    <row r="1508" spans="1:26" x14ac:dyDescent="0.3">
      <c r="A1508" t="s">
        <v>1598</v>
      </c>
      <c r="B1508" t="s">
        <v>107</v>
      </c>
      <c r="C1508" t="s">
        <v>68</v>
      </c>
      <c r="D1508" t="s">
        <v>69</v>
      </c>
      <c r="E1508">
        <v>20</v>
      </c>
      <c r="F1508" s="3">
        <v>7.97</v>
      </c>
      <c r="G1508" s="4">
        <v>87</v>
      </c>
      <c r="H1508">
        <v>3</v>
      </c>
      <c r="I1508">
        <v>3</v>
      </c>
      <c r="J1508">
        <v>2</v>
      </c>
      <c r="K1508" s="4">
        <v>71.2</v>
      </c>
      <c r="L1508" s="4">
        <v>93.6</v>
      </c>
      <c r="M1508" s="4">
        <v>78.5</v>
      </c>
      <c r="N1508">
        <v>0</v>
      </c>
      <c r="O1508" t="s">
        <v>58</v>
      </c>
      <c r="P1508" t="s">
        <v>79</v>
      </c>
      <c r="Q1508" t="s">
        <v>71</v>
      </c>
      <c r="R1508" t="s">
        <v>130</v>
      </c>
      <c r="S1508" s="3">
        <v>9.1999999999999993</v>
      </c>
      <c r="T1508" s="5">
        <v>44430</v>
      </c>
      <c r="U1508">
        <v>2</v>
      </c>
      <c r="V1508">
        <v>2021</v>
      </c>
      <c r="X1508">
        <f t="shared" si="69"/>
        <v>7.9698491999999996</v>
      </c>
      <c r="Y1508">
        <f t="shared" si="70"/>
        <v>9.1998491999999992</v>
      </c>
      <c r="Z1508">
        <f t="shared" si="71"/>
        <v>93.599849199999994</v>
      </c>
    </row>
    <row r="1509" spans="1:26" x14ac:dyDescent="0.3">
      <c r="A1509" t="s">
        <v>1599</v>
      </c>
      <c r="B1509" t="s">
        <v>82</v>
      </c>
      <c r="C1509" t="s">
        <v>78</v>
      </c>
      <c r="D1509" t="s">
        <v>57</v>
      </c>
      <c r="E1509">
        <v>23</v>
      </c>
      <c r="F1509" s="3">
        <v>7.87</v>
      </c>
      <c r="G1509" s="4">
        <v>89.2</v>
      </c>
      <c r="H1509">
        <v>1</v>
      </c>
      <c r="I1509">
        <v>0</v>
      </c>
      <c r="J1509">
        <v>2</v>
      </c>
      <c r="K1509" s="4">
        <v>67.400000000000006</v>
      </c>
      <c r="L1509" s="4">
        <v>49.9</v>
      </c>
      <c r="M1509" s="4">
        <v>76.599999999999994</v>
      </c>
      <c r="N1509">
        <v>1</v>
      </c>
      <c r="O1509" t="s">
        <v>58</v>
      </c>
      <c r="P1509" t="s">
        <v>79</v>
      </c>
      <c r="Q1509" t="s">
        <v>71</v>
      </c>
      <c r="R1509" t="s">
        <v>130</v>
      </c>
      <c r="S1509" s="3">
        <v>5.52</v>
      </c>
      <c r="T1509" s="5">
        <v>44842</v>
      </c>
      <c r="U1509">
        <v>1</v>
      </c>
      <c r="V1509">
        <v>2022</v>
      </c>
      <c r="X1509">
        <f t="shared" si="69"/>
        <v>7.8698490999999997</v>
      </c>
      <c r="Y1509">
        <f t="shared" si="70"/>
        <v>5.5198490999999992</v>
      </c>
      <c r="Z1509">
        <f t="shared" si="71"/>
        <v>49.899849099999997</v>
      </c>
    </row>
    <row r="1510" spans="1:26" x14ac:dyDescent="0.3">
      <c r="A1510" t="s">
        <v>1600</v>
      </c>
      <c r="B1510" t="s">
        <v>107</v>
      </c>
      <c r="C1510" t="s">
        <v>56</v>
      </c>
      <c r="D1510" t="s">
        <v>57</v>
      </c>
      <c r="E1510">
        <v>20</v>
      </c>
      <c r="F1510" s="3">
        <v>8.0399999999999991</v>
      </c>
      <c r="G1510" s="4">
        <v>79.599999999999994</v>
      </c>
      <c r="H1510">
        <v>1</v>
      </c>
      <c r="I1510">
        <v>0</v>
      </c>
      <c r="J1510">
        <v>2</v>
      </c>
      <c r="K1510" s="4">
        <v>44.9</v>
      </c>
      <c r="L1510" s="4">
        <v>90.7</v>
      </c>
      <c r="M1510" s="4">
        <v>88</v>
      </c>
      <c r="N1510">
        <v>1</v>
      </c>
      <c r="O1510" t="s">
        <v>58</v>
      </c>
      <c r="P1510" t="s">
        <v>112</v>
      </c>
      <c r="Q1510" t="s">
        <v>93</v>
      </c>
      <c r="R1510" t="s">
        <v>109</v>
      </c>
      <c r="S1510" s="3">
        <v>8.8800000000000008</v>
      </c>
      <c r="T1510" s="5">
        <v>44513</v>
      </c>
      <c r="U1510">
        <v>1</v>
      </c>
      <c r="V1510">
        <v>2021</v>
      </c>
      <c r="X1510">
        <f t="shared" si="69"/>
        <v>8.0398489999999985</v>
      </c>
      <c r="Y1510">
        <f t="shared" si="70"/>
        <v>8.8798490000000001</v>
      </c>
      <c r="Z1510">
        <f t="shared" si="71"/>
        <v>90.699849</v>
      </c>
    </row>
    <row r="1511" spans="1:26" x14ac:dyDescent="0.3">
      <c r="A1511" t="s">
        <v>1601</v>
      </c>
      <c r="B1511" t="s">
        <v>82</v>
      </c>
      <c r="C1511" t="s">
        <v>56</v>
      </c>
      <c r="D1511" t="s">
        <v>69</v>
      </c>
      <c r="E1511">
        <v>23</v>
      </c>
      <c r="F1511" s="3">
        <v>7.52</v>
      </c>
      <c r="G1511" s="4">
        <v>84.6</v>
      </c>
      <c r="H1511">
        <v>2</v>
      </c>
      <c r="I1511">
        <v>4</v>
      </c>
      <c r="J1511">
        <v>3</v>
      </c>
      <c r="K1511" s="4">
        <v>53.8</v>
      </c>
      <c r="L1511" s="4">
        <v>76.7</v>
      </c>
      <c r="M1511" s="4">
        <v>52.8</v>
      </c>
      <c r="N1511">
        <v>1</v>
      </c>
      <c r="O1511" t="s">
        <v>58</v>
      </c>
      <c r="P1511" t="s">
        <v>95</v>
      </c>
      <c r="Q1511" t="s">
        <v>93</v>
      </c>
      <c r="R1511" t="s">
        <v>85</v>
      </c>
      <c r="S1511" s="3">
        <v>8.26</v>
      </c>
      <c r="T1511" s="5">
        <v>44876</v>
      </c>
      <c r="U1511">
        <v>2</v>
      </c>
      <c r="V1511">
        <v>2022</v>
      </c>
      <c r="X1511">
        <f t="shared" si="69"/>
        <v>7.5198488999999995</v>
      </c>
      <c r="Y1511">
        <f t="shared" si="70"/>
        <v>8.2598488999999997</v>
      </c>
      <c r="Z1511">
        <f t="shared" si="71"/>
        <v>76.699848900000006</v>
      </c>
    </row>
    <row r="1512" spans="1:26" x14ac:dyDescent="0.3">
      <c r="A1512" t="s">
        <v>1602</v>
      </c>
      <c r="B1512" t="s">
        <v>67</v>
      </c>
      <c r="C1512" t="s">
        <v>56</v>
      </c>
      <c r="D1512" t="s">
        <v>57</v>
      </c>
      <c r="E1512">
        <v>21</v>
      </c>
      <c r="F1512" s="3">
        <v>8.74</v>
      </c>
      <c r="G1512" s="4">
        <v>81.400000000000006</v>
      </c>
      <c r="H1512">
        <v>2</v>
      </c>
      <c r="I1512">
        <v>0</v>
      </c>
      <c r="J1512">
        <v>4</v>
      </c>
      <c r="K1512" s="4">
        <v>64.099999999999994</v>
      </c>
      <c r="L1512" s="4">
        <v>70.900000000000006</v>
      </c>
      <c r="M1512" s="4">
        <v>84.9</v>
      </c>
      <c r="N1512">
        <v>0</v>
      </c>
      <c r="O1512" t="s">
        <v>58</v>
      </c>
      <c r="P1512" t="s">
        <v>75</v>
      </c>
      <c r="Q1512" t="s">
        <v>71</v>
      </c>
      <c r="R1512" t="s">
        <v>61</v>
      </c>
      <c r="S1512" s="3">
        <v>7.4</v>
      </c>
      <c r="T1512" s="5">
        <v>45161</v>
      </c>
      <c r="U1512">
        <v>2</v>
      </c>
      <c r="V1512">
        <v>2023</v>
      </c>
      <c r="X1512">
        <f t="shared" si="69"/>
        <v>8.7398488000000008</v>
      </c>
      <c r="Y1512">
        <f t="shared" si="70"/>
        <v>7.3998488</v>
      </c>
      <c r="Z1512">
        <f t="shared" si="71"/>
        <v>70.899848800000001</v>
      </c>
    </row>
    <row r="1513" spans="1:26" x14ac:dyDescent="0.3">
      <c r="A1513" t="s">
        <v>1603</v>
      </c>
      <c r="B1513" t="s">
        <v>82</v>
      </c>
      <c r="C1513" t="s">
        <v>74</v>
      </c>
      <c r="D1513" t="s">
        <v>69</v>
      </c>
      <c r="E1513">
        <v>23</v>
      </c>
      <c r="F1513" s="3">
        <v>8.17</v>
      </c>
      <c r="G1513" s="4">
        <v>68.2</v>
      </c>
      <c r="H1513">
        <v>0</v>
      </c>
      <c r="I1513">
        <v>2</v>
      </c>
      <c r="J1513">
        <v>5</v>
      </c>
      <c r="K1513" s="4">
        <v>81.7</v>
      </c>
      <c r="L1513" s="4">
        <v>68</v>
      </c>
      <c r="M1513" s="4">
        <v>80.2</v>
      </c>
      <c r="N1513">
        <v>2</v>
      </c>
      <c r="O1513" t="s">
        <v>58</v>
      </c>
      <c r="P1513" t="s">
        <v>95</v>
      </c>
      <c r="Q1513" t="s">
        <v>93</v>
      </c>
      <c r="R1513" t="s">
        <v>72</v>
      </c>
      <c r="S1513" s="3">
        <v>6.23</v>
      </c>
      <c r="T1513" s="5">
        <v>44860</v>
      </c>
      <c r="U1513">
        <v>3</v>
      </c>
      <c r="V1513">
        <v>2022</v>
      </c>
      <c r="X1513">
        <f t="shared" si="69"/>
        <v>8.1698486999999993</v>
      </c>
      <c r="Y1513">
        <f t="shared" si="70"/>
        <v>6.2298487000000007</v>
      </c>
      <c r="Z1513">
        <f t="shared" si="71"/>
        <v>67.999848700000001</v>
      </c>
    </row>
    <row r="1514" spans="1:26" x14ac:dyDescent="0.3">
      <c r="A1514" t="s">
        <v>1604</v>
      </c>
      <c r="B1514" t="s">
        <v>82</v>
      </c>
      <c r="C1514" t="s">
        <v>68</v>
      </c>
      <c r="D1514" t="s">
        <v>57</v>
      </c>
      <c r="E1514">
        <v>20</v>
      </c>
      <c r="F1514" s="3">
        <v>6.78</v>
      </c>
      <c r="G1514" s="4">
        <v>78.8</v>
      </c>
      <c r="H1514">
        <v>1</v>
      </c>
      <c r="I1514">
        <v>2</v>
      </c>
      <c r="J1514">
        <v>2</v>
      </c>
      <c r="K1514" s="4">
        <v>61.6</v>
      </c>
      <c r="L1514" s="4">
        <v>68.900000000000006</v>
      </c>
      <c r="M1514" s="4">
        <v>77.7</v>
      </c>
      <c r="N1514">
        <v>0</v>
      </c>
      <c r="O1514" t="s">
        <v>58</v>
      </c>
      <c r="P1514" t="s">
        <v>59</v>
      </c>
      <c r="Q1514" t="s">
        <v>60</v>
      </c>
      <c r="R1514" t="s">
        <v>72</v>
      </c>
      <c r="S1514" s="3">
        <v>18.059999999999999</v>
      </c>
      <c r="T1514" s="5">
        <v>44786</v>
      </c>
      <c r="U1514">
        <v>1</v>
      </c>
      <c r="V1514">
        <v>2022</v>
      </c>
      <c r="X1514">
        <f t="shared" si="69"/>
        <v>6.7798486000000002</v>
      </c>
      <c r="Y1514">
        <f t="shared" si="70"/>
        <v>18.059848599999999</v>
      </c>
      <c r="Z1514">
        <f t="shared" si="71"/>
        <v>68.899848600000013</v>
      </c>
    </row>
    <row r="1515" spans="1:26" x14ac:dyDescent="0.3">
      <c r="A1515" t="s">
        <v>1605</v>
      </c>
      <c r="B1515" t="s">
        <v>63</v>
      </c>
      <c r="C1515" t="s">
        <v>56</v>
      </c>
      <c r="D1515" t="s">
        <v>69</v>
      </c>
      <c r="E1515">
        <v>21</v>
      </c>
      <c r="F1515" s="3">
        <v>8.24</v>
      </c>
      <c r="G1515" s="4">
        <v>85.7</v>
      </c>
      <c r="H1515">
        <v>1</v>
      </c>
      <c r="I1515">
        <v>4</v>
      </c>
      <c r="J1515">
        <v>5</v>
      </c>
      <c r="K1515" s="4">
        <v>70.900000000000006</v>
      </c>
      <c r="L1515" s="4">
        <v>70.599999999999994</v>
      </c>
      <c r="M1515" s="4">
        <v>57.8</v>
      </c>
      <c r="N1515">
        <v>1</v>
      </c>
      <c r="O1515" t="s">
        <v>58</v>
      </c>
      <c r="P1515" t="s">
        <v>112</v>
      </c>
      <c r="Q1515" t="s">
        <v>93</v>
      </c>
      <c r="R1515" t="s">
        <v>72</v>
      </c>
      <c r="S1515" s="3">
        <v>7.43</v>
      </c>
      <c r="T1515" s="5">
        <v>45929</v>
      </c>
      <c r="U1515">
        <v>1</v>
      </c>
      <c r="V1515">
        <v>2025</v>
      </c>
      <c r="X1515">
        <f t="shared" si="69"/>
        <v>8.2398485000000008</v>
      </c>
      <c r="Y1515">
        <f t="shared" si="70"/>
        <v>7.4298484999999994</v>
      </c>
      <c r="Z1515">
        <f t="shared" si="71"/>
        <v>70.599848499999993</v>
      </c>
    </row>
    <row r="1516" spans="1:26" x14ac:dyDescent="0.3">
      <c r="A1516" t="s">
        <v>1606</v>
      </c>
      <c r="B1516" t="s">
        <v>55</v>
      </c>
      <c r="C1516" t="s">
        <v>101</v>
      </c>
      <c r="D1516" t="s">
        <v>69</v>
      </c>
      <c r="E1516">
        <v>23</v>
      </c>
      <c r="F1516" s="3">
        <v>7.8</v>
      </c>
      <c r="G1516" s="4">
        <v>78.5</v>
      </c>
      <c r="H1516">
        <v>2</v>
      </c>
      <c r="I1516">
        <v>4</v>
      </c>
      <c r="J1516">
        <v>5</v>
      </c>
      <c r="K1516" s="4">
        <v>74.400000000000006</v>
      </c>
      <c r="L1516" s="4">
        <v>45.9</v>
      </c>
      <c r="M1516" s="4">
        <v>64.400000000000006</v>
      </c>
      <c r="N1516">
        <v>2</v>
      </c>
      <c r="O1516" t="s">
        <v>64</v>
      </c>
      <c r="P1516" t="s">
        <v>65</v>
      </c>
      <c r="S1516" s="3">
        <v>0</v>
      </c>
      <c r="T1516" s="5"/>
      <c r="U1516">
        <v>0</v>
      </c>
      <c r="V1516">
        <v>2024</v>
      </c>
      <c r="X1516">
        <f t="shared" si="69"/>
        <v>7.7998484000000001</v>
      </c>
      <c r="Y1516">
        <f t="shared" si="70"/>
        <v>-1.516E-4</v>
      </c>
      <c r="Z1516">
        <f t="shared" si="71"/>
        <v>45.899848399999996</v>
      </c>
    </row>
    <row r="1517" spans="1:26" x14ac:dyDescent="0.3">
      <c r="A1517" t="s">
        <v>1607</v>
      </c>
      <c r="B1517" t="s">
        <v>55</v>
      </c>
      <c r="C1517" t="s">
        <v>74</v>
      </c>
      <c r="D1517" t="s">
        <v>69</v>
      </c>
      <c r="E1517">
        <v>23</v>
      </c>
      <c r="F1517" s="3">
        <v>7.37</v>
      </c>
      <c r="G1517" s="4">
        <v>78.599999999999994</v>
      </c>
      <c r="H1517">
        <v>0</v>
      </c>
      <c r="I1517">
        <v>2</v>
      </c>
      <c r="J1517">
        <v>4</v>
      </c>
      <c r="K1517" s="4">
        <v>56.8</v>
      </c>
      <c r="L1517" s="4">
        <v>73.7</v>
      </c>
      <c r="M1517" s="4">
        <v>81.7</v>
      </c>
      <c r="N1517">
        <v>0</v>
      </c>
      <c r="O1517" t="s">
        <v>58</v>
      </c>
      <c r="P1517" t="s">
        <v>95</v>
      </c>
      <c r="Q1517" t="s">
        <v>93</v>
      </c>
      <c r="R1517" t="s">
        <v>109</v>
      </c>
      <c r="S1517" s="3">
        <v>6.19</v>
      </c>
      <c r="T1517" s="5">
        <v>45623</v>
      </c>
      <c r="U1517">
        <v>1</v>
      </c>
      <c r="V1517">
        <v>2024</v>
      </c>
      <c r="X1517">
        <f t="shared" si="69"/>
        <v>7.3698483000000001</v>
      </c>
      <c r="Y1517">
        <f t="shared" si="70"/>
        <v>6.1898483000000004</v>
      </c>
      <c r="Z1517">
        <f t="shared" si="71"/>
        <v>73.699848299999999</v>
      </c>
    </row>
    <row r="1518" spans="1:26" x14ac:dyDescent="0.3">
      <c r="A1518" t="s">
        <v>1608</v>
      </c>
      <c r="B1518" t="s">
        <v>67</v>
      </c>
      <c r="C1518" t="s">
        <v>56</v>
      </c>
      <c r="D1518" t="s">
        <v>57</v>
      </c>
      <c r="E1518">
        <v>22</v>
      </c>
      <c r="F1518" s="3">
        <v>9.36</v>
      </c>
      <c r="G1518" s="4">
        <v>89</v>
      </c>
      <c r="H1518">
        <v>2</v>
      </c>
      <c r="I1518">
        <v>4</v>
      </c>
      <c r="J1518">
        <v>3</v>
      </c>
      <c r="K1518" s="4">
        <v>54.9</v>
      </c>
      <c r="L1518" s="4">
        <v>72.3</v>
      </c>
      <c r="M1518" s="4">
        <v>44.5</v>
      </c>
      <c r="N1518">
        <v>0</v>
      </c>
      <c r="O1518" t="s">
        <v>58</v>
      </c>
      <c r="P1518" t="s">
        <v>70</v>
      </c>
      <c r="Q1518" t="s">
        <v>71</v>
      </c>
      <c r="R1518" t="s">
        <v>85</v>
      </c>
      <c r="S1518" s="3">
        <v>7.78</v>
      </c>
      <c r="T1518" s="5">
        <v>45188</v>
      </c>
      <c r="U1518">
        <v>1</v>
      </c>
      <c r="V1518">
        <v>2023</v>
      </c>
      <c r="X1518">
        <f t="shared" si="69"/>
        <v>9.3598482000000001</v>
      </c>
      <c r="Y1518">
        <f t="shared" si="70"/>
        <v>7.7798482</v>
      </c>
      <c r="Z1518">
        <f t="shared" si="71"/>
        <v>72.2998482</v>
      </c>
    </row>
    <row r="1519" spans="1:26" x14ac:dyDescent="0.3">
      <c r="A1519" t="s">
        <v>1609</v>
      </c>
      <c r="B1519" t="s">
        <v>67</v>
      </c>
      <c r="C1519" t="s">
        <v>78</v>
      </c>
      <c r="D1519" t="s">
        <v>69</v>
      </c>
      <c r="E1519">
        <v>21</v>
      </c>
      <c r="F1519" s="3">
        <v>7.74</v>
      </c>
      <c r="G1519" s="4">
        <v>83.5</v>
      </c>
      <c r="H1519">
        <v>1</v>
      </c>
      <c r="I1519">
        <v>2</v>
      </c>
      <c r="J1519">
        <v>1</v>
      </c>
      <c r="K1519" s="4">
        <v>58.5</v>
      </c>
      <c r="L1519" s="4">
        <v>60.1</v>
      </c>
      <c r="M1519" s="4">
        <v>51.2</v>
      </c>
      <c r="N1519">
        <v>0</v>
      </c>
      <c r="O1519" t="s">
        <v>58</v>
      </c>
      <c r="P1519" t="s">
        <v>79</v>
      </c>
      <c r="Q1519" t="s">
        <v>71</v>
      </c>
      <c r="R1519" t="s">
        <v>85</v>
      </c>
      <c r="S1519" s="3">
        <v>7.01</v>
      </c>
      <c r="T1519" s="5">
        <v>45258</v>
      </c>
      <c r="U1519">
        <v>1</v>
      </c>
      <c r="V1519">
        <v>2023</v>
      </c>
      <c r="X1519">
        <f t="shared" si="69"/>
        <v>7.7398481000000006</v>
      </c>
      <c r="Y1519">
        <f t="shared" si="70"/>
        <v>7.0098481000000001</v>
      </c>
      <c r="Z1519">
        <f t="shared" si="71"/>
        <v>60.099848100000003</v>
      </c>
    </row>
    <row r="1520" spans="1:26" x14ac:dyDescent="0.3">
      <c r="A1520" t="s">
        <v>1610</v>
      </c>
      <c r="B1520" t="s">
        <v>55</v>
      </c>
      <c r="C1520" t="s">
        <v>56</v>
      </c>
      <c r="D1520" t="s">
        <v>69</v>
      </c>
      <c r="E1520">
        <v>22</v>
      </c>
      <c r="F1520" s="3">
        <v>5.89</v>
      </c>
      <c r="G1520" s="4">
        <v>85.2</v>
      </c>
      <c r="H1520">
        <v>2</v>
      </c>
      <c r="I1520">
        <v>2</v>
      </c>
      <c r="J1520">
        <v>5</v>
      </c>
      <c r="K1520" s="4">
        <v>57.6</v>
      </c>
      <c r="L1520" s="4">
        <v>70.5</v>
      </c>
      <c r="M1520" s="4">
        <v>79.5</v>
      </c>
      <c r="N1520">
        <v>1</v>
      </c>
      <c r="O1520" t="s">
        <v>58</v>
      </c>
      <c r="P1520" t="s">
        <v>92</v>
      </c>
      <c r="Q1520" t="s">
        <v>93</v>
      </c>
      <c r="R1520" t="s">
        <v>109</v>
      </c>
      <c r="S1520" s="3">
        <v>9.4600000000000009</v>
      </c>
      <c r="T1520" s="5">
        <v>45583</v>
      </c>
      <c r="U1520">
        <v>2</v>
      </c>
      <c r="V1520">
        <v>2024</v>
      </c>
      <c r="X1520">
        <f t="shared" si="69"/>
        <v>5.8898479999999998</v>
      </c>
      <c r="Y1520">
        <f t="shared" si="70"/>
        <v>9.4598480000000009</v>
      </c>
      <c r="Z1520">
        <f t="shared" si="71"/>
        <v>70.499848</v>
      </c>
    </row>
    <row r="1521" spans="1:26" x14ac:dyDescent="0.3">
      <c r="A1521" t="s">
        <v>1611</v>
      </c>
      <c r="B1521" t="s">
        <v>63</v>
      </c>
      <c r="C1521" t="s">
        <v>89</v>
      </c>
      <c r="D1521" t="s">
        <v>57</v>
      </c>
      <c r="E1521">
        <v>21</v>
      </c>
      <c r="F1521" s="3">
        <v>7.43</v>
      </c>
      <c r="G1521" s="4">
        <v>67.400000000000006</v>
      </c>
      <c r="H1521">
        <v>1</v>
      </c>
      <c r="I1521">
        <v>1</v>
      </c>
      <c r="J1521">
        <v>5</v>
      </c>
      <c r="K1521" s="4">
        <v>52.8</v>
      </c>
      <c r="L1521" s="4">
        <v>86.5</v>
      </c>
      <c r="M1521" s="4">
        <v>80.7</v>
      </c>
      <c r="N1521">
        <v>0</v>
      </c>
      <c r="O1521" t="s">
        <v>58</v>
      </c>
      <c r="P1521" t="s">
        <v>75</v>
      </c>
      <c r="Q1521" t="s">
        <v>71</v>
      </c>
      <c r="R1521" t="s">
        <v>80</v>
      </c>
      <c r="S1521" s="3">
        <v>6.28</v>
      </c>
      <c r="T1521" s="5">
        <v>45881</v>
      </c>
      <c r="U1521">
        <v>2</v>
      </c>
      <c r="V1521">
        <v>2025</v>
      </c>
      <c r="X1521">
        <f t="shared" si="69"/>
        <v>7.4298478999999995</v>
      </c>
      <c r="Y1521">
        <f t="shared" si="70"/>
        <v>6.2798479</v>
      </c>
      <c r="Z1521">
        <f t="shared" si="71"/>
        <v>86.499847900000006</v>
      </c>
    </row>
    <row r="1522" spans="1:26" x14ac:dyDescent="0.3">
      <c r="A1522" t="s">
        <v>1612</v>
      </c>
      <c r="B1522" t="s">
        <v>55</v>
      </c>
      <c r="C1522" t="s">
        <v>78</v>
      </c>
      <c r="D1522" t="s">
        <v>69</v>
      </c>
      <c r="E1522">
        <v>23</v>
      </c>
      <c r="F1522" s="3">
        <v>8.5399999999999991</v>
      </c>
      <c r="G1522" s="4">
        <v>86</v>
      </c>
      <c r="H1522">
        <v>1</v>
      </c>
      <c r="I1522">
        <v>2</v>
      </c>
      <c r="J1522">
        <v>3</v>
      </c>
      <c r="K1522" s="4">
        <v>80.099999999999994</v>
      </c>
      <c r="L1522" s="4">
        <v>60.8</v>
      </c>
      <c r="M1522" s="4">
        <v>65.099999999999994</v>
      </c>
      <c r="N1522">
        <v>0</v>
      </c>
      <c r="O1522" t="s">
        <v>58</v>
      </c>
      <c r="P1522" t="s">
        <v>87</v>
      </c>
      <c r="Q1522" t="s">
        <v>71</v>
      </c>
      <c r="R1522" t="s">
        <v>80</v>
      </c>
      <c r="S1522" s="3">
        <v>6.9</v>
      </c>
      <c r="T1522" s="5">
        <v>45514</v>
      </c>
      <c r="U1522">
        <v>1</v>
      </c>
      <c r="V1522">
        <v>2024</v>
      </c>
      <c r="X1522">
        <f t="shared" si="69"/>
        <v>8.5398477999999987</v>
      </c>
      <c r="Y1522">
        <f t="shared" si="70"/>
        <v>6.8998478000000008</v>
      </c>
      <c r="Z1522">
        <f t="shared" si="71"/>
        <v>60.799847799999995</v>
      </c>
    </row>
    <row r="1523" spans="1:26" x14ac:dyDescent="0.3">
      <c r="A1523" t="s">
        <v>1613</v>
      </c>
      <c r="B1523" t="s">
        <v>63</v>
      </c>
      <c r="C1523" t="s">
        <v>56</v>
      </c>
      <c r="D1523" t="s">
        <v>57</v>
      </c>
      <c r="E1523">
        <v>22</v>
      </c>
      <c r="F1523" s="3">
        <v>6.82</v>
      </c>
      <c r="G1523" s="4">
        <v>72</v>
      </c>
      <c r="H1523">
        <v>2</v>
      </c>
      <c r="I1523">
        <v>2</v>
      </c>
      <c r="J1523">
        <v>4</v>
      </c>
      <c r="K1523" s="4">
        <v>76.2</v>
      </c>
      <c r="L1523" s="4">
        <v>52.9</v>
      </c>
      <c r="M1523" s="4">
        <v>65</v>
      </c>
      <c r="N1523">
        <v>1</v>
      </c>
      <c r="O1523" t="s">
        <v>58</v>
      </c>
      <c r="P1523" t="s">
        <v>92</v>
      </c>
      <c r="Q1523" t="s">
        <v>93</v>
      </c>
      <c r="R1523" t="s">
        <v>76</v>
      </c>
      <c r="S1523" s="3">
        <v>7.35</v>
      </c>
      <c r="T1523" s="5">
        <v>45918</v>
      </c>
      <c r="U1523">
        <v>1</v>
      </c>
      <c r="V1523">
        <v>2025</v>
      </c>
      <c r="X1523">
        <f t="shared" si="69"/>
        <v>6.8198477000000004</v>
      </c>
      <c r="Y1523">
        <f t="shared" si="70"/>
        <v>7.3498476999999998</v>
      </c>
      <c r="Z1523">
        <f t="shared" si="71"/>
        <v>52.899847699999995</v>
      </c>
    </row>
    <row r="1524" spans="1:26" x14ac:dyDescent="0.3">
      <c r="A1524" t="s">
        <v>1614</v>
      </c>
      <c r="B1524" t="s">
        <v>67</v>
      </c>
      <c r="C1524" t="s">
        <v>56</v>
      </c>
      <c r="D1524" t="s">
        <v>57</v>
      </c>
      <c r="E1524">
        <v>20</v>
      </c>
      <c r="F1524" s="3">
        <v>8.51</v>
      </c>
      <c r="G1524" s="4">
        <v>81.8</v>
      </c>
      <c r="H1524">
        <v>2</v>
      </c>
      <c r="I1524">
        <v>2</v>
      </c>
      <c r="J1524">
        <v>2</v>
      </c>
      <c r="K1524" s="4">
        <v>52.8</v>
      </c>
      <c r="L1524" s="4">
        <v>59.2</v>
      </c>
      <c r="M1524" s="4">
        <v>85.4</v>
      </c>
      <c r="N1524">
        <v>0</v>
      </c>
      <c r="O1524" t="s">
        <v>58</v>
      </c>
      <c r="P1524" t="s">
        <v>87</v>
      </c>
      <c r="Q1524" t="s">
        <v>71</v>
      </c>
      <c r="R1524" t="s">
        <v>109</v>
      </c>
      <c r="S1524" s="3">
        <v>7.12</v>
      </c>
      <c r="T1524" s="5">
        <v>45240</v>
      </c>
      <c r="U1524">
        <v>1</v>
      </c>
      <c r="V1524">
        <v>2023</v>
      </c>
      <c r="X1524">
        <f t="shared" si="69"/>
        <v>8.5098476000000005</v>
      </c>
      <c r="Y1524">
        <f t="shared" si="70"/>
        <v>7.1198475999999999</v>
      </c>
      <c r="Z1524">
        <f t="shared" si="71"/>
        <v>59.199847600000005</v>
      </c>
    </row>
    <row r="1525" spans="1:26" x14ac:dyDescent="0.3">
      <c r="A1525" t="s">
        <v>1615</v>
      </c>
      <c r="B1525" t="s">
        <v>107</v>
      </c>
      <c r="C1525" t="s">
        <v>74</v>
      </c>
      <c r="D1525" t="s">
        <v>57</v>
      </c>
      <c r="E1525">
        <v>23</v>
      </c>
      <c r="F1525" s="3">
        <v>6.75</v>
      </c>
      <c r="G1525" s="4">
        <v>72.400000000000006</v>
      </c>
      <c r="H1525">
        <v>2</v>
      </c>
      <c r="I1525">
        <v>3</v>
      </c>
      <c r="J1525">
        <v>4</v>
      </c>
      <c r="K1525" s="4">
        <v>70.3</v>
      </c>
      <c r="L1525" s="4">
        <v>38.700000000000003</v>
      </c>
      <c r="M1525" s="4">
        <v>84.6</v>
      </c>
      <c r="N1525">
        <v>1</v>
      </c>
      <c r="O1525" t="s">
        <v>58</v>
      </c>
      <c r="P1525" t="s">
        <v>70</v>
      </c>
      <c r="Q1525" t="s">
        <v>71</v>
      </c>
      <c r="R1525" t="s">
        <v>61</v>
      </c>
      <c r="S1525" s="3">
        <v>4.92</v>
      </c>
      <c r="T1525" s="5">
        <v>44500</v>
      </c>
      <c r="U1525">
        <v>2</v>
      </c>
      <c r="V1525">
        <v>2021</v>
      </c>
      <c r="X1525">
        <f t="shared" si="69"/>
        <v>6.7498474999999996</v>
      </c>
      <c r="Y1525">
        <f t="shared" si="70"/>
        <v>4.9198474999999995</v>
      </c>
      <c r="Z1525">
        <f t="shared" si="71"/>
        <v>38.699847500000004</v>
      </c>
    </row>
    <row r="1526" spans="1:26" x14ac:dyDescent="0.3">
      <c r="A1526" t="s">
        <v>1616</v>
      </c>
      <c r="B1526" t="s">
        <v>67</v>
      </c>
      <c r="C1526" t="s">
        <v>56</v>
      </c>
      <c r="D1526" t="s">
        <v>69</v>
      </c>
      <c r="E1526">
        <v>21</v>
      </c>
      <c r="F1526" s="3">
        <v>8.85</v>
      </c>
      <c r="G1526" s="4">
        <v>90.4</v>
      </c>
      <c r="H1526">
        <v>2</v>
      </c>
      <c r="I1526">
        <v>1</v>
      </c>
      <c r="J1526">
        <v>2</v>
      </c>
      <c r="K1526" s="4">
        <v>63.5</v>
      </c>
      <c r="L1526" s="4">
        <v>96.9</v>
      </c>
      <c r="M1526" s="4">
        <v>69.900000000000006</v>
      </c>
      <c r="N1526">
        <v>0</v>
      </c>
      <c r="O1526" t="s">
        <v>58</v>
      </c>
      <c r="P1526" t="s">
        <v>79</v>
      </c>
      <c r="Q1526" t="s">
        <v>71</v>
      </c>
      <c r="R1526" t="s">
        <v>61</v>
      </c>
      <c r="S1526" s="3">
        <v>8.2899999999999991</v>
      </c>
      <c r="T1526" s="5">
        <v>45245</v>
      </c>
      <c r="U1526">
        <v>2</v>
      </c>
      <c r="V1526">
        <v>2023</v>
      </c>
      <c r="X1526">
        <f t="shared" si="69"/>
        <v>8.8498473999999998</v>
      </c>
      <c r="Y1526">
        <f t="shared" si="70"/>
        <v>8.2898473999999993</v>
      </c>
      <c r="Z1526">
        <f t="shared" si="71"/>
        <v>96.899847399999999</v>
      </c>
    </row>
    <row r="1527" spans="1:26" x14ac:dyDescent="0.3">
      <c r="A1527" t="s">
        <v>1617</v>
      </c>
      <c r="B1527" t="s">
        <v>67</v>
      </c>
      <c r="C1527" t="s">
        <v>56</v>
      </c>
      <c r="D1527" t="s">
        <v>57</v>
      </c>
      <c r="E1527">
        <v>21</v>
      </c>
      <c r="F1527" s="3">
        <v>7.13</v>
      </c>
      <c r="G1527" s="4">
        <v>98.5</v>
      </c>
      <c r="H1527">
        <v>0</v>
      </c>
      <c r="I1527">
        <v>1</v>
      </c>
      <c r="J1527">
        <v>4</v>
      </c>
      <c r="K1527" s="4">
        <v>66.3</v>
      </c>
      <c r="L1527" s="4">
        <v>57.5</v>
      </c>
      <c r="M1527" s="4">
        <v>59.3</v>
      </c>
      <c r="N1527">
        <v>0</v>
      </c>
      <c r="O1527" t="s">
        <v>58</v>
      </c>
      <c r="P1527" t="s">
        <v>104</v>
      </c>
      <c r="Q1527" t="s">
        <v>105</v>
      </c>
      <c r="R1527" t="s">
        <v>80</v>
      </c>
      <c r="S1527" s="3">
        <v>13.5</v>
      </c>
      <c r="T1527" s="5">
        <v>45173</v>
      </c>
      <c r="U1527">
        <v>1</v>
      </c>
      <c r="V1527">
        <v>2023</v>
      </c>
      <c r="X1527">
        <f t="shared" si="69"/>
        <v>7.1298472999999998</v>
      </c>
      <c r="Y1527">
        <f t="shared" si="70"/>
        <v>13.499847300000001</v>
      </c>
      <c r="Z1527">
        <f t="shared" si="71"/>
        <v>57.499847299999999</v>
      </c>
    </row>
    <row r="1528" spans="1:26" x14ac:dyDescent="0.3">
      <c r="A1528" t="s">
        <v>1618</v>
      </c>
      <c r="B1528" t="s">
        <v>82</v>
      </c>
      <c r="C1528" t="s">
        <v>74</v>
      </c>
      <c r="D1528" t="s">
        <v>69</v>
      </c>
      <c r="E1528">
        <v>22</v>
      </c>
      <c r="F1528" s="3">
        <v>7.33</v>
      </c>
      <c r="G1528" s="4">
        <v>80.7</v>
      </c>
      <c r="H1528">
        <v>1</v>
      </c>
      <c r="I1528">
        <v>3</v>
      </c>
      <c r="J1528">
        <v>4</v>
      </c>
      <c r="K1528" s="4">
        <v>68.5</v>
      </c>
      <c r="L1528" s="4">
        <v>88.9</v>
      </c>
      <c r="M1528" s="4">
        <v>91.7</v>
      </c>
      <c r="N1528">
        <v>2</v>
      </c>
      <c r="O1528" t="s">
        <v>58</v>
      </c>
      <c r="P1528" t="s">
        <v>75</v>
      </c>
      <c r="Q1528" t="s">
        <v>71</v>
      </c>
      <c r="R1528" t="s">
        <v>80</v>
      </c>
      <c r="S1528" s="3">
        <v>5.66</v>
      </c>
      <c r="T1528" s="5">
        <v>44811</v>
      </c>
      <c r="U1528">
        <v>1</v>
      </c>
      <c r="V1528">
        <v>2022</v>
      </c>
      <c r="X1528">
        <f t="shared" si="69"/>
        <v>7.3298471999999997</v>
      </c>
      <c r="Y1528">
        <f t="shared" si="70"/>
        <v>5.6598471999999997</v>
      </c>
      <c r="Z1528">
        <f t="shared" si="71"/>
        <v>88.899847200000011</v>
      </c>
    </row>
    <row r="1529" spans="1:26" x14ac:dyDescent="0.3">
      <c r="A1529" t="s">
        <v>1619</v>
      </c>
      <c r="B1529" t="s">
        <v>82</v>
      </c>
      <c r="C1529" t="s">
        <v>74</v>
      </c>
      <c r="D1529" t="s">
        <v>57</v>
      </c>
      <c r="E1529">
        <v>22</v>
      </c>
      <c r="F1529" s="3">
        <v>7.27</v>
      </c>
      <c r="G1529" s="4">
        <v>80.599999999999994</v>
      </c>
      <c r="H1529">
        <v>1</v>
      </c>
      <c r="I1529">
        <v>1</v>
      </c>
      <c r="J1529">
        <v>3</v>
      </c>
      <c r="K1529" s="4">
        <v>47.3</v>
      </c>
      <c r="L1529" s="4">
        <v>51.4</v>
      </c>
      <c r="M1529" s="4">
        <v>58.6</v>
      </c>
      <c r="N1529">
        <v>0</v>
      </c>
      <c r="O1529" t="s">
        <v>64</v>
      </c>
      <c r="P1529" t="s">
        <v>65</v>
      </c>
      <c r="S1529" s="3">
        <v>0</v>
      </c>
      <c r="T1529" s="5"/>
      <c r="U1529">
        <v>0</v>
      </c>
      <c r="V1529">
        <v>2022</v>
      </c>
      <c r="X1529">
        <f t="shared" si="69"/>
        <v>7.2698470999999998</v>
      </c>
      <c r="Y1529">
        <f t="shared" si="70"/>
        <v>-1.529E-4</v>
      </c>
      <c r="Z1529">
        <f t="shared" si="71"/>
        <v>51.399847099999995</v>
      </c>
    </row>
    <row r="1530" spans="1:26" x14ac:dyDescent="0.3">
      <c r="A1530" t="s">
        <v>1620</v>
      </c>
      <c r="B1530" t="s">
        <v>82</v>
      </c>
      <c r="C1530" t="s">
        <v>68</v>
      </c>
      <c r="D1530" t="s">
        <v>57</v>
      </c>
      <c r="E1530">
        <v>21</v>
      </c>
      <c r="F1530" s="3">
        <v>8.19</v>
      </c>
      <c r="G1530" s="4">
        <v>91.3</v>
      </c>
      <c r="H1530">
        <v>3</v>
      </c>
      <c r="I1530">
        <v>1</v>
      </c>
      <c r="J1530">
        <v>2</v>
      </c>
      <c r="K1530" s="4">
        <v>40.1</v>
      </c>
      <c r="L1530" s="4">
        <v>60.7</v>
      </c>
      <c r="M1530" s="4">
        <v>82.1</v>
      </c>
      <c r="N1530">
        <v>0</v>
      </c>
      <c r="O1530" t="s">
        <v>58</v>
      </c>
      <c r="P1530" t="s">
        <v>104</v>
      </c>
      <c r="Q1530" t="s">
        <v>105</v>
      </c>
      <c r="R1530" t="s">
        <v>85</v>
      </c>
      <c r="S1530" s="3">
        <v>16.57</v>
      </c>
      <c r="T1530" s="5">
        <v>44893</v>
      </c>
      <c r="U1530">
        <v>1</v>
      </c>
      <c r="V1530">
        <v>2022</v>
      </c>
      <c r="X1530">
        <f t="shared" si="69"/>
        <v>8.1898470000000003</v>
      </c>
      <c r="Y1530">
        <f t="shared" si="70"/>
        <v>16.569846999999999</v>
      </c>
      <c r="Z1530">
        <f t="shared" si="71"/>
        <v>60.699847000000005</v>
      </c>
    </row>
    <row r="1531" spans="1:26" x14ac:dyDescent="0.3">
      <c r="A1531" t="s">
        <v>1621</v>
      </c>
      <c r="B1531" t="s">
        <v>82</v>
      </c>
      <c r="C1531" t="s">
        <v>78</v>
      </c>
      <c r="D1531" t="s">
        <v>69</v>
      </c>
      <c r="E1531">
        <v>23</v>
      </c>
      <c r="F1531" s="3">
        <v>9.31</v>
      </c>
      <c r="G1531" s="4">
        <v>87.1</v>
      </c>
      <c r="H1531">
        <v>1</v>
      </c>
      <c r="I1531">
        <v>2</v>
      </c>
      <c r="J1531">
        <v>6</v>
      </c>
      <c r="K1531" s="4">
        <v>68.3</v>
      </c>
      <c r="L1531" s="4">
        <v>71</v>
      </c>
      <c r="M1531" s="4">
        <v>88.4</v>
      </c>
      <c r="N1531">
        <v>2</v>
      </c>
      <c r="O1531" t="s">
        <v>58</v>
      </c>
      <c r="P1531" t="s">
        <v>79</v>
      </c>
      <c r="Q1531" t="s">
        <v>71</v>
      </c>
      <c r="R1531" t="s">
        <v>80</v>
      </c>
      <c r="S1531" s="3">
        <v>7.32</v>
      </c>
      <c r="T1531" s="5">
        <v>44793</v>
      </c>
      <c r="U1531">
        <v>1</v>
      </c>
      <c r="V1531">
        <v>2022</v>
      </c>
      <c r="X1531">
        <f t="shared" si="69"/>
        <v>9.3098469000000001</v>
      </c>
      <c r="Y1531">
        <f t="shared" si="70"/>
        <v>7.3198468999999999</v>
      </c>
      <c r="Z1531">
        <f t="shared" si="71"/>
        <v>70.999846899999994</v>
      </c>
    </row>
    <row r="1532" spans="1:26" x14ac:dyDescent="0.3">
      <c r="A1532" t="s">
        <v>1622</v>
      </c>
      <c r="B1532" t="s">
        <v>63</v>
      </c>
      <c r="C1532" t="s">
        <v>89</v>
      </c>
      <c r="D1532" t="s">
        <v>69</v>
      </c>
      <c r="E1532">
        <v>22</v>
      </c>
      <c r="F1532" s="3">
        <v>7.66</v>
      </c>
      <c r="G1532" s="4">
        <v>81.400000000000006</v>
      </c>
      <c r="H1532">
        <v>0</v>
      </c>
      <c r="I1532">
        <v>4</v>
      </c>
      <c r="J1532">
        <v>4</v>
      </c>
      <c r="K1532" s="4">
        <v>62.6</v>
      </c>
      <c r="L1532" s="4">
        <v>79.7</v>
      </c>
      <c r="M1532" s="4">
        <v>73.900000000000006</v>
      </c>
      <c r="N1532">
        <v>0</v>
      </c>
      <c r="O1532" t="s">
        <v>58</v>
      </c>
      <c r="P1532" t="s">
        <v>59</v>
      </c>
      <c r="Q1532" t="s">
        <v>60</v>
      </c>
      <c r="R1532" t="s">
        <v>72</v>
      </c>
      <c r="S1532" s="3">
        <v>18.09</v>
      </c>
      <c r="T1532" s="5">
        <v>45881</v>
      </c>
      <c r="U1532">
        <v>3</v>
      </c>
      <c r="V1532">
        <v>2025</v>
      </c>
      <c r="X1532">
        <f t="shared" si="69"/>
        <v>7.6598468000000004</v>
      </c>
      <c r="Y1532">
        <f t="shared" si="70"/>
        <v>18.0898468</v>
      </c>
      <c r="Z1532">
        <f t="shared" si="71"/>
        <v>79.699846800000003</v>
      </c>
    </row>
    <row r="1533" spans="1:26" x14ac:dyDescent="0.3">
      <c r="A1533" t="s">
        <v>1623</v>
      </c>
      <c r="B1533" t="s">
        <v>55</v>
      </c>
      <c r="C1533" t="s">
        <v>56</v>
      </c>
      <c r="D1533" t="s">
        <v>69</v>
      </c>
      <c r="E1533">
        <v>20</v>
      </c>
      <c r="F1533" s="3">
        <v>7.64</v>
      </c>
      <c r="G1533" s="4">
        <v>85.3</v>
      </c>
      <c r="H1533">
        <v>1</v>
      </c>
      <c r="I1533">
        <v>0</v>
      </c>
      <c r="J1533">
        <v>4</v>
      </c>
      <c r="K1533" s="4">
        <v>64.900000000000006</v>
      </c>
      <c r="L1533" s="4">
        <v>69</v>
      </c>
      <c r="M1533" s="4">
        <v>66.900000000000006</v>
      </c>
      <c r="N1533">
        <v>0</v>
      </c>
      <c r="O1533" t="s">
        <v>58</v>
      </c>
      <c r="P1533" t="s">
        <v>87</v>
      </c>
      <c r="Q1533" t="s">
        <v>71</v>
      </c>
      <c r="R1533" t="s">
        <v>130</v>
      </c>
      <c r="S1533" s="3">
        <v>6.19</v>
      </c>
      <c r="T1533" s="5">
        <v>45507</v>
      </c>
      <c r="U1533">
        <v>1</v>
      </c>
      <c r="V1533">
        <v>2024</v>
      </c>
      <c r="X1533">
        <f t="shared" si="69"/>
        <v>7.6398466999999997</v>
      </c>
      <c r="Y1533">
        <f t="shared" si="70"/>
        <v>6.1898467000000004</v>
      </c>
      <c r="Z1533">
        <f t="shared" si="71"/>
        <v>68.999846700000006</v>
      </c>
    </row>
    <row r="1534" spans="1:26" x14ac:dyDescent="0.3">
      <c r="A1534" t="s">
        <v>1624</v>
      </c>
      <c r="B1534" t="s">
        <v>107</v>
      </c>
      <c r="C1534" t="s">
        <v>56</v>
      </c>
      <c r="D1534" t="s">
        <v>57</v>
      </c>
      <c r="E1534">
        <v>21</v>
      </c>
      <c r="F1534" s="3">
        <v>7.13</v>
      </c>
      <c r="G1534" s="4">
        <v>100</v>
      </c>
      <c r="H1534">
        <v>2</v>
      </c>
      <c r="I1534">
        <v>2</v>
      </c>
      <c r="J1534">
        <v>4</v>
      </c>
      <c r="K1534" s="4">
        <v>58.9</v>
      </c>
      <c r="L1534" s="4">
        <v>46.9</v>
      </c>
      <c r="M1534" s="4">
        <v>54.6</v>
      </c>
      <c r="N1534">
        <v>0</v>
      </c>
      <c r="O1534" t="s">
        <v>58</v>
      </c>
      <c r="P1534" t="s">
        <v>70</v>
      </c>
      <c r="Q1534" t="s">
        <v>71</v>
      </c>
      <c r="R1534" t="s">
        <v>61</v>
      </c>
      <c r="S1534" s="3">
        <v>4.76</v>
      </c>
      <c r="T1534" s="5">
        <v>44410</v>
      </c>
      <c r="U1534">
        <v>1</v>
      </c>
      <c r="V1534">
        <v>2021</v>
      </c>
      <c r="X1534">
        <f t="shared" si="69"/>
        <v>7.1298465999999996</v>
      </c>
      <c r="Y1534">
        <f t="shared" si="70"/>
        <v>4.7598465999999995</v>
      </c>
      <c r="Z1534">
        <f t="shared" si="71"/>
        <v>46.899846599999996</v>
      </c>
    </row>
    <row r="1535" spans="1:26" x14ac:dyDescent="0.3">
      <c r="A1535" t="s">
        <v>1625</v>
      </c>
      <c r="B1535" t="s">
        <v>67</v>
      </c>
      <c r="C1535" t="s">
        <v>101</v>
      </c>
      <c r="D1535" t="s">
        <v>57</v>
      </c>
      <c r="E1535">
        <v>20</v>
      </c>
      <c r="F1535" s="3">
        <v>6.19</v>
      </c>
      <c r="G1535" s="4">
        <v>76</v>
      </c>
      <c r="H1535">
        <v>2</v>
      </c>
      <c r="I1535">
        <v>0</v>
      </c>
      <c r="J1535">
        <v>5</v>
      </c>
      <c r="K1535" s="4">
        <v>67.8</v>
      </c>
      <c r="L1535" s="4">
        <v>69.2</v>
      </c>
      <c r="M1535" s="4">
        <v>74.7</v>
      </c>
      <c r="N1535">
        <v>2</v>
      </c>
      <c r="O1535" t="s">
        <v>64</v>
      </c>
      <c r="P1535" t="s">
        <v>65</v>
      </c>
      <c r="S1535" s="3">
        <v>0</v>
      </c>
      <c r="T1535" s="5"/>
      <c r="U1535">
        <v>0</v>
      </c>
      <c r="V1535">
        <v>2023</v>
      </c>
      <c r="X1535">
        <f t="shared" si="69"/>
        <v>6.1898465000000007</v>
      </c>
      <c r="Y1535">
        <f t="shared" si="70"/>
        <v>-1.5349999999999999E-4</v>
      </c>
      <c r="Z1535">
        <f t="shared" si="71"/>
        <v>69.199846500000007</v>
      </c>
    </row>
    <row r="1536" spans="1:26" x14ac:dyDescent="0.3">
      <c r="A1536" t="s">
        <v>1626</v>
      </c>
      <c r="B1536" t="s">
        <v>63</v>
      </c>
      <c r="C1536" t="s">
        <v>68</v>
      </c>
      <c r="D1536" t="s">
        <v>69</v>
      </c>
      <c r="E1536">
        <v>21</v>
      </c>
      <c r="F1536" s="3">
        <v>7.22</v>
      </c>
      <c r="G1536" s="4">
        <v>76.7</v>
      </c>
      <c r="H1536">
        <v>3</v>
      </c>
      <c r="I1536">
        <v>1</v>
      </c>
      <c r="J1536">
        <v>2</v>
      </c>
      <c r="K1536" s="4">
        <v>44.5</v>
      </c>
      <c r="L1536" s="4">
        <v>88.9</v>
      </c>
      <c r="M1536" s="4">
        <v>56.4</v>
      </c>
      <c r="N1536">
        <v>0</v>
      </c>
      <c r="O1536" t="s">
        <v>58</v>
      </c>
      <c r="P1536" t="s">
        <v>92</v>
      </c>
      <c r="Q1536" t="s">
        <v>93</v>
      </c>
      <c r="R1536" t="s">
        <v>76</v>
      </c>
      <c r="S1536" s="3">
        <v>10.82</v>
      </c>
      <c r="T1536" s="5">
        <v>45891</v>
      </c>
      <c r="U1536">
        <v>1</v>
      </c>
      <c r="V1536">
        <v>2025</v>
      </c>
      <c r="X1536">
        <f t="shared" si="69"/>
        <v>7.2198463999999998</v>
      </c>
      <c r="Y1536">
        <f t="shared" si="70"/>
        <v>10.819846399999999</v>
      </c>
      <c r="Z1536">
        <f t="shared" si="71"/>
        <v>88.899846400000001</v>
      </c>
    </row>
    <row r="1537" spans="1:26" x14ac:dyDescent="0.3">
      <c r="A1537" t="s">
        <v>1627</v>
      </c>
      <c r="B1537" t="s">
        <v>107</v>
      </c>
      <c r="C1537" t="s">
        <v>101</v>
      </c>
      <c r="D1537" t="s">
        <v>69</v>
      </c>
      <c r="E1537">
        <v>20</v>
      </c>
      <c r="F1537" s="3">
        <v>6.52</v>
      </c>
      <c r="G1537" s="4">
        <v>89.2</v>
      </c>
      <c r="H1537">
        <v>1</v>
      </c>
      <c r="I1537">
        <v>1</v>
      </c>
      <c r="J1537">
        <v>5</v>
      </c>
      <c r="K1537" s="4">
        <v>68.400000000000006</v>
      </c>
      <c r="L1537" s="4">
        <v>74.900000000000006</v>
      </c>
      <c r="M1537" s="4">
        <v>77.7</v>
      </c>
      <c r="N1537">
        <v>0</v>
      </c>
      <c r="O1537" t="s">
        <v>64</v>
      </c>
      <c r="P1537" t="s">
        <v>65</v>
      </c>
      <c r="S1537" s="3">
        <v>0</v>
      </c>
      <c r="T1537" s="5"/>
      <c r="U1537">
        <v>0</v>
      </c>
      <c r="V1537">
        <v>2021</v>
      </c>
      <c r="X1537">
        <f t="shared" si="69"/>
        <v>6.5198462999999993</v>
      </c>
      <c r="Y1537">
        <f t="shared" si="70"/>
        <v>-1.537E-4</v>
      </c>
      <c r="Z1537">
        <f t="shared" si="71"/>
        <v>74.899846300000007</v>
      </c>
    </row>
    <row r="1538" spans="1:26" x14ac:dyDescent="0.3">
      <c r="A1538" t="s">
        <v>1628</v>
      </c>
      <c r="B1538" t="s">
        <v>63</v>
      </c>
      <c r="C1538" t="s">
        <v>74</v>
      </c>
      <c r="D1538" t="s">
        <v>57</v>
      </c>
      <c r="E1538">
        <v>23</v>
      </c>
      <c r="F1538" s="3">
        <v>5.95</v>
      </c>
      <c r="G1538" s="4">
        <v>100</v>
      </c>
      <c r="H1538">
        <v>2</v>
      </c>
      <c r="I1538">
        <v>2</v>
      </c>
      <c r="J1538">
        <v>3</v>
      </c>
      <c r="K1538" s="4">
        <v>32.200000000000003</v>
      </c>
      <c r="L1538" s="4">
        <v>100</v>
      </c>
      <c r="M1538" s="4">
        <v>49.7</v>
      </c>
      <c r="N1538">
        <v>1</v>
      </c>
      <c r="O1538" t="s">
        <v>58</v>
      </c>
      <c r="P1538" t="s">
        <v>75</v>
      </c>
      <c r="Q1538" t="s">
        <v>71</v>
      </c>
      <c r="R1538" t="s">
        <v>85</v>
      </c>
      <c r="S1538" s="3">
        <v>6.32</v>
      </c>
      <c r="T1538" s="5">
        <v>45978</v>
      </c>
      <c r="U1538">
        <v>1</v>
      </c>
      <c r="V1538">
        <v>2025</v>
      </c>
      <c r="X1538">
        <f t="shared" ref="X1538:X1601" si="72">F1538-ROW()*0.0000001</f>
        <v>5.9498462000000005</v>
      </c>
      <c r="Y1538">
        <f t="shared" ref="Y1538:Y1601" si="73">S1538-ROW()*0.0000001</f>
        <v>6.3198462000000006</v>
      </c>
      <c r="Z1538">
        <f t="shared" ref="Z1538:Z1601" si="74">L1538-ROW()*0.0000001</f>
        <v>99.999846199999993</v>
      </c>
    </row>
    <row r="1539" spans="1:26" x14ac:dyDescent="0.3">
      <c r="A1539" t="s">
        <v>1629</v>
      </c>
      <c r="B1539" t="s">
        <v>63</v>
      </c>
      <c r="C1539" t="s">
        <v>89</v>
      </c>
      <c r="D1539" t="s">
        <v>57</v>
      </c>
      <c r="E1539">
        <v>21</v>
      </c>
      <c r="F1539" s="3">
        <v>7.58</v>
      </c>
      <c r="G1539" s="4">
        <v>83.6</v>
      </c>
      <c r="H1539">
        <v>1</v>
      </c>
      <c r="I1539">
        <v>3</v>
      </c>
      <c r="J1539">
        <v>2</v>
      </c>
      <c r="K1539" s="4">
        <v>57.7</v>
      </c>
      <c r="L1539" s="4">
        <v>72.599999999999994</v>
      </c>
      <c r="M1539" s="4">
        <v>53.9</v>
      </c>
      <c r="N1539">
        <v>0</v>
      </c>
      <c r="O1539" t="s">
        <v>64</v>
      </c>
      <c r="P1539" t="s">
        <v>65</v>
      </c>
      <c r="S1539" s="3">
        <v>0</v>
      </c>
      <c r="T1539" s="5"/>
      <c r="U1539">
        <v>0</v>
      </c>
      <c r="V1539">
        <v>2025</v>
      </c>
      <c r="X1539">
        <f t="shared" si="72"/>
        <v>7.5798461000000001</v>
      </c>
      <c r="Y1539">
        <f t="shared" si="73"/>
        <v>-1.539E-4</v>
      </c>
      <c r="Z1539">
        <f t="shared" si="74"/>
        <v>72.599846099999993</v>
      </c>
    </row>
    <row r="1540" spans="1:26" x14ac:dyDescent="0.3">
      <c r="A1540" t="s">
        <v>1630</v>
      </c>
      <c r="B1540" t="s">
        <v>67</v>
      </c>
      <c r="C1540" t="s">
        <v>68</v>
      </c>
      <c r="D1540" t="s">
        <v>69</v>
      </c>
      <c r="E1540">
        <v>23</v>
      </c>
      <c r="F1540" s="3">
        <v>7.16</v>
      </c>
      <c r="G1540" s="4">
        <v>66.599999999999994</v>
      </c>
      <c r="H1540">
        <v>1</v>
      </c>
      <c r="I1540">
        <v>1</v>
      </c>
      <c r="J1540">
        <v>4</v>
      </c>
      <c r="K1540" s="4">
        <v>61.2</v>
      </c>
      <c r="L1540" s="4">
        <v>85.2</v>
      </c>
      <c r="M1540" s="4">
        <v>75.599999999999994</v>
      </c>
      <c r="N1540">
        <v>0</v>
      </c>
      <c r="O1540" t="s">
        <v>64</v>
      </c>
      <c r="P1540" t="s">
        <v>65</v>
      </c>
      <c r="S1540" s="3">
        <v>0</v>
      </c>
      <c r="T1540" s="5"/>
      <c r="U1540">
        <v>0</v>
      </c>
      <c r="V1540">
        <v>2023</v>
      </c>
      <c r="X1540">
        <f t="shared" si="72"/>
        <v>7.1598459999999999</v>
      </c>
      <c r="Y1540">
        <f t="shared" si="73"/>
        <v>-1.54E-4</v>
      </c>
      <c r="Z1540">
        <f t="shared" si="74"/>
        <v>85.199846000000008</v>
      </c>
    </row>
    <row r="1541" spans="1:26" x14ac:dyDescent="0.3">
      <c r="A1541" t="s">
        <v>1631</v>
      </c>
      <c r="B1541" t="s">
        <v>55</v>
      </c>
      <c r="C1541" t="s">
        <v>74</v>
      </c>
      <c r="D1541" t="s">
        <v>57</v>
      </c>
      <c r="E1541">
        <v>22</v>
      </c>
      <c r="F1541" s="3">
        <v>8.89</v>
      </c>
      <c r="G1541" s="4">
        <v>85.5</v>
      </c>
      <c r="H1541">
        <v>0</v>
      </c>
      <c r="I1541">
        <v>3</v>
      </c>
      <c r="J1541">
        <v>6</v>
      </c>
      <c r="K1541" s="4">
        <v>42.2</v>
      </c>
      <c r="L1541" s="4">
        <v>77.900000000000006</v>
      </c>
      <c r="M1541" s="4">
        <v>84.1</v>
      </c>
      <c r="N1541">
        <v>0</v>
      </c>
      <c r="O1541" t="s">
        <v>58</v>
      </c>
      <c r="P1541" t="s">
        <v>59</v>
      </c>
      <c r="Q1541" t="s">
        <v>60</v>
      </c>
      <c r="R1541" t="s">
        <v>130</v>
      </c>
      <c r="S1541" s="3">
        <v>20.12</v>
      </c>
      <c r="T1541" s="5">
        <v>45591</v>
      </c>
      <c r="U1541">
        <v>3</v>
      </c>
      <c r="V1541">
        <v>2024</v>
      </c>
      <c r="X1541">
        <f t="shared" si="72"/>
        <v>8.889845900000001</v>
      </c>
      <c r="Y1541">
        <f t="shared" si="73"/>
        <v>20.119845900000001</v>
      </c>
      <c r="Z1541">
        <f t="shared" si="74"/>
        <v>77.899845900000003</v>
      </c>
    </row>
    <row r="1542" spans="1:26" x14ac:dyDescent="0.3">
      <c r="A1542" t="s">
        <v>1632</v>
      </c>
      <c r="B1542" t="s">
        <v>82</v>
      </c>
      <c r="C1542" t="s">
        <v>68</v>
      </c>
      <c r="D1542" t="s">
        <v>69</v>
      </c>
      <c r="E1542">
        <v>21</v>
      </c>
      <c r="F1542" s="3">
        <v>6.88</v>
      </c>
      <c r="G1542" s="4">
        <v>77.3</v>
      </c>
      <c r="H1542">
        <v>1</v>
      </c>
      <c r="I1542">
        <v>2</v>
      </c>
      <c r="J1542">
        <v>2</v>
      </c>
      <c r="K1542" s="4">
        <v>85.7</v>
      </c>
      <c r="L1542" s="4">
        <v>60.5</v>
      </c>
      <c r="M1542" s="4">
        <v>70.599999999999994</v>
      </c>
      <c r="N1542">
        <v>3</v>
      </c>
      <c r="O1542" t="s">
        <v>58</v>
      </c>
      <c r="P1542" t="s">
        <v>59</v>
      </c>
      <c r="Q1542" t="s">
        <v>60</v>
      </c>
      <c r="R1542" t="s">
        <v>80</v>
      </c>
      <c r="S1542" s="3">
        <v>18.510000000000002</v>
      </c>
      <c r="T1542" s="5">
        <v>44790</v>
      </c>
      <c r="U1542">
        <v>2</v>
      </c>
      <c r="V1542">
        <v>2022</v>
      </c>
      <c r="X1542">
        <f t="shared" si="72"/>
        <v>6.8798458</v>
      </c>
      <c r="Y1542">
        <f t="shared" si="73"/>
        <v>18.509845800000001</v>
      </c>
      <c r="Z1542">
        <f t="shared" si="74"/>
        <v>60.499845800000003</v>
      </c>
    </row>
    <row r="1543" spans="1:26" x14ac:dyDescent="0.3">
      <c r="A1543" t="s">
        <v>1633</v>
      </c>
      <c r="B1543" t="s">
        <v>55</v>
      </c>
      <c r="C1543" t="s">
        <v>68</v>
      </c>
      <c r="D1543" t="s">
        <v>57</v>
      </c>
      <c r="E1543">
        <v>23</v>
      </c>
      <c r="F1543" s="3">
        <v>8.25</v>
      </c>
      <c r="G1543" s="4">
        <v>86.3</v>
      </c>
      <c r="H1543">
        <v>2</v>
      </c>
      <c r="I1543">
        <v>1</v>
      </c>
      <c r="J1543">
        <v>3</v>
      </c>
      <c r="K1543" s="4">
        <v>66.599999999999994</v>
      </c>
      <c r="L1543" s="4">
        <v>69.099999999999994</v>
      </c>
      <c r="M1543" s="4">
        <v>86.6</v>
      </c>
      <c r="N1543">
        <v>0</v>
      </c>
      <c r="O1543" t="s">
        <v>58</v>
      </c>
      <c r="P1543" t="s">
        <v>90</v>
      </c>
      <c r="Q1543" t="s">
        <v>60</v>
      </c>
      <c r="R1543" t="s">
        <v>76</v>
      </c>
      <c r="S1543" s="3">
        <v>9.25</v>
      </c>
      <c r="T1543" s="5">
        <v>45518</v>
      </c>
      <c r="U1543">
        <v>1</v>
      </c>
      <c r="V1543">
        <v>2024</v>
      </c>
      <c r="X1543">
        <f t="shared" si="72"/>
        <v>8.2498456999999998</v>
      </c>
      <c r="Y1543">
        <f t="shared" si="73"/>
        <v>9.2498456999999998</v>
      </c>
      <c r="Z1543">
        <f t="shared" si="74"/>
        <v>69.099845699999989</v>
      </c>
    </row>
    <row r="1544" spans="1:26" x14ac:dyDescent="0.3">
      <c r="A1544" t="s">
        <v>1634</v>
      </c>
      <c r="B1544" t="s">
        <v>67</v>
      </c>
      <c r="C1544" t="s">
        <v>56</v>
      </c>
      <c r="D1544" t="s">
        <v>57</v>
      </c>
      <c r="E1544">
        <v>20</v>
      </c>
      <c r="F1544" s="3">
        <v>8.24</v>
      </c>
      <c r="G1544" s="4">
        <v>69.8</v>
      </c>
      <c r="H1544">
        <v>3</v>
      </c>
      <c r="I1544">
        <v>2</v>
      </c>
      <c r="J1544">
        <v>4</v>
      </c>
      <c r="K1544" s="4">
        <v>57.4</v>
      </c>
      <c r="L1544" s="4">
        <v>86.7</v>
      </c>
      <c r="M1544" s="4">
        <v>67.3</v>
      </c>
      <c r="N1544">
        <v>0</v>
      </c>
      <c r="O1544" t="s">
        <v>58</v>
      </c>
      <c r="P1544" t="s">
        <v>112</v>
      </c>
      <c r="Q1544" t="s">
        <v>93</v>
      </c>
      <c r="R1544" t="s">
        <v>80</v>
      </c>
      <c r="S1544" s="3">
        <v>8.06</v>
      </c>
      <c r="T1544" s="5">
        <v>45254</v>
      </c>
      <c r="U1544">
        <v>1</v>
      </c>
      <c r="V1544">
        <v>2023</v>
      </c>
      <c r="X1544">
        <f t="shared" si="72"/>
        <v>8.2398456000000007</v>
      </c>
      <c r="Y1544">
        <f t="shared" si="73"/>
        <v>8.0598456000000009</v>
      </c>
      <c r="Z1544">
        <f t="shared" si="74"/>
        <v>86.699845600000003</v>
      </c>
    </row>
    <row r="1545" spans="1:26" x14ac:dyDescent="0.3">
      <c r="A1545" t="s">
        <v>1635</v>
      </c>
      <c r="B1545" t="s">
        <v>67</v>
      </c>
      <c r="C1545" t="s">
        <v>74</v>
      </c>
      <c r="D1545" t="s">
        <v>69</v>
      </c>
      <c r="E1545">
        <v>23</v>
      </c>
      <c r="F1545" s="3">
        <v>8.85</v>
      </c>
      <c r="G1545" s="4">
        <v>68.7</v>
      </c>
      <c r="H1545">
        <v>0</v>
      </c>
      <c r="I1545">
        <v>1</v>
      </c>
      <c r="J1545">
        <v>3</v>
      </c>
      <c r="K1545" s="4">
        <v>94.3</v>
      </c>
      <c r="L1545" s="4">
        <v>64.8</v>
      </c>
      <c r="M1545" s="4">
        <v>100</v>
      </c>
      <c r="N1545">
        <v>1</v>
      </c>
      <c r="O1545" t="s">
        <v>58</v>
      </c>
      <c r="P1545" t="s">
        <v>59</v>
      </c>
      <c r="Q1545" t="s">
        <v>60</v>
      </c>
      <c r="R1545" t="s">
        <v>109</v>
      </c>
      <c r="S1545" s="3">
        <v>19.489999999999998</v>
      </c>
      <c r="T1545" s="5">
        <v>45170</v>
      </c>
      <c r="U1545">
        <v>1</v>
      </c>
      <c r="V1545">
        <v>2023</v>
      </c>
      <c r="X1545">
        <f t="shared" si="72"/>
        <v>8.8498454999999989</v>
      </c>
      <c r="Y1545">
        <f t="shared" si="73"/>
        <v>19.489845499999998</v>
      </c>
      <c r="Z1545">
        <f t="shared" si="74"/>
        <v>64.799845500000004</v>
      </c>
    </row>
    <row r="1546" spans="1:26" x14ac:dyDescent="0.3">
      <c r="A1546" t="s">
        <v>1636</v>
      </c>
      <c r="B1546" t="s">
        <v>67</v>
      </c>
      <c r="C1546" t="s">
        <v>101</v>
      </c>
      <c r="D1546" t="s">
        <v>57</v>
      </c>
      <c r="E1546">
        <v>21</v>
      </c>
      <c r="F1546" s="3">
        <v>7.48</v>
      </c>
      <c r="G1546" s="4">
        <v>79.3</v>
      </c>
      <c r="H1546">
        <v>3</v>
      </c>
      <c r="I1546">
        <v>1</v>
      </c>
      <c r="J1546">
        <v>6</v>
      </c>
      <c r="K1546" s="4">
        <v>71.099999999999994</v>
      </c>
      <c r="L1546" s="4">
        <v>76</v>
      </c>
      <c r="M1546" s="4">
        <v>58</v>
      </c>
      <c r="N1546">
        <v>0</v>
      </c>
      <c r="O1546" t="s">
        <v>58</v>
      </c>
      <c r="P1546" t="s">
        <v>59</v>
      </c>
      <c r="Q1546" t="s">
        <v>60</v>
      </c>
      <c r="R1546" t="s">
        <v>130</v>
      </c>
      <c r="S1546" s="3">
        <v>21.14</v>
      </c>
      <c r="T1546" s="5">
        <v>45197</v>
      </c>
      <c r="U1546">
        <v>3</v>
      </c>
      <c r="V1546">
        <v>2023</v>
      </c>
      <c r="X1546">
        <f t="shared" si="72"/>
        <v>7.4798454000000003</v>
      </c>
      <c r="Y1546">
        <f t="shared" si="73"/>
        <v>21.139845400000002</v>
      </c>
      <c r="Z1546">
        <f t="shared" si="74"/>
        <v>75.999845399999998</v>
      </c>
    </row>
    <row r="1547" spans="1:26" x14ac:dyDescent="0.3">
      <c r="A1547" t="s">
        <v>1637</v>
      </c>
      <c r="B1547" t="s">
        <v>107</v>
      </c>
      <c r="C1547" t="s">
        <v>84</v>
      </c>
      <c r="D1547" t="s">
        <v>57</v>
      </c>
      <c r="E1547">
        <v>23</v>
      </c>
      <c r="F1547" s="3">
        <v>8.84</v>
      </c>
      <c r="G1547" s="4">
        <v>96.9</v>
      </c>
      <c r="H1547">
        <v>1</v>
      </c>
      <c r="I1547">
        <v>3</v>
      </c>
      <c r="J1547">
        <v>4</v>
      </c>
      <c r="K1547" s="4">
        <v>72.900000000000006</v>
      </c>
      <c r="L1547" s="4">
        <v>60.7</v>
      </c>
      <c r="M1547" s="4">
        <v>65.400000000000006</v>
      </c>
      <c r="N1547">
        <v>0</v>
      </c>
      <c r="O1547" t="s">
        <v>58</v>
      </c>
      <c r="P1547" t="s">
        <v>79</v>
      </c>
      <c r="Q1547" t="s">
        <v>71</v>
      </c>
      <c r="R1547" t="s">
        <v>109</v>
      </c>
      <c r="S1547" s="3">
        <v>5.35</v>
      </c>
      <c r="T1547" s="5">
        <v>44512</v>
      </c>
      <c r="U1547">
        <v>2</v>
      </c>
      <c r="V1547">
        <v>2021</v>
      </c>
      <c r="X1547">
        <f t="shared" si="72"/>
        <v>8.8398453000000003</v>
      </c>
      <c r="Y1547">
        <f t="shared" si="73"/>
        <v>5.3498452999999992</v>
      </c>
      <c r="Z1547">
        <f t="shared" si="74"/>
        <v>60.6998453</v>
      </c>
    </row>
    <row r="1548" spans="1:26" x14ac:dyDescent="0.3">
      <c r="A1548" t="s">
        <v>1638</v>
      </c>
      <c r="B1548" t="s">
        <v>55</v>
      </c>
      <c r="C1548" t="s">
        <v>74</v>
      </c>
      <c r="D1548" t="s">
        <v>69</v>
      </c>
      <c r="E1548">
        <v>20</v>
      </c>
      <c r="F1548" s="3">
        <v>8.15</v>
      </c>
      <c r="G1548" s="4">
        <v>69.7</v>
      </c>
      <c r="H1548">
        <v>1</v>
      </c>
      <c r="I1548">
        <v>3</v>
      </c>
      <c r="J1548">
        <v>5</v>
      </c>
      <c r="K1548" s="4">
        <v>64.599999999999994</v>
      </c>
      <c r="L1548" s="4">
        <v>83.9</v>
      </c>
      <c r="M1548" s="4">
        <v>90.2</v>
      </c>
      <c r="N1548">
        <v>0</v>
      </c>
      <c r="O1548" t="s">
        <v>58</v>
      </c>
      <c r="P1548" t="s">
        <v>104</v>
      </c>
      <c r="Q1548" t="s">
        <v>105</v>
      </c>
      <c r="R1548" t="s">
        <v>72</v>
      </c>
      <c r="S1548" s="3">
        <v>16.89</v>
      </c>
      <c r="T1548" s="5">
        <v>45562</v>
      </c>
      <c r="U1548">
        <v>1</v>
      </c>
      <c r="V1548">
        <v>2024</v>
      </c>
      <c r="X1548">
        <f t="shared" si="72"/>
        <v>8.1498451999999997</v>
      </c>
      <c r="Y1548">
        <f t="shared" si="73"/>
        <v>16.8898452</v>
      </c>
      <c r="Z1548">
        <f t="shared" si="74"/>
        <v>83.899845200000001</v>
      </c>
    </row>
    <row r="1549" spans="1:26" x14ac:dyDescent="0.3">
      <c r="A1549" t="s">
        <v>1639</v>
      </c>
      <c r="B1549" t="s">
        <v>55</v>
      </c>
      <c r="C1549" t="s">
        <v>74</v>
      </c>
      <c r="D1549" t="s">
        <v>57</v>
      </c>
      <c r="E1549">
        <v>20</v>
      </c>
      <c r="F1549" s="3">
        <v>8.68</v>
      </c>
      <c r="G1549" s="4">
        <v>79.099999999999994</v>
      </c>
      <c r="H1549">
        <v>1</v>
      </c>
      <c r="I1549">
        <v>3</v>
      </c>
      <c r="J1549">
        <v>3</v>
      </c>
      <c r="K1549" s="4">
        <v>60.2</v>
      </c>
      <c r="L1549" s="4">
        <v>71.2</v>
      </c>
      <c r="M1549" s="4">
        <v>70.900000000000006</v>
      </c>
      <c r="N1549">
        <v>1</v>
      </c>
      <c r="O1549" t="s">
        <v>58</v>
      </c>
      <c r="P1549" t="s">
        <v>90</v>
      </c>
      <c r="Q1549" t="s">
        <v>60</v>
      </c>
      <c r="R1549" t="s">
        <v>109</v>
      </c>
      <c r="S1549" s="3">
        <v>9.33</v>
      </c>
      <c r="T1549" s="5">
        <v>45540</v>
      </c>
      <c r="U1549">
        <v>1</v>
      </c>
      <c r="V1549">
        <v>2024</v>
      </c>
      <c r="X1549">
        <f t="shared" si="72"/>
        <v>8.6798450999999996</v>
      </c>
      <c r="Y1549">
        <f t="shared" si="73"/>
        <v>9.3298451</v>
      </c>
      <c r="Z1549">
        <f t="shared" si="74"/>
        <v>71.199845100000005</v>
      </c>
    </row>
    <row r="1550" spans="1:26" x14ac:dyDescent="0.3">
      <c r="A1550" t="s">
        <v>1640</v>
      </c>
      <c r="B1550" t="s">
        <v>63</v>
      </c>
      <c r="C1550" t="s">
        <v>56</v>
      </c>
      <c r="D1550" t="s">
        <v>57</v>
      </c>
      <c r="E1550">
        <v>20</v>
      </c>
      <c r="F1550" s="3">
        <v>9.8000000000000007</v>
      </c>
      <c r="G1550" s="4">
        <v>68.8</v>
      </c>
      <c r="H1550">
        <v>1</v>
      </c>
      <c r="I1550">
        <v>1</v>
      </c>
      <c r="J1550">
        <v>3</v>
      </c>
      <c r="K1550" s="4">
        <v>70.599999999999994</v>
      </c>
      <c r="L1550" s="4">
        <v>83</v>
      </c>
      <c r="M1550" s="4">
        <v>85.4</v>
      </c>
      <c r="N1550">
        <v>0</v>
      </c>
      <c r="O1550" t="s">
        <v>58</v>
      </c>
      <c r="P1550" t="s">
        <v>112</v>
      </c>
      <c r="Q1550" t="s">
        <v>93</v>
      </c>
      <c r="R1550" t="s">
        <v>76</v>
      </c>
      <c r="S1550" s="3">
        <v>9.1999999999999993</v>
      </c>
      <c r="T1550" s="5">
        <v>45902</v>
      </c>
      <c r="U1550">
        <v>1</v>
      </c>
      <c r="V1550">
        <v>2025</v>
      </c>
      <c r="X1550">
        <f t="shared" si="72"/>
        <v>9.7998450000000012</v>
      </c>
      <c r="Y1550">
        <f t="shared" si="73"/>
        <v>9.1998449999999998</v>
      </c>
      <c r="Z1550">
        <f t="shared" si="74"/>
        <v>82.999844999999993</v>
      </c>
    </row>
    <row r="1551" spans="1:26" x14ac:dyDescent="0.3">
      <c r="A1551" t="s">
        <v>1641</v>
      </c>
      <c r="B1551" t="s">
        <v>63</v>
      </c>
      <c r="C1551" t="s">
        <v>78</v>
      </c>
      <c r="D1551" t="s">
        <v>69</v>
      </c>
      <c r="E1551">
        <v>22</v>
      </c>
      <c r="F1551" s="3">
        <v>7.54</v>
      </c>
      <c r="G1551" s="4">
        <v>84.6</v>
      </c>
      <c r="H1551">
        <v>1</v>
      </c>
      <c r="I1551">
        <v>1</v>
      </c>
      <c r="J1551">
        <v>4</v>
      </c>
      <c r="K1551" s="4">
        <v>28</v>
      </c>
      <c r="L1551" s="4">
        <v>88.7</v>
      </c>
      <c r="M1551" s="4">
        <v>58.1</v>
      </c>
      <c r="N1551">
        <v>0</v>
      </c>
      <c r="O1551" t="s">
        <v>58</v>
      </c>
      <c r="P1551" t="s">
        <v>75</v>
      </c>
      <c r="Q1551" t="s">
        <v>71</v>
      </c>
      <c r="R1551" t="s">
        <v>109</v>
      </c>
      <c r="S1551" s="3">
        <v>6.3</v>
      </c>
      <c r="T1551" s="5">
        <v>45943</v>
      </c>
      <c r="U1551">
        <v>3</v>
      </c>
      <c r="V1551">
        <v>2025</v>
      </c>
      <c r="X1551">
        <f t="shared" si="72"/>
        <v>7.5398449000000003</v>
      </c>
      <c r="Y1551">
        <f t="shared" si="73"/>
        <v>6.2998449000000001</v>
      </c>
      <c r="Z1551">
        <f t="shared" si="74"/>
        <v>88.699844900000002</v>
      </c>
    </row>
    <row r="1552" spans="1:26" x14ac:dyDescent="0.3">
      <c r="A1552" t="s">
        <v>1642</v>
      </c>
      <c r="B1552" t="s">
        <v>63</v>
      </c>
      <c r="C1552" t="s">
        <v>74</v>
      </c>
      <c r="D1552" t="s">
        <v>57</v>
      </c>
      <c r="E1552">
        <v>21</v>
      </c>
      <c r="F1552" s="3">
        <v>7.8</v>
      </c>
      <c r="G1552" s="4">
        <v>84</v>
      </c>
      <c r="H1552">
        <v>2</v>
      </c>
      <c r="I1552">
        <v>3</v>
      </c>
      <c r="J1552">
        <v>3</v>
      </c>
      <c r="K1552" s="4">
        <v>41.5</v>
      </c>
      <c r="L1552" s="4">
        <v>80.099999999999994</v>
      </c>
      <c r="M1552" s="4">
        <v>62.6</v>
      </c>
      <c r="N1552">
        <v>0</v>
      </c>
      <c r="O1552" t="s">
        <v>58</v>
      </c>
      <c r="P1552" t="s">
        <v>104</v>
      </c>
      <c r="Q1552" t="s">
        <v>105</v>
      </c>
      <c r="R1552" t="s">
        <v>80</v>
      </c>
      <c r="S1552" s="3">
        <v>16.04</v>
      </c>
      <c r="T1552" s="5">
        <v>45933</v>
      </c>
      <c r="U1552">
        <v>3</v>
      </c>
      <c r="V1552">
        <v>2025</v>
      </c>
      <c r="X1552">
        <f t="shared" si="72"/>
        <v>7.7998447999999998</v>
      </c>
      <c r="Y1552">
        <f t="shared" si="73"/>
        <v>16.039844800000001</v>
      </c>
      <c r="Z1552">
        <f t="shared" si="74"/>
        <v>80.0998448</v>
      </c>
    </row>
    <row r="1553" spans="1:26" x14ac:dyDescent="0.3">
      <c r="A1553" t="s">
        <v>1643</v>
      </c>
      <c r="B1553" t="s">
        <v>67</v>
      </c>
      <c r="C1553" t="s">
        <v>84</v>
      </c>
      <c r="D1553" t="s">
        <v>57</v>
      </c>
      <c r="E1553">
        <v>20</v>
      </c>
      <c r="F1553" s="3">
        <v>7.32</v>
      </c>
      <c r="G1553" s="4">
        <v>69.2</v>
      </c>
      <c r="H1553">
        <v>2</v>
      </c>
      <c r="I1553">
        <v>1</v>
      </c>
      <c r="J1553">
        <v>4</v>
      </c>
      <c r="K1553" s="4">
        <v>46.7</v>
      </c>
      <c r="L1553" s="4">
        <v>67.3</v>
      </c>
      <c r="M1553" s="4">
        <v>81.2</v>
      </c>
      <c r="N1553">
        <v>0</v>
      </c>
      <c r="O1553" t="s">
        <v>58</v>
      </c>
      <c r="P1553" t="s">
        <v>90</v>
      </c>
      <c r="Q1553" t="s">
        <v>60</v>
      </c>
      <c r="R1553" t="s">
        <v>130</v>
      </c>
      <c r="S1553" s="3">
        <v>7.34</v>
      </c>
      <c r="T1553" s="5">
        <v>45151</v>
      </c>
      <c r="U1553">
        <v>3</v>
      </c>
      <c r="V1553">
        <v>2023</v>
      </c>
      <c r="X1553">
        <f t="shared" si="72"/>
        <v>7.3198447</v>
      </c>
      <c r="Y1553">
        <f t="shared" si="73"/>
        <v>7.3398446999999996</v>
      </c>
      <c r="Z1553">
        <f t="shared" si="74"/>
        <v>67.299844699999994</v>
      </c>
    </row>
    <row r="1554" spans="1:26" x14ac:dyDescent="0.3">
      <c r="A1554" t="s">
        <v>1644</v>
      </c>
      <c r="B1554" t="s">
        <v>55</v>
      </c>
      <c r="C1554" t="s">
        <v>74</v>
      </c>
      <c r="D1554" t="s">
        <v>57</v>
      </c>
      <c r="E1554">
        <v>22</v>
      </c>
      <c r="F1554" s="3">
        <v>9.0399999999999991</v>
      </c>
      <c r="G1554" s="4">
        <v>93.6</v>
      </c>
      <c r="H1554">
        <v>2</v>
      </c>
      <c r="I1554">
        <v>3</v>
      </c>
      <c r="J1554">
        <v>3</v>
      </c>
      <c r="K1554" s="4">
        <v>34.200000000000003</v>
      </c>
      <c r="L1554" s="4">
        <v>67.599999999999994</v>
      </c>
      <c r="M1554" s="4">
        <v>56.7</v>
      </c>
      <c r="N1554">
        <v>3</v>
      </c>
      <c r="O1554" t="s">
        <v>64</v>
      </c>
      <c r="P1554" t="s">
        <v>65</v>
      </c>
      <c r="S1554" s="3">
        <v>0</v>
      </c>
      <c r="T1554" s="5"/>
      <c r="U1554">
        <v>0</v>
      </c>
      <c r="V1554">
        <v>2024</v>
      </c>
      <c r="X1554">
        <f t="shared" si="72"/>
        <v>9.0398445999999986</v>
      </c>
      <c r="Y1554">
        <f t="shared" si="73"/>
        <v>-1.5539999999999998E-4</v>
      </c>
      <c r="Z1554">
        <f t="shared" si="74"/>
        <v>67.599844599999997</v>
      </c>
    </row>
    <row r="1555" spans="1:26" x14ac:dyDescent="0.3">
      <c r="A1555" t="s">
        <v>1645</v>
      </c>
      <c r="B1555" t="s">
        <v>67</v>
      </c>
      <c r="C1555" t="s">
        <v>74</v>
      </c>
      <c r="D1555" t="s">
        <v>69</v>
      </c>
      <c r="E1555">
        <v>20</v>
      </c>
      <c r="F1555" s="3">
        <v>9.99</v>
      </c>
      <c r="G1555" s="4">
        <v>64.7</v>
      </c>
      <c r="H1555">
        <v>1</v>
      </c>
      <c r="I1555">
        <v>3</v>
      </c>
      <c r="J1555">
        <v>3</v>
      </c>
      <c r="K1555" s="4">
        <v>74.2</v>
      </c>
      <c r="L1555" s="4">
        <v>38.4</v>
      </c>
      <c r="M1555" s="4">
        <v>59.4</v>
      </c>
      <c r="N1555">
        <v>0</v>
      </c>
      <c r="O1555" t="s">
        <v>64</v>
      </c>
      <c r="P1555" t="s">
        <v>65</v>
      </c>
      <c r="S1555" s="3">
        <v>0</v>
      </c>
      <c r="T1555" s="5"/>
      <c r="U1555">
        <v>0</v>
      </c>
      <c r="V1555">
        <v>2023</v>
      </c>
      <c r="X1555">
        <f t="shared" si="72"/>
        <v>9.9898445000000002</v>
      </c>
      <c r="Y1555">
        <f t="shared" si="73"/>
        <v>-1.5549999999999999E-4</v>
      </c>
      <c r="Z1555">
        <f t="shared" si="74"/>
        <v>38.3998445</v>
      </c>
    </row>
    <row r="1556" spans="1:26" x14ac:dyDescent="0.3">
      <c r="A1556" t="s">
        <v>1646</v>
      </c>
      <c r="B1556" t="s">
        <v>107</v>
      </c>
      <c r="C1556" t="s">
        <v>89</v>
      </c>
      <c r="D1556" t="s">
        <v>69</v>
      </c>
      <c r="E1556">
        <v>23</v>
      </c>
      <c r="F1556" s="3">
        <v>8.31</v>
      </c>
      <c r="G1556" s="4">
        <v>96.2</v>
      </c>
      <c r="H1556">
        <v>2</v>
      </c>
      <c r="I1556">
        <v>3</v>
      </c>
      <c r="J1556">
        <v>5</v>
      </c>
      <c r="K1556" s="4">
        <v>56.9</v>
      </c>
      <c r="L1556" s="4">
        <v>76.400000000000006</v>
      </c>
      <c r="M1556" s="4">
        <v>72.7</v>
      </c>
      <c r="N1556">
        <v>0</v>
      </c>
      <c r="O1556" t="s">
        <v>58</v>
      </c>
      <c r="P1556" t="s">
        <v>92</v>
      </c>
      <c r="Q1556" t="s">
        <v>93</v>
      </c>
      <c r="R1556" t="s">
        <v>130</v>
      </c>
      <c r="S1556" s="3">
        <v>11.09</v>
      </c>
      <c r="T1556" s="5">
        <v>44478</v>
      </c>
      <c r="U1556">
        <v>1</v>
      </c>
      <c r="V1556">
        <v>2021</v>
      </c>
      <c r="X1556">
        <f t="shared" si="72"/>
        <v>8.3098444000000011</v>
      </c>
      <c r="Y1556">
        <f t="shared" si="73"/>
        <v>11.0898444</v>
      </c>
      <c r="Z1556">
        <f t="shared" si="74"/>
        <v>76.399844400000006</v>
      </c>
    </row>
    <row r="1557" spans="1:26" x14ac:dyDescent="0.3">
      <c r="A1557" t="s">
        <v>1647</v>
      </c>
      <c r="B1557" t="s">
        <v>63</v>
      </c>
      <c r="C1557" t="s">
        <v>101</v>
      </c>
      <c r="D1557" t="s">
        <v>69</v>
      </c>
      <c r="E1557">
        <v>21</v>
      </c>
      <c r="F1557" s="3">
        <v>6.2</v>
      </c>
      <c r="G1557" s="4">
        <v>94.4</v>
      </c>
      <c r="H1557">
        <v>2</v>
      </c>
      <c r="I1557">
        <v>1</v>
      </c>
      <c r="J1557">
        <v>5</v>
      </c>
      <c r="K1557" s="4">
        <v>83.9</v>
      </c>
      <c r="L1557" s="4">
        <v>85.7</v>
      </c>
      <c r="M1557" s="4">
        <v>89.8</v>
      </c>
      <c r="N1557">
        <v>0</v>
      </c>
      <c r="O1557" t="s">
        <v>58</v>
      </c>
      <c r="P1557" t="s">
        <v>59</v>
      </c>
      <c r="Q1557" t="s">
        <v>60</v>
      </c>
      <c r="R1557" t="s">
        <v>76</v>
      </c>
      <c r="S1557" s="3">
        <v>19.45</v>
      </c>
      <c r="T1557" s="5">
        <v>45902</v>
      </c>
      <c r="U1557">
        <v>1</v>
      </c>
      <c r="V1557">
        <v>2025</v>
      </c>
      <c r="X1557">
        <f t="shared" si="72"/>
        <v>6.1998443000000005</v>
      </c>
      <c r="Y1557">
        <f t="shared" si="73"/>
        <v>19.449844299999999</v>
      </c>
      <c r="Z1557">
        <f t="shared" si="74"/>
        <v>85.699844300000009</v>
      </c>
    </row>
    <row r="1558" spans="1:26" x14ac:dyDescent="0.3">
      <c r="A1558" t="s">
        <v>1648</v>
      </c>
      <c r="B1558" t="s">
        <v>67</v>
      </c>
      <c r="C1558" t="s">
        <v>68</v>
      </c>
      <c r="D1558" t="s">
        <v>57</v>
      </c>
      <c r="E1558">
        <v>23</v>
      </c>
      <c r="F1558" s="3">
        <v>6.86</v>
      </c>
      <c r="G1558" s="4">
        <v>84.8</v>
      </c>
      <c r="H1558">
        <v>3</v>
      </c>
      <c r="I1558">
        <v>4</v>
      </c>
      <c r="J1558">
        <v>2</v>
      </c>
      <c r="K1558" s="4">
        <v>63.9</v>
      </c>
      <c r="L1558" s="4">
        <v>51.4</v>
      </c>
      <c r="M1558" s="4">
        <v>78.400000000000006</v>
      </c>
      <c r="N1558">
        <v>0</v>
      </c>
      <c r="O1558" t="s">
        <v>58</v>
      </c>
      <c r="P1558" t="s">
        <v>59</v>
      </c>
      <c r="Q1558" t="s">
        <v>60</v>
      </c>
      <c r="R1558" t="s">
        <v>109</v>
      </c>
      <c r="S1558" s="3">
        <v>17.87</v>
      </c>
      <c r="T1558" s="5">
        <v>45143</v>
      </c>
      <c r="U1558">
        <v>1</v>
      </c>
      <c r="V1558">
        <v>2023</v>
      </c>
      <c r="X1558">
        <f t="shared" si="72"/>
        <v>6.8598442000000004</v>
      </c>
      <c r="Y1558">
        <f t="shared" si="73"/>
        <v>17.869844199999999</v>
      </c>
      <c r="Z1558">
        <f t="shared" si="74"/>
        <v>51.399844199999997</v>
      </c>
    </row>
    <row r="1559" spans="1:26" x14ac:dyDescent="0.3">
      <c r="A1559" t="s">
        <v>1649</v>
      </c>
      <c r="B1559" t="s">
        <v>67</v>
      </c>
      <c r="C1559" t="s">
        <v>68</v>
      </c>
      <c r="D1559" t="s">
        <v>69</v>
      </c>
      <c r="E1559">
        <v>22</v>
      </c>
      <c r="F1559" s="3">
        <v>8.69</v>
      </c>
      <c r="G1559" s="4">
        <v>90.1</v>
      </c>
      <c r="H1559">
        <v>1</v>
      </c>
      <c r="I1559">
        <v>2</v>
      </c>
      <c r="J1559">
        <v>5</v>
      </c>
      <c r="K1559" s="4">
        <v>54.6</v>
      </c>
      <c r="L1559" s="4">
        <v>67.7</v>
      </c>
      <c r="M1559" s="4">
        <v>71.5</v>
      </c>
      <c r="N1559">
        <v>0</v>
      </c>
      <c r="O1559" t="s">
        <v>58</v>
      </c>
      <c r="P1559" t="s">
        <v>79</v>
      </c>
      <c r="Q1559" t="s">
        <v>71</v>
      </c>
      <c r="R1559" t="s">
        <v>109</v>
      </c>
      <c r="S1559" s="3">
        <v>6.67</v>
      </c>
      <c r="T1559" s="5">
        <v>45226</v>
      </c>
      <c r="U1559">
        <v>2</v>
      </c>
      <c r="V1559">
        <v>2023</v>
      </c>
      <c r="X1559">
        <f t="shared" si="72"/>
        <v>8.6898441000000002</v>
      </c>
      <c r="Y1559">
        <f t="shared" si="73"/>
        <v>6.6698440999999997</v>
      </c>
      <c r="Z1559">
        <f t="shared" si="74"/>
        <v>67.699844100000007</v>
      </c>
    </row>
    <row r="1560" spans="1:26" x14ac:dyDescent="0.3">
      <c r="A1560" t="s">
        <v>1650</v>
      </c>
      <c r="B1560" t="s">
        <v>107</v>
      </c>
      <c r="C1560" t="s">
        <v>84</v>
      </c>
      <c r="D1560" t="s">
        <v>69</v>
      </c>
      <c r="E1560">
        <v>23</v>
      </c>
      <c r="F1560" s="3">
        <v>6.62</v>
      </c>
      <c r="G1560" s="4">
        <v>80.400000000000006</v>
      </c>
      <c r="H1560">
        <v>3</v>
      </c>
      <c r="I1560">
        <v>2</v>
      </c>
      <c r="J1560">
        <v>4</v>
      </c>
      <c r="K1560" s="4">
        <v>64.7</v>
      </c>
      <c r="L1560" s="4">
        <v>67.3</v>
      </c>
      <c r="M1560" s="4">
        <v>76</v>
      </c>
      <c r="N1560">
        <v>0</v>
      </c>
      <c r="O1560" t="s">
        <v>58</v>
      </c>
      <c r="P1560" t="s">
        <v>92</v>
      </c>
      <c r="Q1560" t="s">
        <v>93</v>
      </c>
      <c r="R1560" t="s">
        <v>130</v>
      </c>
      <c r="S1560" s="3">
        <v>8.3699999999999992</v>
      </c>
      <c r="T1560" s="5">
        <v>44519</v>
      </c>
      <c r="U1560">
        <v>2</v>
      </c>
      <c r="V1560">
        <v>2021</v>
      </c>
      <c r="X1560">
        <f t="shared" si="72"/>
        <v>6.6198440000000005</v>
      </c>
      <c r="Y1560">
        <f t="shared" si="73"/>
        <v>8.3698439999999987</v>
      </c>
      <c r="Z1560">
        <f t="shared" si="74"/>
        <v>67.299843999999993</v>
      </c>
    </row>
    <row r="1561" spans="1:26" x14ac:dyDescent="0.3">
      <c r="A1561" t="s">
        <v>1651</v>
      </c>
      <c r="B1561" t="s">
        <v>82</v>
      </c>
      <c r="C1561" t="s">
        <v>56</v>
      </c>
      <c r="D1561" t="s">
        <v>57</v>
      </c>
      <c r="E1561">
        <v>23</v>
      </c>
      <c r="F1561" s="3">
        <v>7.11</v>
      </c>
      <c r="G1561" s="4">
        <v>68.099999999999994</v>
      </c>
      <c r="H1561">
        <v>2</v>
      </c>
      <c r="I1561">
        <v>3</v>
      </c>
      <c r="J1561">
        <v>4</v>
      </c>
      <c r="K1561" s="4">
        <v>81.2</v>
      </c>
      <c r="L1561" s="4">
        <v>77</v>
      </c>
      <c r="M1561" s="4">
        <v>53.1</v>
      </c>
      <c r="N1561">
        <v>3</v>
      </c>
      <c r="O1561" t="s">
        <v>58</v>
      </c>
      <c r="P1561" t="s">
        <v>92</v>
      </c>
      <c r="Q1561" t="s">
        <v>93</v>
      </c>
      <c r="R1561" t="s">
        <v>80</v>
      </c>
      <c r="S1561" s="3">
        <v>9.02</v>
      </c>
      <c r="T1561" s="5">
        <v>44845</v>
      </c>
      <c r="U1561">
        <v>1</v>
      </c>
      <c r="V1561">
        <v>2022</v>
      </c>
      <c r="X1561">
        <f t="shared" si="72"/>
        <v>7.1098439000000004</v>
      </c>
      <c r="Y1561">
        <f t="shared" si="73"/>
        <v>9.0198438999999997</v>
      </c>
      <c r="Z1561">
        <f t="shared" si="74"/>
        <v>76.999843900000002</v>
      </c>
    </row>
    <row r="1562" spans="1:26" x14ac:dyDescent="0.3">
      <c r="A1562" t="s">
        <v>1652</v>
      </c>
      <c r="B1562" t="s">
        <v>55</v>
      </c>
      <c r="C1562" t="s">
        <v>84</v>
      </c>
      <c r="D1562" t="s">
        <v>69</v>
      </c>
      <c r="E1562">
        <v>20</v>
      </c>
      <c r="F1562" s="3">
        <v>7.08</v>
      </c>
      <c r="G1562" s="4">
        <v>84.1</v>
      </c>
      <c r="H1562">
        <v>2</v>
      </c>
      <c r="I1562">
        <v>0</v>
      </c>
      <c r="J1562">
        <v>3</v>
      </c>
      <c r="K1562" s="4">
        <v>62.2</v>
      </c>
      <c r="L1562" s="4">
        <v>72.2</v>
      </c>
      <c r="M1562" s="4">
        <v>67</v>
      </c>
      <c r="N1562">
        <v>0</v>
      </c>
      <c r="O1562" t="s">
        <v>58</v>
      </c>
      <c r="P1562" t="s">
        <v>87</v>
      </c>
      <c r="Q1562" t="s">
        <v>71</v>
      </c>
      <c r="R1562" t="s">
        <v>76</v>
      </c>
      <c r="S1562" s="3">
        <v>6.47</v>
      </c>
      <c r="T1562" s="5">
        <v>45522</v>
      </c>
      <c r="U1562">
        <v>1</v>
      </c>
      <c r="V1562">
        <v>2024</v>
      </c>
      <c r="X1562">
        <f t="shared" si="72"/>
        <v>7.0798437999999999</v>
      </c>
      <c r="Y1562">
        <f t="shared" si="73"/>
        <v>6.4698437999999996</v>
      </c>
      <c r="Z1562">
        <f t="shared" si="74"/>
        <v>72.199843799999996</v>
      </c>
    </row>
    <row r="1563" spans="1:26" x14ac:dyDescent="0.3">
      <c r="A1563" t="s">
        <v>1653</v>
      </c>
      <c r="B1563" t="s">
        <v>82</v>
      </c>
      <c r="C1563" t="s">
        <v>56</v>
      </c>
      <c r="D1563" t="s">
        <v>57</v>
      </c>
      <c r="E1563">
        <v>23</v>
      </c>
      <c r="F1563" s="3">
        <v>7.58</v>
      </c>
      <c r="G1563" s="4">
        <v>67.900000000000006</v>
      </c>
      <c r="H1563">
        <v>0</v>
      </c>
      <c r="I1563">
        <v>1</v>
      </c>
      <c r="J1563">
        <v>3</v>
      </c>
      <c r="K1563" s="4">
        <v>83.1</v>
      </c>
      <c r="L1563" s="4">
        <v>56.3</v>
      </c>
      <c r="M1563" s="4">
        <v>79.3</v>
      </c>
      <c r="N1563">
        <v>1</v>
      </c>
      <c r="O1563" t="s">
        <v>58</v>
      </c>
      <c r="P1563" t="s">
        <v>112</v>
      </c>
      <c r="Q1563" t="s">
        <v>93</v>
      </c>
      <c r="R1563" t="s">
        <v>109</v>
      </c>
      <c r="S1563" s="3">
        <v>7.36</v>
      </c>
      <c r="T1563" s="5">
        <v>44862</v>
      </c>
      <c r="U1563">
        <v>2</v>
      </c>
      <c r="V1563">
        <v>2022</v>
      </c>
      <c r="X1563">
        <f t="shared" si="72"/>
        <v>7.5798436999999996</v>
      </c>
      <c r="Y1563">
        <f t="shared" si="73"/>
        <v>7.3598436999999999</v>
      </c>
      <c r="Z1563">
        <f t="shared" si="74"/>
        <v>56.299843699999997</v>
      </c>
    </row>
    <row r="1564" spans="1:26" x14ac:dyDescent="0.3">
      <c r="A1564" t="s">
        <v>1654</v>
      </c>
      <c r="B1564" t="s">
        <v>63</v>
      </c>
      <c r="C1564" t="s">
        <v>101</v>
      </c>
      <c r="D1564" t="s">
        <v>69</v>
      </c>
      <c r="E1564">
        <v>20</v>
      </c>
      <c r="F1564" s="3">
        <v>7.88</v>
      </c>
      <c r="G1564" s="4">
        <v>81.900000000000006</v>
      </c>
      <c r="H1564">
        <v>1</v>
      </c>
      <c r="I1564">
        <v>4</v>
      </c>
      <c r="J1564">
        <v>5</v>
      </c>
      <c r="K1564" s="4">
        <v>81</v>
      </c>
      <c r="L1564" s="4">
        <v>94.2</v>
      </c>
      <c r="M1564" s="4">
        <v>76.8</v>
      </c>
      <c r="N1564">
        <v>0</v>
      </c>
      <c r="O1564" t="s">
        <v>58</v>
      </c>
      <c r="P1564" t="s">
        <v>59</v>
      </c>
      <c r="Q1564" t="s">
        <v>60</v>
      </c>
      <c r="R1564" t="s">
        <v>109</v>
      </c>
      <c r="S1564" s="3">
        <v>20.57</v>
      </c>
      <c r="T1564" s="5">
        <v>45887</v>
      </c>
      <c r="U1564">
        <v>1</v>
      </c>
      <c r="V1564">
        <v>2025</v>
      </c>
      <c r="X1564">
        <f t="shared" si="72"/>
        <v>7.8798436000000001</v>
      </c>
      <c r="Y1564">
        <f t="shared" si="73"/>
        <v>20.569843599999999</v>
      </c>
      <c r="Z1564">
        <f t="shared" si="74"/>
        <v>94.199843600000008</v>
      </c>
    </row>
    <row r="1565" spans="1:26" x14ac:dyDescent="0.3">
      <c r="A1565" t="s">
        <v>1655</v>
      </c>
      <c r="B1565" t="s">
        <v>67</v>
      </c>
      <c r="C1565" t="s">
        <v>89</v>
      </c>
      <c r="D1565" t="s">
        <v>69</v>
      </c>
      <c r="E1565">
        <v>20</v>
      </c>
      <c r="F1565" s="3">
        <v>5.95</v>
      </c>
      <c r="G1565" s="4">
        <v>70.900000000000006</v>
      </c>
      <c r="H1565">
        <v>1</v>
      </c>
      <c r="I1565">
        <v>1</v>
      </c>
      <c r="J1565">
        <v>3</v>
      </c>
      <c r="K1565" s="4">
        <v>57.6</v>
      </c>
      <c r="L1565" s="4">
        <v>45</v>
      </c>
      <c r="M1565" s="4">
        <v>81.3</v>
      </c>
      <c r="N1565">
        <v>0</v>
      </c>
      <c r="O1565" t="s">
        <v>58</v>
      </c>
      <c r="P1565" t="s">
        <v>112</v>
      </c>
      <c r="Q1565" t="s">
        <v>93</v>
      </c>
      <c r="R1565" t="s">
        <v>85</v>
      </c>
      <c r="S1565" s="3">
        <v>4.99</v>
      </c>
      <c r="T1565" s="5">
        <v>45238</v>
      </c>
      <c r="U1565">
        <v>3</v>
      </c>
      <c r="V1565">
        <v>2023</v>
      </c>
      <c r="X1565">
        <f t="shared" si="72"/>
        <v>5.9498435000000001</v>
      </c>
      <c r="Y1565">
        <f t="shared" si="73"/>
        <v>4.9898435000000001</v>
      </c>
      <c r="Z1565">
        <f t="shared" si="74"/>
        <v>44.999843499999997</v>
      </c>
    </row>
    <row r="1566" spans="1:26" x14ac:dyDescent="0.3">
      <c r="A1566" t="s">
        <v>1656</v>
      </c>
      <c r="B1566" t="s">
        <v>107</v>
      </c>
      <c r="C1566" t="s">
        <v>74</v>
      </c>
      <c r="D1566" t="s">
        <v>57</v>
      </c>
      <c r="E1566">
        <v>21</v>
      </c>
      <c r="F1566" s="3">
        <v>6.28</v>
      </c>
      <c r="G1566" s="4">
        <v>90.8</v>
      </c>
      <c r="H1566">
        <v>0</v>
      </c>
      <c r="I1566">
        <v>2</v>
      </c>
      <c r="J1566">
        <v>2</v>
      </c>
      <c r="K1566" s="4">
        <v>58.8</v>
      </c>
      <c r="L1566" s="4">
        <v>60.9</v>
      </c>
      <c r="M1566" s="4">
        <v>82.4</v>
      </c>
      <c r="N1566">
        <v>0</v>
      </c>
      <c r="O1566" t="s">
        <v>64</v>
      </c>
      <c r="P1566" t="s">
        <v>65</v>
      </c>
      <c r="S1566" s="3">
        <v>0</v>
      </c>
      <c r="T1566" s="5"/>
      <c r="U1566">
        <v>0</v>
      </c>
      <c r="V1566">
        <v>2021</v>
      </c>
      <c r="X1566">
        <f t="shared" si="72"/>
        <v>6.2798433999999999</v>
      </c>
      <c r="Y1566">
        <f t="shared" si="73"/>
        <v>-1.5659999999999998E-4</v>
      </c>
      <c r="Z1566">
        <f t="shared" si="74"/>
        <v>60.899843400000002</v>
      </c>
    </row>
    <row r="1567" spans="1:26" x14ac:dyDescent="0.3">
      <c r="A1567" t="s">
        <v>1657</v>
      </c>
      <c r="B1567" t="s">
        <v>107</v>
      </c>
      <c r="C1567" t="s">
        <v>101</v>
      </c>
      <c r="D1567" t="s">
        <v>57</v>
      </c>
      <c r="E1567">
        <v>22</v>
      </c>
      <c r="F1567" s="3">
        <v>6.3</v>
      </c>
      <c r="G1567" s="4">
        <v>85.4</v>
      </c>
      <c r="H1567">
        <v>1</v>
      </c>
      <c r="I1567">
        <v>2</v>
      </c>
      <c r="J1567">
        <v>3</v>
      </c>
      <c r="K1567" s="4">
        <v>58</v>
      </c>
      <c r="L1567" s="4">
        <v>50</v>
      </c>
      <c r="M1567" s="4">
        <v>76.7</v>
      </c>
      <c r="N1567">
        <v>0</v>
      </c>
      <c r="O1567" t="s">
        <v>58</v>
      </c>
      <c r="P1567" t="s">
        <v>104</v>
      </c>
      <c r="Q1567" t="s">
        <v>105</v>
      </c>
      <c r="R1567" t="s">
        <v>130</v>
      </c>
      <c r="S1567" s="3">
        <v>13.14</v>
      </c>
      <c r="T1567" s="5">
        <v>44492</v>
      </c>
      <c r="U1567">
        <v>1</v>
      </c>
      <c r="V1567">
        <v>2021</v>
      </c>
      <c r="X1567">
        <f t="shared" si="72"/>
        <v>6.2998433</v>
      </c>
      <c r="Y1567">
        <f t="shared" si="73"/>
        <v>13.139843300000001</v>
      </c>
      <c r="Z1567">
        <f t="shared" si="74"/>
        <v>49.999843300000002</v>
      </c>
    </row>
    <row r="1568" spans="1:26" x14ac:dyDescent="0.3">
      <c r="A1568" t="s">
        <v>1658</v>
      </c>
      <c r="B1568" t="s">
        <v>55</v>
      </c>
      <c r="C1568" t="s">
        <v>56</v>
      </c>
      <c r="D1568" t="s">
        <v>57</v>
      </c>
      <c r="E1568">
        <v>22</v>
      </c>
      <c r="F1568" s="3">
        <v>6.4</v>
      </c>
      <c r="G1568" s="4">
        <v>88.1</v>
      </c>
      <c r="H1568">
        <v>3</v>
      </c>
      <c r="I1568">
        <v>1</v>
      </c>
      <c r="J1568">
        <v>2</v>
      </c>
      <c r="K1568" s="4">
        <v>48.8</v>
      </c>
      <c r="L1568" s="4">
        <v>75.3</v>
      </c>
      <c r="M1568" s="4">
        <v>43.8</v>
      </c>
      <c r="N1568">
        <v>2</v>
      </c>
      <c r="O1568" t="s">
        <v>64</v>
      </c>
      <c r="P1568" t="s">
        <v>65</v>
      </c>
      <c r="S1568" s="3">
        <v>0</v>
      </c>
      <c r="T1568" s="5"/>
      <c r="U1568">
        <v>0</v>
      </c>
      <c r="V1568">
        <v>2024</v>
      </c>
      <c r="X1568">
        <f t="shared" si="72"/>
        <v>6.3998432000000003</v>
      </c>
      <c r="Y1568">
        <f t="shared" si="73"/>
        <v>-1.5679999999999999E-4</v>
      </c>
      <c r="Z1568">
        <f t="shared" si="74"/>
        <v>75.299843199999998</v>
      </c>
    </row>
    <row r="1569" spans="1:26" x14ac:dyDescent="0.3">
      <c r="A1569" t="s">
        <v>1659</v>
      </c>
      <c r="B1569" t="s">
        <v>82</v>
      </c>
      <c r="C1569" t="s">
        <v>56</v>
      </c>
      <c r="D1569" t="s">
        <v>57</v>
      </c>
      <c r="E1569">
        <v>22</v>
      </c>
      <c r="F1569" s="3">
        <v>7.66</v>
      </c>
      <c r="G1569" s="4">
        <v>85.1</v>
      </c>
      <c r="H1569">
        <v>1</v>
      </c>
      <c r="I1569">
        <v>2</v>
      </c>
      <c r="J1569">
        <v>4</v>
      </c>
      <c r="K1569" s="4">
        <v>44.8</v>
      </c>
      <c r="L1569" s="4">
        <v>77</v>
      </c>
      <c r="M1569" s="4">
        <v>78</v>
      </c>
      <c r="N1569">
        <v>1</v>
      </c>
      <c r="O1569" t="s">
        <v>58</v>
      </c>
      <c r="P1569" t="s">
        <v>112</v>
      </c>
      <c r="Q1569" t="s">
        <v>93</v>
      </c>
      <c r="R1569" t="s">
        <v>80</v>
      </c>
      <c r="S1569" s="3">
        <v>7.32</v>
      </c>
      <c r="T1569" s="5">
        <v>44876</v>
      </c>
      <c r="U1569">
        <v>1</v>
      </c>
      <c r="V1569">
        <v>2022</v>
      </c>
      <c r="X1569">
        <f t="shared" si="72"/>
        <v>7.6598430999999998</v>
      </c>
      <c r="Y1569">
        <f t="shared" si="73"/>
        <v>7.3198430999999999</v>
      </c>
      <c r="Z1569">
        <f t="shared" si="74"/>
        <v>76.999843100000007</v>
      </c>
    </row>
    <row r="1570" spans="1:26" x14ac:dyDescent="0.3">
      <c r="A1570" t="s">
        <v>1660</v>
      </c>
      <c r="B1570" t="s">
        <v>55</v>
      </c>
      <c r="C1570" t="s">
        <v>89</v>
      </c>
      <c r="D1570" t="s">
        <v>57</v>
      </c>
      <c r="E1570">
        <v>20</v>
      </c>
      <c r="F1570" s="3">
        <v>7.83</v>
      </c>
      <c r="G1570" s="4">
        <v>98.9</v>
      </c>
      <c r="H1570">
        <v>1</v>
      </c>
      <c r="I1570">
        <v>5</v>
      </c>
      <c r="J1570">
        <v>2</v>
      </c>
      <c r="K1570" s="4">
        <v>58.7</v>
      </c>
      <c r="L1570" s="4">
        <v>68.2</v>
      </c>
      <c r="M1570" s="4">
        <v>68.2</v>
      </c>
      <c r="N1570">
        <v>2</v>
      </c>
      <c r="O1570" t="s">
        <v>64</v>
      </c>
      <c r="P1570" t="s">
        <v>65</v>
      </c>
      <c r="S1570" s="3">
        <v>0</v>
      </c>
      <c r="T1570" s="5"/>
      <c r="U1570">
        <v>0</v>
      </c>
      <c r="V1570">
        <v>2024</v>
      </c>
      <c r="X1570">
        <f t="shared" si="72"/>
        <v>7.8298430000000003</v>
      </c>
      <c r="Y1570">
        <f t="shared" si="73"/>
        <v>-1.5699999999999999E-4</v>
      </c>
      <c r="Z1570">
        <f t="shared" si="74"/>
        <v>68.199843000000001</v>
      </c>
    </row>
    <row r="1571" spans="1:26" x14ac:dyDescent="0.3">
      <c r="A1571" t="s">
        <v>1661</v>
      </c>
      <c r="B1571" t="s">
        <v>67</v>
      </c>
      <c r="C1571" t="s">
        <v>74</v>
      </c>
      <c r="D1571" t="s">
        <v>69</v>
      </c>
      <c r="E1571">
        <v>22</v>
      </c>
      <c r="F1571" s="3">
        <v>8.56</v>
      </c>
      <c r="G1571" s="4">
        <v>91.2</v>
      </c>
      <c r="H1571">
        <v>1</v>
      </c>
      <c r="I1571">
        <v>1</v>
      </c>
      <c r="J1571">
        <v>3</v>
      </c>
      <c r="K1571" s="4">
        <v>31.5</v>
      </c>
      <c r="L1571" s="4">
        <v>51.8</v>
      </c>
      <c r="M1571" s="4">
        <v>69.400000000000006</v>
      </c>
      <c r="N1571">
        <v>0</v>
      </c>
      <c r="O1571" t="s">
        <v>58</v>
      </c>
      <c r="P1571" t="s">
        <v>75</v>
      </c>
      <c r="Q1571" t="s">
        <v>71</v>
      </c>
      <c r="R1571" t="s">
        <v>76</v>
      </c>
      <c r="S1571" s="3">
        <v>6.34</v>
      </c>
      <c r="T1571" s="5">
        <v>45226</v>
      </c>
      <c r="U1571">
        <v>1</v>
      </c>
      <c r="V1571">
        <v>2023</v>
      </c>
      <c r="X1571">
        <f t="shared" si="72"/>
        <v>8.5598429000000014</v>
      </c>
      <c r="Y1571">
        <f t="shared" si="73"/>
        <v>6.3398428999999998</v>
      </c>
      <c r="Z1571">
        <f t="shared" si="74"/>
        <v>51.799842899999994</v>
      </c>
    </row>
    <row r="1572" spans="1:26" x14ac:dyDescent="0.3">
      <c r="A1572" t="s">
        <v>1662</v>
      </c>
      <c r="B1572" t="s">
        <v>55</v>
      </c>
      <c r="C1572" t="s">
        <v>89</v>
      </c>
      <c r="D1572" t="s">
        <v>57</v>
      </c>
      <c r="E1572">
        <v>20</v>
      </c>
      <c r="F1572" s="3">
        <v>8.15</v>
      </c>
      <c r="G1572" s="4">
        <v>97.3</v>
      </c>
      <c r="H1572">
        <v>0</v>
      </c>
      <c r="I1572">
        <v>3</v>
      </c>
      <c r="J1572">
        <v>5</v>
      </c>
      <c r="K1572" s="4">
        <v>49.7</v>
      </c>
      <c r="L1572" s="4">
        <v>56</v>
      </c>
      <c r="M1572" s="4">
        <v>69.5</v>
      </c>
      <c r="N1572">
        <v>0</v>
      </c>
      <c r="O1572" t="s">
        <v>58</v>
      </c>
      <c r="P1572" t="s">
        <v>104</v>
      </c>
      <c r="Q1572" t="s">
        <v>105</v>
      </c>
      <c r="R1572" t="s">
        <v>109</v>
      </c>
      <c r="S1572" s="3">
        <v>15.79</v>
      </c>
      <c r="T1572" s="5">
        <v>45588</v>
      </c>
      <c r="U1572">
        <v>1</v>
      </c>
      <c r="V1572">
        <v>2024</v>
      </c>
      <c r="X1572">
        <f t="shared" si="72"/>
        <v>8.1498428000000001</v>
      </c>
      <c r="Y1572">
        <f t="shared" si="73"/>
        <v>15.789842799999999</v>
      </c>
      <c r="Z1572">
        <f t="shared" si="74"/>
        <v>55.999842800000003</v>
      </c>
    </row>
    <row r="1573" spans="1:26" x14ac:dyDescent="0.3">
      <c r="A1573" t="s">
        <v>1663</v>
      </c>
      <c r="B1573" t="s">
        <v>107</v>
      </c>
      <c r="C1573" t="s">
        <v>56</v>
      </c>
      <c r="D1573" t="s">
        <v>57</v>
      </c>
      <c r="E1573">
        <v>21</v>
      </c>
      <c r="F1573" s="3">
        <v>7.13</v>
      </c>
      <c r="G1573" s="4">
        <v>73.900000000000006</v>
      </c>
      <c r="H1573">
        <v>1</v>
      </c>
      <c r="I1573">
        <v>3</v>
      </c>
      <c r="J1573">
        <v>4</v>
      </c>
      <c r="K1573" s="4">
        <v>72.2</v>
      </c>
      <c r="L1573" s="4">
        <v>83.4</v>
      </c>
      <c r="M1573" s="4">
        <v>77.5</v>
      </c>
      <c r="N1573">
        <v>0</v>
      </c>
      <c r="O1573" t="s">
        <v>58</v>
      </c>
      <c r="P1573" t="s">
        <v>75</v>
      </c>
      <c r="Q1573" t="s">
        <v>71</v>
      </c>
      <c r="R1573" t="s">
        <v>85</v>
      </c>
      <c r="S1573" s="3">
        <v>6.24</v>
      </c>
      <c r="T1573" s="5">
        <v>44517</v>
      </c>
      <c r="U1573">
        <v>1</v>
      </c>
      <c r="V1573">
        <v>2021</v>
      </c>
      <c r="X1573">
        <f t="shared" si="72"/>
        <v>7.1298427000000002</v>
      </c>
      <c r="Y1573">
        <f t="shared" si="73"/>
        <v>6.2398427000000005</v>
      </c>
      <c r="Z1573">
        <f t="shared" si="74"/>
        <v>83.399842700000008</v>
      </c>
    </row>
    <row r="1574" spans="1:26" x14ac:dyDescent="0.3">
      <c r="A1574" t="s">
        <v>1664</v>
      </c>
      <c r="B1574" t="s">
        <v>107</v>
      </c>
      <c r="C1574" t="s">
        <v>56</v>
      </c>
      <c r="D1574" t="s">
        <v>69</v>
      </c>
      <c r="E1574">
        <v>22</v>
      </c>
      <c r="F1574" s="3">
        <v>7.86</v>
      </c>
      <c r="G1574" s="4">
        <v>77.099999999999994</v>
      </c>
      <c r="H1574">
        <v>1</v>
      </c>
      <c r="I1574">
        <v>2</v>
      </c>
      <c r="J1574">
        <v>3</v>
      </c>
      <c r="K1574" s="4">
        <v>46</v>
      </c>
      <c r="L1574" s="4">
        <v>68.8</v>
      </c>
      <c r="M1574" s="4">
        <v>56.4</v>
      </c>
      <c r="N1574">
        <v>1</v>
      </c>
      <c r="O1574" t="s">
        <v>64</v>
      </c>
      <c r="P1574" t="s">
        <v>65</v>
      </c>
      <c r="S1574" s="3">
        <v>0</v>
      </c>
      <c r="T1574" s="5"/>
      <c r="U1574">
        <v>0</v>
      </c>
      <c r="V1574">
        <v>2021</v>
      </c>
      <c r="X1574">
        <f t="shared" si="72"/>
        <v>7.8598426000000003</v>
      </c>
      <c r="Y1574">
        <f t="shared" si="73"/>
        <v>-1.574E-4</v>
      </c>
      <c r="Z1574">
        <f t="shared" si="74"/>
        <v>68.799842599999991</v>
      </c>
    </row>
    <row r="1575" spans="1:26" x14ac:dyDescent="0.3">
      <c r="A1575" t="s">
        <v>1665</v>
      </c>
      <c r="B1575" t="s">
        <v>63</v>
      </c>
      <c r="C1575" t="s">
        <v>56</v>
      </c>
      <c r="D1575" t="s">
        <v>57</v>
      </c>
      <c r="E1575">
        <v>20</v>
      </c>
      <c r="F1575" s="3">
        <v>8.6</v>
      </c>
      <c r="G1575" s="4">
        <v>60.2</v>
      </c>
      <c r="H1575">
        <v>1</v>
      </c>
      <c r="I1575">
        <v>0</v>
      </c>
      <c r="J1575">
        <v>4</v>
      </c>
      <c r="K1575" s="4">
        <v>83.4</v>
      </c>
      <c r="L1575" s="4">
        <v>63.2</v>
      </c>
      <c r="M1575" s="4">
        <v>53.4</v>
      </c>
      <c r="N1575">
        <v>0</v>
      </c>
      <c r="O1575" t="s">
        <v>58</v>
      </c>
      <c r="P1575" t="s">
        <v>75</v>
      </c>
      <c r="Q1575" t="s">
        <v>71</v>
      </c>
      <c r="R1575" t="s">
        <v>85</v>
      </c>
      <c r="S1575" s="3">
        <v>6.33</v>
      </c>
      <c r="T1575" s="5">
        <v>45891</v>
      </c>
      <c r="U1575">
        <v>1</v>
      </c>
      <c r="V1575">
        <v>2025</v>
      </c>
      <c r="X1575">
        <f t="shared" si="72"/>
        <v>8.5998424999999994</v>
      </c>
      <c r="Y1575">
        <f t="shared" si="73"/>
        <v>6.3298424999999998</v>
      </c>
      <c r="Z1575">
        <f t="shared" si="74"/>
        <v>63.199842500000003</v>
      </c>
    </row>
    <row r="1576" spans="1:26" x14ac:dyDescent="0.3">
      <c r="A1576" t="s">
        <v>1666</v>
      </c>
      <c r="B1576" t="s">
        <v>63</v>
      </c>
      <c r="C1576" t="s">
        <v>56</v>
      </c>
      <c r="D1576" t="s">
        <v>69</v>
      </c>
      <c r="E1576">
        <v>22</v>
      </c>
      <c r="F1576" s="3">
        <v>7.45</v>
      </c>
      <c r="G1576" s="4">
        <v>78.5</v>
      </c>
      <c r="H1576">
        <v>2</v>
      </c>
      <c r="I1576">
        <v>2</v>
      </c>
      <c r="J1576">
        <v>3</v>
      </c>
      <c r="K1576" s="4">
        <v>73.7</v>
      </c>
      <c r="L1576" s="4">
        <v>59.6</v>
      </c>
      <c r="M1576" s="4">
        <v>59.1</v>
      </c>
      <c r="N1576">
        <v>1</v>
      </c>
      <c r="O1576" t="s">
        <v>64</v>
      </c>
      <c r="P1576" t="s">
        <v>65</v>
      </c>
      <c r="S1576" s="3">
        <v>0</v>
      </c>
      <c r="T1576" s="5"/>
      <c r="U1576">
        <v>0</v>
      </c>
      <c r="V1576">
        <v>2025</v>
      </c>
      <c r="X1576">
        <f t="shared" si="72"/>
        <v>7.4498424000000005</v>
      </c>
      <c r="Y1576">
        <f t="shared" si="73"/>
        <v>-1.5759999999999998E-4</v>
      </c>
      <c r="Z1576">
        <f t="shared" si="74"/>
        <v>59.5998424</v>
      </c>
    </row>
    <row r="1577" spans="1:26" x14ac:dyDescent="0.3">
      <c r="A1577" t="s">
        <v>1667</v>
      </c>
      <c r="B1577" t="s">
        <v>67</v>
      </c>
      <c r="C1577" t="s">
        <v>68</v>
      </c>
      <c r="D1577" t="s">
        <v>69</v>
      </c>
      <c r="E1577">
        <v>22</v>
      </c>
      <c r="F1577" s="3">
        <v>7.37</v>
      </c>
      <c r="G1577" s="4">
        <v>81.7</v>
      </c>
      <c r="H1577">
        <v>0</v>
      </c>
      <c r="I1577">
        <v>4</v>
      </c>
      <c r="J1577">
        <v>1</v>
      </c>
      <c r="K1577" s="4">
        <v>91.2</v>
      </c>
      <c r="L1577" s="4">
        <v>68.2</v>
      </c>
      <c r="M1577" s="4">
        <v>85</v>
      </c>
      <c r="N1577">
        <v>0</v>
      </c>
      <c r="O1577" t="s">
        <v>64</v>
      </c>
      <c r="P1577" t="s">
        <v>65</v>
      </c>
      <c r="S1577" s="3">
        <v>0</v>
      </c>
      <c r="T1577" s="5"/>
      <c r="U1577">
        <v>0</v>
      </c>
      <c r="V1577">
        <v>2023</v>
      </c>
      <c r="X1577">
        <f t="shared" si="72"/>
        <v>7.3698423000000002</v>
      </c>
      <c r="Y1577">
        <f t="shared" si="73"/>
        <v>-1.5769999999999998E-4</v>
      </c>
      <c r="Z1577">
        <f t="shared" si="74"/>
        <v>68.1998423</v>
      </c>
    </row>
    <row r="1578" spans="1:26" x14ac:dyDescent="0.3">
      <c r="A1578" t="s">
        <v>1668</v>
      </c>
      <c r="B1578" t="s">
        <v>82</v>
      </c>
      <c r="C1578" t="s">
        <v>78</v>
      </c>
      <c r="D1578" t="s">
        <v>57</v>
      </c>
      <c r="E1578">
        <v>21</v>
      </c>
      <c r="F1578" s="3">
        <v>6.8</v>
      </c>
      <c r="G1578" s="4">
        <v>85.9</v>
      </c>
      <c r="H1578">
        <v>2</v>
      </c>
      <c r="I1578">
        <v>1</v>
      </c>
      <c r="J1578">
        <v>4</v>
      </c>
      <c r="K1578" s="4">
        <v>94.2</v>
      </c>
      <c r="L1578" s="4">
        <v>78.5</v>
      </c>
      <c r="M1578" s="4">
        <v>68.8</v>
      </c>
      <c r="N1578">
        <v>1</v>
      </c>
      <c r="O1578" t="s">
        <v>58</v>
      </c>
      <c r="P1578" t="s">
        <v>95</v>
      </c>
      <c r="Q1578" t="s">
        <v>93</v>
      </c>
      <c r="R1578" t="s">
        <v>61</v>
      </c>
      <c r="S1578" s="3">
        <v>6.8</v>
      </c>
      <c r="T1578" s="5">
        <v>44855</v>
      </c>
      <c r="U1578">
        <v>1</v>
      </c>
      <c r="V1578">
        <v>2022</v>
      </c>
      <c r="X1578">
        <f t="shared" si="72"/>
        <v>6.7998421999999996</v>
      </c>
      <c r="Y1578">
        <f t="shared" si="73"/>
        <v>6.7998421999999996</v>
      </c>
      <c r="Z1578">
        <f t="shared" si="74"/>
        <v>78.499842200000003</v>
      </c>
    </row>
    <row r="1579" spans="1:26" x14ac:dyDescent="0.3">
      <c r="A1579" t="s">
        <v>1669</v>
      </c>
      <c r="B1579" t="s">
        <v>55</v>
      </c>
      <c r="C1579" t="s">
        <v>84</v>
      </c>
      <c r="D1579" t="s">
        <v>57</v>
      </c>
      <c r="E1579">
        <v>23</v>
      </c>
      <c r="F1579" s="3">
        <v>6.93</v>
      </c>
      <c r="G1579" s="4">
        <v>77.2</v>
      </c>
      <c r="H1579">
        <v>3</v>
      </c>
      <c r="I1579">
        <v>2</v>
      </c>
      <c r="J1579">
        <v>4</v>
      </c>
      <c r="K1579" s="4">
        <v>75.7</v>
      </c>
      <c r="L1579" s="4">
        <v>66.3</v>
      </c>
      <c r="M1579" s="4">
        <v>80.099999999999994</v>
      </c>
      <c r="N1579">
        <v>0</v>
      </c>
      <c r="O1579" t="s">
        <v>58</v>
      </c>
      <c r="P1579" t="s">
        <v>87</v>
      </c>
      <c r="Q1579" t="s">
        <v>71</v>
      </c>
      <c r="R1579" t="s">
        <v>109</v>
      </c>
      <c r="S1579" s="3">
        <v>6.39</v>
      </c>
      <c r="T1579" s="5">
        <v>45613</v>
      </c>
      <c r="U1579">
        <v>2</v>
      </c>
      <c r="V1579">
        <v>2024</v>
      </c>
      <c r="X1579">
        <f t="shared" si="72"/>
        <v>6.9298421000000001</v>
      </c>
      <c r="Y1579">
        <f t="shared" si="73"/>
        <v>6.3898421000000001</v>
      </c>
      <c r="Z1579">
        <f t="shared" si="74"/>
        <v>66.299842099999992</v>
      </c>
    </row>
    <row r="1580" spans="1:26" x14ac:dyDescent="0.3">
      <c r="A1580" t="s">
        <v>1670</v>
      </c>
      <c r="B1580" t="s">
        <v>67</v>
      </c>
      <c r="C1580" t="s">
        <v>101</v>
      </c>
      <c r="D1580" t="s">
        <v>57</v>
      </c>
      <c r="E1580">
        <v>22</v>
      </c>
      <c r="F1580" s="3">
        <v>8.27</v>
      </c>
      <c r="G1580" s="4">
        <v>88.6</v>
      </c>
      <c r="H1580">
        <v>0</v>
      </c>
      <c r="I1580">
        <v>4</v>
      </c>
      <c r="J1580">
        <v>5</v>
      </c>
      <c r="K1580" s="4">
        <v>57</v>
      </c>
      <c r="L1580" s="4">
        <v>76.5</v>
      </c>
      <c r="M1580" s="4">
        <v>79.8</v>
      </c>
      <c r="N1580">
        <v>1</v>
      </c>
      <c r="O1580" t="s">
        <v>58</v>
      </c>
      <c r="P1580" t="s">
        <v>59</v>
      </c>
      <c r="Q1580" t="s">
        <v>60</v>
      </c>
      <c r="R1580" t="s">
        <v>61</v>
      </c>
      <c r="S1580" s="3">
        <v>19.71</v>
      </c>
      <c r="T1580" s="5">
        <v>45248</v>
      </c>
      <c r="U1580">
        <v>1</v>
      </c>
      <c r="V1580">
        <v>2023</v>
      </c>
      <c r="X1580">
        <f t="shared" si="72"/>
        <v>8.2698419999999988</v>
      </c>
      <c r="Y1580">
        <f t="shared" si="73"/>
        <v>19.709842000000002</v>
      </c>
      <c r="Z1580">
        <f t="shared" si="74"/>
        <v>76.499842000000001</v>
      </c>
    </row>
    <row r="1581" spans="1:26" x14ac:dyDescent="0.3">
      <c r="A1581" t="s">
        <v>1671</v>
      </c>
      <c r="B1581" t="s">
        <v>63</v>
      </c>
      <c r="C1581" t="s">
        <v>56</v>
      </c>
      <c r="D1581" t="s">
        <v>69</v>
      </c>
      <c r="E1581">
        <v>21</v>
      </c>
      <c r="F1581" s="3">
        <v>7.65</v>
      </c>
      <c r="G1581" s="4">
        <v>88</v>
      </c>
      <c r="H1581">
        <v>2</v>
      </c>
      <c r="I1581">
        <v>3</v>
      </c>
      <c r="J1581">
        <v>5</v>
      </c>
      <c r="K1581" s="4">
        <v>42</v>
      </c>
      <c r="L1581" s="4">
        <v>46.6</v>
      </c>
      <c r="M1581" s="4">
        <v>78.8</v>
      </c>
      <c r="N1581">
        <v>0</v>
      </c>
      <c r="O1581" t="s">
        <v>58</v>
      </c>
      <c r="P1581" t="s">
        <v>79</v>
      </c>
      <c r="Q1581" t="s">
        <v>71</v>
      </c>
      <c r="R1581" t="s">
        <v>109</v>
      </c>
      <c r="S1581" s="3">
        <v>4.57</v>
      </c>
      <c r="T1581" s="5">
        <v>45942</v>
      </c>
      <c r="U1581">
        <v>1</v>
      </c>
      <c r="V1581">
        <v>2025</v>
      </c>
      <c r="X1581">
        <f t="shared" si="72"/>
        <v>7.6498419000000002</v>
      </c>
      <c r="Y1581">
        <f t="shared" si="73"/>
        <v>4.5698419000000001</v>
      </c>
      <c r="Z1581">
        <f t="shared" si="74"/>
        <v>46.599841900000001</v>
      </c>
    </row>
    <row r="1582" spans="1:26" x14ac:dyDescent="0.3">
      <c r="A1582" t="s">
        <v>1672</v>
      </c>
      <c r="B1582" t="s">
        <v>55</v>
      </c>
      <c r="C1582" t="s">
        <v>68</v>
      </c>
      <c r="D1582" t="s">
        <v>57</v>
      </c>
      <c r="E1582">
        <v>22</v>
      </c>
      <c r="F1582" s="3">
        <v>9.41</v>
      </c>
      <c r="G1582" s="4">
        <v>77.7</v>
      </c>
      <c r="H1582">
        <v>1</v>
      </c>
      <c r="I1582">
        <v>3</v>
      </c>
      <c r="J1582">
        <v>6</v>
      </c>
      <c r="K1582" s="4">
        <v>44.6</v>
      </c>
      <c r="L1582" s="4">
        <v>87</v>
      </c>
      <c r="M1582" s="4">
        <v>80.3</v>
      </c>
      <c r="N1582">
        <v>0</v>
      </c>
      <c r="O1582" t="s">
        <v>58</v>
      </c>
      <c r="P1582" t="s">
        <v>112</v>
      </c>
      <c r="Q1582" t="s">
        <v>93</v>
      </c>
      <c r="R1582" t="s">
        <v>76</v>
      </c>
      <c r="S1582" s="3">
        <v>9.6</v>
      </c>
      <c r="T1582" s="5">
        <v>45612</v>
      </c>
      <c r="U1582">
        <v>2</v>
      </c>
      <c r="V1582">
        <v>2024</v>
      </c>
      <c r="X1582">
        <f t="shared" si="72"/>
        <v>9.4098418000000006</v>
      </c>
      <c r="Y1582">
        <f t="shared" si="73"/>
        <v>9.5998418000000001</v>
      </c>
      <c r="Z1582">
        <f t="shared" si="74"/>
        <v>86.999841799999999</v>
      </c>
    </row>
    <row r="1583" spans="1:26" x14ac:dyDescent="0.3">
      <c r="A1583" t="s">
        <v>1673</v>
      </c>
      <c r="B1583" t="s">
        <v>63</v>
      </c>
      <c r="C1583" t="s">
        <v>56</v>
      </c>
      <c r="D1583" t="s">
        <v>69</v>
      </c>
      <c r="E1583">
        <v>22</v>
      </c>
      <c r="F1583" s="3">
        <v>7.04</v>
      </c>
      <c r="G1583" s="4">
        <v>73.400000000000006</v>
      </c>
      <c r="H1583">
        <v>1</v>
      </c>
      <c r="I1583">
        <v>5</v>
      </c>
      <c r="J1583">
        <v>6</v>
      </c>
      <c r="K1583" s="4">
        <v>92.7</v>
      </c>
      <c r="L1583" s="4">
        <v>69.400000000000006</v>
      </c>
      <c r="M1583" s="4">
        <v>67.7</v>
      </c>
      <c r="N1583">
        <v>0</v>
      </c>
      <c r="O1583" t="s">
        <v>58</v>
      </c>
      <c r="P1583" t="s">
        <v>79</v>
      </c>
      <c r="Q1583" t="s">
        <v>71</v>
      </c>
      <c r="R1583" t="s">
        <v>130</v>
      </c>
      <c r="S1583" s="3">
        <v>5.68</v>
      </c>
      <c r="T1583" s="5">
        <v>45878</v>
      </c>
      <c r="U1583">
        <v>1</v>
      </c>
      <c r="V1583">
        <v>2025</v>
      </c>
      <c r="X1583">
        <f t="shared" si="72"/>
        <v>7.0398417000000002</v>
      </c>
      <c r="Y1583">
        <f t="shared" si="73"/>
        <v>5.6798416999999999</v>
      </c>
      <c r="Z1583">
        <f t="shared" si="74"/>
        <v>69.39984170000001</v>
      </c>
    </row>
    <row r="1584" spans="1:26" x14ac:dyDescent="0.3">
      <c r="A1584" t="s">
        <v>1674</v>
      </c>
      <c r="B1584" t="s">
        <v>55</v>
      </c>
      <c r="C1584" t="s">
        <v>74</v>
      </c>
      <c r="D1584" t="s">
        <v>69</v>
      </c>
      <c r="E1584">
        <v>22</v>
      </c>
      <c r="F1584" s="3">
        <v>8.34</v>
      </c>
      <c r="G1584" s="4">
        <v>82.6</v>
      </c>
      <c r="H1584">
        <v>1</v>
      </c>
      <c r="I1584">
        <v>1</v>
      </c>
      <c r="J1584">
        <v>5</v>
      </c>
      <c r="K1584" s="4">
        <v>44.3</v>
      </c>
      <c r="L1584" s="4">
        <v>55.3</v>
      </c>
      <c r="M1584" s="4">
        <v>82</v>
      </c>
      <c r="N1584">
        <v>0</v>
      </c>
      <c r="O1584" t="s">
        <v>58</v>
      </c>
      <c r="P1584" t="s">
        <v>92</v>
      </c>
      <c r="Q1584" t="s">
        <v>93</v>
      </c>
      <c r="R1584" t="s">
        <v>109</v>
      </c>
      <c r="S1584" s="3">
        <v>7.88</v>
      </c>
      <c r="T1584" s="5">
        <v>45563</v>
      </c>
      <c r="U1584">
        <v>2</v>
      </c>
      <c r="V1584">
        <v>2024</v>
      </c>
      <c r="X1584">
        <f t="shared" si="72"/>
        <v>8.3398415999999997</v>
      </c>
      <c r="Y1584">
        <f t="shared" si="73"/>
        <v>7.8798415999999998</v>
      </c>
      <c r="Z1584">
        <f t="shared" si="74"/>
        <v>55.299841600000001</v>
      </c>
    </row>
    <row r="1585" spans="1:26" x14ac:dyDescent="0.3">
      <c r="A1585" t="s">
        <v>1675</v>
      </c>
      <c r="B1585" t="s">
        <v>82</v>
      </c>
      <c r="C1585" t="s">
        <v>68</v>
      </c>
      <c r="D1585" t="s">
        <v>57</v>
      </c>
      <c r="E1585">
        <v>22</v>
      </c>
      <c r="F1585" s="3">
        <v>8</v>
      </c>
      <c r="G1585" s="4">
        <v>82.9</v>
      </c>
      <c r="H1585">
        <v>1</v>
      </c>
      <c r="I1585">
        <v>3</v>
      </c>
      <c r="J1585">
        <v>5</v>
      </c>
      <c r="K1585" s="4">
        <v>62.2</v>
      </c>
      <c r="L1585" s="4">
        <v>76.599999999999994</v>
      </c>
      <c r="M1585" s="4">
        <v>78.599999999999994</v>
      </c>
      <c r="N1585">
        <v>2</v>
      </c>
      <c r="O1585" t="s">
        <v>58</v>
      </c>
      <c r="P1585" t="s">
        <v>112</v>
      </c>
      <c r="Q1585" t="s">
        <v>93</v>
      </c>
      <c r="R1585" t="s">
        <v>80</v>
      </c>
      <c r="S1585" s="3">
        <v>6.99</v>
      </c>
      <c r="T1585" s="5">
        <v>44806</v>
      </c>
      <c r="U1585">
        <v>2</v>
      </c>
      <c r="V1585">
        <v>2022</v>
      </c>
      <c r="X1585">
        <f t="shared" si="72"/>
        <v>7.9998414999999996</v>
      </c>
      <c r="Y1585">
        <f t="shared" si="73"/>
        <v>6.9898414999999998</v>
      </c>
      <c r="Z1585">
        <f t="shared" si="74"/>
        <v>76.599841499999997</v>
      </c>
    </row>
    <row r="1586" spans="1:26" x14ac:dyDescent="0.3">
      <c r="A1586" t="s">
        <v>1676</v>
      </c>
      <c r="B1586" t="s">
        <v>67</v>
      </c>
      <c r="C1586" t="s">
        <v>56</v>
      </c>
      <c r="D1586" t="s">
        <v>69</v>
      </c>
      <c r="E1586">
        <v>23</v>
      </c>
      <c r="F1586" s="3">
        <v>7.57</v>
      </c>
      <c r="G1586" s="4">
        <v>76.5</v>
      </c>
      <c r="H1586">
        <v>3</v>
      </c>
      <c r="I1586">
        <v>2</v>
      </c>
      <c r="J1586">
        <v>4</v>
      </c>
      <c r="K1586" s="4">
        <v>82.1</v>
      </c>
      <c r="L1586" s="4">
        <v>72.7</v>
      </c>
      <c r="M1586" s="4">
        <v>55</v>
      </c>
      <c r="N1586">
        <v>0</v>
      </c>
      <c r="O1586" t="s">
        <v>58</v>
      </c>
      <c r="P1586" t="s">
        <v>70</v>
      </c>
      <c r="Q1586" t="s">
        <v>71</v>
      </c>
      <c r="R1586" t="s">
        <v>130</v>
      </c>
      <c r="S1586" s="3">
        <v>7.33</v>
      </c>
      <c r="T1586" s="5">
        <v>45243</v>
      </c>
      <c r="U1586">
        <v>1</v>
      </c>
      <c r="V1586">
        <v>2023</v>
      </c>
      <c r="X1586">
        <f t="shared" si="72"/>
        <v>7.5698414000000005</v>
      </c>
      <c r="Y1586">
        <f t="shared" si="73"/>
        <v>7.3298414000000003</v>
      </c>
      <c r="Z1586">
        <f t="shared" si="74"/>
        <v>72.699841399999997</v>
      </c>
    </row>
    <row r="1587" spans="1:26" x14ac:dyDescent="0.3">
      <c r="A1587" t="s">
        <v>1677</v>
      </c>
      <c r="B1587" t="s">
        <v>55</v>
      </c>
      <c r="C1587" t="s">
        <v>56</v>
      </c>
      <c r="D1587" t="s">
        <v>57</v>
      </c>
      <c r="E1587">
        <v>23</v>
      </c>
      <c r="F1587" s="3">
        <v>7.26</v>
      </c>
      <c r="G1587" s="4">
        <v>79.7</v>
      </c>
      <c r="H1587">
        <v>1</v>
      </c>
      <c r="I1587">
        <v>1</v>
      </c>
      <c r="J1587">
        <v>2</v>
      </c>
      <c r="K1587" s="4">
        <v>53</v>
      </c>
      <c r="L1587" s="4">
        <v>53.1</v>
      </c>
      <c r="M1587" s="4">
        <v>74.7</v>
      </c>
      <c r="N1587">
        <v>1</v>
      </c>
      <c r="O1587" t="s">
        <v>58</v>
      </c>
      <c r="P1587" t="s">
        <v>104</v>
      </c>
      <c r="Q1587" t="s">
        <v>105</v>
      </c>
      <c r="R1587" t="s">
        <v>80</v>
      </c>
      <c r="S1587" s="3">
        <v>15.63</v>
      </c>
      <c r="T1587" s="5">
        <v>45511</v>
      </c>
      <c r="U1587">
        <v>2</v>
      </c>
      <c r="V1587">
        <v>2024</v>
      </c>
      <c r="X1587">
        <f t="shared" si="72"/>
        <v>7.2598412999999997</v>
      </c>
      <c r="Y1587">
        <f t="shared" si="73"/>
        <v>15.629841300000001</v>
      </c>
      <c r="Z1587">
        <f t="shared" si="74"/>
        <v>53.099841300000001</v>
      </c>
    </row>
    <row r="1588" spans="1:26" x14ac:dyDescent="0.3">
      <c r="A1588" t="s">
        <v>1678</v>
      </c>
      <c r="B1588" t="s">
        <v>107</v>
      </c>
      <c r="C1588" t="s">
        <v>84</v>
      </c>
      <c r="D1588" t="s">
        <v>69</v>
      </c>
      <c r="E1588">
        <v>22</v>
      </c>
      <c r="F1588" s="3">
        <v>8.19</v>
      </c>
      <c r="G1588" s="4">
        <v>69.2</v>
      </c>
      <c r="H1588">
        <v>0</v>
      </c>
      <c r="I1588">
        <v>2</v>
      </c>
      <c r="J1588">
        <v>2</v>
      </c>
      <c r="K1588" s="4">
        <v>83.7</v>
      </c>
      <c r="L1588" s="4">
        <v>68.2</v>
      </c>
      <c r="M1588" s="4">
        <v>72.2</v>
      </c>
      <c r="N1588">
        <v>0</v>
      </c>
      <c r="O1588" t="s">
        <v>64</v>
      </c>
      <c r="P1588" t="s">
        <v>65</v>
      </c>
      <c r="S1588" s="3">
        <v>0</v>
      </c>
      <c r="T1588" s="5"/>
      <c r="U1588">
        <v>0</v>
      </c>
      <c r="V1588">
        <v>2021</v>
      </c>
      <c r="X1588">
        <f t="shared" si="72"/>
        <v>8.1898412</v>
      </c>
      <c r="Y1588">
        <f t="shared" si="73"/>
        <v>-1.5879999999999998E-4</v>
      </c>
      <c r="Z1588">
        <f t="shared" si="74"/>
        <v>68.199841200000009</v>
      </c>
    </row>
    <row r="1589" spans="1:26" x14ac:dyDescent="0.3">
      <c r="A1589" t="s">
        <v>1679</v>
      </c>
      <c r="B1589" t="s">
        <v>107</v>
      </c>
      <c r="C1589" t="s">
        <v>68</v>
      </c>
      <c r="D1589" t="s">
        <v>57</v>
      </c>
      <c r="E1589">
        <v>22</v>
      </c>
      <c r="F1589" s="3">
        <v>8.14</v>
      </c>
      <c r="G1589" s="4">
        <v>88.1</v>
      </c>
      <c r="H1589">
        <v>1</v>
      </c>
      <c r="I1589">
        <v>0</v>
      </c>
      <c r="J1589">
        <v>2</v>
      </c>
      <c r="K1589" s="4">
        <v>64.3</v>
      </c>
      <c r="L1589" s="4">
        <v>62.2</v>
      </c>
      <c r="M1589" s="4">
        <v>79.599999999999994</v>
      </c>
      <c r="N1589">
        <v>0</v>
      </c>
      <c r="O1589" t="s">
        <v>58</v>
      </c>
      <c r="P1589" t="s">
        <v>75</v>
      </c>
      <c r="Q1589" t="s">
        <v>71</v>
      </c>
      <c r="R1589" t="s">
        <v>80</v>
      </c>
      <c r="S1589" s="3">
        <v>6.46</v>
      </c>
      <c r="T1589" s="5">
        <v>44474</v>
      </c>
      <c r="U1589">
        <v>1</v>
      </c>
      <c r="V1589">
        <v>2021</v>
      </c>
      <c r="X1589">
        <f t="shared" si="72"/>
        <v>8.1398410999999999</v>
      </c>
      <c r="Y1589">
        <f t="shared" si="73"/>
        <v>6.4598411000000002</v>
      </c>
      <c r="Z1589">
        <f t="shared" si="74"/>
        <v>62.1998411</v>
      </c>
    </row>
    <row r="1590" spans="1:26" x14ac:dyDescent="0.3">
      <c r="A1590" t="s">
        <v>1680</v>
      </c>
      <c r="B1590" t="s">
        <v>55</v>
      </c>
      <c r="C1590" t="s">
        <v>68</v>
      </c>
      <c r="D1590" t="s">
        <v>69</v>
      </c>
      <c r="E1590">
        <v>21</v>
      </c>
      <c r="F1590" s="3">
        <v>7.83</v>
      </c>
      <c r="G1590" s="4">
        <v>88.3</v>
      </c>
      <c r="H1590">
        <v>1</v>
      </c>
      <c r="I1590">
        <v>1</v>
      </c>
      <c r="J1590">
        <v>6</v>
      </c>
      <c r="K1590" s="4">
        <v>68.3</v>
      </c>
      <c r="L1590" s="4">
        <v>51</v>
      </c>
      <c r="M1590" s="4">
        <v>74.3</v>
      </c>
      <c r="N1590">
        <v>0</v>
      </c>
      <c r="O1590" t="s">
        <v>58</v>
      </c>
      <c r="P1590" t="s">
        <v>95</v>
      </c>
      <c r="Q1590" t="s">
        <v>93</v>
      </c>
      <c r="R1590" t="s">
        <v>61</v>
      </c>
      <c r="S1590" s="3">
        <v>5.63</v>
      </c>
      <c r="T1590" s="5">
        <v>45618</v>
      </c>
      <c r="U1590">
        <v>1</v>
      </c>
      <c r="V1590">
        <v>2024</v>
      </c>
      <c r="X1590">
        <f t="shared" si="72"/>
        <v>7.8298410000000001</v>
      </c>
      <c r="Y1590">
        <f t="shared" si="73"/>
        <v>5.6298409999999999</v>
      </c>
      <c r="Z1590">
        <f t="shared" si="74"/>
        <v>50.999841000000004</v>
      </c>
    </row>
    <row r="1591" spans="1:26" x14ac:dyDescent="0.3">
      <c r="A1591" t="s">
        <v>1681</v>
      </c>
      <c r="B1591" t="s">
        <v>55</v>
      </c>
      <c r="C1591" t="s">
        <v>56</v>
      </c>
      <c r="D1591" t="s">
        <v>57</v>
      </c>
      <c r="E1591">
        <v>21</v>
      </c>
      <c r="F1591" s="3">
        <v>8.0299999999999994</v>
      </c>
      <c r="G1591" s="4">
        <v>82.4</v>
      </c>
      <c r="H1591">
        <v>3</v>
      </c>
      <c r="I1591">
        <v>1</v>
      </c>
      <c r="J1591">
        <v>4</v>
      </c>
      <c r="K1591" s="4">
        <v>61.2</v>
      </c>
      <c r="L1591" s="4">
        <v>63.7</v>
      </c>
      <c r="M1591" s="4">
        <v>71.099999999999994</v>
      </c>
      <c r="N1591">
        <v>0</v>
      </c>
      <c r="O1591" t="s">
        <v>58</v>
      </c>
      <c r="P1591" t="s">
        <v>75</v>
      </c>
      <c r="Q1591" t="s">
        <v>71</v>
      </c>
      <c r="R1591" t="s">
        <v>61</v>
      </c>
      <c r="S1591" s="3">
        <v>8.35</v>
      </c>
      <c r="T1591" s="5">
        <v>45576</v>
      </c>
      <c r="U1591">
        <v>1</v>
      </c>
      <c r="V1591">
        <v>2024</v>
      </c>
      <c r="X1591">
        <f t="shared" si="72"/>
        <v>8.0298408999999999</v>
      </c>
      <c r="Y1591">
        <f t="shared" si="73"/>
        <v>8.3498409000000002</v>
      </c>
      <c r="Z1591">
        <f t="shared" si="74"/>
        <v>63.699840900000005</v>
      </c>
    </row>
    <row r="1592" spans="1:26" x14ac:dyDescent="0.3">
      <c r="A1592" t="s">
        <v>1682</v>
      </c>
      <c r="B1592" t="s">
        <v>55</v>
      </c>
      <c r="C1592" t="s">
        <v>56</v>
      </c>
      <c r="D1592" t="s">
        <v>69</v>
      </c>
      <c r="E1592">
        <v>20</v>
      </c>
      <c r="F1592" s="3">
        <v>7.68</v>
      </c>
      <c r="G1592" s="4">
        <v>88.9</v>
      </c>
      <c r="H1592">
        <v>1</v>
      </c>
      <c r="I1592">
        <v>0</v>
      </c>
      <c r="J1592">
        <v>5</v>
      </c>
      <c r="K1592" s="4">
        <v>52.4</v>
      </c>
      <c r="L1592" s="4">
        <v>54.3</v>
      </c>
      <c r="M1592" s="4">
        <v>92.7</v>
      </c>
      <c r="N1592">
        <v>0</v>
      </c>
      <c r="O1592" t="s">
        <v>64</v>
      </c>
      <c r="P1592" t="s">
        <v>65</v>
      </c>
      <c r="S1592" s="3">
        <v>0</v>
      </c>
      <c r="T1592" s="5"/>
      <c r="U1592">
        <v>0</v>
      </c>
      <c r="V1592">
        <v>2024</v>
      </c>
      <c r="X1592">
        <f t="shared" si="72"/>
        <v>7.6798408</v>
      </c>
      <c r="Y1592">
        <f t="shared" si="73"/>
        <v>-1.5919999999999999E-4</v>
      </c>
      <c r="Z1592">
        <f t="shared" si="74"/>
        <v>54.299840799999998</v>
      </c>
    </row>
    <row r="1593" spans="1:26" x14ac:dyDescent="0.3">
      <c r="A1593" t="s">
        <v>1683</v>
      </c>
      <c r="B1593" t="s">
        <v>107</v>
      </c>
      <c r="C1593" t="s">
        <v>101</v>
      </c>
      <c r="D1593" t="s">
        <v>57</v>
      </c>
      <c r="E1593">
        <v>23</v>
      </c>
      <c r="F1593" s="3">
        <v>6.17</v>
      </c>
      <c r="G1593" s="4">
        <v>83.2</v>
      </c>
      <c r="H1593">
        <v>1</v>
      </c>
      <c r="I1593">
        <v>1</v>
      </c>
      <c r="J1593">
        <v>3</v>
      </c>
      <c r="K1593" s="4">
        <v>74.900000000000006</v>
      </c>
      <c r="L1593" s="4">
        <v>51.7</v>
      </c>
      <c r="M1593" s="4">
        <v>81.3</v>
      </c>
      <c r="N1593">
        <v>0</v>
      </c>
      <c r="O1593" t="s">
        <v>58</v>
      </c>
      <c r="P1593" t="s">
        <v>87</v>
      </c>
      <c r="Q1593" t="s">
        <v>71</v>
      </c>
      <c r="R1593" t="s">
        <v>130</v>
      </c>
      <c r="S1593" s="3">
        <v>4.6500000000000004</v>
      </c>
      <c r="T1593" s="5">
        <v>44467</v>
      </c>
      <c r="U1593">
        <v>3</v>
      </c>
      <c r="V1593">
        <v>2021</v>
      </c>
      <c r="X1593">
        <f t="shared" si="72"/>
        <v>6.1698407</v>
      </c>
      <c r="Y1593">
        <f t="shared" si="73"/>
        <v>4.6498407000000004</v>
      </c>
      <c r="Z1593">
        <f t="shared" si="74"/>
        <v>51.699840700000003</v>
      </c>
    </row>
    <row r="1594" spans="1:26" x14ac:dyDescent="0.3">
      <c r="A1594" t="s">
        <v>1684</v>
      </c>
      <c r="B1594" t="s">
        <v>107</v>
      </c>
      <c r="C1594" t="s">
        <v>56</v>
      </c>
      <c r="D1594" t="s">
        <v>57</v>
      </c>
      <c r="E1594">
        <v>22</v>
      </c>
      <c r="F1594" s="3">
        <v>7.73</v>
      </c>
      <c r="G1594" s="4">
        <v>96.5</v>
      </c>
      <c r="H1594">
        <v>1</v>
      </c>
      <c r="I1594">
        <v>3</v>
      </c>
      <c r="J1594">
        <v>3</v>
      </c>
      <c r="K1594" s="4">
        <v>73.2</v>
      </c>
      <c r="L1594" s="4">
        <v>77.5</v>
      </c>
      <c r="M1594" s="4">
        <v>74.5</v>
      </c>
      <c r="N1594">
        <v>0</v>
      </c>
      <c r="O1594" t="s">
        <v>58</v>
      </c>
      <c r="P1594" t="s">
        <v>79</v>
      </c>
      <c r="Q1594" t="s">
        <v>71</v>
      </c>
      <c r="R1594" t="s">
        <v>76</v>
      </c>
      <c r="S1594" s="3">
        <v>6.46</v>
      </c>
      <c r="T1594" s="5">
        <v>44443</v>
      </c>
      <c r="U1594">
        <v>1</v>
      </c>
      <c r="V1594">
        <v>2021</v>
      </c>
      <c r="X1594">
        <f t="shared" si="72"/>
        <v>7.7298406000000002</v>
      </c>
      <c r="Y1594">
        <f t="shared" si="73"/>
        <v>6.4598405999999997</v>
      </c>
      <c r="Z1594">
        <f t="shared" si="74"/>
        <v>77.499840599999999</v>
      </c>
    </row>
    <row r="1595" spans="1:26" x14ac:dyDescent="0.3">
      <c r="A1595" t="s">
        <v>1685</v>
      </c>
      <c r="B1595" t="s">
        <v>55</v>
      </c>
      <c r="C1595" t="s">
        <v>68</v>
      </c>
      <c r="D1595" t="s">
        <v>57</v>
      </c>
      <c r="E1595">
        <v>23</v>
      </c>
      <c r="F1595" s="3">
        <v>7.41</v>
      </c>
      <c r="G1595" s="4">
        <v>70.3</v>
      </c>
      <c r="H1595">
        <v>1</v>
      </c>
      <c r="I1595">
        <v>1</v>
      </c>
      <c r="J1595">
        <v>1</v>
      </c>
      <c r="K1595" s="4">
        <v>75.599999999999994</v>
      </c>
      <c r="L1595" s="4">
        <v>74.599999999999994</v>
      </c>
      <c r="M1595" s="4">
        <v>60.6</v>
      </c>
      <c r="N1595">
        <v>0</v>
      </c>
      <c r="O1595" t="s">
        <v>64</v>
      </c>
      <c r="P1595" t="s">
        <v>65</v>
      </c>
      <c r="S1595" s="3">
        <v>0</v>
      </c>
      <c r="T1595" s="5"/>
      <c r="U1595">
        <v>0</v>
      </c>
      <c r="V1595">
        <v>2024</v>
      </c>
      <c r="X1595">
        <f t="shared" si="72"/>
        <v>7.4098405000000005</v>
      </c>
      <c r="Y1595">
        <f t="shared" si="73"/>
        <v>-1.595E-4</v>
      </c>
      <c r="Z1595">
        <f t="shared" si="74"/>
        <v>74.599840499999999</v>
      </c>
    </row>
    <row r="1596" spans="1:26" x14ac:dyDescent="0.3">
      <c r="A1596" t="s">
        <v>1686</v>
      </c>
      <c r="B1596" t="s">
        <v>63</v>
      </c>
      <c r="C1596" t="s">
        <v>56</v>
      </c>
      <c r="D1596" t="s">
        <v>57</v>
      </c>
      <c r="E1596">
        <v>21</v>
      </c>
      <c r="F1596" s="3">
        <v>9.4</v>
      </c>
      <c r="G1596" s="4">
        <v>83.8</v>
      </c>
      <c r="H1596">
        <v>0</v>
      </c>
      <c r="I1596">
        <v>2</v>
      </c>
      <c r="J1596">
        <v>5</v>
      </c>
      <c r="K1596" s="4">
        <v>79.400000000000006</v>
      </c>
      <c r="L1596" s="4">
        <v>66.099999999999994</v>
      </c>
      <c r="M1596" s="4">
        <v>75.400000000000006</v>
      </c>
      <c r="N1596">
        <v>0</v>
      </c>
      <c r="O1596" t="s">
        <v>58</v>
      </c>
      <c r="P1596" t="s">
        <v>92</v>
      </c>
      <c r="Q1596" t="s">
        <v>93</v>
      </c>
      <c r="R1596" t="s">
        <v>80</v>
      </c>
      <c r="S1596" s="3">
        <v>9.69</v>
      </c>
      <c r="T1596" s="5">
        <v>45901</v>
      </c>
      <c r="U1596">
        <v>1</v>
      </c>
      <c r="V1596">
        <v>2025</v>
      </c>
      <c r="X1596">
        <f t="shared" si="72"/>
        <v>9.3998404000000004</v>
      </c>
      <c r="Y1596">
        <f t="shared" si="73"/>
        <v>9.6898403999999996</v>
      </c>
      <c r="Z1596">
        <f t="shared" si="74"/>
        <v>66.099840399999991</v>
      </c>
    </row>
    <row r="1597" spans="1:26" x14ac:dyDescent="0.3">
      <c r="A1597" t="s">
        <v>1687</v>
      </c>
      <c r="B1597" t="s">
        <v>63</v>
      </c>
      <c r="C1597" t="s">
        <v>68</v>
      </c>
      <c r="D1597" t="s">
        <v>69</v>
      </c>
      <c r="E1597">
        <v>23</v>
      </c>
      <c r="F1597" s="3">
        <v>8.2200000000000006</v>
      </c>
      <c r="G1597" s="4">
        <v>90.1</v>
      </c>
      <c r="H1597">
        <v>1</v>
      </c>
      <c r="I1597">
        <v>3</v>
      </c>
      <c r="J1597">
        <v>5</v>
      </c>
      <c r="K1597" s="4">
        <v>59.3</v>
      </c>
      <c r="L1597" s="4">
        <v>36.4</v>
      </c>
      <c r="M1597" s="4">
        <v>63.8</v>
      </c>
      <c r="N1597">
        <v>0</v>
      </c>
      <c r="O1597" t="s">
        <v>58</v>
      </c>
      <c r="P1597" t="s">
        <v>112</v>
      </c>
      <c r="Q1597" t="s">
        <v>93</v>
      </c>
      <c r="R1597" t="s">
        <v>61</v>
      </c>
      <c r="S1597" s="3">
        <v>6.67</v>
      </c>
      <c r="T1597" s="5">
        <v>45870</v>
      </c>
      <c r="U1597">
        <v>2</v>
      </c>
      <c r="V1597">
        <v>2025</v>
      </c>
      <c r="X1597">
        <f t="shared" si="72"/>
        <v>8.2198403000000013</v>
      </c>
      <c r="Y1597">
        <f t="shared" si="73"/>
        <v>6.6698402999999997</v>
      </c>
      <c r="Z1597">
        <f t="shared" si="74"/>
        <v>36.399840300000001</v>
      </c>
    </row>
    <row r="1598" spans="1:26" x14ac:dyDescent="0.3">
      <c r="A1598" t="s">
        <v>1688</v>
      </c>
      <c r="B1598" t="s">
        <v>82</v>
      </c>
      <c r="C1598" t="s">
        <v>56</v>
      </c>
      <c r="D1598" t="s">
        <v>69</v>
      </c>
      <c r="E1598">
        <v>23</v>
      </c>
      <c r="F1598" s="3">
        <v>7.83</v>
      </c>
      <c r="G1598" s="4">
        <v>95.4</v>
      </c>
      <c r="H1598">
        <v>0</v>
      </c>
      <c r="I1598">
        <v>1</v>
      </c>
      <c r="J1598">
        <v>5</v>
      </c>
      <c r="K1598" s="4">
        <v>73.2</v>
      </c>
      <c r="L1598" s="4">
        <v>68.900000000000006</v>
      </c>
      <c r="M1598" s="4">
        <v>54.2</v>
      </c>
      <c r="N1598">
        <v>0</v>
      </c>
      <c r="O1598" t="s">
        <v>58</v>
      </c>
      <c r="P1598" t="s">
        <v>70</v>
      </c>
      <c r="Q1598" t="s">
        <v>71</v>
      </c>
      <c r="R1598" t="s">
        <v>76</v>
      </c>
      <c r="S1598" s="3">
        <v>4.9800000000000004</v>
      </c>
      <c r="T1598" s="5">
        <v>44890</v>
      </c>
      <c r="U1598">
        <v>2</v>
      </c>
      <c r="V1598">
        <v>2022</v>
      </c>
      <c r="X1598">
        <f t="shared" si="72"/>
        <v>7.8298402000000005</v>
      </c>
      <c r="Y1598">
        <f t="shared" si="73"/>
        <v>4.9798402000000008</v>
      </c>
      <c r="Z1598">
        <f t="shared" si="74"/>
        <v>68.8998402</v>
      </c>
    </row>
    <row r="1599" spans="1:26" x14ac:dyDescent="0.3">
      <c r="A1599" t="s">
        <v>1689</v>
      </c>
      <c r="B1599" t="s">
        <v>67</v>
      </c>
      <c r="C1599" t="s">
        <v>101</v>
      </c>
      <c r="D1599" t="s">
        <v>57</v>
      </c>
      <c r="E1599">
        <v>22</v>
      </c>
      <c r="F1599" s="3">
        <v>8.07</v>
      </c>
      <c r="G1599" s="4">
        <v>89.1</v>
      </c>
      <c r="H1599">
        <v>2</v>
      </c>
      <c r="I1599">
        <v>4</v>
      </c>
      <c r="J1599">
        <v>2</v>
      </c>
      <c r="K1599" s="4">
        <v>77.900000000000006</v>
      </c>
      <c r="L1599" s="4">
        <v>81.400000000000006</v>
      </c>
      <c r="M1599" s="4">
        <v>69.099999999999994</v>
      </c>
      <c r="N1599">
        <v>0</v>
      </c>
      <c r="O1599" t="s">
        <v>58</v>
      </c>
      <c r="P1599" t="s">
        <v>112</v>
      </c>
      <c r="Q1599" t="s">
        <v>93</v>
      </c>
      <c r="R1599" t="s">
        <v>61</v>
      </c>
      <c r="S1599" s="3">
        <v>8.27</v>
      </c>
      <c r="T1599" s="5">
        <v>45233</v>
      </c>
      <c r="U1599">
        <v>1</v>
      </c>
      <c r="V1599">
        <v>2023</v>
      </c>
      <c r="X1599">
        <f t="shared" si="72"/>
        <v>8.0698401000000004</v>
      </c>
      <c r="Y1599">
        <f t="shared" si="73"/>
        <v>8.2698400999999997</v>
      </c>
      <c r="Z1599">
        <f t="shared" si="74"/>
        <v>81.399840100000006</v>
      </c>
    </row>
    <row r="1600" spans="1:26" x14ac:dyDescent="0.3">
      <c r="A1600" t="s">
        <v>1690</v>
      </c>
      <c r="B1600" t="s">
        <v>63</v>
      </c>
      <c r="C1600" t="s">
        <v>101</v>
      </c>
      <c r="D1600" t="s">
        <v>57</v>
      </c>
      <c r="E1600">
        <v>22</v>
      </c>
      <c r="F1600" s="3">
        <v>6.73</v>
      </c>
      <c r="G1600" s="4">
        <v>72.7</v>
      </c>
      <c r="H1600">
        <v>1</v>
      </c>
      <c r="I1600">
        <v>4</v>
      </c>
      <c r="J1600">
        <v>2</v>
      </c>
      <c r="K1600" s="4">
        <v>71.099999999999994</v>
      </c>
      <c r="L1600" s="4">
        <v>88.2</v>
      </c>
      <c r="M1600" s="4">
        <v>69.900000000000006</v>
      </c>
      <c r="N1600">
        <v>0</v>
      </c>
      <c r="O1600" t="s">
        <v>58</v>
      </c>
      <c r="P1600" t="s">
        <v>92</v>
      </c>
      <c r="Q1600" t="s">
        <v>93</v>
      </c>
      <c r="R1600" t="s">
        <v>80</v>
      </c>
      <c r="S1600" s="3">
        <v>8.36</v>
      </c>
      <c r="T1600" s="5">
        <v>45921</v>
      </c>
      <c r="U1600">
        <v>2</v>
      </c>
      <c r="V1600">
        <v>2025</v>
      </c>
      <c r="X1600">
        <f t="shared" si="72"/>
        <v>6.7298400000000003</v>
      </c>
      <c r="Y1600">
        <f t="shared" si="73"/>
        <v>8.3598400000000002</v>
      </c>
      <c r="Z1600">
        <f t="shared" si="74"/>
        <v>88.199840000000009</v>
      </c>
    </row>
    <row r="1601" spans="1:26" x14ac:dyDescent="0.3">
      <c r="A1601" t="s">
        <v>1691</v>
      </c>
      <c r="B1601" t="s">
        <v>107</v>
      </c>
      <c r="C1601" t="s">
        <v>101</v>
      </c>
      <c r="D1601" t="s">
        <v>57</v>
      </c>
      <c r="E1601">
        <v>21</v>
      </c>
      <c r="F1601" s="3">
        <v>7.1</v>
      </c>
      <c r="G1601" s="4">
        <v>67.099999999999994</v>
      </c>
      <c r="H1601">
        <v>2</v>
      </c>
      <c r="I1601">
        <v>1</v>
      </c>
      <c r="J1601">
        <v>3</v>
      </c>
      <c r="K1601" s="4">
        <v>59.6</v>
      </c>
      <c r="L1601" s="4">
        <v>85.3</v>
      </c>
      <c r="M1601" s="4">
        <v>86.4</v>
      </c>
      <c r="N1601">
        <v>1</v>
      </c>
      <c r="O1601" t="s">
        <v>64</v>
      </c>
      <c r="P1601" t="s">
        <v>65</v>
      </c>
      <c r="S1601" s="3">
        <v>0</v>
      </c>
      <c r="T1601" s="5"/>
      <c r="U1601">
        <v>0</v>
      </c>
      <c r="V1601">
        <v>2021</v>
      </c>
      <c r="X1601">
        <f t="shared" si="72"/>
        <v>7.0998398999999992</v>
      </c>
      <c r="Y1601">
        <f t="shared" si="73"/>
        <v>-1.6009999999999999E-4</v>
      </c>
      <c r="Z1601">
        <f t="shared" si="74"/>
        <v>85.299839899999995</v>
      </c>
    </row>
    <row r="1602" spans="1:26" x14ac:dyDescent="0.3">
      <c r="A1602" t="s">
        <v>1692</v>
      </c>
      <c r="B1602" t="s">
        <v>63</v>
      </c>
      <c r="C1602" t="s">
        <v>74</v>
      </c>
      <c r="D1602" t="s">
        <v>57</v>
      </c>
      <c r="E1602">
        <v>22</v>
      </c>
      <c r="F1602" s="3">
        <v>7.35</v>
      </c>
      <c r="G1602" s="4">
        <v>80.5</v>
      </c>
      <c r="H1602">
        <v>3</v>
      </c>
      <c r="I1602">
        <v>5</v>
      </c>
      <c r="J1602">
        <v>3</v>
      </c>
      <c r="K1602" s="4">
        <v>70.3</v>
      </c>
      <c r="L1602" s="4">
        <v>52.2</v>
      </c>
      <c r="M1602" s="4">
        <v>85.7</v>
      </c>
      <c r="N1602">
        <v>0</v>
      </c>
      <c r="O1602" t="s">
        <v>58</v>
      </c>
      <c r="P1602" t="s">
        <v>59</v>
      </c>
      <c r="Q1602" t="s">
        <v>60</v>
      </c>
      <c r="R1602" t="s">
        <v>85</v>
      </c>
      <c r="S1602" s="3">
        <v>19.86</v>
      </c>
      <c r="T1602" s="5">
        <v>45909</v>
      </c>
      <c r="U1602">
        <v>1</v>
      </c>
      <c r="V1602">
        <v>2025</v>
      </c>
      <c r="X1602">
        <f t="shared" ref="X1602:X1665" si="75">F1602-ROW()*0.0000001</f>
        <v>7.3498397999999998</v>
      </c>
      <c r="Y1602">
        <f t="shared" ref="Y1602:Y1665" si="76">S1602-ROW()*0.0000001</f>
        <v>19.8598398</v>
      </c>
      <c r="Z1602">
        <f t="shared" ref="Z1602:Z1665" si="77">L1602-ROW()*0.0000001</f>
        <v>52.199839799999999</v>
      </c>
    </row>
    <row r="1603" spans="1:26" x14ac:dyDescent="0.3">
      <c r="A1603" t="s">
        <v>1693</v>
      </c>
      <c r="B1603" t="s">
        <v>82</v>
      </c>
      <c r="C1603" t="s">
        <v>101</v>
      </c>
      <c r="D1603" t="s">
        <v>57</v>
      </c>
      <c r="E1603">
        <v>21</v>
      </c>
      <c r="F1603" s="3">
        <v>8</v>
      </c>
      <c r="G1603" s="4">
        <v>85.3</v>
      </c>
      <c r="H1603">
        <v>3</v>
      </c>
      <c r="I1603">
        <v>2</v>
      </c>
      <c r="J1603">
        <v>5</v>
      </c>
      <c r="K1603" s="4">
        <v>37.4</v>
      </c>
      <c r="L1603" s="4">
        <v>58.3</v>
      </c>
      <c r="M1603" s="4">
        <v>82</v>
      </c>
      <c r="N1603">
        <v>1</v>
      </c>
      <c r="O1603" t="s">
        <v>58</v>
      </c>
      <c r="P1603" t="s">
        <v>70</v>
      </c>
      <c r="Q1603" t="s">
        <v>71</v>
      </c>
      <c r="R1603" t="s">
        <v>61</v>
      </c>
      <c r="S1603" s="3">
        <v>6.27</v>
      </c>
      <c r="T1603" s="5">
        <v>44817</v>
      </c>
      <c r="U1603">
        <v>1</v>
      </c>
      <c r="V1603">
        <v>2022</v>
      </c>
      <c r="X1603">
        <f t="shared" si="75"/>
        <v>7.9998396999999999</v>
      </c>
      <c r="Y1603">
        <f t="shared" si="76"/>
        <v>6.2698396999999995</v>
      </c>
      <c r="Z1603">
        <f t="shared" si="77"/>
        <v>58.2998397</v>
      </c>
    </row>
    <row r="1604" spans="1:26" x14ac:dyDescent="0.3">
      <c r="A1604" t="s">
        <v>1694</v>
      </c>
      <c r="B1604" t="s">
        <v>82</v>
      </c>
      <c r="C1604" t="s">
        <v>68</v>
      </c>
      <c r="D1604" t="s">
        <v>57</v>
      </c>
      <c r="E1604">
        <v>21</v>
      </c>
      <c r="F1604" s="3">
        <v>7.26</v>
      </c>
      <c r="G1604" s="4">
        <v>90.5</v>
      </c>
      <c r="H1604">
        <v>0</v>
      </c>
      <c r="I1604">
        <v>1</v>
      </c>
      <c r="J1604">
        <v>2</v>
      </c>
      <c r="K1604" s="4">
        <v>70.599999999999994</v>
      </c>
      <c r="L1604" s="4">
        <v>67.5</v>
      </c>
      <c r="M1604" s="4">
        <v>72.900000000000006</v>
      </c>
      <c r="N1604">
        <v>0</v>
      </c>
      <c r="O1604" t="s">
        <v>64</v>
      </c>
      <c r="P1604" t="s">
        <v>65</v>
      </c>
      <c r="S1604" s="3">
        <v>0</v>
      </c>
      <c r="T1604" s="5"/>
      <c r="U1604">
        <v>0</v>
      </c>
      <c r="V1604">
        <v>2022</v>
      </c>
      <c r="X1604">
        <f t="shared" si="75"/>
        <v>7.2598395999999994</v>
      </c>
      <c r="Y1604">
        <f t="shared" si="76"/>
        <v>-1.604E-4</v>
      </c>
      <c r="Z1604">
        <f t="shared" si="77"/>
        <v>67.499839600000001</v>
      </c>
    </row>
    <row r="1605" spans="1:26" x14ac:dyDescent="0.3">
      <c r="A1605" t="s">
        <v>1695</v>
      </c>
      <c r="B1605" t="s">
        <v>67</v>
      </c>
      <c r="C1605" t="s">
        <v>74</v>
      </c>
      <c r="D1605" t="s">
        <v>57</v>
      </c>
      <c r="E1605">
        <v>20</v>
      </c>
      <c r="F1605" s="3">
        <v>7.2</v>
      </c>
      <c r="G1605" s="4">
        <v>72.099999999999994</v>
      </c>
      <c r="H1605">
        <v>3</v>
      </c>
      <c r="I1605">
        <v>3</v>
      </c>
      <c r="J1605">
        <v>4</v>
      </c>
      <c r="K1605" s="4">
        <v>49.8</v>
      </c>
      <c r="L1605" s="4">
        <v>68.8</v>
      </c>
      <c r="M1605" s="4">
        <v>73.099999999999994</v>
      </c>
      <c r="N1605">
        <v>1</v>
      </c>
      <c r="O1605" t="s">
        <v>64</v>
      </c>
      <c r="P1605" t="s">
        <v>65</v>
      </c>
      <c r="S1605" s="3">
        <v>0</v>
      </c>
      <c r="T1605" s="5"/>
      <c r="U1605">
        <v>0</v>
      </c>
      <c r="V1605">
        <v>2023</v>
      </c>
      <c r="X1605">
        <f t="shared" si="75"/>
        <v>7.1998395000000004</v>
      </c>
      <c r="Y1605">
        <f t="shared" si="76"/>
        <v>-1.605E-4</v>
      </c>
      <c r="Z1605">
        <f t="shared" si="77"/>
        <v>68.79983949999999</v>
      </c>
    </row>
    <row r="1606" spans="1:26" x14ac:dyDescent="0.3">
      <c r="A1606" t="s">
        <v>1696</v>
      </c>
      <c r="B1606" t="s">
        <v>63</v>
      </c>
      <c r="C1606" t="s">
        <v>89</v>
      </c>
      <c r="D1606" t="s">
        <v>57</v>
      </c>
      <c r="E1606">
        <v>20</v>
      </c>
      <c r="F1606" s="3">
        <v>6.69</v>
      </c>
      <c r="G1606" s="4">
        <v>87.5</v>
      </c>
      <c r="H1606">
        <v>2</v>
      </c>
      <c r="I1606">
        <v>2</v>
      </c>
      <c r="J1606">
        <v>4</v>
      </c>
      <c r="K1606" s="4">
        <v>65.599999999999994</v>
      </c>
      <c r="L1606" s="4">
        <v>70.5</v>
      </c>
      <c r="M1606" s="4">
        <v>80.7</v>
      </c>
      <c r="N1606">
        <v>0</v>
      </c>
      <c r="O1606" t="s">
        <v>58</v>
      </c>
      <c r="P1606" t="s">
        <v>90</v>
      </c>
      <c r="Q1606" t="s">
        <v>60</v>
      </c>
      <c r="R1606" t="s">
        <v>76</v>
      </c>
      <c r="S1606" s="3">
        <v>7.42</v>
      </c>
      <c r="T1606" s="5">
        <v>45966</v>
      </c>
      <c r="U1606">
        <v>1</v>
      </c>
      <c r="V1606">
        <v>2025</v>
      </c>
      <c r="X1606">
        <f t="shared" si="75"/>
        <v>6.6898394000000003</v>
      </c>
      <c r="Y1606">
        <f t="shared" si="76"/>
        <v>7.4198393999999999</v>
      </c>
      <c r="Z1606">
        <f t="shared" si="77"/>
        <v>70.499839399999999</v>
      </c>
    </row>
    <row r="1607" spans="1:26" x14ac:dyDescent="0.3">
      <c r="A1607" t="s">
        <v>1697</v>
      </c>
      <c r="B1607" t="s">
        <v>107</v>
      </c>
      <c r="C1607" t="s">
        <v>56</v>
      </c>
      <c r="D1607" t="s">
        <v>69</v>
      </c>
      <c r="E1607">
        <v>20</v>
      </c>
      <c r="F1607" s="3">
        <v>7.67</v>
      </c>
      <c r="G1607" s="4">
        <v>57.9</v>
      </c>
      <c r="H1607">
        <v>2</v>
      </c>
      <c r="I1607">
        <v>2</v>
      </c>
      <c r="J1607">
        <v>3</v>
      </c>
      <c r="K1607" s="4">
        <v>59.5</v>
      </c>
      <c r="L1607" s="4">
        <v>86.8</v>
      </c>
      <c r="M1607" s="4">
        <v>81.7</v>
      </c>
      <c r="N1607">
        <v>0</v>
      </c>
      <c r="O1607" t="s">
        <v>58</v>
      </c>
      <c r="P1607" t="s">
        <v>112</v>
      </c>
      <c r="Q1607" t="s">
        <v>93</v>
      </c>
      <c r="R1607" t="s">
        <v>72</v>
      </c>
      <c r="S1607" s="3">
        <v>9.35</v>
      </c>
      <c r="T1607" s="5">
        <v>44495</v>
      </c>
      <c r="U1607">
        <v>2</v>
      </c>
      <c r="V1607">
        <v>2021</v>
      </c>
      <c r="X1607">
        <f t="shared" si="75"/>
        <v>7.6698392999999996</v>
      </c>
      <c r="Y1607">
        <f t="shared" si="76"/>
        <v>9.3498392999999993</v>
      </c>
      <c r="Z1607">
        <f t="shared" si="77"/>
        <v>86.799839300000002</v>
      </c>
    </row>
    <row r="1608" spans="1:26" x14ac:dyDescent="0.3">
      <c r="A1608" t="s">
        <v>1698</v>
      </c>
      <c r="B1608" t="s">
        <v>107</v>
      </c>
      <c r="C1608" t="s">
        <v>56</v>
      </c>
      <c r="D1608" t="s">
        <v>57</v>
      </c>
      <c r="E1608">
        <v>23</v>
      </c>
      <c r="F1608" s="3">
        <v>7.8</v>
      </c>
      <c r="G1608" s="4">
        <v>75.3</v>
      </c>
      <c r="H1608">
        <v>0</v>
      </c>
      <c r="I1608">
        <v>3</v>
      </c>
      <c r="J1608">
        <v>3</v>
      </c>
      <c r="K1608" s="4">
        <v>66</v>
      </c>
      <c r="L1608" s="4">
        <v>72.900000000000006</v>
      </c>
      <c r="M1608" s="4">
        <v>78.3</v>
      </c>
      <c r="N1608">
        <v>2</v>
      </c>
      <c r="O1608" t="s">
        <v>58</v>
      </c>
      <c r="P1608" t="s">
        <v>92</v>
      </c>
      <c r="Q1608" t="s">
        <v>93</v>
      </c>
      <c r="R1608" t="s">
        <v>72</v>
      </c>
      <c r="S1608" s="3">
        <v>9.36</v>
      </c>
      <c r="T1608" s="5">
        <v>44411</v>
      </c>
      <c r="U1608">
        <v>1</v>
      </c>
      <c r="V1608">
        <v>2021</v>
      </c>
      <c r="X1608">
        <f t="shared" si="75"/>
        <v>7.7998392000000001</v>
      </c>
      <c r="Y1608">
        <f t="shared" si="76"/>
        <v>9.3598391999999997</v>
      </c>
      <c r="Z1608">
        <f t="shared" si="77"/>
        <v>72.899839200000002</v>
      </c>
    </row>
    <row r="1609" spans="1:26" x14ac:dyDescent="0.3">
      <c r="A1609" t="s">
        <v>1699</v>
      </c>
      <c r="B1609" t="s">
        <v>55</v>
      </c>
      <c r="C1609" t="s">
        <v>78</v>
      </c>
      <c r="D1609" t="s">
        <v>69</v>
      </c>
      <c r="E1609">
        <v>20</v>
      </c>
      <c r="F1609" s="3">
        <v>8.0399999999999991</v>
      </c>
      <c r="G1609" s="4">
        <v>89.7</v>
      </c>
      <c r="H1609">
        <v>0</v>
      </c>
      <c r="I1609">
        <v>1</v>
      </c>
      <c r="J1609">
        <v>6</v>
      </c>
      <c r="K1609" s="4">
        <v>43.6</v>
      </c>
      <c r="L1609" s="4">
        <v>88.2</v>
      </c>
      <c r="M1609" s="4">
        <v>80.099999999999994</v>
      </c>
      <c r="N1609">
        <v>0</v>
      </c>
      <c r="O1609" t="s">
        <v>58</v>
      </c>
      <c r="P1609" t="s">
        <v>70</v>
      </c>
      <c r="Q1609" t="s">
        <v>71</v>
      </c>
      <c r="R1609" t="s">
        <v>130</v>
      </c>
      <c r="S1609" s="3">
        <v>7.6</v>
      </c>
      <c r="T1609" s="5">
        <v>45557</v>
      </c>
      <c r="U1609">
        <v>1</v>
      </c>
      <c r="V1609">
        <v>2024</v>
      </c>
      <c r="X1609">
        <f t="shared" si="75"/>
        <v>8.0398391</v>
      </c>
      <c r="Y1609">
        <f t="shared" si="76"/>
        <v>7.5998390999999996</v>
      </c>
      <c r="Z1609">
        <f t="shared" si="77"/>
        <v>88.199839100000005</v>
      </c>
    </row>
    <row r="1610" spans="1:26" x14ac:dyDescent="0.3">
      <c r="A1610" t="s">
        <v>1700</v>
      </c>
      <c r="B1610" t="s">
        <v>107</v>
      </c>
      <c r="C1610" t="s">
        <v>56</v>
      </c>
      <c r="D1610" t="s">
        <v>69</v>
      </c>
      <c r="E1610">
        <v>22</v>
      </c>
      <c r="F1610" s="3">
        <v>7.02</v>
      </c>
      <c r="G1610" s="4">
        <v>71.3</v>
      </c>
      <c r="H1610">
        <v>3</v>
      </c>
      <c r="I1610">
        <v>5</v>
      </c>
      <c r="J1610">
        <v>3</v>
      </c>
      <c r="K1610" s="4">
        <v>75.2</v>
      </c>
      <c r="L1610" s="4">
        <v>58.4</v>
      </c>
      <c r="M1610" s="4">
        <v>73.2</v>
      </c>
      <c r="N1610">
        <v>0</v>
      </c>
      <c r="O1610" t="s">
        <v>58</v>
      </c>
      <c r="P1610" t="s">
        <v>87</v>
      </c>
      <c r="Q1610" t="s">
        <v>71</v>
      </c>
      <c r="R1610" t="s">
        <v>72</v>
      </c>
      <c r="S1610" s="3">
        <v>5.76</v>
      </c>
      <c r="T1610" s="5">
        <v>44420</v>
      </c>
      <c r="U1610">
        <v>1</v>
      </c>
      <c r="V1610">
        <v>2021</v>
      </c>
      <c r="X1610">
        <f t="shared" si="75"/>
        <v>7.0198389999999993</v>
      </c>
      <c r="Y1610">
        <f t="shared" si="76"/>
        <v>5.7598389999999995</v>
      </c>
      <c r="Z1610">
        <f t="shared" si="77"/>
        <v>58.399839</v>
      </c>
    </row>
    <row r="1611" spans="1:26" x14ac:dyDescent="0.3">
      <c r="A1611" t="s">
        <v>1701</v>
      </c>
      <c r="B1611" t="s">
        <v>67</v>
      </c>
      <c r="C1611" t="s">
        <v>89</v>
      </c>
      <c r="D1611" t="s">
        <v>69</v>
      </c>
      <c r="E1611">
        <v>22</v>
      </c>
      <c r="F1611" s="3">
        <v>7.98</v>
      </c>
      <c r="G1611" s="4">
        <v>72.099999999999994</v>
      </c>
      <c r="H1611">
        <v>1</v>
      </c>
      <c r="I1611">
        <v>3</v>
      </c>
      <c r="J1611">
        <v>4</v>
      </c>
      <c r="K1611" s="4">
        <v>78.099999999999994</v>
      </c>
      <c r="L1611" s="4">
        <v>64.2</v>
      </c>
      <c r="M1611" s="4">
        <v>70.599999999999994</v>
      </c>
      <c r="N1611">
        <v>0</v>
      </c>
      <c r="O1611" t="s">
        <v>58</v>
      </c>
      <c r="P1611" t="s">
        <v>70</v>
      </c>
      <c r="Q1611" t="s">
        <v>71</v>
      </c>
      <c r="R1611" t="s">
        <v>130</v>
      </c>
      <c r="S1611" s="3">
        <v>6.34</v>
      </c>
      <c r="T1611" s="5">
        <v>45146</v>
      </c>
      <c r="U1611">
        <v>2</v>
      </c>
      <c r="V1611">
        <v>2023</v>
      </c>
      <c r="X1611">
        <f t="shared" si="75"/>
        <v>7.9798389000000007</v>
      </c>
      <c r="Y1611">
        <f t="shared" si="76"/>
        <v>6.3398389000000002</v>
      </c>
      <c r="Z1611">
        <f t="shared" si="77"/>
        <v>64.199838900000003</v>
      </c>
    </row>
    <row r="1612" spans="1:26" x14ac:dyDescent="0.3">
      <c r="A1612" t="s">
        <v>1702</v>
      </c>
      <c r="B1612" t="s">
        <v>67</v>
      </c>
      <c r="C1612" t="s">
        <v>74</v>
      </c>
      <c r="D1612" t="s">
        <v>57</v>
      </c>
      <c r="E1612">
        <v>20</v>
      </c>
      <c r="F1612" s="3">
        <v>6.71</v>
      </c>
      <c r="G1612" s="4">
        <v>77.3</v>
      </c>
      <c r="H1612">
        <v>0</v>
      </c>
      <c r="I1612">
        <v>3</v>
      </c>
      <c r="J1612">
        <v>2</v>
      </c>
      <c r="K1612" s="4">
        <v>51.7</v>
      </c>
      <c r="L1612" s="4">
        <v>63.6</v>
      </c>
      <c r="M1612" s="4">
        <v>47.4</v>
      </c>
      <c r="N1612">
        <v>1</v>
      </c>
      <c r="O1612" t="s">
        <v>64</v>
      </c>
      <c r="P1612" t="s">
        <v>65</v>
      </c>
      <c r="S1612" s="3">
        <v>0</v>
      </c>
      <c r="T1612" s="5"/>
      <c r="U1612">
        <v>0</v>
      </c>
      <c r="V1612">
        <v>2023</v>
      </c>
      <c r="X1612">
        <f t="shared" si="75"/>
        <v>6.7098388</v>
      </c>
      <c r="Y1612">
        <f t="shared" si="76"/>
        <v>-1.6119999999999999E-4</v>
      </c>
      <c r="Z1612">
        <f t="shared" si="77"/>
        <v>63.599838800000001</v>
      </c>
    </row>
    <row r="1613" spans="1:26" x14ac:dyDescent="0.3">
      <c r="A1613" t="s">
        <v>1703</v>
      </c>
      <c r="B1613" t="s">
        <v>107</v>
      </c>
      <c r="C1613" t="s">
        <v>101</v>
      </c>
      <c r="D1613" t="s">
        <v>69</v>
      </c>
      <c r="E1613">
        <v>23</v>
      </c>
      <c r="F1613" s="3">
        <v>7.45</v>
      </c>
      <c r="G1613" s="4">
        <v>83.6</v>
      </c>
      <c r="H1613">
        <v>1</v>
      </c>
      <c r="I1613">
        <v>0</v>
      </c>
      <c r="J1613">
        <v>5</v>
      </c>
      <c r="K1613" s="4">
        <v>46.3</v>
      </c>
      <c r="L1613" s="4">
        <v>69.2</v>
      </c>
      <c r="M1613" s="4">
        <v>69.900000000000006</v>
      </c>
      <c r="N1613">
        <v>0</v>
      </c>
      <c r="O1613" t="s">
        <v>58</v>
      </c>
      <c r="P1613" t="s">
        <v>112</v>
      </c>
      <c r="Q1613" t="s">
        <v>93</v>
      </c>
      <c r="R1613" t="s">
        <v>80</v>
      </c>
      <c r="S1613" s="3">
        <v>7.34</v>
      </c>
      <c r="T1613" s="5">
        <v>44449</v>
      </c>
      <c r="U1613">
        <v>3</v>
      </c>
      <c r="V1613">
        <v>2021</v>
      </c>
      <c r="X1613">
        <f t="shared" si="75"/>
        <v>7.4498386999999999</v>
      </c>
      <c r="Y1613">
        <f t="shared" si="76"/>
        <v>7.3398386999999996</v>
      </c>
      <c r="Z1613">
        <f t="shared" si="77"/>
        <v>69.199838700000001</v>
      </c>
    </row>
    <row r="1614" spans="1:26" x14ac:dyDescent="0.3">
      <c r="A1614" t="s">
        <v>1704</v>
      </c>
      <c r="B1614" t="s">
        <v>107</v>
      </c>
      <c r="C1614" t="s">
        <v>84</v>
      </c>
      <c r="D1614" t="s">
        <v>69</v>
      </c>
      <c r="E1614">
        <v>21</v>
      </c>
      <c r="F1614" s="3">
        <v>7.92</v>
      </c>
      <c r="G1614" s="4">
        <v>72</v>
      </c>
      <c r="H1614">
        <v>3</v>
      </c>
      <c r="I1614">
        <v>2</v>
      </c>
      <c r="J1614">
        <v>3</v>
      </c>
      <c r="K1614" s="4">
        <v>52.6</v>
      </c>
      <c r="L1614" s="4">
        <v>49.7</v>
      </c>
      <c r="M1614" s="4">
        <v>65.3</v>
      </c>
      <c r="N1614">
        <v>1</v>
      </c>
      <c r="O1614" t="s">
        <v>58</v>
      </c>
      <c r="P1614" t="s">
        <v>79</v>
      </c>
      <c r="Q1614" t="s">
        <v>71</v>
      </c>
      <c r="R1614" t="s">
        <v>109</v>
      </c>
      <c r="S1614" s="3">
        <v>6</v>
      </c>
      <c r="T1614" s="5">
        <v>44519</v>
      </c>
      <c r="U1614">
        <v>1</v>
      </c>
      <c r="V1614">
        <v>2021</v>
      </c>
      <c r="X1614">
        <f t="shared" si="75"/>
        <v>7.9198386000000003</v>
      </c>
      <c r="Y1614">
        <f t="shared" si="76"/>
        <v>5.9998386000000004</v>
      </c>
      <c r="Z1614">
        <f t="shared" si="77"/>
        <v>49.6998386</v>
      </c>
    </row>
    <row r="1615" spans="1:26" x14ac:dyDescent="0.3">
      <c r="A1615" t="s">
        <v>1705</v>
      </c>
      <c r="B1615" t="s">
        <v>55</v>
      </c>
      <c r="C1615" t="s">
        <v>84</v>
      </c>
      <c r="D1615" t="s">
        <v>57</v>
      </c>
      <c r="E1615">
        <v>23</v>
      </c>
      <c r="F1615" s="3">
        <v>7.42</v>
      </c>
      <c r="G1615" s="4">
        <v>81.7</v>
      </c>
      <c r="H1615">
        <v>1</v>
      </c>
      <c r="I1615">
        <v>3</v>
      </c>
      <c r="J1615">
        <v>4</v>
      </c>
      <c r="K1615" s="4">
        <v>75.8</v>
      </c>
      <c r="L1615" s="4">
        <v>98.8</v>
      </c>
      <c r="M1615" s="4">
        <v>75.2</v>
      </c>
      <c r="N1615">
        <v>0</v>
      </c>
      <c r="O1615" t="s">
        <v>58</v>
      </c>
      <c r="P1615" t="s">
        <v>104</v>
      </c>
      <c r="Q1615" t="s">
        <v>105</v>
      </c>
      <c r="R1615" t="s">
        <v>85</v>
      </c>
      <c r="S1615" s="3">
        <v>16.98</v>
      </c>
      <c r="T1615" s="5">
        <v>45515</v>
      </c>
      <c r="U1615">
        <v>2</v>
      </c>
      <c r="V1615">
        <v>2024</v>
      </c>
      <c r="X1615">
        <f t="shared" si="75"/>
        <v>7.4198385</v>
      </c>
      <c r="Y1615">
        <f t="shared" si="76"/>
        <v>16.9798385</v>
      </c>
      <c r="Z1615">
        <f t="shared" si="77"/>
        <v>98.799838499999993</v>
      </c>
    </row>
    <row r="1616" spans="1:26" x14ac:dyDescent="0.3">
      <c r="A1616" t="s">
        <v>1706</v>
      </c>
      <c r="B1616" t="s">
        <v>107</v>
      </c>
      <c r="C1616" t="s">
        <v>74</v>
      </c>
      <c r="D1616" t="s">
        <v>57</v>
      </c>
      <c r="E1616">
        <v>23</v>
      </c>
      <c r="F1616" s="3">
        <v>6.24</v>
      </c>
      <c r="G1616" s="4">
        <v>78.099999999999994</v>
      </c>
      <c r="H1616">
        <v>3</v>
      </c>
      <c r="I1616">
        <v>3</v>
      </c>
      <c r="J1616">
        <v>4</v>
      </c>
      <c r="K1616" s="4">
        <v>64.400000000000006</v>
      </c>
      <c r="L1616" s="4">
        <v>71.400000000000006</v>
      </c>
      <c r="M1616" s="4">
        <v>65.900000000000006</v>
      </c>
      <c r="N1616">
        <v>0</v>
      </c>
      <c r="O1616" t="s">
        <v>58</v>
      </c>
      <c r="P1616" t="s">
        <v>59</v>
      </c>
      <c r="Q1616" t="s">
        <v>60</v>
      </c>
      <c r="R1616" t="s">
        <v>72</v>
      </c>
      <c r="S1616" s="3">
        <v>19.72</v>
      </c>
      <c r="T1616" s="5">
        <v>44434</v>
      </c>
      <c r="U1616">
        <v>1</v>
      </c>
      <c r="V1616">
        <v>2021</v>
      </c>
      <c r="X1616">
        <f t="shared" si="75"/>
        <v>6.2398384</v>
      </c>
      <c r="Y1616">
        <f t="shared" si="76"/>
        <v>19.7198384</v>
      </c>
      <c r="Z1616">
        <f t="shared" si="77"/>
        <v>71.399838400000007</v>
      </c>
    </row>
    <row r="1617" spans="1:26" x14ac:dyDescent="0.3">
      <c r="A1617" t="s">
        <v>1707</v>
      </c>
      <c r="B1617" t="s">
        <v>55</v>
      </c>
      <c r="C1617" t="s">
        <v>56</v>
      </c>
      <c r="D1617" t="s">
        <v>57</v>
      </c>
      <c r="E1617">
        <v>21</v>
      </c>
      <c r="F1617" s="3">
        <v>6.35</v>
      </c>
      <c r="G1617" s="4">
        <v>92.4</v>
      </c>
      <c r="H1617">
        <v>1</v>
      </c>
      <c r="I1617">
        <v>4</v>
      </c>
      <c r="J1617">
        <v>2</v>
      </c>
      <c r="K1617" s="4">
        <v>62.5</v>
      </c>
      <c r="L1617" s="4">
        <v>52.8</v>
      </c>
      <c r="M1617" s="4">
        <v>75.599999999999994</v>
      </c>
      <c r="N1617">
        <v>0</v>
      </c>
      <c r="O1617" t="s">
        <v>64</v>
      </c>
      <c r="P1617" t="s">
        <v>65</v>
      </c>
      <c r="S1617" s="3">
        <v>0</v>
      </c>
      <c r="T1617" s="5"/>
      <c r="U1617">
        <v>0</v>
      </c>
      <c r="V1617">
        <v>2024</v>
      </c>
      <c r="X1617">
        <f t="shared" si="75"/>
        <v>6.3498383</v>
      </c>
      <c r="Y1617">
        <f t="shared" si="76"/>
        <v>-1.617E-4</v>
      </c>
      <c r="Z1617">
        <f t="shared" si="77"/>
        <v>52.799838299999998</v>
      </c>
    </row>
    <row r="1618" spans="1:26" x14ac:dyDescent="0.3">
      <c r="A1618" t="s">
        <v>1708</v>
      </c>
      <c r="B1618" t="s">
        <v>55</v>
      </c>
      <c r="C1618" t="s">
        <v>68</v>
      </c>
      <c r="D1618" t="s">
        <v>57</v>
      </c>
      <c r="E1618">
        <v>21</v>
      </c>
      <c r="F1618" s="3">
        <v>7.85</v>
      </c>
      <c r="G1618" s="4">
        <v>77.599999999999994</v>
      </c>
      <c r="H1618">
        <v>1</v>
      </c>
      <c r="I1618">
        <v>4</v>
      </c>
      <c r="J1618">
        <v>1</v>
      </c>
      <c r="K1618" s="4">
        <v>63.3</v>
      </c>
      <c r="L1618" s="4">
        <v>53.7</v>
      </c>
      <c r="M1618" s="4">
        <v>51.6</v>
      </c>
      <c r="N1618">
        <v>0</v>
      </c>
      <c r="O1618" t="s">
        <v>58</v>
      </c>
      <c r="P1618" t="s">
        <v>79</v>
      </c>
      <c r="Q1618" t="s">
        <v>71</v>
      </c>
      <c r="R1618" t="s">
        <v>72</v>
      </c>
      <c r="S1618" s="3">
        <v>4.42</v>
      </c>
      <c r="T1618" s="5">
        <v>45542</v>
      </c>
      <c r="U1618">
        <v>1</v>
      </c>
      <c r="V1618">
        <v>2024</v>
      </c>
      <c r="X1618">
        <f t="shared" si="75"/>
        <v>7.8498381999999998</v>
      </c>
      <c r="Y1618">
        <f t="shared" si="76"/>
        <v>4.4198382000000001</v>
      </c>
      <c r="Z1618">
        <f t="shared" si="77"/>
        <v>53.699838200000002</v>
      </c>
    </row>
    <row r="1619" spans="1:26" x14ac:dyDescent="0.3">
      <c r="A1619" t="s">
        <v>1709</v>
      </c>
      <c r="B1619" t="s">
        <v>107</v>
      </c>
      <c r="C1619" t="s">
        <v>56</v>
      </c>
      <c r="D1619" t="s">
        <v>57</v>
      </c>
      <c r="E1619">
        <v>21</v>
      </c>
      <c r="F1619" s="3">
        <v>8.17</v>
      </c>
      <c r="G1619" s="4">
        <v>82.3</v>
      </c>
      <c r="H1619">
        <v>1</v>
      </c>
      <c r="I1619">
        <v>2</v>
      </c>
      <c r="J1619">
        <v>6</v>
      </c>
      <c r="K1619" s="4">
        <v>56</v>
      </c>
      <c r="L1619" s="4">
        <v>71.2</v>
      </c>
      <c r="M1619" s="4">
        <v>62.4</v>
      </c>
      <c r="N1619">
        <v>0</v>
      </c>
      <c r="O1619" t="s">
        <v>58</v>
      </c>
      <c r="P1619" t="s">
        <v>112</v>
      </c>
      <c r="Q1619" t="s">
        <v>93</v>
      </c>
      <c r="R1619" t="s">
        <v>61</v>
      </c>
      <c r="S1619" s="3">
        <v>7.97</v>
      </c>
      <c r="T1619" s="5">
        <v>44413</v>
      </c>
      <c r="U1619">
        <v>2</v>
      </c>
      <c r="V1619">
        <v>2021</v>
      </c>
      <c r="X1619">
        <f t="shared" si="75"/>
        <v>8.1698380999999998</v>
      </c>
      <c r="Y1619">
        <f t="shared" si="76"/>
        <v>7.9698380999999996</v>
      </c>
      <c r="Z1619">
        <f t="shared" si="77"/>
        <v>71.199838100000008</v>
      </c>
    </row>
    <row r="1620" spans="1:26" x14ac:dyDescent="0.3">
      <c r="A1620" t="s">
        <v>1710</v>
      </c>
      <c r="B1620" t="s">
        <v>82</v>
      </c>
      <c r="C1620" t="s">
        <v>56</v>
      </c>
      <c r="D1620" t="s">
        <v>69</v>
      </c>
      <c r="E1620">
        <v>22</v>
      </c>
      <c r="F1620" s="3">
        <v>7.96</v>
      </c>
      <c r="G1620" s="4">
        <v>83.5</v>
      </c>
      <c r="H1620">
        <v>2</v>
      </c>
      <c r="I1620">
        <v>4</v>
      </c>
      <c r="J1620">
        <v>2</v>
      </c>
      <c r="K1620" s="4">
        <v>70</v>
      </c>
      <c r="L1620" s="4">
        <v>78.900000000000006</v>
      </c>
      <c r="M1620" s="4">
        <v>65.400000000000006</v>
      </c>
      <c r="N1620">
        <v>0</v>
      </c>
      <c r="O1620" t="s">
        <v>58</v>
      </c>
      <c r="P1620" t="s">
        <v>75</v>
      </c>
      <c r="Q1620" t="s">
        <v>71</v>
      </c>
      <c r="R1620" t="s">
        <v>109</v>
      </c>
      <c r="S1620" s="3">
        <v>6.73</v>
      </c>
      <c r="T1620" s="5">
        <v>44805</v>
      </c>
      <c r="U1620">
        <v>1</v>
      </c>
      <c r="V1620">
        <v>2022</v>
      </c>
      <c r="X1620">
        <f t="shared" si="75"/>
        <v>7.9598379999999995</v>
      </c>
      <c r="Y1620">
        <f t="shared" si="76"/>
        <v>6.729838</v>
      </c>
      <c r="Z1620">
        <f t="shared" si="77"/>
        <v>78.899838000000003</v>
      </c>
    </row>
    <row r="1621" spans="1:26" x14ac:dyDescent="0.3">
      <c r="A1621" t="s">
        <v>1711</v>
      </c>
      <c r="B1621" t="s">
        <v>82</v>
      </c>
      <c r="C1621" t="s">
        <v>68</v>
      </c>
      <c r="D1621" t="s">
        <v>57</v>
      </c>
      <c r="E1621">
        <v>21</v>
      </c>
      <c r="F1621" s="3">
        <v>8.19</v>
      </c>
      <c r="G1621" s="4">
        <v>78.2</v>
      </c>
      <c r="H1621">
        <v>1</v>
      </c>
      <c r="I1621">
        <v>0</v>
      </c>
      <c r="J1621">
        <v>4</v>
      </c>
      <c r="K1621" s="4">
        <v>86.6</v>
      </c>
      <c r="L1621" s="4">
        <v>84.1</v>
      </c>
      <c r="M1621" s="4">
        <v>61.4</v>
      </c>
      <c r="N1621">
        <v>0</v>
      </c>
      <c r="O1621" t="s">
        <v>58</v>
      </c>
      <c r="P1621" t="s">
        <v>70</v>
      </c>
      <c r="Q1621" t="s">
        <v>71</v>
      </c>
      <c r="R1621" t="s">
        <v>61</v>
      </c>
      <c r="S1621" s="3">
        <v>5.98</v>
      </c>
      <c r="T1621" s="5">
        <v>44842</v>
      </c>
      <c r="U1621">
        <v>2</v>
      </c>
      <c r="V1621">
        <v>2022</v>
      </c>
      <c r="X1621">
        <f t="shared" si="75"/>
        <v>8.1898378999999988</v>
      </c>
      <c r="Y1621">
        <f t="shared" si="76"/>
        <v>5.9798379000000006</v>
      </c>
      <c r="Z1621">
        <f t="shared" si="77"/>
        <v>84.099837899999997</v>
      </c>
    </row>
    <row r="1622" spans="1:26" x14ac:dyDescent="0.3">
      <c r="A1622" t="s">
        <v>1712</v>
      </c>
      <c r="B1622" t="s">
        <v>55</v>
      </c>
      <c r="C1622" t="s">
        <v>68</v>
      </c>
      <c r="D1622" t="s">
        <v>57</v>
      </c>
      <c r="E1622">
        <v>21</v>
      </c>
      <c r="F1622" s="3">
        <v>7.4</v>
      </c>
      <c r="G1622" s="4">
        <v>88.9</v>
      </c>
      <c r="H1622">
        <v>1</v>
      </c>
      <c r="I1622">
        <v>1</v>
      </c>
      <c r="J1622">
        <v>4</v>
      </c>
      <c r="K1622" s="4">
        <v>52.8</v>
      </c>
      <c r="L1622" s="4">
        <v>70.7</v>
      </c>
      <c r="M1622" s="4">
        <v>100</v>
      </c>
      <c r="N1622">
        <v>0</v>
      </c>
      <c r="O1622" t="s">
        <v>58</v>
      </c>
      <c r="P1622" t="s">
        <v>70</v>
      </c>
      <c r="Q1622" t="s">
        <v>71</v>
      </c>
      <c r="R1622" t="s">
        <v>72</v>
      </c>
      <c r="S1622" s="3">
        <v>5.24</v>
      </c>
      <c r="T1622" s="5">
        <v>45616</v>
      </c>
      <c r="U1622">
        <v>2</v>
      </c>
      <c r="V1622">
        <v>2024</v>
      </c>
      <c r="X1622">
        <f t="shared" si="75"/>
        <v>7.3998378000000002</v>
      </c>
      <c r="Y1622">
        <f t="shared" si="76"/>
        <v>5.2398378000000001</v>
      </c>
      <c r="Z1622">
        <f t="shared" si="77"/>
        <v>70.699837799999997</v>
      </c>
    </row>
    <row r="1623" spans="1:26" x14ac:dyDescent="0.3">
      <c r="A1623" t="s">
        <v>1713</v>
      </c>
      <c r="B1623" t="s">
        <v>107</v>
      </c>
      <c r="C1623" t="s">
        <v>84</v>
      </c>
      <c r="D1623" t="s">
        <v>57</v>
      </c>
      <c r="E1623">
        <v>23</v>
      </c>
      <c r="F1623" s="3">
        <v>8.31</v>
      </c>
      <c r="G1623" s="4">
        <v>90.8</v>
      </c>
      <c r="H1623">
        <v>1</v>
      </c>
      <c r="I1623">
        <v>0</v>
      </c>
      <c r="J1623">
        <v>3</v>
      </c>
      <c r="K1623" s="4">
        <v>74.099999999999994</v>
      </c>
      <c r="L1623" s="4">
        <v>79.099999999999994</v>
      </c>
      <c r="M1623" s="4">
        <v>49.6</v>
      </c>
      <c r="N1623">
        <v>0</v>
      </c>
      <c r="O1623" t="s">
        <v>58</v>
      </c>
      <c r="P1623" t="s">
        <v>79</v>
      </c>
      <c r="Q1623" t="s">
        <v>71</v>
      </c>
      <c r="R1623" t="s">
        <v>85</v>
      </c>
      <c r="S1623" s="3">
        <v>7.35</v>
      </c>
      <c r="T1623" s="5">
        <v>44423</v>
      </c>
      <c r="U1623">
        <v>1</v>
      </c>
      <c r="V1623">
        <v>2021</v>
      </c>
      <c r="X1623">
        <f t="shared" si="75"/>
        <v>8.309837700000001</v>
      </c>
      <c r="Y1623">
        <f t="shared" si="76"/>
        <v>7.3498376999999993</v>
      </c>
      <c r="Z1623">
        <f t="shared" si="77"/>
        <v>79.099837699999995</v>
      </c>
    </row>
    <row r="1624" spans="1:26" x14ac:dyDescent="0.3">
      <c r="A1624" t="s">
        <v>1714</v>
      </c>
      <c r="B1624" t="s">
        <v>82</v>
      </c>
      <c r="C1624" t="s">
        <v>56</v>
      </c>
      <c r="D1624" t="s">
        <v>57</v>
      </c>
      <c r="E1624">
        <v>23</v>
      </c>
      <c r="F1624" s="3">
        <v>7.95</v>
      </c>
      <c r="G1624" s="4">
        <v>77.599999999999994</v>
      </c>
      <c r="H1624">
        <v>1</v>
      </c>
      <c r="I1624">
        <v>4</v>
      </c>
      <c r="J1624">
        <v>2</v>
      </c>
      <c r="K1624" s="4">
        <v>64.599999999999994</v>
      </c>
      <c r="L1624" s="4">
        <v>75.099999999999994</v>
      </c>
      <c r="M1624" s="4">
        <v>82.1</v>
      </c>
      <c r="N1624">
        <v>0</v>
      </c>
      <c r="O1624" t="s">
        <v>58</v>
      </c>
      <c r="P1624" t="s">
        <v>92</v>
      </c>
      <c r="Q1624" t="s">
        <v>93</v>
      </c>
      <c r="R1624" t="s">
        <v>80</v>
      </c>
      <c r="S1624" s="3">
        <v>9.0299999999999994</v>
      </c>
      <c r="T1624" s="5">
        <v>44834</v>
      </c>
      <c r="U1624">
        <v>3</v>
      </c>
      <c r="V1624">
        <v>2022</v>
      </c>
      <c r="X1624">
        <f t="shared" si="75"/>
        <v>7.9498376000000004</v>
      </c>
      <c r="Y1624">
        <f t="shared" si="76"/>
        <v>9.0298375999999987</v>
      </c>
      <c r="Z1624">
        <f t="shared" si="77"/>
        <v>75.099837600000001</v>
      </c>
    </row>
    <row r="1625" spans="1:26" x14ac:dyDescent="0.3">
      <c r="A1625" t="s">
        <v>1715</v>
      </c>
      <c r="B1625" t="s">
        <v>107</v>
      </c>
      <c r="C1625" t="s">
        <v>74</v>
      </c>
      <c r="D1625" t="s">
        <v>69</v>
      </c>
      <c r="E1625">
        <v>20</v>
      </c>
      <c r="F1625" s="3">
        <v>7.07</v>
      </c>
      <c r="G1625" s="4">
        <v>84.6</v>
      </c>
      <c r="H1625">
        <v>2</v>
      </c>
      <c r="I1625">
        <v>4</v>
      </c>
      <c r="J1625">
        <v>2</v>
      </c>
      <c r="K1625" s="4">
        <v>64.5</v>
      </c>
      <c r="L1625" s="4">
        <v>68.400000000000006</v>
      </c>
      <c r="M1625" s="4">
        <v>86</v>
      </c>
      <c r="N1625">
        <v>2</v>
      </c>
      <c r="O1625" t="s">
        <v>58</v>
      </c>
      <c r="P1625" t="s">
        <v>79</v>
      </c>
      <c r="Q1625" t="s">
        <v>71</v>
      </c>
      <c r="R1625" t="s">
        <v>80</v>
      </c>
      <c r="S1625" s="3">
        <v>6.17</v>
      </c>
      <c r="T1625" s="5">
        <v>44515</v>
      </c>
      <c r="U1625">
        <v>2</v>
      </c>
      <c r="V1625">
        <v>2021</v>
      </c>
      <c r="X1625">
        <f t="shared" si="75"/>
        <v>7.0698375000000002</v>
      </c>
      <c r="Y1625">
        <f t="shared" si="76"/>
        <v>6.1698374999999999</v>
      </c>
      <c r="Z1625">
        <f t="shared" si="77"/>
        <v>68.399837500000004</v>
      </c>
    </row>
    <row r="1626" spans="1:26" x14ac:dyDescent="0.3">
      <c r="A1626" t="s">
        <v>1716</v>
      </c>
      <c r="B1626" t="s">
        <v>107</v>
      </c>
      <c r="C1626" t="s">
        <v>56</v>
      </c>
      <c r="D1626" t="s">
        <v>57</v>
      </c>
      <c r="E1626">
        <v>23</v>
      </c>
      <c r="F1626" s="3">
        <v>8.11</v>
      </c>
      <c r="G1626" s="4">
        <v>73.7</v>
      </c>
      <c r="H1626">
        <v>1</v>
      </c>
      <c r="I1626">
        <v>1</v>
      </c>
      <c r="J1626">
        <v>4</v>
      </c>
      <c r="K1626" s="4">
        <v>84.7</v>
      </c>
      <c r="L1626" s="4">
        <v>64.900000000000006</v>
      </c>
      <c r="M1626" s="4">
        <v>68.7</v>
      </c>
      <c r="N1626">
        <v>1</v>
      </c>
      <c r="O1626" t="s">
        <v>64</v>
      </c>
      <c r="P1626" t="s">
        <v>65</v>
      </c>
      <c r="S1626" s="3">
        <v>0</v>
      </c>
      <c r="T1626" s="5"/>
      <c r="U1626">
        <v>0</v>
      </c>
      <c r="V1626">
        <v>2021</v>
      </c>
      <c r="X1626">
        <f t="shared" si="75"/>
        <v>8.1098374</v>
      </c>
      <c r="Y1626">
        <f t="shared" si="76"/>
        <v>-1.6259999999999999E-4</v>
      </c>
      <c r="Z1626">
        <f t="shared" si="77"/>
        <v>64.89983740000001</v>
      </c>
    </row>
    <row r="1627" spans="1:26" x14ac:dyDescent="0.3">
      <c r="A1627" t="s">
        <v>1717</v>
      </c>
      <c r="B1627" t="s">
        <v>107</v>
      </c>
      <c r="C1627" t="s">
        <v>84</v>
      </c>
      <c r="D1627" t="s">
        <v>69</v>
      </c>
      <c r="E1627">
        <v>21</v>
      </c>
      <c r="F1627" s="3">
        <v>7.92</v>
      </c>
      <c r="G1627" s="4">
        <v>87.1</v>
      </c>
      <c r="H1627">
        <v>0</v>
      </c>
      <c r="I1627">
        <v>1</v>
      </c>
      <c r="J1627">
        <v>4</v>
      </c>
      <c r="K1627" s="4">
        <v>79.2</v>
      </c>
      <c r="L1627" s="4">
        <v>70.400000000000006</v>
      </c>
      <c r="M1627" s="4">
        <v>78</v>
      </c>
      <c r="N1627">
        <v>0</v>
      </c>
      <c r="O1627" t="s">
        <v>58</v>
      </c>
      <c r="P1627" t="s">
        <v>70</v>
      </c>
      <c r="Q1627" t="s">
        <v>71</v>
      </c>
      <c r="R1627" t="s">
        <v>76</v>
      </c>
      <c r="S1627" s="3">
        <v>4.72</v>
      </c>
      <c r="T1627" s="5">
        <v>44495</v>
      </c>
      <c r="U1627">
        <v>1</v>
      </c>
      <c r="V1627">
        <v>2021</v>
      </c>
      <c r="X1627">
        <f t="shared" si="75"/>
        <v>7.9198373000000002</v>
      </c>
      <c r="Y1627">
        <f t="shared" si="76"/>
        <v>4.7198373</v>
      </c>
      <c r="Z1627">
        <f t="shared" si="77"/>
        <v>70.399837300000002</v>
      </c>
    </row>
    <row r="1628" spans="1:26" x14ac:dyDescent="0.3">
      <c r="A1628" t="s">
        <v>1718</v>
      </c>
      <c r="B1628" t="s">
        <v>63</v>
      </c>
      <c r="C1628" t="s">
        <v>78</v>
      </c>
      <c r="D1628" t="s">
        <v>57</v>
      </c>
      <c r="E1628">
        <v>22</v>
      </c>
      <c r="F1628" s="3">
        <v>9.16</v>
      </c>
      <c r="G1628" s="4">
        <v>84.1</v>
      </c>
      <c r="H1628">
        <v>0</v>
      </c>
      <c r="I1628">
        <v>5</v>
      </c>
      <c r="J1628">
        <v>5</v>
      </c>
      <c r="K1628" s="4">
        <v>65.5</v>
      </c>
      <c r="L1628" s="4">
        <v>68.3</v>
      </c>
      <c r="M1628" s="4">
        <v>81.3</v>
      </c>
      <c r="N1628">
        <v>2</v>
      </c>
      <c r="O1628" t="s">
        <v>58</v>
      </c>
      <c r="P1628" t="s">
        <v>90</v>
      </c>
      <c r="Q1628" t="s">
        <v>60</v>
      </c>
      <c r="R1628" t="s">
        <v>76</v>
      </c>
      <c r="S1628" s="3">
        <v>9.27</v>
      </c>
      <c r="T1628" s="5">
        <v>45982</v>
      </c>
      <c r="U1628">
        <v>2</v>
      </c>
      <c r="V1628">
        <v>2025</v>
      </c>
      <c r="X1628">
        <f t="shared" si="75"/>
        <v>9.1598372000000001</v>
      </c>
      <c r="Y1628">
        <f t="shared" si="76"/>
        <v>9.2698371999999996</v>
      </c>
      <c r="Z1628">
        <f t="shared" si="77"/>
        <v>68.299837199999999</v>
      </c>
    </row>
    <row r="1629" spans="1:26" x14ac:dyDescent="0.3">
      <c r="A1629" t="s">
        <v>1719</v>
      </c>
      <c r="B1629" t="s">
        <v>107</v>
      </c>
      <c r="C1629" t="s">
        <v>101</v>
      </c>
      <c r="D1629" t="s">
        <v>57</v>
      </c>
      <c r="E1629">
        <v>23</v>
      </c>
      <c r="F1629" s="3">
        <v>8.89</v>
      </c>
      <c r="G1629" s="4">
        <v>78.7</v>
      </c>
      <c r="H1629">
        <v>1</v>
      </c>
      <c r="I1629">
        <v>2</v>
      </c>
      <c r="J1629">
        <v>4</v>
      </c>
      <c r="K1629" s="4">
        <v>78.400000000000006</v>
      </c>
      <c r="L1629" s="4">
        <v>69.900000000000006</v>
      </c>
      <c r="M1629" s="4">
        <v>75.599999999999994</v>
      </c>
      <c r="N1629">
        <v>2</v>
      </c>
      <c r="O1629" t="s">
        <v>58</v>
      </c>
      <c r="P1629" t="s">
        <v>70</v>
      </c>
      <c r="Q1629" t="s">
        <v>71</v>
      </c>
      <c r="R1629" t="s">
        <v>72</v>
      </c>
      <c r="S1629" s="3">
        <v>7.13</v>
      </c>
      <c r="T1629" s="5">
        <v>44436</v>
      </c>
      <c r="U1629">
        <v>1</v>
      </c>
      <c r="V1629">
        <v>2021</v>
      </c>
      <c r="X1629">
        <f t="shared" si="75"/>
        <v>8.8898371000000012</v>
      </c>
      <c r="Y1629">
        <f t="shared" si="76"/>
        <v>7.1298370999999996</v>
      </c>
      <c r="Z1629">
        <f t="shared" si="77"/>
        <v>69.899837099999999</v>
      </c>
    </row>
    <row r="1630" spans="1:26" x14ac:dyDescent="0.3">
      <c r="A1630" t="s">
        <v>1720</v>
      </c>
      <c r="B1630" t="s">
        <v>63</v>
      </c>
      <c r="C1630" t="s">
        <v>84</v>
      </c>
      <c r="D1630" t="s">
        <v>69</v>
      </c>
      <c r="E1630">
        <v>23</v>
      </c>
      <c r="F1630" s="3">
        <v>7.57</v>
      </c>
      <c r="G1630" s="4">
        <v>85</v>
      </c>
      <c r="H1630">
        <v>3</v>
      </c>
      <c r="I1630">
        <v>2</v>
      </c>
      <c r="J1630">
        <v>5</v>
      </c>
      <c r="K1630" s="4">
        <v>41.3</v>
      </c>
      <c r="L1630" s="4">
        <v>76.7</v>
      </c>
      <c r="M1630" s="4">
        <v>52.8</v>
      </c>
      <c r="N1630">
        <v>0</v>
      </c>
      <c r="O1630" t="s">
        <v>58</v>
      </c>
      <c r="P1630" t="s">
        <v>104</v>
      </c>
      <c r="Q1630" t="s">
        <v>105</v>
      </c>
      <c r="R1630" t="s">
        <v>76</v>
      </c>
      <c r="S1630" s="3">
        <v>18.03</v>
      </c>
      <c r="T1630" s="5">
        <v>45888</v>
      </c>
      <c r="U1630">
        <v>3</v>
      </c>
      <c r="V1630">
        <v>2025</v>
      </c>
      <c r="X1630">
        <f t="shared" si="75"/>
        <v>7.5698370000000006</v>
      </c>
      <c r="Y1630">
        <f t="shared" si="76"/>
        <v>18.029837000000001</v>
      </c>
      <c r="Z1630">
        <f t="shared" si="77"/>
        <v>76.699837000000002</v>
      </c>
    </row>
    <row r="1631" spans="1:26" x14ac:dyDescent="0.3">
      <c r="A1631" t="s">
        <v>1721</v>
      </c>
      <c r="B1631" t="s">
        <v>55</v>
      </c>
      <c r="C1631" t="s">
        <v>68</v>
      </c>
      <c r="D1631" t="s">
        <v>57</v>
      </c>
      <c r="E1631">
        <v>21</v>
      </c>
      <c r="F1631" s="3">
        <v>7.27</v>
      </c>
      <c r="G1631" s="4">
        <v>87.3</v>
      </c>
      <c r="H1631">
        <v>1</v>
      </c>
      <c r="I1631">
        <v>2</v>
      </c>
      <c r="J1631">
        <v>1</v>
      </c>
      <c r="K1631" s="4">
        <v>34.6</v>
      </c>
      <c r="L1631" s="4">
        <v>94.3</v>
      </c>
      <c r="M1631" s="4">
        <v>78.900000000000006</v>
      </c>
      <c r="N1631">
        <v>0</v>
      </c>
      <c r="O1631" t="s">
        <v>64</v>
      </c>
      <c r="P1631" t="s">
        <v>65</v>
      </c>
      <c r="S1631" s="3">
        <v>0</v>
      </c>
      <c r="T1631" s="5"/>
      <c r="U1631">
        <v>0</v>
      </c>
      <c r="V1631">
        <v>2024</v>
      </c>
      <c r="X1631">
        <f t="shared" si="75"/>
        <v>7.2698368999999996</v>
      </c>
      <c r="Y1631">
        <f t="shared" si="76"/>
        <v>-1.6309999999999998E-4</v>
      </c>
      <c r="Z1631">
        <f t="shared" si="77"/>
        <v>94.299836900000003</v>
      </c>
    </row>
    <row r="1632" spans="1:26" x14ac:dyDescent="0.3">
      <c r="A1632" t="s">
        <v>1722</v>
      </c>
      <c r="B1632" t="s">
        <v>82</v>
      </c>
      <c r="C1632" t="s">
        <v>68</v>
      </c>
      <c r="D1632" t="s">
        <v>57</v>
      </c>
      <c r="E1632">
        <v>23</v>
      </c>
      <c r="F1632" s="3">
        <v>9.0500000000000007</v>
      </c>
      <c r="G1632" s="4">
        <v>93.1</v>
      </c>
      <c r="H1632">
        <v>0</v>
      </c>
      <c r="I1632">
        <v>3</v>
      </c>
      <c r="J1632">
        <v>4</v>
      </c>
      <c r="K1632" s="4">
        <v>55.5</v>
      </c>
      <c r="L1632" s="4">
        <v>54.9</v>
      </c>
      <c r="M1632" s="4">
        <v>85.7</v>
      </c>
      <c r="N1632">
        <v>0</v>
      </c>
      <c r="O1632" t="s">
        <v>58</v>
      </c>
      <c r="P1632" t="s">
        <v>59</v>
      </c>
      <c r="Q1632" t="s">
        <v>60</v>
      </c>
      <c r="R1632" t="s">
        <v>72</v>
      </c>
      <c r="S1632" s="3">
        <v>19.53</v>
      </c>
      <c r="T1632" s="5">
        <v>44854</v>
      </c>
      <c r="U1632">
        <v>1</v>
      </c>
      <c r="V1632">
        <v>2022</v>
      </c>
      <c r="X1632">
        <f t="shared" si="75"/>
        <v>9.0498368000000013</v>
      </c>
      <c r="Y1632">
        <f t="shared" si="76"/>
        <v>19.529836800000002</v>
      </c>
      <c r="Z1632">
        <f t="shared" si="77"/>
        <v>54.899836799999996</v>
      </c>
    </row>
    <row r="1633" spans="1:26" x14ac:dyDescent="0.3">
      <c r="A1633" t="s">
        <v>1723</v>
      </c>
      <c r="B1633" t="s">
        <v>82</v>
      </c>
      <c r="C1633" t="s">
        <v>74</v>
      </c>
      <c r="D1633" t="s">
        <v>69</v>
      </c>
      <c r="E1633">
        <v>23</v>
      </c>
      <c r="F1633" s="3">
        <v>8.15</v>
      </c>
      <c r="G1633" s="4">
        <v>85.6</v>
      </c>
      <c r="H1633">
        <v>1</v>
      </c>
      <c r="I1633">
        <v>4</v>
      </c>
      <c r="J1633">
        <v>3</v>
      </c>
      <c r="K1633" s="4">
        <v>51.3</v>
      </c>
      <c r="L1633" s="4">
        <v>71.400000000000006</v>
      </c>
      <c r="M1633" s="4">
        <v>98.8</v>
      </c>
      <c r="N1633">
        <v>2</v>
      </c>
      <c r="O1633" t="s">
        <v>64</v>
      </c>
      <c r="P1633" t="s">
        <v>65</v>
      </c>
      <c r="S1633" s="3">
        <v>0</v>
      </c>
      <c r="T1633" s="5"/>
      <c r="U1633">
        <v>0</v>
      </c>
      <c r="V1633">
        <v>2022</v>
      </c>
      <c r="X1633">
        <f t="shared" si="75"/>
        <v>8.1498366999999998</v>
      </c>
      <c r="Y1633">
        <f t="shared" si="76"/>
        <v>-1.6329999999999998E-4</v>
      </c>
      <c r="Z1633">
        <f t="shared" si="77"/>
        <v>71.399836700000009</v>
      </c>
    </row>
    <row r="1634" spans="1:26" x14ac:dyDescent="0.3">
      <c r="A1634" t="s">
        <v>1724</v>
      </c>
      <c r="B1634" t="s">
        <v>82</v>
      </c>
      <c r="C1634" t="s">
        <v>89</v>
      </c>
      <c r="D1634" t="s">
        <v>57</v>
      </c>
      <c r="E1634">
        <v>21</v>
      </c>
      <c r="F1634" s="3">
        <v>7.49</v>
      </c>
      <c r="G1634" s="4">
        <v>90</v>
      </c>
      <c r="H1634">
        <v>2</v>
      </c>
      <c r="I1634">
        <v>1</v>
      </c>
      <c r="J1634">
        <v>3</v>
      </c>
      <c r="K1634" s="4">
        <v>62</v>
      </c>
      <c r="L1634" s="4">
        <v>75.3</v>
      </c>
      <c r="M1634" s="4">
        <v>57.5</v>
      </c>
      <c r="N1634">
        <v>1</v>
      </c>
      <c r="O1634" t="s">
        <v>58</v>
      </c>
      <c r="P1634" t="s">
        <v>90</v>
      </c>
      <c r="Q1634" t="s">
        <v>60</v>
      </c>
      <c r="R1634" t="s">
        <v>80</v>
      </c>
      <c r="S1634" s="3">
        <v>9.32</v>
      </c>
      <c r="T1634" s="5">
        <v>44786</v>
      </c>
      <c r="U1634">
        <v>2</v>
      </c>
      <c r="V1634">
        <v>2022</v>
      </c>
      <c r="X1634">
        <f t="shared" si="75"/>
        <v>7.4898366000000003</v>
      </c>
      <c r="Y1634">
        <f t="shared" si="76"/>
        <v>9.3198366000000004</v>
      </c>
      <c r="Z1634">
        <f t="shared" si="77"/>
        <v>75.299836599999992</v>
      </c>
    </row>
    <row r="1635" spans="1:26" x14ac:dyDescent="0.3">
      <c r="A1635" t="s">
        <v>1725</v>
      </c>
      <c r="B1635" t="s">
        <v>82</v>
      </c>
      <c r="C1635" t="s">
        <v>68</v>
      </c>
      <c r="D1635" t="s">
        <v>69</v>
      </c>
      <c r="E1635">
        <v>23</v>
      </c>
      <c r="F1635" s="3">
        <v>5.86</v>
      </c>
      <c r="G1635" s="4">
        <v>99.1</v>
      </c>
      <c r="H1635">
        <v>1</v>
      </c>
      <c r="I1635">
        <v>1</v>
      </c>
      <c r="J1635">
        <v>4</v>
      </c>
      <c r="K1635" s="4">
        <v>81.3</v>
      </c>
      <c r="L1635" s="4">
        <v>64.400000000000006</v>
      </c>
      <c r="M1635" s="4">
        <v>71.900000000000006</v>
      </c>
      <c r="N1635">
        <v>0</v>
      </c>
      <c r="O1635" t="s">
        <v>64</v>
      </c>
      <c r="P1635" t="s">
        <v>65</v>
      </c>
      <c r="S1635" s="3">
        <v>0</v>
      </c>
      <c r="T1635" s="5"/>
      <c r="U1635">
        <v>0</v>
      </c>
      <c r="V1635">
        <v>2022</v>
      </c>
      <c r="X1635">
        <f t="shared" si="75"/>
        <v>5.8598365000000001</v>
      </c>
      <c r="Y1635">
        <f t="shared" si="76"/>
        <v>-1.6349999999999999E-4</v>
      </c>
      <c r="Z1635">
        <f t="shared" si="77"/>
        <v>64.399836500000006</v>
      </c>
    </row>
    <row r="1636" spans="1:26" x14ac:dyDescent="0.3">
      <c r="A1636" t="s">
        <v>1726</v>
      </c>
      <c r="B1636" t="s">
        <v>82</v>
      </c>
      <c r="C1636" t="s">
        <v>68</v>
      </c>
      <c r="D1636" t="s">
        <v>69</v>
      </c>
      <c r="E1636">
        <v>22</v>
      </c>
      <c r="F1636" s="3">
        <v>6.97</v>
      </c>
      <c r="G1636" s="4">
        <v>72.7</v>
      </c>
      <c r="H1636">
        <v>1</v>
      </c>
      <c r="I1636">
        <v>1</v>
      </c>
      <c r="J1636">
        <v>5</v>
      </c>
      <c r="K1636" s="4">
        <v>62.4</v>
      </c>
      <c r="L1636" s="4">
        <v>86.2</v>
      </c>
      <c r="M1636" s="4">
        <v>73.7</v>
      </c>
      <c r="N1636">
        <v>0</v>
      </c>
      <c r="O1636" t="s">
        <v>64</v>
      </c>
      <c r="P1636" t="s">
        <v>65</v>
      </c>
      <c r="S1636" s="3">
        <v>0</v>
      </c>
      <c r="T1636" s="5"/>
      <c r="U1636">
        <v>0</v>
      </c>
      <c r="V1636">
        <v>2022</v>
      </c>
      <c r="X1636">
        <f t="shared" si="75"/>
        <v>6.9698364000000002</v>
      </c>
      <c r="Y1636">
        <f t="shared" si="76"/>
        <v>-1.6359999999999999E-4</v>
      </c>
      <c r="Z1636">
        <f t="shared" si="77"/>
        <v>86.199836400000009</v>
      </c>
    </row>
    <row r="1637" spans="1:26" x14ac:dyDescent="0.3">
      <c r="A1637" t="s">
        <v>1727</v>
      </c>
      <c r="B1637" t="s">
        <v>82</v>
      </c>
      <c r="C1637" t="s">
        <v>84</v>
      </c>
      <c r="D1637" t="s">
        <v>57</v>
      </c>
      <c r="E1637">
        <v>20</v>
      </c>
      <c r="F1637" s="3">
        <v>6.91</v>
      </c>
      <c r="G1637" s="4">
        <v>92.5</v>
      </c>
      <c r="H1637">
        <v>2</v>
      </c>
      <c r="I1637">
        <v>0</v>
      </c>
      <c r="J1637">
        <v>3</v>
      </c>
      <c r="K1637" s="4">
        <v>78.5</v>
      </c>
      <c r="L1637" s="4">
        <v>62.7</v>
      </c>
      <c r="M1637" s="4">
        <v>72.8</v>
      </c>
      <c r="N1637">
        <v>0</v>
      </c>
      <c r="O1637" t="s">
        <v>58</v>
      </c>
      <c r="P1637" t="s">
        <v>104</v>
      </c>
      <c r="Q1637" t="s">
        <v>105</v>
      </c>
      <c r="R1637" t="s">
        <v>61</v>
      </c>
      <c r="S1637" s="3">
        <v>13.75</v>
      </c>
      <c r="T1637" s="5">
        <v>44796</v>
      </c>
      <c r="U1637">
        <v>3</v>
      </c>
      <c r="V1637">
        <v>2022</v>
      </c>
      <c r="X1637">
        <f t="shared" si="75"/>
        <v>6.9098363000000003</v>
      </c>
      <c r="Y1637">
        <f t="shared" si="76"/>
        <v>13.7498363</v>
      </c>
      <c r="Z1637">
        <f t="shared" si="77"/>
        <v>62.699836300000001</v>
      </c>
    </row>
    <row r="1638" spans="1:26" x14ac:dyDescent="0.3">
      <c r="A1638" t="s">
        <v>1728</v>
      </c>
      <c r="B1638" t="s">
        <v>82</v>
      </c>
      <c r="C1638" t="s">
        <v>84</v>
      </c>
      <c r="D1638" t="s">
        <v>57</v>
      </c>
      <c r="E1638">
        <v>23</v>
      </c>
      <c r="F1638" s="3">
        <v>7.52</v>
      </c>
      <c r="G1638" s="4">
        <v>74.099999999999994</v>
      </c>
      <c r="H1638">
        <v>2</v>
      </c>
      <c r="I1638">
        <v>2</v>
      </c>
      <c r="J1638">
        <v>5</v>
      </c>
      <c r="K1638" s="4">
        <v>78.2</v>
      </c>
      <c r="L1638" s="4">
        <v>80.099999999999994</v>
      </c>
      <c r="M1638" s="4">
        <v>53.9</v>
      </c>
      <c r="N1638">
        <v>0</v>
      </c>
      <c r="O1638" t="s">
        <v>58</v>
      </c>
      <c r="P1638" t="s">
        <v>90</v>
      </c>
      <c r="Q1638" t="s">
        <v>60</v>
      </c>
      <c r="R1638" t="s">
        <v>130</v>
      </c>
      <c r="S1638" s="3">
        <v>8.4</v>
      </c>
      <c r="T1638" s="5">
        <v>44853</v>
      </c>
      <c r="U1638">
        <v>1</v>
      </c>
      <c r="V1638">
        <v>2022</v>
      </c>
      <c r="X1638">
        <f t="shared" si="75"/>
        <v>7.5198361999999994</v>
      </c>
      <c r="Y1638">
        <f t="shared" si="76"/>
        <v>8.3998362000000011</v>
      </c>
      <c r="Z1638">
        <f t="shared" si="77"/>
        <v>80.099836199999999</v>
      </c>
    </row>
    <row r="1639" spans="1:26" x14ac:dyDescent="0.3">
      <c r="A1639" t="s">
        <v>1729</v>
      </c>
      <c r="B1639" t="s">
        <v>55</v>
      </c>
      <c r="C1639" t="s">
        <v>101</v>
      </c>
      <c r="D1639" t="s">
        <v>57</v>
      </c>
      <c r="E1639">
        <v>22</v>
      </c>
      <c r="F1639" s="3">
        <v>8.2100000000000009</v>
      </c>
      <c r="G1639" s="4">
        <v>75.599999999999994</v>
      </c>
      <c r="H1639">
        <v>0</v>
      </c>
      <c r="I1639">
        <v>4</v>
      </c>
      <c r="J1639">
        <v>3</v>
      </c>
      <c r="K1639" s="4">
        <v>40.9</v>
      </c>
      <c r="L1639" s="4">
        <v>88.9</v>
      </c>
      <c r="M1639" s="4">
        <v>87.2</v>
      </c>
      <c r="N1639">
        <v>0</v>
      </c>
      <c r="O1639" t="s">
        <v>58</v>
      </c>
      <c r="P1639" t="s">
        <v>70</v>
      </c>
      <c r="Q1639" t="s">
        <v>71</v>
      </c>
      <c r="R1639" t="s">
        <v>80</v>
      </c>
      <c r="S1639" s="3">
        <v>6.96</v>
      </c>
      <c r="T1639" s="5">
        <v>45566</v>
      </c>
      <c r="U1639">
        <v>1</v>
      </c>
      <c r="V1639">
        <v>2024</v>
      </c>
      <c r="X1639">
        <f t="shared" si="75"/>
        <v>8.2098361000000004</v>
      </c>
      <c r="Y1639">
        <f t="shared" si="76"/>
        <v>6.9598360999999995</v>
      </c>
      <c r="Z1639">
        <f t="shared" si="77"/>
        <v>88.899836100000002</v>
      </c>
    </row>
    <row r="1640" spans="1:26" x14ac:dyDescent="0.3">
      <c r="A1640" t="s">
        <v>1730</v>
      </c>
      <c r="B1640" t="s">
        <v>107</v>
      </c>
      <c r="C1640" t="s">
        <v>78</v>
      </c>
      <c r="D1640" t="s">
        <v>57</v>
      </c>
      <c r="E1640">
        <v>23</v>
      </c>
      <c r="F1640" s="3">
        <v>8.34</v>
      </c>
      <c r="G1640" s="4">
        <v>81.900000000000006</v>
      </c>
      <c r="H1640">
        <v>0</v>
      </c>
      <c r="I1640">
        <v>3</v>
      </c>
      <c r="J1640">
        <v>5</v>
      </c>
      <c r="K1640" s="4">
        <v>75.400000000000006</v>
      </c>
      <c r="L1640" s="4">
        <v>76</v>
      </c>
      <c r="M1640" s="4">
        <v>86</v>
      </c>
      <c r="N1640">
        <v>0</v>
      </c>
      <c r="O1640" t="s">
        <v>58</v>
      </c>
      <c r="P1640" t="s">
        <v>95</v>
      </c>
      <c r="Q1640" t="s">
        <v>93</v>
      </c>
      <c r="R1640" t="s">
        <v>85</v>
      </c>
      <c r="S1640" s="3">
        <v>6.39</v>
      </c>
      <c r="T1640" s="5">
        <v>44492</v>
      </c>
      <c r="U1640">
        <v>1</v>
      </c>
      <c r="V1640">
        <v>2021</v>
      </c>
      <c r="X1640">
        <f t="shared" si="75"/>
        <v>8.339836</v>
      </c>
      <c r="Y1640">
        <f t="shared" si="76"/>
        <v>6.3898359999999998</v>
      </c>
      <c r="Z1640">
        <f t="shared" si="77"/>
        <v>75.999836000000002</v>
      </c>
    </row>
    <row r="1641" spans="1:26" x14ac:dyDescent="0.3">
      <c r="A1641" t="s">
        <v>1731</v>
      </c>
      <c r="B1641" t="s">
        <v>67</v>
      </c>
      <c r="C1641" t="s">
        <v>78</v>
      </c>
      <c r="D1641" t="s">
        <v>69</v>
      </c>
      <c r="E1641">
        <v>20</v>
      </c>
      <c r="F1641" s="3">
        <v>9</v>
      </c>
      <c r="G1641" s="4">
        <v>76.2</v>
      </c>
      <c r="H1641">
        <v>1</v>
      </c>
      <c r="I1641">
        <v>5</v>
      </c>
      <c r="J1641">
        <v>1</v>
      </c>
      <c r="K1641" s="4">
        <v>82</v>
      </c>
      <c r="L1641" s="4">
        <v>67.400000000000006</v>
      </c>
      <c r="M1641" s="4">
        <v>78.5</v>
      </c>
      <c r="N1641">
        <v>0</v>
      </c>
      <c r="O1641" t="s">
        <v>58</v>
      </c>
      <c r="P1641" t="s">
        <v>75</v>
      </c>
      <c r="Q1641" t="s">
        <v>71</v>
      </c>
      <c r="R1641" t="s">
        <v>130</v>
      </c>
      <c r="S1641" s="3">
        <v>6.11</v>
      </c>
      <c r="T1641" s="5">
        <v>45163</v>
      </c>
      <c r="U1641">
        <v>2</v>
      </c>
      <c r="V1641">
        <v>2023</v>
      </c>
      <c r="X1641">
        <f t="shared" si="75"/>
        <v>8.9998359000000008</v>
      </c>
      <c r="Y1641">
        <f t="shared" si="76"/>
        <v>6.1098359000000002</v>
      </c>
      <c r="Z1641">
        <f t="shared" si="77"/>
        <v>67.399835899999999</v>
      </c>
    </row>
    <row r="1642" spans="1:26" x14ac:dyDescent="0.3">
      <c r="A1642" t="s">
        <v>1732</v>
      </c>
      <c r="B1642" t="s">
        <v>63</v>
      </c>
      <c r="C1642" t="s">
        <v>56</v>
      </c>
      <c r="D1642" t="s">
        <v>69</v>
      </c>
      <c r="E1642">
        <v>21</v>
      </c>
      <c r="F1642" s="3">
        <v>8.49</v>
      </c>
      <c r="G1642" s="4">
        <v>74.7</v>
      </c>
      <c r="H1642">
        <v>2</v>
      </c>
      <c r="I1642">
        <v>4</v>
      </c>
      <c r="J1642">
        <v>2</v>
      </c>
      <c r="K1642" s="4">
        <v>83</v>
      </c>
      <c r="L1642" s="4">
        <v>77.2</v>
      </c>
      <c r="M1642" s="4">
        <v>68.900000000000006</v>
      </c>
      <c r="N1642">
        <v>0</v>
      </c>
      <c r="O1642" t="s">
        <v>64</v>
      </c>
      <c r="P1642" t="s">
        <v>65</v>
      </c>
      <c r="S1642" s="3">
        <v>0</v>
      </c>
      <c r="T1642" s="5"/>
      <c r="U1642">
        <v>0</v>
      </c>
      <c r="V1642">
        <v>2025</v>
      </c>
      <c r="X1642">
        <f t="shared" si="75"/>
        <v>8.4898357999999998</v>
      </c>
      <c r="Y1642">
        <f t="shared" si="76"/>
        <v>-1.6419999999999998E-4</v>
      </c>
      <c r="Z1642">
        <f t="shared" si="77"/>
        <v>77.199835800000002</v>
      </c>
    </row>
    <row r="1643" spans="1:26" x14ac:dyDescent="0.3">
      <c r="A1643" t="s">
        <v>1733</v>
      </c>
      <c r="B1643" t="s">
        <v>67</v>
      </c>
      <c r="C1643" t="s">
        <v>56</v>
      </c>
      <c r="D1643" t="s">
        <v>57</v>
      </c>
      <c r="E1643">
        <v>20</v>
      </c>
      <c r="F1643" s="3">
        <v>6.48</v>
      </c>
      <c r="G1643" s="4">
        <v>81.5</v>
      </c>
      <c r="H1643">
        <v>3</v>
      </c>
      <c r="I1643">
        <v>2</v>
      </c>
      <c r="J1643">
        <v>5</v>
      </c>
      <c r="K1643" s="4">
        <v>64.3</v>
      </c>
      <c r="L1643" s="4">
        <v>64</v>
      </c>
      <c r="M1643" s="4">
        <v>71.400000000000006</v>
      </c>
      <c r="N1643">
        <v>2</v>
      </c>
      <c r="O1643" t="s">
        <v>58</v>
      </c>
      <c r="P1643" t="s">
        <v>70</v>
      </c>
      <c r="Q1643" t="s">
        <v>71</v>
      </c>
      <c r="R1643" t="s">
        <v>80</v>
      </c>
      <c r="S1643" s="3">
        <v>5.81</v>
      </c>
      <c r="T1643" s="5">
        <v>45159</v>
      </c>
      <c r="U1643">
        <v>1</v>
      </c>
      <c r="V1643">
        <v>2023</v>
      </c>
      <c r="X1643">
        <f t="shared" si="75"/>
        <v>6.4798357000000006</v>
      </c>
      <c r="Y1643">
        <f t="shared" si="76"/>
        <v>5.8098356999999998</v>
      </c>
      <c r="Z1643">
        <f t="shared" si="77"/>
        <v>63.999835699999998</v>
      </c>
    </row>
    <row r="1644" spans="1:26" x14ac:dyDescent="0.3">
      <c r="A1644" t="s">
        <v>1734</v>
      </c>
      <c r="B1644" t="s">
        <v>67</v>
      </c>
      <c r="C1644" t="s">
        <v>78</v>
      </c>
      <c r="D1644" t="s">
        <v>57</v>
      </c>
      <c r="E1644">
        <v>23</v>
      </c>
      <c r="F1644" s="3">
        <v>8.58</v>
      </c>
      <c r="G1644" s="4">
        <v>79</v>
      </c>
      <c r="H1644">
        <v>1</v>
      </c>
      <c r="I1644">
        <v>2</v>
      </c>
      <c r="J1644">
        <v>4</v>
      </c>
      <c r="K1644" s="4">
        <v>66.900000000000006</v>
      </c>
      <c r="L1644" s="4">
        <v>59.4</v>
      </c>
      <c r="M1644" s="4">
        <v>70.599999999999994</v>
      </c>
      <c r="N1644">
        <v>0</v>
      </c>
      <c r="O1644" t="s">
        <v>58</v>
      </c>
      <c r="P1644" t="s">
        <v>59</v>
      </c>
      <c r="Q1644" t="s">
        <v>60</v>
      </c>
      <c r="R1644" t="s">
        <v>109</v>
      </c>
      <c r="S1644" s="3">
        <v>20.65</v>
      </c>
      <c r="T1644" s="5">
        <v>45139</v>
      </c>
      <c r="U1644">
        <v>1</v>
      </c>
      <c r="V1644">
        <v>2023</v>
      </c>
      <c r="X1644">
        <f t="shared" si="75"/>
        <v>8.5798356000000009</v>
      </c>
      <c r="Y1644">
        <f t="shared" si="76"/>
        <v>20.649835599999999</v>
      </c>
      <c r="Z1644">
        <f t="shared" si="77"/>
        <v>59.399835599999996</v>
      </c>
    </row>
    <row r="1645" spans="1:26" x14ac:dyDescent="0.3">
      <c r="A1645" t="s">
        <v>1735</v>
      </c>
      <c r="B1645" t="s">
        <v>107</v>
      </c>
      <c r="C1645" t="s">
        <v>78</v>
      </c>
      <c r="D1645" t="s">
        <v>57</v>
      </c>
      <c r="E1645">
        <v>20</v>
      </c>
      <c r="F1645" s="3">
        <v>9.2100000000000009</v>
      </c>
      <c r="G1645" s="4">
        <v>76</v>
      </c>
      <c r="H1645">
        <v>2</v>
      </c>
      <c r="I1645">
        <v>2</v>
      </c>
      <c r="J1645">
        <v>4</v>
      </c>
      <c r="K1645" s="4">
        <v>67.900000000000006</v>
      </c>
      <c r="L1645" s="4">
        <v>75.5</v>
      </c>
      <c r="M1645" s="4">
        <v>57.3</v>
      </c>
      <c r="N1645">
        <v>0</v>
      </c>
      <c r="O1645" t="s">
        <v>58</v>
      </c>
      <c r="P1645" t="s">
        <v>92</v>
      </c>
      <c r="Q1645" t="s">
        <v>93</v>
      </c>
      <c r="R1645" t="s">
        <v>72</v>
      </c>
      <c r="S1645" s="3">
        <v>10.15</v>
      </c>
      <c r="T1645" s="5">
        <v>44436</v>
      </c>
      <c r="U1645">
        <v>3</v>
      </c>
      <c r="V1645">
        <v>2021</v>
      </c>
      <c r="X1645">
        <f t="shared" si="75"/>
        <v>9.2098355000000005</v>
      </c>
      <c r="Y1645">
        <f t="shared" si="76"/>
        <v>10.1498355</v>
      </c>
      <c r="Z1645">
        <f t="shared" si="77"/>
        <v>75.499835500000003</v>
      </c>
    </row>
    <row r="1646" spans="1:26" x14ac:dyDescent="0.3">
      <c r="A1646" t="s">
        <v>1736</v>
      </c>
      <c r="B1646" t="s">
        <v>107</v>
      </c>
      <c r="C1646" t="s">
        <v>56</v>
      </c>
      <c r="D1646" t="s">
        <v>57</v>
      </c>
      <c r="E1646">
        <v>20</v>
      </c>
      <c r="F1646" s="3">
        <v>9.17</v>
      </c>
      <c r="G1646" s="4">
        <v>73.400000000000006</v>
      </c>
      <c r="H1646">
        <v>0</v>
      </c>
      <c r="I1646">
        <v>0</v>
      </c>
      <c r="J1646">
        <v>4</v>
      </c>
      <c r="K1646" s="4">
        <v>64.8</v>
      </c>
      <c r="L1646" s="4">
        <v>81.2</v>
      </c>
      <c r="M1646" s="4">
        <v>82.4</v>
      </c>
      <c r="N1646">
        <v>0</v>
      </c>
      <c r="O1646" t="s">
        <v>58</v>
      </c>
      <c r="P1646" t="s">
        <v>112</v>
      </c>
      <c r="Q1646" t="s">
        <v>93</v>
      </c>
      <c r="R1646" t="s">
        <v>80</v>
      </c>
      <c r="S1646" s="3">
        <v>7.85</v>
      </c>
      <c r="T1646" s="5">
        <v>44499</v>
      </c>
      <c r="U1646">
        <v>1</v>
      </c>
      <c r="V1646">
        <v>2021</v>
      </c>
      <c r="X1646">
        <f t="shared" si="75"/>
        <v>9.1698354000000002</v>
      </c>
      <c r="Y1646">
        <f t="shared" si="76"/>
        <v>7.8498353999999999</v>
      </c>
      <c r="Z1646">
        <f t="shared" si="77"/>
        <v>81.199835399999998</v>
      </c>
    </row>
    <row r="1647" spans="1:26" x14ac:dyDescent="0.3">
      <c r="A1647" t="s">
        <v>1737</v>
      </c>
      <c r="B1647" t="s">
        <v>107</v>
      </c>
      <c r="C1647" t="s">
        <v>84</v>
      </c>
      <c r="D1647" t="s">
        <v>69</v>
      </c>
      <c r="E1647">
        <v>21</v>
      </c>
      <c r="F1647" s="3">
        <v>6.56</v>
      </c>
      <c r="G1647" s="4">
        <v>94.8</v>
      </c>
      <c r="H1647">
        <v>2</v>
      </c>
      <c r="I1647">
        <v>2</v>
      </c>
      <c r="J1647">
        <v>6</v>
      </c>
      <c r="K1647" s="4">
        <v>51.5</v>
      </c>
      <c r="L1647" s="4">
        <v>71.400000000000006</v>
      </c>
      <c r="M1647" s="4">
        <v>74.3</v>
      </c>
      <c r="N1647">
        <v>0</v>
      </c>
      <c r="O1647" t="s">
        <v>58</v>
      </c>
      <c r="P1647" t="s">
        <v>75</v>
      </c>
      <c r="Q1647" t="s">
        <v>71</v>
      </c>
      <c r="R1647" t="s">
        <v>76</v>
      </c>
      <c r="S1647" s="3">
        <v>3.92</v>
      </c>
      <c r="T1647" s="5">
        <v>44524</v>
      </c>
      <c r="U1647">
        <v>2</v>
      </c>
      <c r="V1647">
        <v>2021</v>
      </c>
      <c r="X1647">
        <f t="shared" si="75"/>
        <v>6.5598352999999996</v>
      </c>
      <c r="Y1647">
        <f t="shared" si="76"/>
        <v>3.9198352999999999</v>
      </c>
      <c r="Z1647">
        <f t="shared" si="77"/>
        <v>71.399835300000007</v>
      </c>
    </row>
    <row r="1648" spans="1:26" x14ac:dyDescent="0.3">
      <c r="A1648" t="s">
        <v>1738</v>
      </c>
      <c r="B1648" t="s">
        <v>82</v>
      </c>
      <c r="C1648" t="s">
        <v>56</v>
      </c>
      <c r="D1648" t="s">
        <v>57</v>
      </c>
      <c r="E1648">
        <v>23</v>
      </c>
      <c r="F1648" s="3">
        <v>7.48</v>
      </c>
      <c r="G1648" s="4">
        <v>71.2</v>
      </c>
      <c r="H1648">
        <v>2</v>
      </c>
      <c r="I1648">
        <v>2</v>
      </c>
      <c r="J1648">
        <v>4</v>
      </c>
      <c r="K1648" s="4">
        <v>54.7</v>
      </c>
      <c r="L1648" s="4">
        <v>78.400000000000006</v>
      </c>
      <c r="M1648" s="4">
        <v>82.2</v>
      </c>
      <c r="N1648">
        <v>0</v>
      </c>
      <c r="O1648" t="s">
        <v>58</v>
      </c>
      <c r="P1648" t="s">
        <v>79</v>
      </c>
      <c r="Q1648" t="s">
        <v>71</v>
      </c>
      <c r="R1648" t="s">
        <v>61</v>
      </c>
      <c r="S1648" s="3">
        <v>6.25</v>
      </c>
      <c r="T1648" s="5">
        <v>44864</v>
      </c>
      <c r="U1648">
        <v>1</v>
      </c>
      <c r="V1648">
        <v>2022</v>
      </c>
      <c r="X1648">
        <f t="shared" si="75"/>
        <v>7.4798352000000001</v>
      </c>
      <c r="Y1648">
        <f t="shared" si="76"/>
        <v>6.2498351999999997</v>
      </c>
      <c r="Z1648">
        <f t="shared" si="77"/>
        <v>78.399835200000012</v>
      </c>
    </row>
    <row r="1649" spans="1:26" x14ac:dyDescent="0.3">
      <c r="A1649" t="s">
        <v>1739</v>
      </c>
      <c r="B1649" t="s">
        <v>55</v>
      </c>
      <c r="C1649" t="s">
        <v>74</v>
      </c>
      <c r="D1649" t="s">
        <v>69</v>
      </c>
      <c r="E1649">
        <v>20</v>
      </c>
      <c r="F1649" s="3">
        <v>8.51</v>
      </c>
      <c r="G1649" s="4">
        <v>80.5</v>
      </c>
      <c r="H1649">
        <v>2</v>
      </c>
      <c r="I1649">
        <v>2</v>
      </c>
      <c r="J1649">
        <v>4</v>
      </c>
      <c r="K1649" s="4">
        <v>74.599999999999994</v>
      </c>
      <c r="L1649" s="4">
        <v>100</v>
      </c>
      <c r="M1649" s="4">
        <v>77.099999999999994</v>
      </c>
      <c r="N1649">
        <v>1</v>
      </c>
      <c r="O1649" t="s">
        <v>58</v>
      </c>
      <c r="P1649" t="s">
        <v>79</v>
      </c>
      <c r="Q1649" t="s">
        <v>71</v>
      </c>
      <c r="R1649" t="s">
        <v>109</v>
      </c>
      <c r="S1649" s="3">
        <v>8.39</v>
      </c>
      <c r="T1649" s="5">
        <v>45613</v>
      </c>
      <c r="U1649">
        <v>1</v>
      </c>
      <c r="V1649">
        <v>2024</v>
      </c>
      <c r="X1649">
        <f t="shared" si="75"/>
        <v>8.5098351000000001</v>
      </c>
      <c r="Y1649">
        <f t="shared" si="76"/>
        <v>8.3898351000000009</v>
      </c>
      <c r="Z1649">
        <f t="shared" si="77"/>
        <v>99.999835099999999</v>
      </c>
    </row>
    <row r="1650" spans="1:26" x14ac:dyDescent="0.3">
      <c r="A1650" t="s">
        <v>1740</v>
      </c>
      <c r="B1650" t="s">
        <v>82</v>
      </c>
      <c r="C1650" t="s">
        <v>78</v>
      </c>
      <c r="D1650" t="s">
        <v>69</v>
      </c>
      <c r="E1650">
        <v>20</v>
      </c>
      <c r="F1650" s="3">
        <v>6.61</v>
      </c>
      <c r="G1650" s="4">
        <v>92.1</v>
      </c>
      <c r="H1650">
        <v>0</v>
      </c>
      <c r="I1650">
        <v>2</v>
      </c>
      <c r="J1650">
        <v>5</v>
      </c>
      <c r="K1650" s="4">
        <v>64</v>
      </c>
      <c r="L1650" s="4">
        <v>88.3</v>
      </c>
      <c r="M1650" s="4">
        <v>61.9</v>
      </c>
      <c r="N1650">
        <v>0</v>
      </c>
      <c r="O1650" t="s">
        <v>58</v>
      </c>
      <c r="P1650" t="s">
        <v>75</v>
      </c>
      <c r="Q1650" t="s">
        <v>71</v>
      </c>
      <c r="R1650" t="s">
        <v>61</v>
      </c>
      <c r="S1650" s="3">
        <v>5.1100000000000003</v>
      </c>
      <c r="T1650" s="5">
        <v>44873</v>
      </c>
      <c r="U1650">
        <v>2</v>
      </c>
      <c r="V1650">
        <v>2022</v>
      </c>
      <c r="X1650">
        <f t="shared" si="75"/>
        <v>6.6098350000000003</v>
      </c>
      <c r="Y1650">
        <f t="shared" si="76"/>
        <v>5.1098350000000003</v>
      </c>
      <c r="Z1650">
        <f t="shared" si="77"/>
        <v>88.299835000000002</v>
      </c>
    </row>
    <row r="1651" spans="1:26" x14ac:dyDescent="0.3">
      <c r="A1651" t="s">
        <v>1741</v>
      </c>
      <c r="B1651" t="s">
        <v>55</v>
      </c>
      <c r="C1651" t="s">
        <v>56</v>
      </c>
      <c r="D1651" t="s">
        <v>69</v>
      </c>
      <c r="E1651">
        <v>21</v>
      </c>
      <c r="F1651" s="3">
        <v>6.1</v>
      </c>
      <c r="G1651" s="4">
        <v>89.3</v>
      </c>
      <c r="H1651">
        <v>0</v>
      </c>
      <c r="I1651">
        <v>1</v>
      </c>
      <c r="J1651">
        <v>5</v>
      </c>
      <c r="K1651" s="4">
        <v>67.599999999999994</v>
      </c>
      <c r="L1651" s="4">
        <v>61.5</v>
      </c>
      <c r="M1651" s="4">
        <v>62.9</v>
      </c>
      <c r="N1651">
        <v>1</v>
      </c>
      <c r="O1651" t="s">
        <v>64</v>
      </c>
      <c r="P1651" t="s">
        <v>65</v>
      </c>
      <c r="S1651" s="3">
        <v>0</v>
      </c>
      <c r="T1651" s="5"/>
      <c r="U1651">
        <v>0</v>
      </c>
      <c r="V1651">
        <v>2024</v>
      </c>
      <c r="X1651">
        <f t="shared" si="75"/>
        <v>6.0998348999999994</v>
      </c>
      <c r="Y1651">
        <f t="shared" si="76"/>
        <v>-1.651E-4</v>
      </c>
      <c r="Z1651">
        <f t="shared" si="77"/>
        <v>61.499834900000003</v>
      </c>
    </row>
    <row r="1652" spans="1:26" x14ac:dyDescent="0.3">
      <c r="A1652" t="s">
        <v>1742</v>
      </c>
      <c r="B1652" t="s">
        <v>55</v>
      </c>
      <c r="C1652" t="s">
        <v>56</v>
      </c>
      <c r="D1652" t="s">
        <v>57</v>
      </c>
      <c r="E1652">
        <v>22</v>
      </c>
      <c r="F1652" s="3">
        <v>7.93</v>
      </c>
      <c r="G1652" s="4">
        <v>84.1</v>
      </c>
      <c r="H1652">
        <v>2</v>
      </c>
      <c r="I1652">
        <v>2</v>
      </c>
      <c r="J1652">
        <v>3</v>
      </c>
      <c r="K1652" s="4">
        <v>81.5</v>
      </c>
      <c r="L1652" s="4">
        <v>72.8</v>
      </c>
      <c r="M1652" s="4">
        <v>89.8</v>
      </c>
      <c r="N1652">
        <v>0</v>
      </c>
      <c r="O1652" t="s">
        <v>58</v>
      </c>
      <c r="P1652" t="s">
        <v>70</v>
      </c>
      <c r="Q1652" t="s">
        <v>71</v>
      </c>
      <c r="R1652" t="s">
        <v>130</v>
      </c>
      <c r="S1652" s="3">
        <v>6.99</v>
      </c>
      <c r="T1652" s="5">
        <v>45583</v>
      </c>
      <c r="U1652">
        <v>1</v>
      </c>
      <c r="V1652">
        <v>2024</v>
      </c>
      <c r="X1652">
        <f t="shared" si="75"/>
        <v>7.9298348000000001</v>
      </c>
      <c r="Y1652">
        <f t="shared" si="76"/>
        <v>6.9898348000000006</v>
      </c>
      <c r="Z1652">
        <f t="shared" si="77"/>
        <v>72.799834799999999</v>
      </c>
    </row>
    <row r="1653" spans="1:26" x14ac:dyDescent="0.3">
      <c r="A1653" t="s">
        <v>1743</v>
      </c>
      <c r="B1653" t="s">
        <v>67</v>
      </c>
      <c r="C1653" t="s">
        <v>74</v>
      </c>
      <c r="D1653" t="s">
        <v>69</v>
      </c>
      <c r="E1653">
        <v>23</v>
      </c>
      <c r="F1653" s="3">
        <v>7.04</v>
      </c>
      <c r="G1653" s="4">
        <v>76.400000000000006</v>
      </c>
      <c r="H1653">
        <v>0</v>
      </c>
      <c r="I1653">
        <v>1</v>
      </c>
      <c r="J1653">
        <v>4</v>
      </c>
      <c r="K1653" s="4">
        <v>67.2</v>
      </c>
      <c r="L1653" s="4">
        <v>74.5</v>
      </c>
      <c r="M1653" s="4">
        <v>80.7</v>
      </c>
      <c r="N1653">
        <v>0</v>
      </c>
      <c r="O1653" t="s">
        <v>58</v>
      </c>
      <c r="P1653" t="s">
        <v>104</v>
      </c>
      <c r="Q1653" t="s">
        <v>105</v>
      </c>
      <c r="R1653" t="s">
        <v>80</v>
      </c>
      <c r="S1653" s="3">
        <v>14.96</v>
      </c>
      <c r="T1653" s="5">
        <v>45158</v>
      </c>
      <c r="U1653">
        <v>1</v>
      </c>
      <c r="V1653">
        <v>2023</v>
      </c>
      <c r="X1653">
        <f t="shared" si="75"/>
        <v>7.0398347000000001</v>
      </c>
      <c r="Y1653">
        <f t="shared" si="76"/>
        <v>14.9598347</v>
      </c>
      <c r="Z1653">
        <f t="shared" si="77"/>
        <v>74.499834699999994</v>
      </c>
    </row>
    <row r="1654" spans="1:26" x14ac:dyDescent="0.3">
      <c r="A1654" t="s">
        <v>1744</v>
      </c>
      <c r="B1654" t="s">
        <v>67</v>
      </c>
      <c r="C1654" t="s">
        <v>78</v>
      </c>
      <c r="D1654" t="s">
        <v>69</v>
      </c>
      <c r="E1654">
        <v>22</v>
      </c>
      <c r="F1654" s="3">
        <v>6.18</v>
      </c>
      <c r="G1654" s="4">
        <v>81.8</v>
      </c>
      <c r="H1654">
        <v>0</v>
      </c>
      <c r="I1654">
        <v>1</v>
      </c>
      <c r="J1654">
        <v>4</v>
      </c>
      <c r="K1654" s="4">
        <v>50.2</v>
      </c>
      <c r="L1654" s="4">
        <v>57.4</v>
      </c>
      <c r="M1654" s="4">
        <v>69.400000000000006</v>
      </c>
      <c r="N1654">
        <v>0</v>
      </c>
      <c r="O1654" t="s">
        <v>64</v>
      </c>
      <c r="P1654" t="s">
        <v>65</v>
      </c>
      <c r="S1654" s="3">
        <v>0</v>
      </c>
      <c r="T1654" s="5"/>
      <c r="U1654">
        <v>0</v>
      </c>
      <c r="V1654">
        <v>2023</v>
      </c>
      <c r="X1654">
        <f t="shared" si="75"/>
        <v>6.1798345999999995</v>
      </c>
      <c r="Y1654">
        <f t="shared" si="76"/>
        <v>-1.6539999999999998E-4</v>
      </c>
      <c r="Z1654">
        <f t="shared" si="77"/>
        <v>57.399834599999998</v>
      </c>
    </row>
    <row r="1655" spans="1:26" x14ac:dyDescent="0.3">
      <c r="A1655" t="s">
        <v>1745</v>
      </c>
      <c r="B1655" t="s">
        <v>55</v>
      </c>
      <c r="C1655" t="s">
        <v>68</v>
      </c>
      <c r="D1655" t="s">
        <v>69</v>
      </c>
      <c r="E1655">
        <v>22</v>
      </c>
      <c r="F1655" s="3">
        <v>8.76</v>
      </c>
      <c r="G1655" s="4">
        <v>71.900000000000006</v>
      </c>
      <c r="H1655">
        <v>1</v>
      </c>
      <c r="I1655">
        <v>2</v>
      </c>
      <c r="J1655">
        <v>2</v>
      </c>
      <c r="K1655" s="4">
        <v>97.1</v>
      </c>
      <c r="L1655" s="4">
        <v>79.2</v>
      </c>
      <c r="M1655" s="4">
        <v>80.7</v>
      </c>
      <c r="N1655">
        <v>2</v>
      </c>
      <c r="O1655" t="s">
        <v>58</v>
      </c>
      <c r="P1655" t="s">
        <v>95</v>
      </c>
      <c r="Q1655" t="s">
        <v>93</v>
      </c>
      <c r="R1655" t="s">
        <v>76</v>
      </c>
      <c r="S1655" s="3">
        <v>8.1199999999999992</v>
      </c>
      <c r="T1655" s="5">
        <v>45587</v>
      </c>
      <c r="U1655">
        <v>1</v>
      </c>
      <c r="V1655">
        <v>2024</v>
      </c>
      <c r="X1655">
        <f t="shared" si="75"/>
        <v>8.7598345000000002</v>
      </c>
      <c r="Y1655">
        <f t="shared" si="76"/>
        <v>8.1198344999999996</v>
      </c>
      <c r="Z1655">
        <f t="shared" si="77"/>
        <v>79.199834500000009</v>
      </c>
    </row>
    <row r="1656" spans="1:26" x14ac:dyDescent="0.3">
      <c r="A1656" t="s">
        <v>1746</v>
      </c>
      <c r="B1656" t="s">
        <v>55</v>
      </c>
      <c r="C1656" t="s">
        <v>89</v>
      </c>
      <c r="D1656" t="s">
        <v>57</v>
      </c>
      <c r="E1656">
        <v>21</v>
      </c>
      <c r="F1656" s="3">
        <v>7.8</v>
      </c>
      <c r="G1656" s="4">
        <v>79.400000000000006</v>
      </c>
      <c r="H1656">
        <v>0</v>
      </c>
      <c r="I1656">
        <v>1</v>
      </c>
      <c r="J1656">
        <v>4</v>
      </c>
      <c r="K1656" s="4">
        <v>62</v>
      </c>
      <c r="L1656" s="4">
        <v>58.7</v>
      </c>
      <c r="M1656" s="4">
        <v>63.5</v>
      </c>
      <c r="N1656">
        <v>0</v>
      </c>
      <c r="O1656" t="s">
        <v>58</v>
      </c>
      <c r="P1656" t="s">
        <v>79</v>
      </c>
      <c r="Q1656" t="s">
        <v>71</v>
      </c>
      <c r="R1656" t="s">
        <v>109</v>
      </c>
      <c r="S1656" s="3">
        <v>4.29</v>
      </c>
      <c r="T1656" s="5">
        <v>45555</v>
      </c>
      <c r="U1656">
        <v>1</v>
      </c>
      <c r="V1656">
        <v>2024</v>
      </c>
      <c r="X1656">
        <f t="shared" si="75"/>
        <v>7.7998343999999999</v>
      </c>
      <c r="Y1656">
        <f t="shared" si="76"/>
        <v>4.2898344000000002</v>
      </c>
      <c r="Z1656">
        <f t="shared" si="77"/>
        <v>58.6998344</v>
      </c>
    </row>
    <row r="1657" spans="1:26" x14ac:dyDescent="0.3">
      <c r="A1657" t="s">
        <v>1747</v>
      </c>
      <c r="B1657" t="s">
        <v>82</v>
      </c>
      <c r="C1657" t="s">
        <v>89</v>
      </c>
      <c r="D1657" t="s">
        <v>57</v>
      </c>
      <c r="E1657">
        <v>21</v>
      </c>
      <c r="F1657" s="3">
        <v>7.18</v>
      </c>
      <c r="G1657" s="4">
        <v>79.3</v>
      </c>
      <c r="H1657">
        <v>2</v>
      </c>
      <c r="I1657">
        <v>4</v>
      </c>
      <c r="J1657">
        <v>2</v>
      </c>
      <c r="K1657" s="4">
        <v>61.2</v>
      </c>
      <c r="L1657" s="4">
        <v>80.099999999999994</v>
      </c>
      <c r="M1657" s="4">
        <v>87</v>
      </c>
      <c r="N1657">
        <v>0</v>
      </c>
      <c r="O1657" t="s">
        <v>58</v>
      </c>
      <c r="P1657" t="s">
        <v>90</v>
      </c>
      <c r="Q1657" t="s">
        <v>60</v>
      </c>
      <c r="R1657" t="s">
        <v>85</v>
      </c>
      <c r="S1657" s="3">
        <v>8.15</v>
      </c>
      <c r="T1657" s="5">
        <v>44799</v>
      </c>
      <c r="U1657">
        <v>3</v>
      </c>
      <c r="V1657">
        <v>2022</v>
      </c>
      <c r="X1657">
        <f t="shared" si="75"/>
        <v>7.1798342999999996</v>
      </c>
      <c r="Y1657">
        <f t="shared" si="76"/>
        <v>8.1498343000000002</v>
      </c>
      <c r="Z1657">
        <f t="shared" si="77"/>
        <v>80.099834299999998</v>
      </c>
    </row>
    <row r="1658" spans="1:26" x14ac:dyDescent="0.3">
      <c r="A1658" t="s">
        <v>1748</v>
      </c>
      <c r="B1658" t="s">
        <v>82</v>
      </c>
      <c r="C1658" t="s">
        <v>56</v>
      </c>
      <c r="D1658" t="s">
        <v>69</v>
      </c>
      <c r="E1658">
        <v>23</v>
      </c>
      <c r="F1658" s="3">
        <v>6.78</v>
      </c>
      <c r="G1658" s="4">
        <v>80.2</v>
      </c>
      <c r="H1658">
        <v>1</v>
      </c>
      <c r="I1658">
        <v>1</v>
      </c>
      <c r="J1658">
        <v>2</v>
      </c>
      <c r="K1658" s="4">
        <v>70.2</v>
      </c>
      <c r="L1658" s="4">
        <v>99</v>
      </c>
      <c r="M1658" s="4">
        <v>57.7</v>
      </c>
      <c r="N1658">
        <v>0</v>
      </c>
      <c r="O1658" t="s">
        <v>58</v>
      </c>
      <c r="P1658" t="s">
        <v>90</v>
      </c>
      <c r="Q1658" t="s">
        <v>60</v>
      </c>
      <c r="R1658" t="s">
        <v>80</v>
      </c>
      <c r="S1658" s="3">
        <v>9.7799999999999994</v>
      </c>
      <c r="T1658" s="5">
        <v>44884</v>
      </c>
      <c r="U1658">
        <v>1</v>
      </c>
      <c r="V1658">
        <v>2022</v>
      </c>
      <c r="X1658">
        <f t="shared" si="75"/>
        <v>6.7798341999999998</v>
      </c>
      <c r="Y1658">
        <f t="shared" si="76"/>
        <v>9.7798341999999998</v>
      </c>
      <c r="Z1658">
        <f t="shared" si="77"/>
        <v>98.999834199999995</v>
      </c>
    </row>
    <row r="1659" spans="1:26" x14ac:dyDescent="0.3">
      <c r="A1659" t="s">
        <v>1749</v>
      </c>
      <c r="B1659" t="s">
        <v>67</v>
      </c>
      <c r="C1659" t="s">
        <v>84</v>
      </c>
      <c r="D1659" t="s">
        <v>57</v>
      </c>
      <c r="E1659">
        <v>22</v>
      </c>
      <c r="F1659" s="3">
        <v>7.81</v>
      </c>
      <c r="G1659" s="4">
        <v>74.900000000000006</v>
      </c>
      <c r="H1659">
        <v>1</v>
      </c>
      <c r="I1659">
        <v>2</v>
      </c>
      <c r="J1659">
        <v>6</v>
      </c>
      <c r="K1659" s="4">
        <v>64.2</v>
      </c>
      <c r="L1659" s="4">
        <v>68.099999999999994</v>
      </c>
      <c r="M1659" s="4">
        <v>76.400000000000006</v>
      </c>
      <c r="N1659">
        <v>0</v>
      </c>
      <c r="O1659" t="s">
        <v>58</v>
      </c>
      <c r="P1659" t="s">
        <v>112</v>
      </c>
      <c r="Q1659" t="s">
        <v>93</v>
      </c>
      <c r="R1659" t="s">
        <v>76</v>
      </c>
      <c r="S1659" s="3">
        <v>7.84</v>
      </c>
      <c r="T1659" s="5">
        <v>45223</v>
      </c>
      <c r="U1659">
        <v>1</v>
      </c>
      <c r="V1659">
        <v>2023</v>
      </c>
      <c r="X1659">
        <f t="shared" si="75"/>
        <v>7.8098340999999998</v>
      </c>
      <c r="Y1659">
        <f t="shared" si="76"/>
        <v>7.8398341</v>
      </c>
      <c r="Z1659">
        <f t="shared" si="77"/>
        <v>68.099834099999995</v>
      </c>
    </row>
    <row r="1660" spans="1:26" x14ac:dyDescent="0.3">
      <c r="A1660" t="s">
        <v>1750</v>
      </c>
      <c r="B1660" t="s">
        <v>107</v>
      </c>
      <c r="C1660" t="s">
        <v>56</v>
      </c>
      <c r="D1660" t="s">
        <v>57</v>
      </c>
      <c r="E1660">
        <v>20</v>
      </c>
      <c r="F1660" s="3">
        <v>8.11</v>
      </c>
      <c r="G1660" s="4">
        <v>66.7</v>
      </c>
      <c r="H1660">
        <v>1</v>
      </c>
      <c r="I1660">
        <v>2</v>
      </c>
      <c r="J1660">
        <v>2</v>
      </c>
      <c r="K1660" s="4">
        <v>65.3</v>
      </c>
      <c r="L1660" s="4">
        <v>76.599999999999994</v>
      </c>
      <c r="M1660" s="4">
        <v>72.400000000000006</v>
      </c>
      <c r="N1660">
        <v>0</v>
      </c>
      <c r="O1660" t="s">
        <v>58</v>
      </c>
      <c r="P1660" t="s">
        <v>112</v>
      </c>
      <c r="Q1660" t="s">
        <v>93</v>
      </c>
      <c r="R1660" t="s">
        <v>85</v>
      </c>
      <c r="S1660" s="3">
        <v>7.85</v>
      </c>
      <c r="T1660" s="5">
        <v>44509</v>
      </c>
      <c r="U1660">
        <v>2</v>
      </c>
      <c r="V1660">
        <v>2021</v>
      </c>
      <c r="X1660">
        <f t="shared" si="75"/>
        <v>8.1098339999999993</v>
      </c>
      <c r="Y1660">
        <f t="shared" si="76"/>
        <v>7.8498339999999995</v>
      </c>
      <c r="Z1660">
        <f t="shared" si="77"/>
        <v>76.599834000000001</v>
      </c>
    </row>
    <row r="1661" spans="1:26" x14ac:dyDescent="0.3">
      <c r="A1661" t="s">
        <v>1751</v>
      </c>
      <c r="B1661" t="s">
        <v>55</v>
      </c>
      <c r="C1661" t="s">
        <v>84</v>
      </c>
      <c r="D1661" t="s">
        <v>69</v>
      </c>
      <c r="E1661">
        <v>22</v>
      </c>
      <c r="F1661" s="3">
        <v>7.94</v>
      </c>
      <c r="G1661" s="4">
        <v>93.3</v>
      </c>
      <c r="H1661">
        <v>2</v>
      </c>
      <c r="I1661">
        <v>1</v>
      </c>
      <c r="J1661">
        <v>4</v>
      </c>
      <c r="K1661" s="4">
        <v>58.2</v>
      </c>
      <c r="L1661" s="4">
        <v>74.400000000000006</v>
      </c>
      <c r="M1661" s="4">
        <v>74.2</v>
      </c>
      <c r="N1661">
        <v>0</v>
      </c>
      <c r="O1661" t="s">
        <v>58</v>
      </c>
      <c r="P1661" t="s">
        <v>70</v>
      </c>
      <c r="Q1661" t="s">
        <v>71</v>
      </c>
      <c r="R1661" t="s">
        <v>85</v>
      </c>
      <c r="S1661" s="3">
        <v>6.07</v>
      </c>
      <c r="T1661" s="5">
        <v>45547</v>
      </c>
      <c r="U1661">
        <v>1</v>
      </c>
      <c r="V1661">
        <v>2024</v>
      </c>
      <c r="X1661">
        <f t="shared" si="75"/>
        <v>7.9398339</v>
      </c>
      <c r="Y1661">
        <f t="shared" si="76"/>
        <v>6.0698338999999999</v>
      </c>
      <c r="Z1661">
        <f t="shared" si="77"/>
        <v>74.399833900000004</v>
      </c>
    </row>
    <row r="1662" spans="1:26" x14ac:dyDescent="0.3">
      <c r="A1662" t="s">
        <v>1752</v>
      </c>
      <c r="B1662" t="s">
        <v>82</v>
      </c>
      <c r="C1662" t="s">
        <v>68</v>
      </c>
      <c r="D1662" t="s">
        <v>57</v>
      </c>
      <c r="E1662">
        <v>21</v>
      </c>
      <c r="F1662" s="3">
        <v>6.28</v>
      </c>
      <c r="G1662" s="4">
        <v>91.3</v>
      </c>
      <c r="H1662">
        <v>3</v>
      </c>
      <c r="I1662">
        <v>2</v>
      </c>
      <c r="J1662">
        <v>3</v>
      </c>
      <c r="K1662" s="4">
        <v>79.8</v>
      </c>
      <c r="L1662" s="4">
        <v>56</v>
      </c>
      <c r="M1662" s="4">
        <v>81.8</v>
      </c>
      <c r="N1662">
        <v>0</v>
      </c>
      <c r="O1662" t="s">
        <v>58</v>
      </c>
      <c r="P1662" t="s">
        <v>90</v>
      </c>
      <c r="Q1662" t="s">
        <v>60</v>
      </c>
      <c r="R1662" t="s">
        <v>130</v>
      </c>
      <c r="S1662" s="3">
        <v>8.07</v>
      </c>
      <c r="T1662" s="5">
        <v>44823</v>
      </c>
      <c r="U1662">
        <v>1</v>
      </c>
      <c r="V1662">
        <v>2022</v>
      </c>
      <c r="X1662">
        <f t="shared" si="75"/>
        <v>6.2798338000000005</v>
      </c>
      <c r="Y1662">
        <f t="shared" si="76"/>
        <v>8.0698337999999996</v>
      </c>
      <c r="Z1662">
        <f t="shared" si="77"/>
        <v>55.999833799999998</v>
      </c>
    </row>
    <row r="1663" spans="1:26" x14ac:dyDescent="0.3">
      <c r="A1663" t="s">
        <v>1753</v>
      </c>
      <c r="B1663" t="s">
        <v>67</v>
      </c>
      <c r="C1663" t="s">
        <v>84</v>
      </c>
      <c r="D1663" t="s">
        <v>57</v>
      </c>
      <c r="E1663">
        <v>20</v>
      </c>
      <c r="F1663" s="3">
        <v>8.08</v>
      </c>
      <c r="G1663" s="4">
        <v>89.9</v>
      </c>
      <c r="H1663">
        <v>1</v>
      </c>
      <c r="I1663">
        <v>2</v>
      </c>
      <c r="J1663">
        <v>4</v>
      </c>
      <c r="K1663" s="4">
        <v>81.8</v>
      </c>
      <c r="L1663" s="4">
        <v>59</v>
      </c>
      <c r="M1663" s="4">
        <v>86</v>
      </c>
      <c r="N1663">
        <v>0</v>
      </c>
      <c r="O1663" t="s">
        <v>58</v>
      </c>
      <c r="P1663" t="s">
        <v>92</v>
      </c>
      <c r="Q1663" t="s">
        <v>93</v>
      </c>
      <c r="R1663" t="s">
        <v>61</v>
      </c>
      <c r="S1663" s="3">
        <v>9.07</v>
      </c>
      <c r="T1663" s="5">
        <v>45212</v>
      </c>
      <c r="U1663">
        <v>1</v>
      </c>
      <c r="V1663">
        <v>2023</v>
      </c>
      <c r="X1663">
        <f t="shared" si="75"/>
        <v>8.0798337</v>
      </c>
      <c r="Y1663">
        <f t="shared" si="76"/>
        <v>9.0698337000000002</v>
      </c>
      <c r="Z1663">
        <f t="shared" si="77"/>
        <v>58.999833700000003</v>
      </c>
    </row>
    <row r="1664" spans="1:26" x14ac:dyDescent="0.3">
      <c r="A1664" t="s">
        <v>1754</v>
      </c>
      <c r="B1664" t="s">
        <v>82</v>
      </c>
      <c r="C1664" t="s">
        <v>56</v>
      </c>
      <c r="D1664" t="s">
        <v>57</v>
      </c>
      <c r="E1664">
        <v>20</v>
      </c>
      <c r="F1664" s="3">
        <v>8.2799999999999994</v>
      </c>
      <c r="G1664" s="4">
        <v>85.4</v>
      </c>
      <c r="H1664">
        <v>1</v>
      </c>
      <c r="I1664">
        <v>1</v>
      </c>
      <c r="J1664">
        <v>3</v>
      </c>
      <c r="K1664" s="4">
        <v>91.7</v>
      </c>
      <c r="L1664" s="4">
        <v>75.400000000000006</v>
      </c>
      <c r="M1664" s="4">
        <v>69.099999999999994</v>
      </c>
      <c r="N1664">
        <v>0</v>
      </c>
      <c r="O1664" t="s">
        <v>58</v>
      </c>
      <c r="P1664" t="s">
        <v>104</v>
      </c>
      <c r="Q1664" t="s">
        <v>105</v>
      </c>
      <c r="R1664" t="s">
        <v>61</v>
      </c>
      <c r="S1664" s="3">
        <v>14.49</v>
      </c>
      <c r="T1664" s="5">
        <v>44801</v>
      </c>
      <c r="U1664">
        <v>2</v>
      </c>
      <c r="V1664">
        <v>2022</v>
      </c>
      <c r="X1664">
        <f t="shared" si="75"/>
        <v>8.2798335999999999</v>
      </c>
      <c r="Y1664">
        <f t="shared" si="76"/>
        <v>14.489833600000001</v>
      </c>
      <c r="Z1664">
        <f t="shared" si="77"/>
        <v>75.399833600000008</v>
      </c>
    </row>
    <row r="1665" spans="1:26" x14ac:dyDescent="0.3">
      <c r="A1665" t="s">
        <v>1755</v>
      </c>
      <c r="B1665" t="s">
        <v>55</v>
      </c>
      <c r="C1665" t="s">
        <v>68</v>
      </c>
      <c r="D1665" t="s">
        <v>69</v>
      </c>
      <c r="E1665">
        <v>21</v>
      </c>
      <c r="F1665" s="3">
        <v>7.34</v>
      </c>
      <c r="G1665" s="4">
        <v>83.5</v>
      </c>
      <c r="H1665">
        <v>1</v>
      </c>
      <c r="I1665">
        <v>0</v>
      </c>
      <c r="J1665">
        <v>3</v>
      </c>
      <c r="K1665" s="4">
        <v>93.7</v>
      </c>
      <c r="L1665" s="4">
        <v>72</v>
      </c>
      <c r="M1665" s="4">
        <v>50.1</v>
      </c>
      <c r="N1665">
        <v>2</v>
      </c>
      <c r="O1665" t="s">
        <v>64</v>
      </c>
      <c r="P1665" t="s">
        <v>65</v>
      </c>
      <c r="S1665" s="3">
        <v>0</v>
      </c>
      <c r="T1665" s="5"/>
      <c r="U1665">
        <v>0</v>
      </c>
      <c r="V1665">
        <v>2024</v>
      </c>
      <c r="X1665">
        <f t="shared" si="75"/>
        <v>7.3398335000000001</v>
      </c>
      <c r="Y1665">
        <f t="shared" si="76"/>
        <v>-1.6649999999999998E-4</v>
      </c>
      <c r="Z1665">
        <f t="shared" si="77"/>
        <v>71.999833499999994</v>
      </c>
    </row>
    <row r="1666" spans="1:26" x14ac:dyDescent="0.3">
      <c r="A1666" t="s">
        <v>1756</v>
      </c>
      <c r="B1666" t="s">
        <v>55</v>
      </c>
      <c r="C1666" t="s">
        <v>56</v>
      </c>
      <c r="D1666" t="s">
        <v>57</v>
      </c>
      <c r="E1666">
        <v>20</v>
      </c>
      <c r="F1666" s="3">
        <v>8.59</v>
      </c>
      <c r="G1666" s="4">
        <v>75.8</v>
      </c>
      <c r="H1666">
        <v>1</v>
      </c>
      <c r="I1666">
        <v>2</v>
      </c>
      <c r="J1666">
        <v>5</v>
      </c>
      <c r="K1666" s="4">
        <v>38.5</v>
      </c>
      <c r="L1666" s="4">
        <v>68</v>
      </c>
      <c r="M1666" s="4">
        <v>53.4</v>
      </c>
      <c r="N1666">
        <v>0</v>
      </c>
      <c r="O1666" t="s">
        <v>58</v>
      </c>
      <c r="P1666" t="s">
        <v>112</v>
      </c>
      <c r="Q1666" t="s">
        <v>93</v>
      </c>
      <c r="R1666" t="s">
        <v>130</v>
      </c>
      <c r="S1666" s="3">
        <v>8.2100000000000009</v>
      </c>
      <c r="T1666" s="5">
        <v>45581</v>
      </c>
      <c r="U1666">
        <v>1</v>
      </c>
      <c r="V1666">
        <v>2024</v>
      </c>
      <c r="X1666">
        <f t="shared" ref="X1666:X1729" si="78">F1666-ROW()*0.0000001</f>
        <v>8.5898333999999998</v>
      </c>
      <c r="Y1666">
        <f t="shared" ref="Y1666:Y1729" si="79">S1666-ROW()*0.0000001</f>
        <v>8.2098334000000008</v>
      </c>
      <c r="Z1666">
        <f t="shared" ref="Z1666:Z1729" si="80">L1666-ROW()*0.0000001</f>
        <v>67.9998334</v>
      </c>
    </row>
    <row r="1667" spans="1:26" x14ac:dyDescent="0.3">
      <c r="A1667" t="s">
        <v>1757</v>
      </c>
      <c r="B1667" t="s">
        <v>63</v>
      </c>
      <c r="C1667" t="s">
        <v>56</v>
      </c>
      <c r="D1667" t="s">
        <v>69</v>
      </c>
      <c r="E1667">
        <v>22</v>
      </c>
      <c r="F1667" s="3">
        <v>6.88</v>
      </c>
      <c r="G1667" s="4">
        <v>76.7</v>
      </c>
      <c r="H1667">
        <v>2</v>
      </c>
      <c r="I1667">
        <v>1</v>
      </c>
      <c r="J1667">
        <v>3</v>
      </c>
      <c r="K1667" s="4">
        <v>74.7</v>
      </c>
      <c r="L1667" s="4">
        <v>84</v>
      </c>
      <c r="M1667" s="4">
        <v>69.400000000000006</v>
      </c>
      <c r="N1667">
        <v>0</v>
      </c>
      <c r="O1667" t="s">
        <v>58</v>
      </c>
      <c r="P1667" t="s">
        <v>70</v>
      </c>
      <c r="Q1667" t="s">
        <v>71</v>
      </c>
      <c r="R1667" t="s">
        <v>80</v>
      </c>
      <c r="S1667" s="3">
        <v>4.09</v>
      </c>
      <c r="T1667" s="5">
        <v>45894</v>
      </c>
      <c r="U1667">
        <v>1</v>
      </c>
      <c r="V1667">
        <v>2025</v>
      </c>
      <c r="X1667">
        <f t="shared" si="78"/>
        <v>6.8798332999999996</v>
      </c>
      <c r="Y1667">
        <f t="shared" si="79"/>
        <v>4.0898332999999996</v>
      </c>
      <c r="Z1667">
        <f t="shared" si="80"/>
        <v>83.999833300000006</v>
      </c>
    </row>
    <row r="1668" spans="1:26" x14ac:dyDescent="0.3">
      <c r="A1668" t="s">
        <v>1758</v>
      </c>
      <c r="B1668" t="s">
        <v>107</v>
      </c>
      <c r="C1668" t="s">
        <v>89</v>
      </c>
      <c r="D1668" t="s">
        <v>57</v>
      </c>
      <c r="E1668">
        <v>21</v>
      </c>
      <c r="F1668" s="3">
        <v>8.81</v>
      </c>
      <c r="G1668" s="4">
        <v>95.1</v>
      </c>
      <c r="H1668">
        <v>1</v>
      </c>
      <c r="I1668">
        <v>3</v>
      </c>
      <c r="J1668">
        <v>3</v>
      </c>
      <c r="K1668" s="4">
        <v>49.6</v>
      </c>
      <c r="L1668" s="4">
        <v>77</v>
      </c>
      <c r="M1668" s="4">
        <v>74.400000000000006</v>
      </c>
      <c r="N1668">
        <v>0</v>
      </c>
      <c r="O1668" t="s">
        <v>58</v>
      </c>
      <c r="P1668" t="s">
        <v>112</v>
      </c>
      <c r="Q1668" t="s">
        <v>93</v>
      </c>
      <c r="R1668" t="s">
        <v>72</v>
      </c>
      <c r="S1668" s="3">
        <v>7.88</v>
      </c>
      <c r="T1668" s="5">
        <v>44523</v>
      </c>
      <c r="U1668">
        <v>1</v>
      </c>
      <c r="V1668">
        <v>2021</v>
      </c>
      <c r="X1668">
        <f t="shared" si="78"/>
        <v>8.8098331999999999</v>
      </c>
      <c r="Y1668">
        <f t="shared" si="79"/>
        <v>7.8798332000000002</v>
      </c>
      <c r="Z1668">
        <f t="shared" si="80"/>
        <v>76.999833199999998</v>
      </c>
    </row>
    <row r="1669" spans="1:26" x14ac:dyDescent="0.3">
      <c r="A1669" t="s">
        <v>1759</v>
      </c>
      <c r="B1669" t="s">
        <v>63</v>
      </c>
      <c r="C1669" t="s">
        <v>56</v>
      </c>
      <c r="D1669" t="s">
        <v>57</v>
      </c>
      <c r="E1669">
        <v>23</v>
      </c>
      <c r="F1669" s="3">
        <v>7.77</v>
      </c>
      <c r="G1669" s="4">
        <v>97.1</v>
      </c>
      <c r="H1669">
        <v>1</v>
      </c>
      <c r="I1669">
        <v>3</v>
      </c>
      <c r="J1669">
        <v>3</v>
      </c>
      <c r="K1669" s="4">
        <v>84.2</v>
      </c>
      <c r="L1669" s="4">
        <v>100</v>
      </c>
      <c r="M1669" s="4">
        <v>78.5</v>
      </c>
      <c r="N1669">
        <v>2</v>
      </c>
      <c r="O1669" t="s">
        <v>58</v>
      </c>
      <c r="P1669" t="s">
        <v>79</v>
      </c>
      <c r="Q1669" t="s">
        <v>71</v>
      </c>
      <c r="R1669" t="s">
        <v>109</v>
      </c>
      <c r="S1669" s="3">
        <v>7.15</v>
      </c>
      <c r="T1669" s="5">
        <v>45900</v>
      </c>
      <c r="U1669">
        <v>1</v>
      </c>
      <c r="V1669">
        <v>2025</v>
      </c>
      <c r="X1669">
        <f t="shared" si="78"/>
        <v>7.7698330999999996</v>
      </c>
      <c r="Y1669">
        <f t="shared" si="79"/>
        <v>7.1498331000000004</v>
      </c>
      <c r="Z1669">
        <f t="shared" si="80"/>
        <v>99.999833100000004</v>
      </c>
    </row>
    <row r="1670" spans="1:26" x14ac:dyDescent="0.3">
      <c r="A1670" t="s">
        <v>1760</v>
      </c>
      <c r="B1670" t="s">
        <v>67</v>
      </c>
      <c r="C1670" t="s">
        <v>89</v>
      </c>
      <c r="D1670" t="s">
        <v>69</v>
      </c>
      <c r="E1670">
        <v>21</v>
      </c>
      <c r="F1670" s="3">
        <v>7.2</v>
      </c>
      <c r="G1670" s="4">
        <v>80.3</v>
      </c>
      <c r="H1670">
        <v>1</v>
      </c>
      <c r="I1670">
        <v>0</v>
      </c>
      <c r="J1670">
        <v>2</v>
      </c>
      <c r="K1670" s="4">
        <v>70.7</v>
      </c>
      <c r="L1670" s="4">
        <v>56.1</v>
      </c>
      <c r="M1670" s="4">
        <v>76.3</v>
      </c>
      <c r="N1670">
        <v>0</v>
      </c>
      <c r="O1670" t="s">
        <v>64</v>
      </c>
      <c r="P1670" t="s">
        <v>65</v>
      </c>
      <c r="S1670" s="3">
        <v>0</v>
      </c>
      <c r="T1670" s="5"/>
      <c r="U1670">
        <v>0</v>
      </c>
      <c r="V1670">
        <v>2023</v>
      </c>
      <c r="X1670">
        <f t="shared" si="78"/>
        <v>7.1998329999999999</v>
      </c>
      <c r="Y1670">
        <f t="shared" si="79"/>
        <v>-1.6699999999999999E-4</v>
      </c>
      <c r="Z1670">
        <f t="shared" si="80"/>
        <v>56.099833000000004</v>
      </c>
    </row>
    <row r="1671" spans="1:26" x14ac:dyDescent="0.3">
      <c r="A1671" t="s">
        <v>1761</v>
      </c>
      <c r="B1671" t="s">
        <v>82</v>
      </c>
      <c r="C1671" t="s">
        <v>56</v>
      </c>
      <c r="D1671" t="s">
        <v>57</v>
      </c>
      <c r="E1671">
        <v>23</v>
      </c>
      <c r="F1671" s="3">
        <v>7.36</v>
      </c>
      <c r="G1671" s="4">
        <v>82</v>
      </c>
      <c r="H1671">
        <v>3</v>
      </c>
      <c r="I1671">
        <v>2</v>
      </c>
      <c r="J1671">
        <v>3</v>
      </c>
      <c r="K1671" s="4">
        <v>56</v>
      </c>
      <c r="L1671" s="4">
        <v>64</v>
      </c>
      <c r="M1671" s="4">
        <v>84.7</v>
      </c>
      <c r="N1671">
        <v>2</v>
      </c>
      <c r="O1671" t="s">
        <v>58</v>
      </c>
      <c r="P1671" t="s">
        <v>112</v>
      </c>
      <c r="Q1671" t="s">
        <v>93</v>
      </c>
      <c r="R1671" t="s">
        <v>76</v>
      </c>
      <c r="S1671" s="3">
        <v>7.25</v>
      </c>
      <c r="T1671" s="5">
        <v>44852</v>
      </c>
      <c r="U1671">
        <v>1</v>
      </c>
      <c r="V1671">
        <v>2022</v>
      </c>
      <c r="X1671">
        <f t="shared" si="78"/>
        <v>7.3598329000000007</v>
      </c>
      <c r="Y1671">
        <f t="shared" si="79"/>
        <v>7.2498329000000004</v>
      </c>
      <c r="Z1671">
        <f t="shared" si="80"/>
        <v>63.999832900000001</v>
      </c>
    </row>
    <row r="1672" spans="1:26" x14ac:dyDescent="0.3">
      <c r="A1672" t="s">
        <v>1762</v>
      </c>
      <c r="B1672" t="s">
        <v>67</v>
      </c>
      <c r="C1672" t="s">
        <v>74</v>
      </c>
      <c r="D1672" t="s">
        <v>69</v>
      </c>
      <c r="E1672">
        <v>23</v>
      </c>
      <c r="F1672" s="3">
        <v>8.5500000000000007</v>
      </c>
      <c r="G1672" s="4">
        <v>88.6</v>
      </c>
      <c r="H1672">
        <v>2</v>
      </c>
      <c r="I1672">
        <v>2</v>
      </c>
      <c r="J1672">
        <v>1</v>
      </c>
      <c r="K1672" s="4">
        <v>50.3</v>
      </c>
      <c r="L1672" s="4">
        <v>91.8</v>
      </c>
      <c r="M1672" s="4">
        <v>95.6</v>
      </c>
      <c r="N1672">
        <v>0</v>
      </c>
      <c r="O1672" t="s">
        <v>64</v>
      </c>
      <c r="P1672" t="s">
        <v>65</v>
      </c>
      <c r="S1672" s="3">
        <v>0</v>
      </c>
      <c r="T1672" s="5"/>
      <c r="U1672">
        <v>0</v>
      </c>
      <c r="V1672">
        <v>2023</v>
      </c>
      <c r="X1672">
        <f t="shared" si="78"/>
        <v>8.5498328000000008</v>
      </c>
      <c r="Y1672">
        <f t="shared" si="79"/>
        <v>-1.672E-4</v>
      </c>
      <c r="Z1672">
        <f t="shared" si="80"/>
        <v>91.79983279999999</v>
      </c>
    </row>
    <row r="1673" spans="1:26" x14ac:dyDescent="0.3">
      <c r="A1673" t="s">
        <v>1763</v>
      </c>
      <c r="B1673" t="s">
        <v>55</v>
      </c>
      <c r="C1673" t="s">
        <v>101</v>
      </c>
      <c r="D1673" t="s">
        <v>57</v>
      </c>
      <c r="E1673">
        <v>21</v>
      </c>
      <c r="F1673" s="3">
        <v>7.86</v>
      </c>
      <c r="G1673" s="4">
        <v>82.8</v>
      </c>
      <c r="H1673">
        <v>2</v>
      </c>
      <c r="I1673">
        <v>2</v>
      </c>
      <c r="J1673">
        <v>4</v>
      </c>
      <c r="K1673" s="4">
        <v>57</v>
      </c>
      <c r="L1673" s="4">
        <v>95.3</v>
      </c>
      <c r="M1673" s="4">
        <v>75.2</v>
      </c>
      <c r="N1673">
        <v>1</v>
      </c>
      <c r="O1673" t="s">
        <v>58</v>
      </c>
      <c r="P1673" t="s">
        <v>92</v>
      </c>
      <c r="Q1673" t="s">
        <v>93</v>
      </c>
      <c r="R1673" t="s">
        <v>109</v>
      </c>
      <c r="S1673" s="3">
        <v>10.35</v>
      </c>
      <c r="T1673" s="5">
        <v>45544</v>
      </c>
      <c r="U1673">
        <v>1</v>
      </c>
      <c r="V1673">
        <v>2024</v>
      </c>
      <c r="X1673">
        <f t="shared" si="78"/>
        <v>7.8598327000000001</v>
      </c>
      <c r="Y1673">
        <f t="shared" si="79"/>
        <v>10.3498327</v>
      </c>
      <c r="Z1673">
        <f t="shared" si="80"/>
        <v>95.299832699999996</v>
      </c>
    </row>
    <row r="1674" spans="1:26" x14ac:dyDescent="0.3">
      <c r="A1674" t="s">
        <v>1764</v>
      </c>
      <c r="B1674" t="s">
        <v>63</v>
      </c>
      <c r="C1674" t="s">
        <v>68</v>
      </c>
      <c r="D1674" t="s">
        <v>57</v>
      </c>
      <c r="E1674">
        <v>21</v>
      </c>
      <c r="F1674" s="3">
        <v>8.23</v>
      </c>
      <c r="G1674" s="4">
        <v>83.5</v>
      </c>
      <c r="H1674">
        <v>1</v>
      </c>
      <c r="I1674">
        <v>1</v>
      </c>
      <c r="J1674">
        <v>5</v>
      </c>
      <c r="K1674" s="4">
        <v>54.9</v>
      </c>
      <c r="L1674" s="4">
        <v>57.1</v>
      </c>
      <c r="M1674" s="4">
        <v>78.3</v>
      </c>
      <c r="N1674">
        <v>2</v>
      </c>
      <c r="O1674" t="s">
        <v>64</v>
      </c>
      <c r="P1674" t="s">
        <v>65</v>
      </c>
      <c r="S1674" s="3">
        <v>0</v>
      </c>
      <c r="T1674" s="5"/>
      <c r="U1674">
        <v>0</v>
      </c>
      <c r="V1674">
        <v>2025</v>
      </c>
      <c r="X1674">
        <f t="shared" si="78"/>
        <v>8.2298325999999999</v>
      </c>
      <c r="Y1674">
        <f t="shared" si="79"/>
        <v>-1.674E-4</v>
      </c>
      <c r="Z1674">
        <f t="shared" si="80"/>
        <v>57.099832599999999</v>
      </c>
    </row>
    <row r="1675" spans="1:26" x14ac:dyDescent="0.3">
      <c r="A1675" t="s">
        <v>1765</v>
      </c>
      <c r="B1675" t="s">
        <v>63</v>
      </c>
      <c r="C1675" t="s">
        <v>89</v>
      </c>
      <c r="D1675" t="s">
        <v>57</v>
      </c>
      <c r="E1675">
        <v>23</v>
      </c>
      <c r="F1675" s="3">
        <v>8.6199999999999992</v>
      </c>
      <c r="G1675" s="4">
        <v>81.5</v>
      </c>
      <c r="H1675">
        <v>1</v>
      </c>
      <c r="I1675">
        <v>2</v>
      </c>
      <c r="J1675">
        <v>4</v>
      </c>
      <c r="K1675" s="4">
        <v>84.8</v>
      </c>
      <c r="L1675" s="4">
        <v>64.2</v>
      </c>
      <c r="M1675" s="4">
        <v>64.8</v>
      </c>
      <c r="N1675">
        <v>0</v>
      </c>
      <c r="O1675" t="s">
        <v>58</v>
      </c>
      <c r="P1675" t="s">
        <v>75</v>
      </c>
      <c r="Q1675" t="s">
        <v>71</v>
      </c>
      <c r="R1675" t="s">
        <v>109</v>
      </c>
      <c r="S1675" s="3">
        <v>6.78</v>
      </c>
      <c r="T1675" s="5">
        <v>45936</v>
      </c>
      <c r="U1675">
        <v>2</v>
      </c>
      <c r="V1675">
        <v>2025</v>
      </c>
      <c r="X1675">
        <f t="shared" si="78"/>
        <v>8.6198324999999993</v>
      </c>
      <c r="Y1675">
        <f t="shared" si="79"/>
        <v>6.7798325000000004</v>
      </c>
      <c r="Z1675">
        <f t="shared" si="80"/>
        <v>64.199832499999999</v>
      </c>
    </row>
    <row r="1676" spans="1:26" x14ac:dyDescent="0.3">
      <c r="A1676" t="s">
        <v>1766</v>
      </c>
      <c r="B1676" t="s">
        <v>63</v>
      </c>
      <c r="C1676" t="s">
        <v>89</v>
      </c>
      <c r="D1676" t="s">
        <v>57</v>
      </c>
      <c r="E1676">
        <v>23</v>
      </c>
      <c r="F1676" s="3">
        <v>7.18</v>
      </c>
      <c r="G1676" s="4">
        <v>73.599999999999994</v>
      </c>
      <c r="H1676">
        <v>2</v>
      </c>
      <c r="I1676">
        <v>0</v>
      </c>
      <c r="J1676">
        <v>4</v>
      </c>
      <c r="K1676" s="4">
        <v>67.2</v>
      </c>
      <c r="L1676" s="4">
        <v>67.3</v>
      </c>
      <c r="M1676" s="4">
        <v>74.7</v>
      </c>
      <c r="N1676">
        <v>0</v>
      </c>
      <c r="O1676" t="s">
        <v>58</v>
      </c>
      <c r="P1676" t="s">
        <v>87</v>
      </c>
      <c r="Q1676" t="s">
        <v>71</v>
      </c>
      <c r="R1676" t="s">
        <v>61</v>
      </c>
      <c r="S1676" s="3">
        <v>6.87</v>
      </c>
      <c r="T1676" s="5">
        <v>45932</v>
      </c>
      <c r="U1676">
        <v>1</v>
      </c>
      <c r="V1676">
        <v>2025</v>
      </c>
      <c r="X1676">
        <f t="shared" si="78"/>
        <v>7.1798323999999996</v>
      </c>
      <c r="Y1676">
        <f t="shared" si="79"/>
        <v>6.8698324</v>
      </c>
      <c r="Z1676">
        <f t="shared" si="80"/>
        <v>67.2998324</v>
      </c>
    </row>
    <row r="1677" spans="1:26" x14ac:dyDescent="0.3">
      <c r="A1677" t="s">
        <v>1767</v>
      </c>
      <c r="B1677" t="s">
        <v>67</v>
      </c>
      <c r="C1677" t="s">
        <v>101</v>
      </c>
      <c r="D1677" t="s">
        <v>69</v>
      </c>
      <c r="E1677">
        <v>20</v>
      </c>
      <c r="F1677" s="3">
        <v>7.76</v>
      </c>
      <c r="G1677" s="4">
        <v>78.599999999999994</v>
      </c>
      <c r="H1677">
        <v>1</v>
      </c>
      <c r="I1677">
        <v>0</v>
      </c>
      <c r="J1677">
        <v>1</v>
      </c>
      <c r="K1677" s="4">
        <v>52.3</v>
      </c>
      <c r="L1677" s="4">
        <v>91.1</v>
      </c>
      <c r="M1677" s="4">
        <v>76.5</v>
      </c>
      <c r="N1677">
        <v>0</v>
      </c>
      <c r="O1677" t="s">
        <v>58</v>
      </c>
      <c r="P1677" t="s">
        <v>104</v>
      </c>
      <c r="Q1677" t="s">
        <v>105</v>
      </c>
      <c r="R1677" t="s">
        <v>109</v>
      </c>
      <c r="S1677" s="3">
        <v>15.38</v>
      </c>
      <c r="T1677" s="5">
        <v>45149</v>
      </c>
      <c r="U1677">
        <v>1</v>
      </c>
      <c r="V1677">
        <v>2023</v>
      </c>
      <c r="X1677">
        <f t="shared" si="78"/>
        <v>7.7598322999999993</v>
      </c>
      <c r="Y1677">
        <f t="shared" si="79"/>
        <v>15.3798323</v>
      </c>
      <c r="Z1677">
        <f t="shared" si="80"/>
        <v>91.099832299999989</v>
      </c>
    </row>
    <row r="1678" spans="1:26" x14ac:dyDescent="0.3">
      <c r="A1678" t="s">
        <v>1768</v>
      </c>
      <c r="B1678" t="s">
        <v>55</v>
      </c>
      <c r="C1678" t="s">
        <v>74</v>
      </c>
      <c r="D1678" t="s">
        <v>69</v>
      </c>
      <c r="E1678">
        <v>21</v>
      </c>
      <c r="F1678" s="3">
        <v>7.45</v>
      </c>
      <c r="G1678" s="4">
        <v>80.8</v>
      </c>
      <c r="H1678">
        <v>2</v>
      </c>
      <c r="I1678">
        <v>2</v>
      </c>
      <c r="J1678">
        <v>5</v>
      </c>
      <c r="K1678" s="4">
        <v>72.2</v>
      </c>
      <c r="L1678" s="4">
        <v>68</v>
      </c>
      <c r="M1678" s="4">
        <v>75.8</v>
      </c>
      <c r="N1678">
        <v>1</v>
      </c>
      <c r="O1678" t="s">
        <v>58</v>
      </c>
      <c r="P1678" t="s">
        <v>79</v>
      </c>
      <c r="Q1678" t="s">
        <v>71</v>
      </c>
      <c r="R1678" t="s">
        <v>130</v>
      </c>
      <c r="S1678" s="3">
        <v>7.09</v>
      </c>
      <c r="T1678" s="5">
        <v>45531</v>
      </c>
      <c r="U1678">
        <v>1</v>
      </c>
      <c r="V1678">
        <v>2024</v>
      </c>
      <c r="X1678">
        <f t="shared" si="78"/>
        <v>7.4498322000000003</v>
      </c>
      <c r="Y1678">
        <f t="shared" si="79"/>
        <v>7.0898322</v>
      </c>
      <c r="Z1678">
        <f t="shared" si="80"/>
        <v>67.9998322</v>
      </c>
    </row>
    <row r="1679" spans="1:26" x14ac:dyDescent="0.3">
      <c r="A1679" t="s">
        <v>1769</v>
      </c>
      <c r="B1679" t="s">
        <v>82</v>
      </c>
      <c r="C1679" t="s">
        <v>78</v>
      </c>
      <c r="D1679" t="s">
        <v>57</v>
      </c>
      <c r="E1679">
        <v>21</v>
      </c>
      <c r="F1679" s="3">
        <v>8.57</v>
      </c>
      <c r="G1679" s="4">
        <v>59.3</v>
      </c>
      <c r="H1679">
        <v>1</v>
      </c>
      <c r="I1679">
        <v>1</v>
      </c>
      <c r="J1679">
        <v>3</v>
      </c>
      <c r="K1679" s="4">
        <v>71.900000000000006</v>
      </c>
      <c r="L1679" s="4">
        <v>67.5</v>
      </c>
      <c r="M1679" s="4">
        <v>65</v>
      </c>
      <c r="N1679">
        <v>0</v>
      </c>
      <c r="O1679" t="s">
        <v>58</v>
      </c>
      <c r="P1679" t="s">
        <v>59</v>
      </c>
      <c r="Q1679" t="s">
        <v>60</v>
      </c>
      <c r="R1679" t="s">
        <v>61</v>
      </c>
      <c r="S1679" s="3">
        <v>19.670000000000002</v>
      </c>
      <c r="T1679" s="5">
        <v>44810</v>
      </c>
      <c r="U1679">
        <v>2</v>
      </c>
      <c r="V1679">
        <v>2022</v>
      </c>
      <c r="X1679">
        <f t="shared" si="78"/>
        <v>8.5698321000000011</v>
      </c>
      <c r="Y1679">
        <f t="shared" si="79"/>
        <v>19.669832100000001</v>
      </c>
      <c r="Z1679">
        <f t="shared" si="80"/>
        <v>67.499832100000006</v>
      </c>
    </row>
    <row r="1680" spans="1:26" x14ac:dyDescent="0.3">
      <c r="A1680" t="s">
        <v>1770</v>
      </c>
      <c r="B1680" t="s">
        <v>82</v>
      </c>
      <c r="C1680" t="s">
        <v>84</v>
      </c>
      <c r="D1680" t="s">
        <v>57</v>
      </c>
      <c r="E1680">
        <v>20</v>
      </c>
      <c r="F1680" s="3">
        <v>7.31</v>
      </c>
      <c r="G1680" s="4">
        <v>82.8</v>
      </c>
      <c r="H1680">
        <v>1</v>
      </c>
      <c r="I1680">
        <v>0</v>
      </c>
      <c r="J1680">
        <v>6</v>
      </c>
      <c r="K1680" s="4">
        <v>64.400000000000006</v>
      </c>
      <c r="L1680" s="4">
        <v>66</v>
      </c>
      <c r="M1680" s="4">
        <v>76</v>
      </c>
      <c r="N1680">
        <v>1</v>
      </c>
      <c r="O1680" t="s">
        <v>58</v>
      </c>
      <c r="P1680" t="s">
        <v>75</v>
      </c>
      <c r="Q1680" t="s">
        <v>71</v>
      </c>
      <c r="R1680" t="s">
        <v>61</v>
      </c>
      <c r="S1680" s="3">
        <v>3.83</v>
      </c>
      <c r="T1680" s="5">
        <v>44785</v>
      </c>
      <c r="U1680">
        <v>1</v>
      </c>
      <c r="V1680">
        <v>2022</v>
      </c>
      <c r="X1680">
        <f t="shared" si="78"/>
        <v>7.3098319999999992</v>
      </c>
      <c r="Y1680">
        <f t="shared" si="79"/>
        <v>3.8298320000000001</v>
      </c>
      <c r="Z1680">
        <f t="shared" si="80"/>
        <v>65.999831999999998</v>
      </c>
    </row>
    <row r="1681" spans="1:26" x14ac:dyDescent="0.3">
      <c r="A1681" t="s">
        <v>1771</v>
      </c>
      <c r="B1681" t="s">
        <v>67</v>
      </c>
      <c r="C1681" t="s">
        <v>78</v>
      </c>
      <c r="D1681" t="s">
        <v>69</v>
      </c>
      <c r="E1681">
        <v>21</v>
      </c>
      <c r="F1681" s="3">
        <v>7.69</v>
      </c>
      <c r="G1681" s="4">
        <v>100</v>
      </c>
      <c r="H1681">
        <v>1</v>
      </c>
      <c r="I1681">
        <v>1</v>
      </c>
      <c r="J1681">
        <v>2</v>
      </c>
      <c r="K1681" s="4">
        <v>83.8</v>
      </c>
      <c r="L1681" s="4">
        <v>71.599999999999994</v>
      </c>
      <c r="M1681" s="4">
        <v>75.099999999999994</v>
      </c>
      <c r="N1681">
        <v>0</v>
      </c>
      <c r="O1681" t="s">
        <v>58</v>
      </c>
      <c r="P1681" t="s">
        <v>70</v>
      </c>
      <c r="Q1681" t="s">
        <v>71</v>
      </c>
      <c r="R1681" t="s">
        <v>61</v>
      </c>
      <c r="S1681" s="3">
        <v>5.48</v>
      </c>
      <c r="T1681" s="5">
        <v>45235</v>
      </c>
      <c r="U1681">
        <v>3</v>
      </c>
      <c r="V1681">
        <v>2023</v>
      </c>
      <c r="X1681">
        <f t="shared" si="78"/>
        <v>7.6898319000000006</v>
      </c>
      <c r="Y1681">
        <f t="shared" si="79"/>
        <v>5.4798319000000006</v>
      </c>
      <c r="Z1681">
        <f t="shared" si="80"/>
        <v>71.599831899999998</v>
      </c>
    </row>
    <row r="1682" spans="1:26" x14ac:dyDescent="0.3">
      <c r="A1682" t="s">
        <v>1772</v>
      </c>
      <c r="B1682" t="s">
        <v>63</v>
      </c>
      <c r="C1682" t="s">
        <v>68</v>
      </c>
      <c r="D1682" t="s">
        <v>57</v>
      </c>
      <c r="E1682">
        <v>20</v>
      </c>
      <c r="F1682" s="3">
        <v>9.7200000000000006</v>
      </c>
      <c r="G1682" s="4">
        <v>78.099999999999994</v>
      </c>
      <c r="H1682">
        <v>2</v>
      </c>
      <c r="I1682">
        <v>1</v>
      </c>
      <c r="J1682">
        <v>6</v>
      </c>
      <c r="K1682" s="4">
        <v>74.599999999999994</v>
      </c>
      <c r="L1682" s="4">
        <v>75.2</v>
      </c>
      <c r="M1682" s="4">
        <v>77.8</v>
      </c>
      <c r="N1682">
        <v>0</v>
      </c>
      <c r="O1682" t="s">
        <v>58</v>
      </c>
      <c r="P1682" t="s">
        <v>95</v>
      </c>
      <c r="Q1682" t="s">
        <v>93</v>
      </c>
      <c r="R1682" t="s">
        <v>80</v>
      </c>
      <c r="S1682" s="3">
        <v>8.49</v>
      </c>
      <c r="T1682" s="5">
        <v>45897</v>
      </c>
      <c r="U1682">
        <v>2</v>
      </c>
      <c r="V1682">
        <v>2025</v>
      </c>
      <c r="X1682">
        <f t="shared" si="78"/>
        <v>9.7198318000000015</v>
      </c>
      <c r="Y1682">
        <f t="shared" si="79"/>
        <v>8.489831800000001</v>
      </c>
      <c r="Z1682">
        <f t="shared" si="80"/>
        <v>75.199831799999998</v>
      </c>
    </row>
    <row r="1683" spans="1:26" x14ac:dyDescent="0.3">
      <c r="A1683" t="s">
        <v>1773</v>
      </c>
      <c r="B1683" t="s">
        <v>107</v>
      </c>
      <c r="C1683" t="s">
        <v>89</v>
      </c>
      <c r="D1683" t="s">
        <v>57</v>
      </c>
      <c r="E1683">
        <v>20</v>
      </c>
      <c r="F1683" s="3">
        <v>8.81</v>
      </c>
      <c r="G1683" s="4">
        <v>82.3</v>
      </c>
      <c r="H1683">
        <v>0</v>
      </c>
      <c r="I1683">
        <v>0</v>
      </c>
      <c r="J1683">
        <v>4</v>
      </c>
      <c r="K1683" s="4">
        <v>73.5</v>
      </c>
      <c r="L1683" s="4">
        <v>98.2</v>
      </c>
      <c r="M1683" s="4">
        <v>69.2</v>
      </c>
      <c r="N1683">
        <v>0</v>
      </c>
      <c r="O1683" t="s">
        <v>58</v>
      </c>
      <c r="P1683" t="s">
        <v>87</v>
      </c>
      <c r="Q1683" t="s">
        <v>71</v>
      </c>
      <c r="R1683" t="s">
        <v>130</v>
      </c>
      <c r="S1683" s="3">
        <v>6.44</v>
      </c>
      <c r="T1683" s="5">
        <v>44414</v>
      </c>
      <c r="U1683">
        <v>1</v>
      </c>
      <c r="V1683">
        <v>2021</v>
      </c>
      <c r="X1683">
        <f t="shared" si="78"/>
        <v>8.8098317000000002</v>
      </c>
      <c r="Y1683">
        <f t="shared" si="79"/>
        <v>6.4398317</v>
      </c>
      <c r="Z1683">
        <f t="shared" si="80"/>
        <v>98.199831700000004</v>
      </c>
    </row>
    <row r="1684" spans="1:26" x14ac:dyDescent="0.3">
      <c r="A1684" t="s">
        <v>1774</v>
      </c>
      <c r="B1684" t="s">
        <v>67</v>
      </c>
      <c r="C1684" t="s">
        <v>78</v>
      </c>
      <c r="D1684" t="s">
        <v>69</v>
      </c>
      <c r="E1684">
        <v>21</v>
      </c>
      <c r="F1684" s="3">
        <v>6.72</v>
      </c>
      <c r="G1684" s="4">
        <v>74.400000000000006</v>
      </c>
      <c r="H1684">
        <v>2</v>
      </c>
      <c r="I1684">
        <v>1</v>
      </c>
      <c r="J1684">
        <v>2</v>
      </c>
      <c r="K1684" s="4">
        <v>40.799999999999997</v>
      </c>
      <c r="L1684" s="4">
        <v>92</v>
      </c>
      <c r="M1684" s="4">
        <v>74.099999999999994</v>
      </c>
      <c r="N1684">
        <v>1</v>
      </c>
      <c r="O1684" t="s">
        <v>58</v>
      </c>
      <c r="P1684" t="s">
        <v>59</v>
      </c>
      <c r="Q1684" t="s">
        <v>60</v>
      </c>
      <c r="R1684" t="s">
        <v>61</v>
      </c>
      <c r="S1684" s="3">
        <v>19.73</v>
      </c>
      <c r="T1684" s="5">
        <v>45208</v>
      </c>
      <c r="U1684">
        <v>1</v>
      </c>
      <c r="V1684">
        <v>2023</v>
      </c>
      <c r="X1684">
        <f t="shared" si="78"/>
        <v>6.7198316</v>
      </c>
      <c r="Y1684">
        <f t="shared" si="79"/>
        <v>19.729831600000001</v>
      </c>
      <c r="Z1684">
        <f t="shared" si="80"/>
        <v>91.999831599999993</v>
      </c>
    </row>
    <row r="1685" spans="1:26" x14ac:dyDescent="0.3">
      <c r="A1685" t="s">
        <v>1775</v>
      </c>
      <c r="B1685" t="s">
        <v>67</v>
      </c>
      <c r="C1685" t="s">
        <v>89</v>
      </c>
      <c r="D1685" t="s">
        <v>69</v>
      </c>
      <c r="E1685">
        <v>22</v>
      </c>
      <c r="F1685" s="3">
        <v>8.4600000000000009</v>
      </c>
      <c r="G1685" s="4">
        <v>72.2</v>
      </c>
      <c r="H1685">
        <v>2</v>
      </c>
      <c r="I1685">
        <v>1</v>
      </c>
      <c r="J1685">
        <v>6</v>
      </c>
      <c r="K1685" s="4">
        <v>61.9</v>
      </c>
      <c r="L1685" s="4">
        <v>53.8</v>
      </c>
      <c r="M1685" s="4">
        <v>100</v>
      </c>
      <c r="N1685">
        <v>0</v>
      </c>
      <c r="O1685" t="s">
        <v>58</v>
      </c>
      <c r="P1685" t="s">
        <v>75</v>
      </c>
      <c r="Q1685" t="s">
        <v>71</v>
      </c>
      <c r="R1685" t="s">
        <v>72</v>
      </c>
      <c r="S1685" s="3">
        <v>6.04</v>
      </c>
      <c r="T1685" s="5">
        <v>45182</v>
      </c>
      <c r="U1685">
        <v>2</v>
      </c>
      <c r="V1685">
        <v>2023</v>
      </c>
      <c r="X1685">
        <f t="shared" si="78"/>
        <v>8.4598315000000017</v>
      </c>
      <c r="Y1685">
        <f t="shared" si="79"/>
        <v>6.0398315</v>
      </c>
      <c r="Z1685">
        <f t="shared" si="80"/>
        <v>53.799831499999996</v>
      </c>
    </row>
    <row r="1686" spans="1:26" x14ac:dyDescent="0.3">
      <c r="A1686" t="s">
        <v>1776</v>
      </c>
      <c r="B1686" t="s">
        <v>55</v>
      </c>
      <c r="C1686" t="s">
        <v>56</v>
      </c>
      <c r="D1686" t="s">
        <v>69</v>
      </c>
      <c r="E1686">
        <v>23</v>
      </c>
      <c r="F1686" s="3">
        <v>8.27</v>
      </c>
      <c r="G1686" s="4">
        <v>79.2</v>
      </c>
      <c r="H1686">
        <v>3</v>
      </c>
      <c r="I1686">
        <v>3</v>
      </c>
      <c r="J1686">
        <v>1</v>
      </c>
      <c r="K1686" s="4">
        <v>76</v>
      </c>
      <c r="L1686" s="4">
        <v>67.2</v>
      </c>
      <c r="M1686" s="4">
        <v>74.7</v>
      </c>
      <c r="N1686">
        <v>2</v>
      </c>
      <c r="O1686" t="s">
        <v>58</v>
      </c>
      <c r="P1686" t="s">
        <v>70</v>
      </c>
      <c r="Q1686" t="s">
        <v>71</v>
      </c>
      <c r="R1686" t="s">
        <v>61</v>
      </c>
      <c r="S1686" s="3">
        <v>7.26</v>
      </c>
      <c r="T1686" s="5">
        <v>45589</v>
      </c>
      <c r="U1686">
        <v>1</v>
      </c>
      <c r="V1686">
        <v>2024</v>
      </c>
      <c r="X1686">
        <f t="shared" si="78"/>
        <v>8.2698313999999993</v>
      </c>
      <c r="Y1686">
        <f t="shared" si="79"/>
        <v>7.2598313999999995</v>
      </c>
      <c r="Z1686">
        <f t="shared" si="80"/>
        <v>67.199831400000008</v>
      </c>
    </row>
    <row r="1687" spans="1:26" x14ac:dyDescent="0.3">
      <c r="A1687" t="s">
        <v>1777</v>
      </c>
      <c r="B1687" t="s">
        <v>82</v>
      </c>
      <c r="C1687" t="s">
        <v>56</v>
      </c>
      <c r="D1687" t="s">
        <v>69</v>
      </c>
      <c r="E1687">
        <v>21</v>
      </c>
      <c r="F1687" s="3">
        <v>6.66</v>
      </c>
      <c r="G1687" s="4">
        <v>87.7</v>
      </c>
      <c r="H1687">
        <v>1</v>
      </c>
      <c r="I1687">
        <v>0</v>
      </c>
      <c r="J1687">
        <v>5</v>
      </c>
      <c r="K1687" s="4">
        <v>72</v>
      </c>
      <c r="L1687" s="4">
        <v>70.3</v>
      </c>
      <c r="M1687" s="4">
        <v>86.9</v>
      </c>
      <c r="N1687">
        <v>0</v>
      </c>
      <c r="O1687" t="s">
        <v>64</v>
      </c>
      <c r="P1687" t="s">
        <v>65</v>
      </c>
      <c r="S1687" s="3">
        <v>0</v>
      </c>
      <c r="T1687" s="5"/>
      <c r="U1687">
        <v>0</v>
      </c>
      <c r="V1687">
        <v>2022</v>
      </c>
      <c r="X1687">
        <f t="shared" si="78"/>
        <v>6.6598313000000005</v>
      </c>
      <c r="Y1687">
        <f t="shared" si="79"/>
        <v>-1.6869999999999998E-4</v>
      </c>
      <c r="Z1687">
        <f t="shared" si="80"/>
        <v>70.299831299999994</v>
      </c>
    </row>
    <row r="1688" spans="1:26" x14ac:dyDescent="0.3">
      <c r="A1688" t="s">
        <v>1778</v>
      </c>
      <c r="B1688" t="s">
        <v>67</v>
      </c>
      <c r="C1688" t="s">
        <v>101</v>
      </c>
      <c r="D1688" t="s">
        <v>69</v>
      </c>
      <c r="E1688">
        <v>22</v>
      </c>
      <c r="F1688" s="3">
        <v>7.55</v>
      </c>
      <c r="G1688" s="4">
        <v>79.900000000000006</v>
      </c>
      <c r="H1688">
        <v>1</v>
      </c>
      <c r="I1688">
        <v>3</v>
      </c>
      <c r="J1688">
        <v>5</v>
      </c>
      <c r="K1688" s="4">
        <v>68</v>
      </c>
      <c r="L1688" s="4">
        <v>63.3</v>
      </c>
      <c r="M1688" s="4">
        <v>91.1</v>
      </c>
      <c r="N1688">
        <v>1</v>
      </c>
      <c r="O1688" t="s">
        <v>58</v>
      </c>
      <c r="P1688" t="s">
        <v>95</v>
      </c>
      <c r="Q1688" t="s">
        <v>93</v>
      </c>
      <c r="R1688" t="s">
        <v>130</v>
      </c>
      <c r="S1688" s="3">
        <v>6.05</v>
      </c>
      <c r="T1688" s="5">
        <v>45185</v>
      </c>
      <c r="U1688">
        <v>2</v>
      </c>
      <c r="V1688">
        <v>2023</v>
      </c>
      <c r="X1688">
        <f t="shared" si="78"/>
        <v>7.5498311999999999</v>
      </c>
      <c r="Y1688">
        <f t="shared" si="79"/>
        <v>6.0498311999999999</v>
      </c>
      <c r="Z1688">
        <f t="shared" si="80"/>
        <v>63.2998312</v>
      </c>
    </row>
    <row r="1689" spans="1:26" x14ac:dyDescent="0.3">
      <c r="A1689" t="s">
        <v>1779</v>
      </c>
      <c r="B1689" t="s">
        <v>67</v>
      </c>
      <c r="C1689" t="s">
        <v>74</v>
      </c>
      <c r="D1689" t="s">
        <v>57</v>
      </c>
      <c r="E1689">
        <v>20</v>
      </c>
      <c r="F1689" s="3">
        <v>6.8</v>
      </c>
      <c r="G1689" s="4">
        <v>78.599999999999994</v>
      </c>
      <c r="H1689">
        <v>3</v>
      </c>
      <c r="I1689">
        <v>1</v>
      </c>
      <c r="J1689">
        <v>2</v>
      </c>
      <c r="K1689" s="4">
        <v>76.5</v>
      </c>
      <c r="L1689" s="4">
        <v>85</v>
      </c>
      <c r="M1689" s="4">
        <v>56.6</v>
      </c>
      <c r="N1689">
        <v>0</v>
      </c>
      <c r="O1689" t="s">
        <v>58</v>
      </c>
      <c r="P1689" t="s">
        <v>92</v>
      </c>
      <c r="Q1689" t="s">
        <v>93</v>
      </c>
      <c r="R1689" t="s">
        <v>85</v>
      </c>
      <c r="S1689" s="3">
        <v>10.36</v>
      </c>
      <c r="T1689" s="5">
        <v>45174</v>
      </c>
      <c r="U1689">
        <v>1</v>
      </c>
      <c r="V1689">
        <v>2023</v>
      </c>
      <c r="X1689">
        <f t="shared" si="78"/>
        <v>6.7998310999999996</v>
      </c>
      <c r="Y1689">
        <f t="shared" si="79"/>
        <v>10.359831099999999</v>
      </c>
      <c r="Z1689">
        <f t="shared" si="80"/>
        <v>84.999831099999994</v>
      </c>
    </row>
    <row r="1690" spans="1:26" x14ac:dyDescent="0.3">
      <c r="A1690" t="s">
        <v>1780</v>
      </c>
      <c r="B1690" t="s">
        <v>63</v>
      </c>
      <c r="C1690" t="s">
        <v>78</v>
      </c>
      <c r="D1690" t="s">
        <v>57</v>
      </c>
      <c r="E1690">
        <v>22</v>
      </c>
      <c r="F1690" s="3">
        <v>5.5</v>
      </c>
      <c r="G1690" s="4">
        <v>86.5</v>
      </c>
      <c r="H1690">
        <v>1</v>
      </c>
      <c r="I1690">
        <v>2</v>
      </c>
      <c r="J1690">
        <v>3</v>
      </c>
      <c r="K1690" s="4">
        <v>73.2</v>
      </c>
      <c r="L1690" s="4">
        <v>90.2</v>
      </c>
      <c r="M1690" s="4">
        <v>71.599999999999994</v>
      </c>
      <c r="N1690">
        <v>1</v>
      </c>
      <c r="O1690" t="s">
        <v>58</v>
      </c>
      <c r="P1690" t="s">
        <v>79</v>
      </c>
      <c r="Q1690" t="s">
        <v>71</v>
      </c>
      <c r="R1690" t="s">
        <v>109</v>
      </c>
      <c r="S1690" s="3">
        <v>5.5</v>
      </c>
      <c r="T1690" s="5">
        <v>45951</v>
      </c>
      <c r="U1690">
        <v>1</v>
      </c>
      <c r="V1690">
        <v>2025</v>
      </c>
      <c r="X1690">
        <f t="shared" si="78"/>
        <v>5.4998310000000004</v>
      </c>
      <c r="Y1690">
        <f t="shared" si="79"/>
        <v>5.4998310000000004</v>
      </c>
      <c r="Z1690">
        <f t="shared" si="80"/>
        <v>90.199831000000003</v>
      </c>
    </row>
    <row r="1691" spans="1:26" x14ac:dyDescent="0.3">
      <c r="A1691" t="s">
        <v>1781</v>
      </c>
      <c r="B1691" t="s">
        <v>63</v>
      </c>
      <c r="C1691" t="s">
        <v>74</v>
      </c>
      <c r="D1691" t="s">
        <v>57</v>
      </c>
      <c r="E1691">
        <v>21</v>
      </c>
      <c r="F1691" s="3">
        <v>7.52</v>
      </c>
      <c r="G1691" s="4">
        <v>83.8</v>
      </c>
      <c r="H1691">
        <v>1</v>
      </c>
      <c r="I1691">
        <v>0</v>
      </c>
      <c r="J1691">
        <v>4</v>
      </c>
      <c r="K1691" s="4">
        <v>78.099999999999994</v>
      </c>
      <c r="L1691" s="4">
        <v>62.8</v>
      </c>
      <c r="M1691" s="4">
        <v>72.2</v>
      </c>
      <c r="N1691">
        <v>0</v>
      </c>
      <c r="O1691" t="s">
        <v>58</v>
      </c>
      <c r="P1691" t="s">
        <v>79</v>
      </c>
      <c r="Q1691" t="s">
        <v>71</v>
      </c>
      <c r="R1691" t="s">
        <v>80</v>
      </c>
      <c r="S1691" s="3">
        <v>5.94</v>
      </c>
      <c r="T1691" s="5">
        <v>45913</v>
      </c>
      <c r="U1691">
        <v>1</v>
      </c>
      <c r="V1691">
        <v>2025</v>
      </c>
      <c r="X1691">
        <f t="shared" si="78"/>
        <v>7.5198308999999997</v>
      </c>
      <c r="Y1691">
        <f t="shared" si="79"/>
        <v>5.9398309000000005</v>
      </c>
      <c r="Z1691">
        <f t="shared" si="80"/>
        <v>62.799830899999996</v>
      </c>
    </row>
    <row r="1692" spans="1:26" x14ac:dyDescent="0.3">
      <c r="A1692" t="s">
        <v>1782</v>
      </c>
      <c r="B1692" t="s">
        <v>107</v>
      </c>
      <c r="C1692" t="s">
        <v>68</v>
      </c>
      <c r="D1692" t="s">
        <v>69</v>
      </c>
      <c r="E1692">
        <v>21</v>
      </c>
      <c r="F1692" s="3">
        <v>7.19</v>
      </c>
      <c r="G1692" s="4">
        <v>84.5</v>
      </c>
      <c r="H1692">
        <v>1</v>
      </c>
      <c r="I1692">
        <v>4</v>
      </c>
      <c r="J1692">
        <v>4</v>
      </c>
      <c r="K1692" s="4">
        <v>72.400000000000006</v>
      </c>
      <c r="L1692" s="4">
        <v>70.2</v>
      </c>
      <c r="M1692" s="4">
        <v>98.2</v>
      </c>
      <c r="N1692">
        <v>0</v>
      </c>
      <c r="O1692" t="s">
        <v>58</v>
      </c>
      <c r="P1692" t="s">
        <v>59</v>
      </c>
      <c r="Q1692" t="s">
        <v>60</v>
      </c>
      <c r="R1692" t="s">
        <v>80</v>
      </c>
      <c r="S1692" s="3">
        <v>18.670000000000002</v>
      </c>
      <c r="T1692" s="5">
        <v>44511</v>
      </c>
      <c r="U1692">
        <v>1</v>
      </c>
      <c r="V1692">
        <v>2021</v>
      </c>
      <c r="X1692">
        <f t="shared" si="78"/>
        <v>7.1898308000000002</v>
      </c>
      <c r="Y1692">
        <f t="shared" si="79"/>
        <v>18.669830800000003</v>
      </c>
      <c r="Z1692">
        <f t="shared" si="80"/>
        <v>70.199830800000001</v>
      </c>
    </row>
    <row r="1693" spans="1:26" x14ac:dyDescent="0.3">
      <c r="A1693" t="s">
        <v>1783</v>
      </c>
      <c r="B1693" t="s">
        <v>55</v>
      </c>
      <c r="C1693" t="s">
        <v>56</v>
      </c>
      <c r="D1693" t="s">
        <v>69</v>
      </c>
      <c r="E1693">
        <v>22</v>
      </c>
      <c r="F1693" s="3">
        <v>6.66</v>
      </c>
      <c r="G1693" s="4">
        <v>92.7</v>
      </c>
      <c r="H1693">
        <v>0</v>
      </c>
      <c r="I1693">
        <v>3</v>
      </c>
      <c r="J1693">
        <v>5</v>
      </c>
      <c r="K1693" s="4">
        <v>77.5</v>
      </c>
      <c r="L1693" s="4">
        <v>83.5</v>
      </c>
      <c r="M1693" s="4">
        <v>96.6</v>
      </c>
      <c r="N1693">
        <v>0</v>
      </c>
      <c r="O1693" t="s">
        <v>58</v>
      </c>
      <c r="P1693" t="s">
        <v>112</v>
      </c>
      <c r="Q1693" t="s">
        <v>93</v>
      </c>
      <c r="R1693" t="s">
        <v>72</v>
      </c>
      <c r="S1693" s="3">
        <v>5.29</v>
      </c>
      <c r="T1693" s="5">
        <v>45573</v>
      </c>
      <c r="U1693">
        <v>2</v>
      </c>
      <c r="V1693">
        <v>2024</v>
      </c>
      <c r="X1693">
        <f t="shared" si="78"/>
        <v>6.6598307000000005</v>
      </c>
      <c r="Y1693">
        <f t="shared" si="79"/>
        <v>5.2898307000000004</v>
      </c>
      <c r="Z1693">
        <f t="shared" si="80"/>
        <v>83.499830700000004</v>
      </c>
    </row>
    <row r="1694" spans="1:26" x14ac:dyDescent="0.3">
      <c r="A1694" t="s">
        <v>1784</v>
      </c>
      <c r="B1694" t="s">
        <v>107</v>
      </c>
      <c r="C1694" t="s">
        <v>56</v>
      </c>
      <c r="D1694" t="s">
        <v>69</v>
      </c>
      <c r="E1694">
        <v>21</v>
      </c>
      <c r="F1694" s="3">
        <v>7.64</v>
      </c>
      <c r="G1694" s="4">
        <v>91.6</v>
      </c>
      <c r="H1694">
        <v>1</v>
      </c>
      <c r="I1694">
        <v>0</v>
      </c>
      <c r="J1694">
        <v>5</v>
      </c>
      <c r="K1694" s="4">
        <v>76.8</v>
      </c>
      <c r="L1694" s="4">
        <v>86</v>
      </c>
      <c r="M1694" s="4">
        <v>56.6</v>
      </c>
      <c r="N1694">
        <v>2</v>
      </c>
      <c r="O1694" t="s">
        <v>58</v>
      </c>
      <c r="P1694" t="s">
        <v>70</v>
      </c>
      <c r="Q1694" t="s">
        <v>71</v>
      </c>
      <c r="R1694" t="s">
        <v>109</v>
      </c>
      <c r="S1694" s="3">
        <v>6.76</v>
      </c>
      <c r="T1694" s="5">
        <v>44431</v>
      </c>
      <c r="U1694">
        <v>2</v>
      </c>
      <c r="V1694">
        <v>2021</v>
      </c>
      <c r="X1694">
        <f t="shared" si="78"/>
        <v>7.6398305999999998</v>
      </c>
      <c r="Y1694">
        <f t="shared" si="79"/>
        <v>6.7598305999999999</v>
      </c>
      <c r="Z1694">
        <f t="shared" si="80"/>
        <v>85.999830599999996</v>
      </c>
    </row>
    <row r="1695" spans="1:26" x14ac:dyDescent="0.3">
      <c r="A1695" t="s">
        <v>1785</v>
      </c>
      <c r="B1695" t="s">
        <v>63</v>
      </c>
      <c r="C1695" t="s">
        <v>84</v>
      </c>
      <c r="D1695" t="s">
        <v>69</v>
      </c>
      <c r="E1695">
        <v>23</v>
      </c>
      <c r="F1695" s="3">
        <v>5.74</v>
      </c>
      <c r="G1695" s="4">
        <v>95.5</v>
      </c>
      <c r="H1695">
        <v>2</v>
      </c>
      <c r="I1695">
        <v>1</v>
      </c>
      <c r="J1695">
        <v>3</v>
      </c>
      <c r="K1695" s="4">
        <v>66.8</v>
      </c>
      <c r="L1695" s="4">
        <v>62.4</v>
      </c>
      <c r="M1695" s="4">
        <v>61.9</v>
      </c>
      <c r="N1695">
        <v>0</v>
      </c>
      <c r="O1695" t="s">
        <v>58</v>
      </c>
      <c r="P1695" t="s">
        <v>59</v>
      </c>
      <c r="Q1695" t="s">
        <v>60</v>
      </c>
      <c r="R1695" t="s">
        <v>76</v>
      </c>
      <c r="S1695" s="3">
        <v>17.28</v>
      </c>
      <c r="T1695" s="5">
        <v>45892</v>
      </c>
      <c r="U1695">
        <v>1</v>
      </c>
      <c r="V1695">
        <v>2025</v>
      </c>
      <c r="X1695">
        <f t="shared" si="78"/>
        <v>5.7398305000000001</v>
      </c>
      <c r="Y1695">
        <f t="shared" si="79"/>
        <v>17.279830500000003</v>
      </c>
      <c r="Z1695">
        <f t="shared" si="80"/>
        <v>62.3998305</v>
      </c>
    </row>
    <row r="1696" spans="1:26" x14ac:dyDescent="0.3">
      <c r="A1696" t="s">
        <v>1786</v>
      </c>
      <c r="B1696" t="s">
        <v>82</v>
      </c>
      <c r="C1696" t="s">
        <v>84</v>
      </c>
      <c r="D1696" t="s">
        <v>69</v>
      </c>
      <c r="E1696">
        <v>22</v>
      </c>
      <c r="F1696" s="3">
        <v>7.69</v>
      </c>
      <c r="G1696" s="4">
        <v>71.099999999999994</v>
      </c>
      <c r="H1696">
        <v>2</v>
      </c>
      <c r="I1696">
        <v>2</v>
      </c>
      <c r="J1696">
        <v>5</v>
      </c>
      <c r="K1696" s="4">
        <v>67.599999999999994</v>
      </c>
      <c r="L1696" s="4">
        <v>77.2</v>
      </c>
      <c r="M1696" s="4">
        <v>88.7</v>
      </c>
      <c r="N1696">
        <v>2</v>
      </c>
      <c r="O1696" t="s">
        <v>58</v>
      </c>
      <c r="P1696" t="s">
        <v>59</v>
      </c>
      <c r="Q1696" t="s">
        <v>60</v>
      </c>
      <c r="R1696" t="s">
        <v>76</v>
      </c>
      <c r="S1696" s="3">
        <v>21.25</v>
      </c>
      <c r="T1696" s="5">
        <v>44860</v>
      </c>
      <c r="U1696">
        <v>1</v>
      </c>
      <c r="V1696">
        <v>2022</v>
      </c>
      <c r="X1696">
        <f t="shared" si="78"/>
        <v>7.6898304</v>
      </c>
      <c r="Y1696">
        <f t="shared" si="79"/>
        <v>21.2498304</v>
      </c>
      <c r="Z1696">
        <f t="shared" si="80"/>
        <v>77.199830399999996</v>
      </c>
    </row>
    <row r="1697" spans="1:26" x14ac:dyDescent="0.3">
      <c r="A1697" t="s">
        <v>1787</v>
      </c>
      <c r="B1697" t="s">
        <v>63</v>
      </c>
      <c r="C1697" t="s">
        <v>89</v>
      </c>
      <c r="D1697" t="s">
        <v>69</v>
      </c>
      <c r="E1697">
        <v>20</v>
      </c>
      <c r="F1697" s="3">
        <v>7.66</v>
      </c>
      <c r="G1697" s="4">
        <v>89.7</v>
      </c>
      <c r="H1697">
        <v>0</v>
      </c>
      <c r="I1697">
        <v>4</v>
      </c>
      <c r="J1697">
        <v>6</v>
      </c>
      <c r="K1697" s="4">
        <v>69.099999999999994</v>
      </c>
      <c r="L1697" s="4">
        <v>59.6</v>
      </c>
      <c r="M1697" s="4">
        <v>67.7</v>
      </c>
      <c r="N1697">
        <v>0</v>
      </c>
      <c r="O1697" t="s">
        <v>58</v>
      </c>
      <c r="P1697" t="s">
        <v>90</v>
      </c>
      <c r="Q1697" t="s">
        <v>60</v>
      </c>
      <c r="R1697" t="s">
        <v>109</v>
      </c>
      <c r="S1697" s="3">
        <v>6.6</v>
      </c>
      <c r="T1697" s="5">
        <v>45904</v>
      </c>
      <c r="U1697">
        <v>3</v>
      </c>
      <c r="V1697">
        <v>2025</v>
      </c>
      <c r="X1697">
        <f t="shared" si="78"/>
        <v>7.6598303000000003</v>
      </c>
      <c r="Y1697">
        <f t="shared" si="79"/>
        <v>6.5998302999999998</v>
      </c>
      <c r="Z1697">
        <f t="shared" si="80"/>
        <v>59.599830300000001</v>
      </c>
    </row>
    <row r="1698" spans="1:26" x14ac:dyDescent="0.3">
      <c r="A1698" t="s">
        <v>1788</v>
      </c>
      <c r="B1698" t="s">
        <v>55</v>
      </c>
      <c r="C1698" t="s">
        <v>68</v>
      </c>
      <c r="D1698" t="s">
        <v>57</v>
      </c>
      <c r="E1698">
        <v>22</v>
      </c>
      <c r="F1698" s="3">
        <v>8.26</v>
      </c>
      <c r="G1698" s="4">
        <v>96.8</v>
      </c>
      <c r="H1698">
        <v>2</v>
      </c>
      <c r="I1698">
        <v>2</v>
      </c>
      <c r="J1698">
        <v>3</v>
      </c>
      <c r="K1698" s="4">
        <v>50.6</v>
      </c>
      <c r="L1698" s="4">
        <v>85.8</v>
      </c>
      <c r="M1698" s="4">
        <v>81.8</v>
      </c>
      <c r="N1698">
        <v>0</v>
      </c>
      <c r="O1698" t="s">
        <v>58</v>
      </c>
      <c r="P1698" t="s">
        <v>90</v>
      </c>
      <c r="Q1698" t="s">
        <v>60</v>
      </c>
      <c r="R1698" t="s">
        <v>85</v>
      </c>
      <c r="S1698" s="3">
        <v>9.5</v>
      </c>
      <c r="T1698" s="5">
        <v>45597</v>
      </c>
      <c r="U1698">
        <v>1</v>
      </c>
      <c r="V1698">
        <v>2024</v>
      </c>
      <c r="X1698">
        <f t="shared" si="78"/>
        <v>8.2598301999999997</v>
      </c>
      <c r="Y1698">
        <f t="shared" si="79"/>
        <v>9.4998301999999999</v>
      </c>
      <c r="Z1698">
        <f t="shared" si="80"/>
        <v>85.799830200000002</v>
      </c>
    </row>
    <row r="1699" spans="1:26" x14ac:dyDescent="0.3">
      <c r="A1699" t="s">
        <v>1789</v>
      </c>
      <c r="B1699" t="s">
        <v>63</v>
      </c>
      <c r="C1699" t="s">
        <v>78</v>
      </c>
      <c r="D1699" t="s">
        <v>69</v>
      </c>
      <c r="E1699">
        <v>22</v>
      </c>
      <c r="F1699" s="3">
        <v>6.21</v>
      </c>
      <c r="G1699" s="4">
        <v>67.3</v>
      </c>
      <c r="H1699">
        <v>1</v>
      </c>
      <c r="I1699">
        <v>2</v>
      </c>
      <c r="J1699">
        <v>2</v>
      </c>
      <c r="K1699" s="4">
        <v>46.4</v>
      </c>
      <c r="L1699" s="4">
        <v>59.1</v>
      </c>
      <c r="M1699" s="4">
        <v>71.400000000000006</v>
      </c>
      <c r="N1699">
        <v>0</v>
      </c>
      <c r="O1699" t="s">
        <v>64</v>
      </c>
      <c r="P1699" t="s">
        <v>65</v>
      </c>
      <c r="S1699" s="3">
        <v>0</v>
      </c>
      <c r="T1699" s="5"/>
      <c r="U1699">
        <v>0</v>
      </c>
      <c r="V1699">
        <v>2025</v>
      </c>
      <c r="X1699">
        <f t="shared" si="78"/>
        <v>6.2098300999999996</v>
      </c>
      <c r="Y1699">
        <f t="shared" si="79"/>
        <v>-1.6989999999999998E-4</v>
      </c>
      <c r="Z1699">
        <f t="shared" si="80"/>
        <v>59.099830099999998</v>
      </c>
    </row>
    <row r="1700" spans="1:26" x14ac:dyDescent="0.3">
      <c r="A1700" t="s">
        <v>1790</v>
      </c>
      <c r="B1700" t="s">
        <v>55</v>
      </c>
      <c r="C1700" t="s">
        <v>89</v>
      </c>
      <c r="D1700" t="s">
        <v>69</v>
      </c>
      <c r="E1700">
        <v>22</v>
      </c>
      <c r="F1700" s="3">
        <v>9.58</v>
      </c>
      <c r="G1700" s="4">
        <v>81.8</v>
      </c>
      <c r="H1700">
        <v>1</v>
      </c>
      <c r="I1700">
        <v>1</v>
      </c>
      <c r="J1700">
        <v>3</v>
      </c>
      <c r="K1700" s="4">
        <v>75.099999999999994</v>
      </c>
      <c r="L1700" s="4">
        <v>71.7</v>
      </c>
      <c r="M1700" s="4">
        <v>61.1</v>
      </c>
      <c r="N1700">
        <v>0</v>
      </c>
      <c r="O1700" t="s">
        <v>58</v>
      </c>
      <c r="P1700" t="s">
        <v>59</v>
      </c>
      <c r="Q1700" t="s">
        <v>60</v>
      </c>
      <c r="R1700" t="s">
        <v>72</v>
      </c>
      <c r="S1700" s="3">
        <v>20.61</v>
      </c>
      <c r="T1700" s="5">
        <v>45565</v>
      </c>
      <c r="U1700">
        <v>1</v>
      </c>
      <c r="V1700">
        <v>2024</v>
      </c>
      <c r="X1700">
        <f t="shared" si="78"/>
        <v>9.5798299999999994</v>
      </c>
      <c r="Y1700">
        <f t="shared" si="79"/>
        <v>20.609829999999999</v>
      </c>
      <c r="Z1700">
        <f t="shared" si="80"/>
        <v>71.699830000000006</v>
      </c>
    </row>
    <row r="1701" spans="1:26" x14ac:dyDescent="0.3">
      <c r="A1701" t="s">
        <v>1791</v>
      </c>
      <c r="B1701" t="s">
        <v>55</v>
      </c>
      <c r="C1701" t="s">
        <v>89</v>
      </c>
      <c r="D1701" t="s">
        <v>57</v>
      </c>
      <c r="E1701">
        <v>22</v>
      </c>
      <c r="F1701" s="3">
        <v>9.23</v>
      </c>
      <c r="G1701" s="4">
        <v>77.099999999999994</v>
      </c>
      <c r="H1701">
        <v>3</v>
      </c>
      <c r="I1701">
        <v>1</v>
      </c>
      <c r="J1701">
        <v>5</v>
      </c>
      <c r="K1701" s="4">
        <v>75.8</v>
      </c>
      <c r="L1701" s="4">
        <v>62.9</v>
      </c>
      <c r="M1701" s="4">
        <v>89.7</v>
      </c>
      <c r="N1701">
        <v>1</v>
      </c>
      <c r="O1701" t="s">
        <v>58</v>
      </c>
      <c r="P1701" t="s">
        <v>79</v>
      </c>
      <c r="Q1701" t="s">
        <v>71</v>
      </c>
      <c r="R1701" t="s">
        <v>76</v>
      </c>
      <c r="S1701" s="3">
        <v>8.1199999999999992</v>
      </c>
      <c r="T1701" s="5">
        <v>45585</v>
      </c>
      <c r="U1701">
        <v>2</v>
      </c>
      <c r="V1701">
        <v>2024</v>
      </c>
      <c r="X1701">
        <f t="shared" si="78"/>
        <v>9.2298299000000004</v>
      </c>
      <c r="Y1701">
        <f t="shared" si="79"/>
        <v>8.1198298999999992</v>
      </c>
      <c r="Z1701">
        <f t="shared" si="80"/>
        <v>62.8998299</v>
      </c>
    </row>
    <row r="1702" spans="1:26" x14ac:dyDescent="0.3">
      <c r="A1702" t="s">
        <v>1792</v>
      </c>
      <c r="B1702" t="s">
        <v>55</v>
      </c>
      <c r="C1702" t="s">
        <v>56</v>
      </c>
      <c r="D1702" t="s">
        <v>69</v>
      </c>
      <c r="E1702">
        <v>20</v>
      </c>
      <c r="F1702" s="3">
        <v>6.95</v>
      </c>
      <c r="G1702" s="4">
        <v>81.8</v>
      </c>
      <c r="H1702">
        <v>1</v>
      </c>
      <c r="I1702">
        <v>1</v>
      </c>
      <c r="J1702">
        <v>2</v>
      </c>
      <c r="K1702" s="4">
        <v>67.599999999999994</v>
      </c>
      <c r="L1702" s="4">
        <v>55.3</v>
      </c>
      <c r="M1702" s="4">
        <v>65.3</v>
      </c>
      <c r="N1702">
        <v>0</v>
      </c>
      <c r="O1702" t="s">
        <v>58</v>
      </c>
      <c r="P1702" t="s">
        <v>59</v>
      </c>
      <c r="Q1702" t="s">
        <v>60</v>
      </c>
      <c r="R1702" t="s">
        <v>61</v>
      </c>
      <c r="S1702" s="3">
        <v>18.37</v>
      </c>
      <c r="T1702" s="5">
        <v>45542</v>
      </c>
      <c r="U1702">
        <v>1</v>
      </c>
      <c r="V1702">
        <v>2024</v>
      </c>
      <c r="X1702">
        <f t="shared" si="78"/>
        <v>6.9498297999999998</v>
      </c>
      <c r="Y1702">
        <f t="shared" si="79"/>
        <v>18.369829800000002</v>
      </c>
      <c r="Z1702">
        <f t="shared" si="80"/>
        <v>55.299829799999998</v>
      </c>
    </row>
    <row r="1703" spans="1:26" x14ac:dyDescent="0.3">
      <c r="A1703" t="s">
        <v>1793</v>
      </c>
      <c r="B1703" t="s">
        <v>55</v>
      </c>
      <c r="C1703" t="s">
        <v>89</v>
      </c>
      <c r="D1703" t="s">
        <v>69</v>
      </c>
      <c r="E1703">
        <v>20</v>
      </c>
      <c r="F1703" s="3">
        <v>8.9600000000000009</v>
      </c>
      <c r="G1703" s="4">
        <v>92.3</v>
      </c>
      <c r="H1703">
        <v>2</v>
      </c>
      <c r="I1703">
        <v>1</v>
      </c>
      <c r="J1703">
        <v>5</v>
      </c>
      <c r="K1703" s="4">
        <v>73</v>
      </c>
      <c r="L1703" s="4">
        <v>61.4</v>
      </c>
      <c r="M1703" s="4">
        <v>72.400000000000006</v>
      </c>
      <c r="N1703">
        <v>3</v>
      </c>
      <c r="O1703" t="s">
        <v>58</v>
      </c>
      <c r="P1703" t="s">
        <v>112</v>
      </c>
      <c r="Q1703" t="s">
        <v>93</v>
      </c>
      <c r="R1703" t="s">
        <v>61</v>
      </c>
      <c r="S1703" s="3">
        <v>6.64</v>
      </c>
      <c r="T1703" s="5">
        <v>45556</v>
      </c>
      <c r="U1703">
        <v>2</v>
      </c>
      <c r="V1703">
        <v>2024</v>
      </c>
      <c r="X1703">
        <f t="shared" si="78"/>
        <v>8.9598297000000002</v>
      </c>
      <c r="Y1703">
        <f t="shared" si="79"/>
        <v>6.6398296999999999</v>
      </c>
      <c r="Z1703">
        <f t="shared" si="80"/>
        <v>61.399829699999998</v>
      </c>
    </row>
    <row r="1704" spans="1:26" x14ac:dyDescent="0.3">
      <c r="A1704" t="s">
        <v>1794</v>
      </c>
      <c r="B1704" t="s">
        <v>55</v>
      </c>
      <c r="C1704" t="s">
        <v>78</v>
      </c>
      <c r="D1704" t="s">
        <v>57</v>
      </c>
      <c r="E1704">
        <v>20</v>
      </c>
      <c r="F1704" s="3">
        <v>8.42</v>
      </c>
      <c r="G1704" s="4">
        <v>69.400000000000006</v>
      </c>
      <c r="H1704">
        <v>1</v>
      </c>
      <c r="I1704">
        <v>0</v>
      </c>
      <c r="J1704">
        <v>6</v>
      </c>
      <c r="K1704" s="4">
        <v>77.2</v>
      </c>
      <c r="L1704" s="4">
        <v>64.8</v>
      </c>
      <c r="M1704" s="4">
        <v>60.4</v>
      </c>
      <c r="N1704">
        <v>0</v>
      </c>
      <c r="O1704" t="s">
        <v>58</v>
      </c>
      <c r="P1704" t="s">
        <v>112</v>
      </c>
      <c r="Q1704" t="s">
        <v>93</v>
      </c>
      <c r="R1704" t="s">
        <v>109</v>
      </c>
      <c r="S1704" s="3">
        <v>6.34</v>
      </c>
      <c r="T1704" s="5">
        <v>45506</v>
      </c>
      <c r="U1704">
        <v>1</v>
      </c>
      <c r="V1704">
        <v>2024</v>
      </c>
      <c r="X1704">
        <f t="shared" si="78"/>
        <v>8.4198295999999999</v>
      </c>
      <c r="Y1704">
        <f t="shared" si="79"/>
        <v>6.3398295999999998</v>
      </c>
      <c r="Z1704">
        <f t="shared" si="80"/>
        <v>64.799829599999995</v>
      </c>
    </row>
    <row r="1705" spans="1:26" x14ac:dyDescent="0.3">
      <c r="A1705" t="s">
        <v>1795</v>
      </c>
      <c r="B1705" t="s">
        <v>82</v>
      </c>
      <c r="C1705" t="s">
        <v>84</v>
      </c>
      <c r="D1705" t="s">
        <v>57</v>
      </c>
      <c r="E1705">
        <v>22</v>
      </c>
      <c r="F1705" s="3">
        <v>7.25</v>
      </c>
      <c r="G1705" s="4">
        <v>84.2</v>
      </c>
      <c r="H1705">
        <v>2</v>
      </c>
      <c r="I1705">
        <v>0</v>
      </c>
      <c r="J1705">
        <v>2</v>
      </c>
      <c r="K1705" s="4">
        <v>74.099999999999994</v>
      </c>
      <c r="L1705" s="4">
        <v>88.7</v>
      </c>
      <c r="M1705" s="4">
        <v>60.7</v>
      </c>
      <c r="N1705">
        <v>0</v>
      </c>
      <c r="O1705" t="s">
        <v>58</v>
      </c>
      <c r="P1705" t="s">
        <v>59</v>
      </c>
      <c r="Q1705" t="s">
        <v>60</v>
      </c>
      <c r="R1705" t="s">
        <v>76</v>
      </c>
      <c r="S1705" s="3">
        <v>19.87</v>
      </c>
      <c r="T1705" s="5">
        <v>44792</v>
      </c>
      <c r="U1705">
        <v>1</v>
      </c>
      <c r="V1705">
        <v>2022</v>
      </c>
      <c r="X1705">
        <f t="shared" si="78"/>
        <v>7.2498294999999997</v>
      </c>
      <c r="Y1705">
        <f t="shared" si="79"/>
        <v>19.869829500000002</v>
      </c>
      <c r="Z1705">
        <f t="shared" si="80"/>
        <v>88.699829500000007</v>
      </c>
    </row>
    <row r="1706" spans="1:26" x14ac:dyDescent="0.3">
      <c r="A1706" t="s">
        <v>1796</v>
      </c>
      <c r="B1706" t="s">
        <v>107</v>
      </c>
      <c r="C1706" t="s">
        <v>56</v>
      </c>
      <c r="D1706" t="s">
        <v>69</v>
      </c>
      <c r="E1706">
        <v>23</v>
      </c>
      <c r="F1706" s="3">
        <v>7.1</v>
      </c>
      <c r="G1706" s="4">
        <v>76.900000000000006</v>
      </c>
      <c r="H1706">
        <v>1</v>
      </c>
      <c r="I1706">
        <v>3</v>
      </c>
      <c r="J1706">
        <v>4</v>
      </c>
      <c r="K1706" s="4">
        <v>75.8</v>
      </c>
      <c r="L1706" s="4">
        <v>62.9</v>
      </c>
      <c r="M1706" s="4">
        <v>74.7</v>
      </c>
      <c r="N1706">
        <v>0</v>
      </c>
      <c r="O1706" t="s">
        <v>58</v>
      </c>
      <c r="P1706" t="s">
        <v>95</v>
      </c>
      <c r="Q1706" t="s">
        <v>93</v>
      </c>
      <c r="R1706" t="s">
        <v>109</v>
      </c>
      <c r="S1706" s="3">
        <v>5.74</v>
      </c>
      <c r="T1706" s="5">
        <v>44519</v>
      </c>
      <c r="U1706">
        <v>1</v>
      </c>
      <c r="V1706">
        <v>2021</v>
      </c>
      <c r="X1706">
        <f t="shared" si="78"/>
        <v>7.0998294</v>
      </c>
      <c r="Y1706">
        <f t="shared" si="79"/>
        <v>5.7398294000000005</v>
      </c>
      <c r="Z1706">
        <f t="shared" si="80"/>
        <v>62.899829400000002</v>
      </c>
    </row>
    <row r="1707" spans="1:26" x14ac:dyDescent="0.3">
      <c r="A1707" t="s">
        <v>1797</v>
      </c>
      <c r="B1707" t="s">
        <v>67</v>
      </c>
      <c r="C1707" t="s">
        <v>78</v>
      </c>
      <c r="D1707" t="s">
        <v>69</v>
      </c>
      <c r="E1707">
        <v>23</v>
      </c>
      <c r="F1707" s="3">
        <v>7.17</v>
      </c>
      <c r="G1707" s="4">
        <v>92.6</v>
      </c>
      <c r="H1707">
        <v>1</v>
      </c>
      <c r="I1707">
        <v>3</v>
      </c>
      <c r="J1707">
        <v>3</v>
      </c>
      <c r="K1707" s="4">
        <v>49.9</v>
      </c>
      <c r="L1707" s="4">
        <v>71.099999999999994</v>
      </c>
      <c r="M1707" s="4">
        <v>62.6</v>
      </c>
      <c r="N1707">
        <v>0</v>
      </c>
      <c r="O1707" t="s">
        <v>58</v>
      </c>
      <c r="P1707" t="s">
        <v>104</v>
      </c>
      <c r="Q1707" t="s">
        <v>105</v>
      </c>
      <c r="R1707" t="s">
        <v>80</v>
      </c>
      <c r="S1707" s="3">
        <v>15.54</v>
      </c>
      <c r="T1707" s="5">
        <v>45201</v>
      </c>
      <c r="U1707">
        <v>1</v>
      </c>
      <c r="V1707">
        <v>2023</v>
      </c>
      <c r="X1707">
        <f t="shared" si="78"/>
        <v>7.1698293</v>
      </c>
      <c r="Y1707">
        <f t="shared" si="79"/>
        <v>15.539829299999999</v>
      </c>
      <c r="Z1707">
        <f t="shared" si="80"/>
        <v>71.099829299999996</v>
      </c>
    </row>
    <row r="1708" spans="1:26" x14ac:dyDescent="0.3">
      <c r="A1708" t="s">
        <v>1798</v>
      </c>
      <c r="B1708" t="s">
        <v>107</v>
      </c>
      <c r="C1708" t="s">
        <v>89</v>
      </c>
      <c r="D1708" t="s">
        <v>69</v>
      </c>
      <c r="E1708">
        <v>20</v>
      </c>
      <c r="F1708" s="3">
        <v>10</v>
      </c>
      <c r="G1708" s="4">
        <v>85.8</v>
      </c>
      <c r="H1708">
        <v>1</v>
      </c>
      <c r="I1708">
        <v>1</v>
      </c>
      <c r="J1708">
        <v>3</v>
      </c>
      <c r="K1708" s="4">
        <v>91</v>
      </c>
      <c r="L1708" s="4">
        <v>59.9</v>
      </c>
      <c r="M1708" s="4">
        <v>92.1</v>
      </c>
      <c r="N1708">
        <v>0</v>
      </c>
      <c r="O1708" t="s">
        <v>58</v>
      </c>
      <c r="P1708" t="s">
        <v>87</v>
      </c>
      <c r="Q1708" t="s">
        <v>71</v>
      </c>
      <c r="R1708" t="s">
        <v>85</v>
      </c>
      <c r="S1708" s="3">
        <v>7.61</v>
      </c>
      <c r="T1708" s="5">
        <v>44475</v>
      </c>
      <c r="U1708">
        <v>1</v>
      </c>
      <c r="V1708">
        <v>2021</v>
      </c>
      <c r="X1708">
        <f t="shared" si="78"/>
        <v>9.9998292000000006</v>
      </c>
      <c r="Y1708">
        <f t="shared" si="79"/>
        <v>7.6098292000000001</v>
      </c>
      <c r="Z1708">
        <f t="shared" si="80"/>
        <v>59.899829199999999</v>
      </c>
    </row>
    <row r="1709" spans="1:26" x14ac:dyDescent="0.3">
      <c r="A1709" t="s">
        <v>1799</v>
      </c>
      <c r="B1709" t="s">
        <v>55</v>
      </c>
      <c r="C1709" t="s">
        <v>68</v>
      </c>
      <c r="D1709" t="s">
        <v>57</v>
      </c>
      <c r="E1709">
        <v>23</v>
      </c>
      <c r="F1709" s="3">
        <v>8.8699999999999992</v>
      </c>
      <c r="G1709" s="4">
        <v>80.599999999999994</v>
      </c>
      <c r="H1709">
        <v>1</v>
      </c>
      <c r="I1709">
        <v>4</v>
      </c>
      <c r="J1709">
        <v>3</v>
      </c>
      <c r="K1709" s="4">
        <v>72.5</v>
      </c>
      <c r="L1709" s="4">
        <v>83.8</v>
      </c>
      <c r="M1709" s="4">
        <v>82.3</v>
      </c>
      <c r="N1709">
        <v>0</v>
      </c>
      <c r="O1709" t="s">
        <v>58</v>
      </c>
      <c r="P1709" t="s">
        <v>92</v>
      </c>
      <c r="Q1709" t="s">
        <v>93</v>
      </c>
      <c r="R1709" t="s">
        <v>61</v>
      </c>
      <c r="S1709" s="3">
        <v>9.98</v>
      </c>
      <c r="T1709" s="5">
        <v>45598</v>
      </c>
      <c r="U1709">
        <v>1</v>
      </c>
      <c r="V1709">
        <v>2024</v>
      </c>
      <c r="X1709">
        <f t="shared" si="78"/>
        <v>8.8698290999999987</v>
      </c>
      <c r="Y1709">
        <f t="shared" si="79"/>
        <v>9.9798290999999999</v>
      </c>
      <c r="Z1709">
        <f t="shared" si="80"/>
        <v>83.799829099999997</v>
      </c>
    </row>
    <row r="1710" spans="1:26" x14ac:dyDescent="0.3">
      <c r="A1710" t="s">
        <v>1800</v>
      </c>
      <c r="B1710" t="s">
        <v>82</v>
      </c>
      <c r="C1710" t="s">
        <v>56</v>
      </c>
      <c r="D1710" t="s">
        <v>57</v>
      </c>
      <c r="E1710">
        <v>23</v>
      </c>
      <c r="F1710" s="3">
        <v>7.47</v>
      </c>
      <c r="G1710" s="4">
        <v>75.5</v>
      </c>
      <c r="H1710">
        <v>1</v>
      </c>
      <c r="I1710">
        <v>1</v>
      </c>
      <c r="J1710">
        <v>5</v>
      </c>
      <c r="K1710" s="4">
        <v>81.099999999999994</v>
      </c>
      <c r="L1710" s="4">
        <v>85.8</v>
      </c>
      <c r="M1710" s="4">
        <v>83.5</v>
      </c>
      <c r="N1710">
        <v>1</v>
      </c>
      <c r="O1710" t="s">
        <v>58</v>
      </c>
      <c r="P1710" t="s">
        <v>70</v>
      </c>
      <c r="Q1710" t="s">
        <v>71</v>
      </c>
      <c r="R1710" t="s">
        <v>85</v>
      </c>
      <c r="S1710" s="3">
        <v>5.87</v>
      </c>
      <c r="T1710" s="5">
        <v>44870</v>
      </c>
      <c r="U1710">
        <v>3</v>
      </c>
      <c r="V1710">
        <v>2022</v>
      </c>
      <c r="X1710">
        <f t="shared" si="78"/>
        <v>7.4698289999999998</v>
      </c>
      <c r="Y1710">
        <f t="shared" si="79"/>
        <v>5.8698290000000002</v>
      </c>
      <c r="Z1710">
        <f t="shared" si="80"/>
        <v>85.799829000000003</v>
      </c>
    </row>
    <row r="1711" spans="1:26" x14ac:dyDescent="0.3">
      <c r="A1711" t="s">
        <v>1801</v>
      </c>
      <c r="B1711" t="s">
        <v>63</v>
      </c>
      <c r="C1711" t="s">
        <v>74</v>
      </c>
      <c r="D1711" t="s">
        <v>57</v>
      </c>
      <c r="E1711">
        <v>23</v>
      </c>
      <c r="F1711" s="3">
        <v>7.55</v>
      </c>
      <c r="G1711" s="4">
        <v>100</v>
      </c>
      <c r="H1711">
        <v>2</v>
      </c>
      <c r="I1711">
        <v>1</v>
      </c>
      <c r="J1711">
        <v>4</v>
      </c>
      <c r="K1711" s="4">
        <v>76.2</v>
      </c>
      <c r="L1711" s="4">
        <v>81.8</v>
      </c>
      <c r="M1711" s="4">
        <v>70.5</v>
      </c>
      <c r="N1711">
        <v>0</v>
      </c>
      <c r="O1711" t="s">
        <v>64</v>
      </c>
      <c r="P1711" t="s">
        <v>65</v>
      </c>
      <c r="S1711" s="3">
        <v>0</v>
      </c>
      <c r="T1711" s="5"/>
      <c r="U1711">
        <v>0</v>
      </c>
      <c r="V1711">
        <v>2025</v>
      </c>
      <c r="X1711">
        <f t="shared" si="78"/>
        <v>7.5498288999999996</v>
      </c>
      <c r="Y1711">
        <f t="shared" si="79"/>
        <v>-1.7109999999999998E-4</v>
      </c>
      <c r="Z1711">
        <f t="shared" si="80"/>
        <v>81.799828899999994</v>
      </c>
    </row>
    <row r="1712" spans="1:26" x14ac:dyDescent="0.3">
      <c r="A1712" t="s">
        <v>1802</v>
      </c>
      <c r="B1712" t="s">
        <v>82</v>
      </c>
      <c r="C1712" t="s">
        <v>74</v>
      </c>
      <c r="D1712" t="s">
        <v>57</v>
      </c>
      <c r="E1712">
        <v>23</v>
      </c>
      <c r="F1712" s="3">
        <v>8.41</v>
      </c>
      <c r="G1712" s="4">
        <v>84.5</v>
      </c>
      <c r="H1712">
        <v>1</v>
      </c>
      <c r="I1712">
        <v>3</v>
      </c>
      <c r="J1712">
        <v>6</v>
      </c>
      <c r="K1712" s="4">
        <v>53.6</v>
      </c>
      <c r="L1712" s="4">
        <v>64.7</v>
      </c>
      <c r="M1712" s="4">
        <v>70.8</v>
      </c>
      <c r="N1712">
        <v>1</v>
      </c>
      <c r="O1712" t="s">
        <v>58</v>
      </c>
      <c r="P1712" t="s">
        <v>95</v>
      </c>
      <c r="Q1712" t="s">
        <v>93</v>
      </c>
      <c r="R1712" t="s">
        <v>76</v>
      </c>
      <c r="S1712" s="3">
        <v>6.27</v>
      </c>
      <c r="T1712" s="5">
        <v>44799</v>
      </c>
      <c r="U1712">
        <v>1</v>
      </c>
      <c r="V1712">
        <v>2022</v>
      </c>
      <c r="X1712">
        <f t="shared" si="78"/>
        <v>8.4098287999999997</v>
      </c>
      <c r="Y1712">
        <f t="shared" si="79"/>
        <v>6.2698288</v>
      </c>
      <c r="Z1712">
        <f t="shared" si="80"/>
        <v>64.699828800000006</v>
      </c>
    </row>
    <row r="1713" spans="1:26" x14ac:dyDescent="0.3">
      <c r="A1713" t="s">
        <v>1803</v>
      </c>
      <c r="B1713" t="s">
        <v>55</v>
      </c>
      <c r="C1713" t="s">
        <v>74</v>
      </c>
      <c r="D1713" t="s">
        <v>57</v>
      </c>
      <c r="E1713">
        <v>23</v>
      </c>
      <c r="F1713" s="3">
        <v>8.3699999999999992</v>
      </c>
      <c r="G1713" s="4">
        <v>69.2</v>
      </c>
      <c r="H1713">
        <v>2</v>
      </c>
      <c r="I1713">
        <v>3</v>
      </c>
      <c r="J1713">
        <v>3</v>
      </c>
      <c r="K1713" s="4">
        <v>58.4</v>
      </c>
      <c r="L1713" s="4">
        <v>60</v>
      </c>
      <c r="M1713" s="4">
        <v>79.3</v>
      </c>
      <c r="N1713">
        <v>0</v>
      </c>
      <c r="O1713" t="s">
        <v>58</v>
      </c>
      <c r="P1713" t="s">
        <v>112</v>
      </c>
      <c r="Q1713" t="s">
        <v>93</v>
      </c>
      <c r="R1713" t="s">
        <v>130</v>
      </c>
      <c r="S1713" s="3">
        <v>6.44</v>
      </c>
      <c r="T1713" s="5">
        <v>45534</v>
      </c>
      <c r="U1713">
        <v>2</v>
      </c>
      <c r="V1713">
        <v>2024</v>
      </c>
      <c r="X1713">
        <f t="shared" si="78"/>
        <v>8.3698286999999993</v>
      </c>
      <c r="Y1713">
        <f t="shared" si="79"/>
        <v>6.4398287000000005</v>
      </c>
      <c r="Z1713">
        <f t="shared" si="80"/>
        <v>59.999828700000002</v>
      </c>
    </row>
    <row r="1714" spans="1:26" x14ac:dyDescent="0.3">
      <c r="A1714" t="s">
        <v>1804</v>
      </c>
      <c r="B1714" t="s">
        <v>82</v>
      </c>
      <c r="C1714" t="s">
        <v>78</v>
      </c>
      <c r="D1714" t="s">
        <v>69</v>
      </c>
      <c r="E1714">
        <v>21</v>
      </c>
      <c r="F1714" s="3">
        <v>6.79</v>
      </c>
      <c r="G1714" s="4">
        <v>74.7</v>
      </c>
      <c r="H1714">
        <v>1</v>
      </c>
      <c r="I1714">
        <v>4</v>
      </c>
      <c r="J1714">
        <v>4</v>
      </c>
      <c r="K1714" s="4">
        <v>60.7</v>
      </c>
      <c r="L1714" s="4">
        <v>56.2</v>
      </c>
      <c r="M1714" s="4">
        <v>41.6</v>
      </c>
      <c r="N1714">
        <v>0</v>
      </c>
      <c r="O1714" t="s">
        <v>58</v>
      </c>
      <c r="P1714" t="s">
        <v>79</v>
      </c>
      <c r="Q1714" t="s">
        <v>71</v>
      </c>
      <c r="R1714" t="s">
        <v>109</v>
      </c>
      <c r="S1714" s="3">
        <v>4.84</v>
      </c>
      <c r="T1714" s="5">
        <v>44792</v>
      </c>
      <c r="U1714">
        <v>2</v>
      </c>
      <c r="V1714">
        <v>2022</v>
      </c>
      <c r="X1714">
        <f t="shared" si="78"/>
        <v>6.7898285999999999</v>
      </c>
      <c r="Y1714">
        <f t="shared" si="79"/>
        <v>4.8398285999999997</v>
      </c>
      <c r="Z1714">
        <f t="shared" si="80"/>
        <v>56.199828600000004</v>
      </c>
    </row>
    <row r="1715" spans="1:26" x14ac:dyDescent="0.3">
      <c r="A1715" t="s">
        <v>1805</v>
      </c>
      <c r="B1715" t="s">
        <v>82</v>
      </c>
      <c r="C1715" t="s">
        <v>78</v>
      </c>
      <c r="D1715" t="s">
        <v>57</v>
      </c>
      <c r="E1715">
        <v>20</v>
      </c>
      <c r="F1715" s="3">
        <v>7.92</v>
      </c>
      <c r="G1715" s="4">
        <v>85.7</v>
      </c>
      <c r="H1715">
        <v>1</v>
      </c>
      <c r="I1715">
        <v>0</v>
      </c>
      <c r="J1715">
        <v>5</v>
      </c>
      <c r="K1715" s="4">
        <v>84.1</v>
      </c>
      <c r="L1715" s="4">
        <v>81.5</v>
      </c>
      <c r="M1715" s="4">
        <v>68.5</v>
      </c>
      <c r="N1715">
        <v>0</v>
      </c>
      <c r="O1715" t="s">
        <v>58</v>
      </c>
      <c r="P1715" t="s">
        <v>79</v>
      </c>
      <c r="Q1715" t="s">
        <v>71</v>
      </c>
      <c r="R1715" t="s">
        <v>109</v>
      </c>
      <c r="S1715" s="3">
        <v>7.32</v>
      </c>
      <c r="T1715" s="5">
        <v>44812</v>
      </c>
      <c r="U1715">
        <v>1</v>
      </c>
      <c r="V1715">
        <v>2022</v>
      </c>
      <c r="X1715">
        <f t="shared" si="78"/>
        <v>7.9198284999999995</v>
      </c>
      <c r="Y1715">
        <f t="shared" si="79"/>
        <v>7.3198284999999998</v>
      </c>
      <c r="Z1715">
        <f t="shared" si="80"/>
        <v>81.499828500000007</v>
      </c>
    </row>
    <row r="1716" spans="1:26" x14ac:dyDescent="0.3">
      <c r="A1716" t="s">
        <v>1806</v>
      </c>
      <c r="B1716" t="s">
        <v>55</v>
      </c>
      <c r="C1716" t="s">
        <v>89</v>
      </c>
      <c r="D1716" t="s">
        <v>57</v>
      </c>
      <c r="E1716">
        <v>22</v>
      </c>
      <c r="F1716" s="3">
        <v>7.15</v>
      </c>
      <c r="G1716" s="4">
        <v>75.400000000000006</v>
      </c>
      <c r="H1716">
        <v>3</v>
      </c>
      <c r="I1716">
        <v>1</v>
      </c>
      <c r="J1716">
        <v>3</v>
      </c>
      <c r="K1716" s="4">
        <v>54.5</v>
      </c>
      <c r="L1716" s="4">
        <v>63.1</v>
      </c>
      <c r="M1716" s="4">
        <v>52.2</v>
      </c>
      <c r="N1716">
        <v>1</v>
      </c>
      <c r="O1716" t="s">
        <v>58</v>
      </c>
      <c r="P1716" t="s">
        <v>59</v>
      </c>
      <c r="Q1716" t="s">
        <v>60</v>
      </c>
      <c r="R1716" t="s">
        <v>72</v>
      </c>
      <c r="S1716" s="3">
        <v>19.09</v>
      </c>
      <c r="T1716" s="5">
        <v>45594</v>
      </c>
      <c r="U1716">
        <v>1</v>
      </c>
      <c r="V1716">
        <v>2024</v>
      </c>
      <c r="X1716">
        <f t="shared" si="78"/>
        <v>7.1498284000000005</v>
      </c>
      <c r="Y1716">
        <f t="shared" si="79"/>
        <v>19.089828399999998</v>
      </c>
      <c r="Z1716">
        <f t="shared" si="80"/>
        <v>63.0998284</v>
      </c>
    </row>
    <row r="1717" spans="1:26" x14ac:dyDescent="0.3">
      <c r="A1717" t="s">
        <v>1807</v>
      </c>
      <c r="B1717" t="s">
        <v>82</v>
      </c>
      <c r="C1717" t="s">
        <v>84</v>
      </c>
      <c r="D1717" t="s">
        <v>57</v>
      </c>
      <c r="E1717">
        <v>23</v>
      </c>
      <c r="F1717" s="3">
        <v>7.79</v>
      </c>
      <c r="G1717" s="4">
        <v>76.5</v>
      </c>
      <c r="H1717">
        <v>3</v>
      </c>
      <c r="I1717">
        <v>2</v>
      </c>
      <c r="J1717">
        <v>3</v>
      </c>
      <c r="K1717" s="4">
        <v>50.5</v>
      </c>
      <c r="L1717" s="4">
        <v>82.8</v>
      </c>
      <c r="M1717" s="4">
        <v>76.7</v>
      </c>
      <c r="N1717">
        <v>0</v>
      </c>
      <c r="O1717" t="s">
        <v>64</v>
      </c>
      <c r="P1717" t="s">
        <v>65</v>
      </c>
      <c r="S1717" s="3">
        <v>0</v>
      </c>
      <c r="T1717" s="5"/>
      <c r="U1717">
        <v>0</v>
      </c>
      <c r="V1717">
        <v>2022</v>
      </c>
      <c r="X1717">
        <f t="shared" si="78"/>
        <v>7.7898282999999999</v>
      </c>
      <c r="Y1717">
        <f t="shared" si="79"/>
        <v>-1.717E-4</v>
      </c>
      <c r="Z1717">
        <f t="shared" si="80"/>
        <v>82.799828300000001</v>
      </c>
    </row>
    <row r="1718" spans="1:26" x14ac:dyDescent="0.3">
      <c r="A1718" t="s">
        <v>1808</v>
      </c>
      <c r="B1718" t="s">
        <v>67</v>
      </c>
      <c r="C1718" t="s">
        <v>74</v>
      </c>
      <c r="D1718" t="s">
        <v>57</v>
      </c>
      <c r="E1718">
        <v>21</v>
      </c>
      <c r="F1718" s="3">
        <v>7.61</v>
      </c>
      <c r="G1718" s="4">
        <v>90.9</v>
      </c>
      <c r="H1718">
        <v>1</v>
      </c>
      <c r="I1718">
        <v>1</v>
      </c>
      <c r="J1718">
        <v>4</v>
      </c>
      <c r="K1718" s="4">
        <v>74</v>
      </c>
      <c r="L1718" s="4">
        <v>57.2</v>
      </c>
      <c r="M1718" s="4">
        <v>60.1</v>
      </c>
      <c r="N1718">
        <v>0</v>
      </c>
      <c r="O1718" t="s">
        <v>58</v>
      </c>
      <c r="P1718" t="s">
        <v>90</v>
      </c>
      <c r="Q1718" t="s">
        <v>60</v>
      </c>
      <c r="R1718" t="s">
        <v>85</v>
      </c>
      <c r="S1718" s="3">
        <v>7.03</v>
      </c>
      <c r="T1718" s="5">
        <v>45244</v>
      </c>
      <c r="U1718">
        <v>1</v>
      </c>
      <c r="V1718">
        <v>2023</v>
      </c>
      <c r="X1718">
        <f t="shared" si="78"/>
        <v>7.6098281999999999</v>
      </c>
      <c r="Y1718">
        <f t="shared" si="79"/>
        <v>7.0298281999999999</v>
      </c>
      <c r="Z1718">
        <f t="shared" si="80"/>
        <v>57.199828200000006</v>
      </c>
    </row>
    <row r="1719" spans="1:26" x14ac:dyDescent="0.3">
      <c r="A1719" t="s">
        <v>1809</v>
      </c>
      <c r="B1719" t="s">
        <v>67</v>
      </c>
      <c r="C1719" t="s">
        <v>56</v>
      </c>
      <c r="D1719" t="s">
        <v>69</v>
      </c>
      <c r="E1719">
        <v>22</v>
      </c>
      <c r="F1719" s="3">
        <v>8.57</v>
      </c>
      <c r="G1719" s="4">
        <v>90.1</v>
      </c>
      <c r="H1719">
        <v>2</v>
      </c>
      <c r="I1719">
        <v>0</v>
      </c>
      <c r="J1719">
        <v>5</v>
      </c>
      <c r="K1719" s="4">
        <v>92.5</v>
      </c>
      <c r="L1719" s="4">
        <v>66.900000000000006</v>
      </c>
      <c r="M1719" s="4">
        <v>72.5</v>
      </c>
      <c r="N1719">
        <v>0</v>
      </c>
      <c r="O1719" t="s">
        <v>58</v>
      </c>
      <c r="P1719" t="s">
        <v>112</v>
      </c>
      <c r="Q1719" t="s">
        <v>93</v>
      </c>
      <c r="R1719" t="s">
        <v>85</v>
      </c>
      <c r="S1719" s="3">
        <v>7.14</v>
      </c>
      <c r="T1719" s="5">
        <v>45166</v>
      </c>
      <c r="U1719">
        <v>2</v>
      </c>
      <c r="V1719">
        <v>2023</v>
      </c>
      <c r="X1719">
        <f t="shared" si="78"/>
        <v>8.5698281000000005</v>
      </c>
      <c r="Y1719">
        <f t="shared" si="79"/>
        <v>7.1398280999999999</v>
      </c>
      <c r="Z1719">
        <f t="shared" si="80"/>
        <v>66.899828100000008</v>
      </c>
    </row>
    <row r="1720" spans="1:26" x14ac:dyDescent="0.3">
      <c r="A1720" t="s">
        <v>1810</v>
      </c>
      <c r="B1720" t="s">
        <v>82</v>
      </c>
      <c r="C1720" t="s">
        <v>89</v>
      </c>
      <c r="D1720" t="s">
        <v>69</v>
      </c>
      <c r="E1720">
        <v>21</v>
      </c>
      <c r="F1720" s="3">
        <v>7.41</v>
      </c>
      <c r="G1720" s="4">
        <v>76.900000000000006</v>
      </c>
      <c r="H1720">
        <v>1</v>
      </c>
      <c r="I1720">
        <v>2</v>
      </c>
      <c r="J1720">
        <v>3</v>
      </c>
      <c r="K1720" s="4">
        <v>56.2</v>
      </c>
      <c r="L1720" s="4">
        <v>63.2</v>
      </c>
      <c r="M1720" s="4">
        <v>63.4</v>
      </c>
      <c r="N1720">
        <v>0</v>
      </c>
      <c r="O1720" t="s">
        <v>58</v>
      </c>
      <c r="P1720" t="s">
        <v>79</v>
      </c>
      <c r="Q1720" t="s">
        <v>71</v>
      </c>
      <c r="R1720" t="s">
        <v>76</v>
      </c>
      <c r="S1720" s="3">
        <v>6.8</v>
      </c>
      <c r="T1720" s="5">
        <v>44846</v>
      </c>
      <c r="U1720">
        <v>1</v>
      </c>
      <c r="V1720">
        <v>2022</v>
      </c>
      <c r="X1720">
        <f t="shared" si="78"/>
        <v>7.4098280000000001</v>
      </c>
      <c r="Y1720">
        <f t="shared" si="79"/>
        <v>6.7998279999999998</v>
      </c>
      <c r="Z1720">
        <f t="shared" si="80"/>
        <v>63.199828000000004</v>
      </c>
    </row>
    <row r="1721" spans="1:26" x14ac:dyDescent="0.3">
      <c r="A1721" t="s">
        <v>1811</v>
      </c>
      <c r="B1721" t="s">
        <v>63</v>
      </c>
      <c r="C1721" t="s">
        <v>56</v>
      </c>
      <c r="D1721" t="s">
        <v>69</v>
      </c>
      <c r="E1721">
        <v>23</v>
      </c>
      <c r="F1721" s="3">
        <v>7.76</v>
      </c>
      <c r="G1721" s="4">
        <v>92.5</v>
      </c>
      <c r="H1721">
        <v>0</v>
      </c>
      <c r="I1721">
        <v>1</v>
      </c>
      <c r="J1721">
        <v>4</v>
      </c>
      <c r="K1721" s="4">
        <v>88.1</v>
      </c>
      <c r="L1721" s="4">
        <v>59.3</v>
      </c>
      <c r="M1721" s="4">
        <v>91.1</v>
      </c>
      <c r="N1721">
        <v>2</v>
      </c>
      <c r="O1721" t="s">
        <v>58</v>
      </c>
      <c r="P1721" t="s">
        <v>95</v>
      </c>
      <c r="Q1721" t="s">
        <v>93</v>
      </c>
      <c r="R1721" t="s">
        <v>72</v>
      </c>
      <c r="S1721" s="3">
        <v>4.05</v>
      </c>
      <c r="T1721" s="5">
        <v>45930</v>
      </c>
      <c r="U1721">
        <v>1</v>
      </c>
      <c r="V1721">
        <v>2025</v>
      </c>
      <c r="X1721">
        <f t="shared" si="78"/>
        <v>7.7598278999999994</v>
      </c>
      <c r="Y1721">
        <f t="shared" si="79"/>
        <v>4.0498278999999995</v>
      </c>
      <c r="Z1721">
        <f t="shared" si="80"/>
        <v>59.299827899999997</v>
      </c>
    </row>
    <row r="1722" spans="1:26" x14ac:dyDescent="0.3">
      <c r="A1722" t="s">
        <v>1812</v>
      </c>
      <c r="B1722" t="s">
        <v>55</v>
      </c>
      <c r="C1722" t="s">
        <v>74</v>
      </c>
      <c r="D1722" t="s">
        <v>57</v>
      </c>
      <c r="E1722">
        <v>23</v>
      </c>
      <c r="F1722" s="3">
        <v>5.96</v>
      </c>
      <c r="G1722" s="4">
        <v>75.599999999999994</v>
      </c>
      <c r="H1722">
        <v>1</v>
      </c>
      <c r="I1722">
        <v>1</v>
      </c>
      <c r="J1722">
        <v>6</v>
      </c>
      <c r="K1722" s="4">
        <v>78.400000000000006</v>
      </c>
      <c r="L1722" s="4">
        <v>43.8</v>
      </c>
      <c r="M1722" s="4">
        <v>100</v>
      </c>
      <c r="N1722">
        <v>2</v>
      </c>
      <c r="O1722" t="s">
        <v>58</v>
      </c>
      <c r="P1722" t="s">
        <v>59</v>
      </c>
      <c r="Q1722" t="s">
        <v>60</v>
      </c>
      <c r="R1722" t="s">
        <v>76</v>
      </c>
      <c r="S1722" s="3">
        <v>16.559999999999999</v>
      </c>
      <c r="T1722" s="5">
        <v>45552</v>
      </c>
      <c r="U1722">
        <v>1</v>
      </c>
      <c r="V1722">
        <v>2024</v>
      </c>
      <c r="X1722">
        <f t="shared" si="78"/>
        <v>5.9598278000000002</v>
      </c>
      <c r="Y1722">
        <f t="shared" si="79"/>
        <v>16.559827799999997</v>
      </c>
      <c r="Z1722">
        <f t="shared" si="80"/>
        <v>43.799827799999996</v>
      </c>
    </row>
    <row r="1723" spans="1:26" x14ac:dyDescent="0.3">
      <c r="A1723" t="s">
        <v>1813</v>
      </c>
      <c r="B1723" t="s">
        <v>67</v>
      </c>
      <c r="C1723" t="s">
        <v>56</v>
      </c>
      <c r="D1723" t="s">
        <v>57</v>
      </c>
      <c r="E1723">
        <v>23</v>
      </c>
      <c r="F1723" s="3">
        <v>7.94</v>
      </c>
      <c r="G1723" s="4">
        <v>97.2</v>
      </c>
      <c r="H1723">
        <v>3</v>
      </c>
      <c r="I1723">
        <v>1</v>
      </c>
      <c r="J1723">
        <v>1</v>
      </c>
      <c r="K1723" s="4">
        <v>62.1</v>
      </c>
      <c r="L1723" s="4">
        <v>50.1</v>
      </c>
      <c r="M1723" s="4">
        <v>85</v>
      </c>
      <c r="N1723">
        <v>0</v>
      </c>
      <c r="O1723" t="s">
        <v>58</v>
      </c>
      <c r="P1723" t="s">
        <v>79</v>
      </c>
      <c r="Q1723" t="s">
        <v>71</v>
      </c>
      <c r="R1723" t="s">
        <v>61</v>
      </c>
      <c r="S1723" s="3">
        <v>5.07</v>
      </c>
      <c r="T1723" s="5">
        <v>45233</v>
      </c>
      <c r="U1723">
        <v>1</v>
      </c>
      <c r="V1723">
        <v>2023</v>
      </c>
      <c r="X1723">
        <f t="shared" si="78"/>
        <v>7.9398277000000004</v>
      </c>
      <c r="Y1723">
        <f t="shared" si="79"/>
        <v>5.0698277000000003</v>
      </c>
      <c r="Z1723">
        <f t="shared" si="80"/>
        <v>50.099827699999999</v>
      </c>
    </row>
    <row r="1724" spans="1:26" x14ac:dyDescent="0.3">
      <c r="A1724" t="s">
        <v>1814</v>
      </c>
      <c r="B1724" t="s">
        <v>63</v>
      </c>
      <c r="C1724" t="s">
        <v>56</v>
      </c>
      <c r="D1724" t="s">
        <v>57</v>
      </c>
      <c r="E1724">
        <v>23</v>
      </c>
      <c r="F1724" s="3">
        <v>6.95</v>
      </c>
      <c r="G1724" s="4">
        <v>86.8</v>
      </c>
      <c r="H1724">
        <v>3</v>
      </c>
      <c r="I1724">
        <v>0</v>
      </c>
      <c r="J1724">
        <v>3</v>
      </c>
      <c r="K1724" s="4">
        <v>49.5</v>
      </c>
      <c r="L1724" s="4">
        <v>86.9</v>
      </c>
      <c r="M1724" s="4">
        <v>85.7</v>
      </c>
      <c r="N1724">
        <v>0</v>
      </c>
      <c r="O1724" t="s">
        <v>58</v>
      </c>
      <c r="P1724" t="s">
        <v>112</v>
      </c>
      <c r="Q1724" t="s">
        <v>93</v>
      </c>
      <c r="R1724" t="s">
        <v>72</v>
      </c>
      <c r="S1724" s="3">
        <v>7.12</v>
      </c>
      <c r="T1724" s="5">
        <v>45948</v>
      </c>
      <c r="U1724">
        <v>1</v>
      </c>
      <c r="V1724">
        <v>2025</v>
      </c>
      <c r="X1724">
        <f t="shared" si="78"/>
        <v>6.9498275999999999</v>
      </c>
      <c r="Y1724">
        <f t="shared" si="79"/>
        <v>7.1198275999999998</v>
      </c>
      <c r="Z1724">
        <f t="shared" si="80"/>
        <v>86.899827600000009</v>
      </c>
    </row>
    <row r="1725" spans="1:26" x14ac:dyDescent="0.3">
      <c r="A1725" t="s">
        <v>1815</v>
      </c>
      <c r="B1725" t="s">
        <v>82</v>
      </c>
      <c r="C1725" t="s">
        <v>101</v>
      </c>
      <c r="D1725" t="s">
        <v>57</v>
      </c>
      <c r="E1725">
        <v>22</v>
      </c>
      <c r="F1725" s="3">
        <v>6.28</v>
      </c>
      <c r="G1725" s="4">
        <v>84.6</v>
      </c>
      <c r="H1725">
        <v>0</v>
      </c>
      <c r="I1725">
        <v>1</v>
      </c>
      <c r="J1725">
        <v>4</v>
      </c>
      <c r="K1725" s="4">
        <v>63.3</v>
      </c>
      <c r="L1725" s="4">
        <v>57.5</v>
      </c>
      <c r="M1725" s="4">
        <v>73.5</v>
      </c>
      <c r="N1725">
        <v>1</v>
      </c>
      <c r="O1725" t="s">
        <v>58</v>
      </c>
      <c r="P1725" t="s">
        <v>70</v>
      </c>
      <c r="Q1725" t="s">
        <v>71</v>
      </c>
      <c r="R1725" t="s">
        <v>130</v>
      </c>
      <c r="S1725" s="3">
        <v>4.5599999999999996</v>
      </c>
      <c r="T1725" s="5">
        <v>44869</v>
      </c>
      <c r="U1725">
        <v>1</v>
      </c>
      <c r="V1725">
        <v>2022</v>
      </c>
      <c r="X1725">
        <f t="shared" si="78"/>
        <v>6.2798275000000006</v>
      </c>
      <c r="Y1725">
        <f t="shared" si="79"/>
        <v>4.5598274999999999</v>
      </c>
      <c r="Z1725">
        <f t="shared" si="80"/>
        <v>57.499827500000002</v>
      </c>
    </row>
    <row r="1726" spans="1:26" x14ac:dyDescent="0.3">
      <c r="A1726" t="s">
        <v>1816</v>
      </c>
      <c r="B1726" t="s">
        <v>63</v>
      </c>
      <c r="C1726" t="s">
        <v>74</v>
      </c>
      <c r="D1726" t="s">
        <v>69</v>
      </c>
      <c r="E1726">
        <v>22</v>
      </c>
      <c r="F1726" s="3">
        <v>8.67</v>
      </c>
      <c r="G1726" s="4">
        <v>78.5</v>
      </c>
      <c r="H1726">
        <v>2</v>
      </c>
      <c r="I1726">
        <v>2</v>
      </c>
      <c r="J1726">
        <v>1</v>
      </c>
      <c r="K1726" s="4">
        <v>56.9</v>
      </c>
      <c r="L1726" s="4">
        <v>80</v>
      </c>
      <c r="M1726" s="4">
        <v>66.5</v>
      </c>
      <c r="N1726">
        <v>0</v>
      </c>
      <c r="O1726" t="s">
        <v>58</v>
      </c>
      <c r="P1726" t="s">
        <v>70</v>
      </c>
      <c r="Q1726" t="s">
        <v>71</v>
      </c>
      <c r="R1726" t="s">
        <v>72</v>
      </c>
      <c r="S1726" s="3">
        <v>8.4700000000000006</v>
      </c>
      <c r="T1726" s="5">
        <v>45882</v>
      </c>
      <c r="U1726">
        <v>1</v>
      </c>
      <c r="V1726">
        <v>2025</v>
      </c>
      <c r="X1726">
        <f t="shared" si="78"/>
        <v>8.6698273999999991</v>
      </c>
      <c r="Y1726">
        <f t="shared" si="79"/>
        <v>8.4698273999999998</v>
      </c>
      <c r="Z1726">
        <f t="shared" si="80"/>
        <v>79.999827400000001</v>
      </c>
    </row>
    <row r="1727" spans="1:26" x14ac:dyDescent="0.3">
      <c r="A1727" t="s">
        <v>1817</v>
      </c>
      <c r="B1727" t="s">
        <v>107</v>
      </c>
      <c r="C1727" t="s">
        <v>68</v>
      </c>
      <c r="D1727" t="s">
        <v>57</v>
      </c>
      <c r="E1727">
        <v>21</v>
      </c>
      <c r="F1727" s="3">
        <v>7.61</v>
      </c>
      <c r="G1727" s="4">
        <v>76.5</v>
      </c>
      <c r="H1727">
        <v>2</v>
      </c>
      <c r="I1727">
        <v>1</v>
      </c>
      <c r="J1727">
        <v>4</v>
      </c>
      <c r="K1727" s="4">
        <v>84.8</v>
      </c>
      <c r="L1727" s="4">
        <v>70.2</v>
      </c>
      <c r="M1727" s="4">
        <v>50.9</v>
      </c>
      <c r="N1727">
        <v>1</v>
      </c>
      <c r="O1727" t="s">
        <v>58</v>
      </c>
      <c r="P1727" t="s">
        <v>75</v>
      </c>
      <c r="Q1727" t="s">
        <v>71</v>
      </c>
      <c r="R1727" t="s">
        <v>130</v>
      </c>
      <c r="S1727" s="3">
        <v>5.28</v>
      </c>
      <c r="T1727" s="5">
        <v>44494</v>
      </c>
      <c r="U1727">
        <v>1</v>
      </c>
      <c r="V1727">
        <v>2021</v>
      </c>
      <c r="X1727">
        <f t="shared" si="78"/>
        <v>7.6098273000000001</v>
      </c>
      <c r="Y1727">
        <f t="shared" si="79"/>
        <v>5.2798273</v>
      </c>
      <c r="Z1727">
        <f t="shared" si="80"/>
        <v>70.19982730000001</v>
      </c>
    </row>
    <row r="1728" spans="1:26" x14ac:dyDescent="0.3">
      <c r="A1728" t="s">
        <v>1818</v>
      </c>
      <c r="B1728" t="s">
        <v>67</v>
      </c>
      <c r="C1728" t="s">
        <v>56</v>
      </c>
      <c r="D1728" t="s">
        <v>69</v>
      </c>
      <c r="E1728">
        <v>20</v>
      </c>
      <c r="F1728" s="3">
        <v>5.78</v>
      </c>
      <c r="G1728" s="4">
        <v>61.1</v>
      </c>
      <c r="H1728">
        <v>1</v>
      </c>
      <c r="I1728">
        <v>4</v>
      </c>
      <c r="J1728">
        <v>2</v>
      </c>
      <c r="K1728" s="4">
        <v>67.5</v>
      </c>
      <c r="L1728" s="4">
        <v>64.8</v>
      </c>
      <c r="M1728" s="4">
        <v>76.2</v>
      </c>
      <c r="N1728">
        <v>0</v>
      </c>
      <c r="O1728" t="s">
        <v>64</v>
      </c>
      <c r="P1728" t="s">
        <v>65</v>
      </c>
      <c r="S1728" s="3">
        <v>0</v>
      </c>
      <c r="T1728" s="5"/>
      <c r="U1728">
        <v>0</v>
      </c>
      <c r="V1728">
        <v>2023</v>
      </c>
      <c r="X1728">
        <f t="shared" si="78"/>
        <v>5.7798272000000006</v>
      </c>
      <c r="Y1728">
        <f t="shared" si="79"/>
        <v>-1.728E-4</v>
      </c>
      <c r="Z1728">
        <f t="shared" si="80"/>
        <v>64.799827199999996</v>
      </c>
    </row>
    <row r="1729" spans="1:26" x14ac:dyDescent="0.3">
      <c r="A1729" t="s">
        <v>1819</v>
      </c>
      <c r="B1729" t="s">
        <v>82</v>
      </c>
      <c r="C1729" t="s">
        <v>78</v>
      </c>
      <c r="D1729" t="s">
        <v>57</v>
      </c>
      <c r="E1729">
        <v>23</v>
      </c>
      <c r="F1729" s="3">
        <v>6.94</v>
      </c>
      <c r="G1729" s="4">
        <v>79.400000000000006</v>
      </c>
      <c r="H1729">
        <v>2</v>
      </c>
      <c r="I1729">
        <v>0</v>
      </c>
      <c r="J1729">
        <v>5</v>
      </c>
      <c r="K1729" s="4">
        <v>74.7</v>
      </c>
      <c r="L1729" s="4">
        <v>63.6</v>
      </c>
      <c r="M1729" s="4">
        <v>70.400000000000006</v>
      </c>
      <c r="N1729">
        <v>0</v>
      </c>
      <c r="O1729" t="s">
        <v>58</v>
      </c>
      <c r="P1729" t="s">
        <v>70</v>
      </c>
      <c r="Q1729" t="s">
        <v>71</v>
      </c>
      <c r="R1729" t="s">
        <v>85</v>
      </c>
      <c r="S1729" s="3">
        <v>4.42</v>
      </c>
      <c r="T1729" s="5">
        <v>44784</v>
      </c>
      <c r="U1729">
        <v>1</v>
      </c>
      <c r="V1729">
        <v>2022</v>
      </c>
      <c r="X1729">
        <f t="shared" si="78"/>
        <v>6.9398271000000005</v>
      </c>
      <c r="Y1729">
        <f t="shared" si="79"/>
        <v>4.4198271</v>
      </c>
      <c r="Z1729">
        <f t="shared" si="80"/>
        <v>63.599827099999999</v>
      </c>
    </row>
    <row r="1730" spans="1:26" x14ac:dyDescent="0.3">
      <c r="A1730" t="s">
        <v>1820</v>
      </c>
      <c r="B1730" t="s">
        <v>55</v>
      </c>
      <c r="C1730" t="s">
        <v>74</v>
      </c>
      <c r="D1730" t="s">
        <v>69</v>
      </c>
      <c r="E1730">
        <v>21</v>
      </c>
      <c r="F1730" s="3">
        <v>7.65</v>
      </c>
      <c r="G1730" s="4">
        <v>81.900000000000006</v>
      </c>
      <c r="H1730">
        <v>1</v>
      </c>
      <c r="I1730">
        <v>4</v>
      </c>
      <c r="J1730">
        <v>5</v>
      </c>
      <c r="K1730" s="4">
        <v>74.8</v>
      </c>
      <c r="L1730" s="4">
        <v>68.8</v>
      </c>
      <c r="M1730" s="4">
        <v>76.7</v>
      </c>
      <c r="N1730">
        <v>0</v>
      </c>
      <c r="O1730" t="s">
        <v>58</v>
      </c>
      <c r="P1730" t="s">
        <v>112</v>
      </c>
      <c r="Q1730" t="s">
        <v>93</v>
      </c>
      <c r="R1730" t="s">
        <v>130</v>
      </c>
      <c r="S1730" s="3">
        <v>6.19</v>
      </c>
      <c r="T1730" s="5">
        <v>45601</v>
      </c>
      <c r="U1730">
        <v>1</v>
      </c>
      <c r="V1730">
        <v>2024</v>
      </c>
      <c r="X1730">
        <f t="shared" ref="X1730:X1793" si="81">F1730-ROW()*0.0000001</f>
        <v>7.6498270000000002</v>
      </c>
      <c r="Y1730">
        <f t="shared" ref="Y1730:Y1793" si="82">S1730-ROW()*0.0000001</f>
        <v>6.1898270000000002</v>
      </c>
      <c r="Z1730">
        <f t="shared" ref="Z1730:Z1793" si="83">L1730-ROW()*0.0000001</f>
        <v>68.799826999999993</v>
      </c>
    </row>
    <row r="1731" spans="1:26" x14ac:dyDescent="0.3">
      <c r="A1731" t="s">
        <v>1821</v>
      </c>
      <c r="B1731" t="s">
        <v>82</v>
      </c>
      <c r="C1731" t="s">
        <v>78</v>
      </c>
      <c r="D1731" t="s">
        <v>69</v>
      </c>
      <c r="E1731">
        <v>21</v>
      </c>
      <c r="F1731" s="3">
        <v>7.68</v>
      </c>
      <c r="G1731" s="4">
        <v>65.599999999999994</v>
      </c>
      <c r="H1731">
        <v>1</v>
      </c>
      <c r="I1731">
        <v>2</v>
      </c>
      <c r="J1731">
        <v>1</v>
      </c>
      <c r="K1731" s="4">
        <v>59</v>
      </c>
      <c r="L1731" s="4">
        <v>80</v>
      </c>
      <c r="M1731" s="4">
        <v>65.5</v>
      </c>
      <c r="N1731">
        <v>1</v>
      </c>
      <c r="O1731" t="s">
        <v>64</v>
      </c>
      <c r="P1731" t="s">
        <v>65</v>
      </c>
      <c r="S1731" s="3">
        <v>0</v>
      </c>
      <c r="T1731" s="5"/>
      <c r="U1731">
        <v>0</v>
      </c>
      <c r="V1731">
        <v>2022</v>
      </c>
      <c r="X1731">
        <f t="shared" si="81"/>
        <v>7.6798269000000001</v>
      </c>
      <c r="Y1731">
        <f t="shared" si="82"/>
        <v>-1.7309999999999998E-4</v>
      </c>
      <c r="Z1731">
        <f t="shared" si="83"/>
        <v>79.999826900000002</v>
      </c>
    </row>
    <row r="1732" spans="1:26" x14ac:dyDescent="0.3">
      <c r="A1732" t="s">
        <v>1822</v>
      </c>
      <c r="B1732" t="s">
        <v>55</v>
      </c>
      <c r="C1732" t="s">
        <v>68</v>
      </c>
      <c r="D1732" t="s">
        <v>69</v>
      </c>
      <c r="E1732">
        <v>21</v>
      </c>
      <c r="F1732" s="3">
        <v>7.2</v>
      </c>
      <c r="G1732" s="4">
        <v>89.4</v>
      </c>
      <c r="H1732">
        <v>2</v>
      </c>
      <c r="I1732">
        <v>1</v>
      </c>
      <c r="J1732">
        <v>1</v>
      </c>
      <c r="K1732" s="4">
        <v>69</v>
      </c>
      <c r="L1732" s="4">
        <v>51.6</v>
      </c>
      <c r="M1732" s="4">
        <v>56.1</v>
      </c>
      <c r="N1732">
        <v>0</v>
      </c>
      <c r="O1732" t="s">
        <v>58</v>
      </c>
      <c r="P1732" t="s">
        <v>90</v>
      </c>
      <c r="Q1732" t="s">
        <v>60</v>
      </c>
      <c r="R1732" t="s">
        <v>76</v>
      </c>
      <c r="S1732" s="3">
        <v>6.33</v>
      </c>
      <c r="T1732" s="5">
        <v>45544</v>
      </c>
      <c r="U1732">
        <v>1</v>
      </c>
      <c r="V1732">
        <v>2024</v>
      </c>
      <c r="X1732">
        <f t="shared" si="81"/>
        <v>7.1998268000000003</v>
      </c>
      <c r="Y1732">
        <f t="shared" si="82"/>
        <v>6.3298268000000002</v>
      </c>
      <c r="Z1732">
        <f t="shared" si="83"/>
        <v>51.599826800000002</v>
      </c>
    </row>
    <row r="1733" spans="1:26" x14ac:dyDescent="0.3">
      <c r="A1733" t="s">
        <v>1823</v>
      </c>
      <c r="B1733" t="s">
        <v>82</v>
      </c>
      <c r="C1733" t="s">
        <v>56</v>
      </c>
      <c r="D1733" t="s">
        <v>57</v>
      </c>
      <c r="E1733">
        <v>23</v>
      </c>
      <c r="F1733" s="3">
        <v>5</v>
      </c>
      <c r="G1733" s="4">
        <v>80.599999999999994</v>
      </c>
      <c r="H1733">
        <v>1</v>
      </c>
      <c r="I1733">
        <v>1</v>
      </c>
      <c r="J1733">
        <v>5</v>
      </c>
      <c r="K1733" s="4">
        <v>82</v>
      </c>
      <c r="L1733" s="4">
        <v>69</v>
      </c>
      <c r="M1733" s="4">
        <v>60.1</v>
      </c>
      <c r="N1733">
        <v>0</v>
      </c>
      <c r="O1733" t="s">
        <v>58</v>
      </c>
      <c r="P1733" t="s">
        <v>87</v>
      </c>
      <c r="Q1733" t="s">
        <v>71</v>
      </c>
      <c r="R1733" t="s">
        <v>109</v>
      </c>
      <c r="S1733" s="3">
        <v>3.82</v>
      </c>
      <c r="T1733" s="5">
        <v>44881</v>
      </c>
      <c r="U1733">
        <v>1</v>
      </c>
      <c r="V1733">
        <v>2022</v>
      </c>
      <c r="X1733">
        <f t="shared" si="81"/>
        <v>4.9998266999999998</v>
      </c>
      <c r="Y1733">
        <f t="shared" si="82"/>
        <v>3.8198266999999997</v>
      </c>
      <c r="Z1733">
        <f t="shared" si="83"/>
        <v>68.9998267</v>
      </c>
    </row>
    <row r="1734" spans="1:26" x14ac:dyDescent="0.3">
      <c r="A1734" t="s">
        <v>1824</v>
      </c>
      <c r="B1734" t="s">
        <v>63</v>
      </c>
      <c r="C1734" t="s">
        <v>68</v>
      </c>
      <c r="D1734" t="s">
        <v>69</v>
      </c>
      <c r="E1734">
        <v>23</v>
      </c>
      <c r="F1734" s="3">
        <v>7.15</v>
      </c>
      <c r="G1734" s="4">
        <v>92.9</v>
      </c>
      <c r="H1734">
        <v>1</v>
      </c>
      <c r="I1734">
        <v>1</v>
      </c>
      <c r="J1734">
        <v>3</v>
      </c>
      <c r="K1734" s="4">
        <v>66.900000000000006</v>
      </c>
      <c r="L1734" s="4">
        <v>75.8</v>
      </c>
      <c r="M1734" s="4">
        <v>92.4</v>
      </c>
      <c r="N1734">
        <v>0</v>
      </c>
      <c r="O1734" t="s">
        <v>58</v>
      </c>
      <c r="P1734" t="s">
        <v>59</v>
      </c>
      <c r="Q1734" t="s">
        <v>60</v>
      </c>
      <c r="R1734" t="s">
        <v>72</v>
      </c>
      <c r="S1734" s="3">
        <v>19.04</v>
      </c>
      <c r="T1734" s="5">
        <v>45920</v>
      </c>
      <c r="U1734">
        <v>1</v>
      </c>
      <c r="V1734">
        <v>2025</v>
      </c>
      <c r="X1734">
        <f t="shared" si="81"/>
        <v>7.1498265999999999</v>
      </c>
      <c r="Y1734">
        <f t="shared" si="82"/>
        <v>19.039826599999998</v>
      </c>
      <c r="Z1734">
        <f t="shared" si="83"/>
        <v>75.799826600000003</v>
      </c>
    </row>
    <row r="1735" spans="1:26" x14ac:dyDescent="0.3">
      <c r="A1735" t="s">
        <v>1825</v>
      </c>
      <c r="B1735" t="s">
        <v>63</v>
      </c>
      <c r="C1735" t="s">
        <v>56</v>
      </c>
      <c r="D1735" t="s">
        <v>69</v>
      </c>
      <c r="E1735">
        <v>21</v>
      </c>
      <c r="F1735" s="3">
        <v>8.61</v>
      </c>
      <c r="G1735" s="4">
        <v>75.8</v>
      </c>
      <c r="H1735">
        <v>1</v>
      </c>
      <c r="I1735">
        <v>2</v>
      </c>
      <c r="J1735">
        <v>4</v>
      </c>
      <c r="K1735" s="4">
        <v>64.3</v>
      </c>
      <c r="L1735" s="4">
        <v>81.2</v>
      </c>
      <c r="M1735" s="4">
        <v>97.2</v>
      </c>
      <c r="N1735">
        <v>0</v>
      </c>
      <c r="O1735" t="s">
        <v>58</v>
      </c>
      <c r="P1735" t="s">
        <v>79</v>
      </c>
      <c r="Q1735" t="s">
        <v>71</v>
      </c>
      <c r="R1735" t="s">
        <v>76</v>
      </c>
      <c r="S1735" s="3">
        <v>5.46</v>
      </c>
      <c r="T1735" s="5">
        <v>45939</v>
      </c>
      <c r="U1735">
        <v>1</v>
      </c>
      <c r="V1735">
        <v>2025</v>
      </c>
      <c r="X1735">
        <f t="shared" si="81"/>
        <v>8.6098264999999987</v>
      </c>
      <c r="Y1735">
        <f t="shared" si="82"/>
        <v>5.4598265000000001</v>
      </c>
      <c r="Z1735">
        <f t="shared" si="83"/>
        <v>81.1998265</v>
      </c>
    </row>
    <row r="1736" spans="1:26" x14ac:dyDescent="0.3">
      <c r="A1736" t="s">
        <v>1826</v>
      </c>
      <c r="B1736" t="s">
        <v>63</v>
      </c>
      <c r="C1736" t="s">
        <v>68</v>
      </c>
      <c r="D1736" t="s">
        <v>57</v>
      </c>
      <c r="E1736">
        <v>23</v>
      </c>
      <c r="F1736" s="3">
        <v>8.91</v>
      </c>
      <c r="G1736" s="4">
        <v>93.1</v>
      </c>
      <c r="H1736">
        <v>2</v>
      </c>
      <c r="I1736">
        <v>1</v>
      </c>
      <c r="J1736">
        <v>3</v>
      </c>
      <c r="K1736" s="4">
        <v>77.7</v>
      </c>
      <c r="L1736" s="4">
        <v>85.2</v>
      </c>
      <c r="M1736" s="4">
        <v>55.1</v>
      </c>
      <c r="N1736">
        <v>0</v>
      </c>
      <c r="O1736" t="s">
        <v>58</v>
      </c>
      <c r="P1736" t="s">
        <v>79</v>
      </c>
      <c r="Q1736" t="s">
        <v>71</v>
      </c>
      <c r="R1736" t="s">
        <v>76</v>
      </c>
      <c r="S1736" s="3">
        <v>7.26</v>
      </c>
      <c r="T1736" s="5">
        <v>45949</v>
      </c>
      <c r="U1736">
        <v>2</v>
      </c>
      <c r="V1736">
        <v>2025</v>
      </c>
      <c r="X1736">
        <f t="shared" si="81"/>
        <v>8.9098264</v>
      </c>
      <c r="Y1736">
        <f t="shared" si="82"/>
        <v>7.2598263999999997</v>
      </c>
      <c r="Z1736">
        <f t="shared" si="83"/>
        <v>85.199826400000006</v>
      </c>
    </row>
    <row r="1737" spans="1:26" x14ac:dyDescent="0.3">
      <c r="A1737" t="s">
        <v>1827</v>
      </c>
      <c r="B1737" t="s">
        <v>107</v>
      </c>
      <c r="C1737" t="s">
        <v>74</v>
      </c>
      <c r="D1737" t="s">
        <v>57</v>
      </c>
      <c r="E1737">
        <v>21</v>
      </c>
      <c r="F1737" s="3">
        <v>7.1</v>
      </c>
      <c r="G1737" s="4">
        <v>78</v>
      </c>
      <c r="H1737">
        <v>1</v>
      </c>
      <c r="I1737">
        <v>2</v>
      </c>
      <c r="J1737">
        <v>2</v>
      </c>
      <c r="K1737" s="4">
        <v>49.8</v>
      </c>
      <c r="L1737" s="4">
        <v>67.2</v>
      </c>
      <c r="M1737" s="4">
        <v>66</v>
      </c>
      <c r="N1737">
        <v>0</v>
      </c>
      <c r="O1737" t="s">
        <v>58</v>
      </c>
      <c r="P1737" t="s">
        <v>75</v>
      </c>
      <c r="Q1737" t="s">
        <v>71</v>
      </c>
      <c r="R1737" t="s">
        <v>72</v>
      </c>
      <c r="S1737" s="3">
        <v>4.96</v>
      </c>
      <c r="T1737" s="5">
        <v>44438</v>
      </c>
      <c r="U1737">
        <v>1</v>
      </c>
      <c r="V1737">
        <v>2021</v>
      </c>
      <c r="X1737">
        <f t="shared" si="81"/>
        <v>7.0998262999999993</v>
      </c>
      <c r="Y1737">
        <f t="shared" si="82"/>
        <v>4.9598262999999996</v>
      </c>
      <c r="Z1737">
        <f t="shared" si="83"/>
        <v>67.199826299999998</v>
      </c>
    </row>
    <row r="1738" spans="1:26" x14ac:dyDescent="0.3">
      <c r="A1738" t="s">
        <v>1828</v>
      </c>
      <c r="B1738" t="s">
        <v>55</v>
      </c>
      <c r="C1738" t="s">
        <v>84</v>
      </c>
      <c r="D1738" t="s">
        <v>69</v>
      </c>
      <c r="E1738">
        <v>22</v>
      </c>
      <c r="F1738" s="3">
        <v>9.35</v>
      </c>
      <c r="G1738" s="4">
        <v>81.5</v>
      </c>
      <c r="H1738">
        <v>1</v>
      </c>
      <c r="I1738">
        <v>2</v>
      </c>
      <c r="J1738">
        <v>3</v>
      </c>
      <c r="K1738" s="4">
        <v>37.200000000000003</v>
      </c>
      <c r="L1738" s="4">
        <v>49</v>
      </c>
      <c r="M1738" s="4">
        <v>53</v>
      </c>
      <c r="N1738">
        <v>2</v>
      </c>
      <c r="O1738" t="s">
        <v>58</v>
      </c>
      <c r="P1738" t="s">
        <v>112</v>
      </c>
      <c r="Q1738" t="s">
        <v>93</v>
      </c>
      <c r="R1738" t="s">
        <v>85</v>
      </c>
      <c r="S1738" s="3">
        <v>6.62</v>
      </c>
      <c r="T1738" s="5">
        <v>45534</v>
      </c>
      <c r="U1738">
        <v>2</v>
      </c>
      <c r="V1738">
        <v>2024</v>
      </c>
      <c r="X1738">
        <f t="shared" si="81"/>
        <v>9.349826199999999</v>
      </c>
      <c r="Y1738">
        <f t="shared" si="82"/>
        <v>6.6198262000000003</v>
      </c>
      <c r="Z1738">
        <f t="shared" si="83"/>
        <v>48.999826200000001</v>
      </c>
    </row>
    <row r="1739" spans="1:26" x14ac:dyDescent="0.3">
      <c r="A1739" t="s">
        <v>1829</v>
      </c>
      <c r="B1739" t="s">
        <v>63</v>
      </c>
      <c r="C1739" t="s">
        <v>56</v>
      </c>
      <c r="D1739" t="s">
        <v>69</v>
      </c>
      <c r="E1739">
        <v>23</v>
      </c>
      <c r="F1739" s="3">
        <v>6.19</v>
      </c>
      <c r="G1739" s="4">
        <v>83.9</v>
      </c>
      <c r="H1739">
        <v>2</v>
      </c>
      <c r="I1739">
        <v>2</v>
      </c>
      <c r="J1739">
        <v>3</v>
      </c>
      <c r="K1739" s="4">
        <v>72</v>
      </c>
      <c r="L1739" s="4">
        <v>76.099999999999994</v>
      </c>
      <c r="M1739" s="4">
        <v>74.7</v>
      </c>
      <c r="N1739">
        <v>0</v>
      </c>
      <c r="O1739" t="s">
        <v>58</v>
      </c>
      <c r="P1739" t="s">
        <v>59</v>
      </c>
      <c r="Q1739" t="s">
        <v>60</v>
      </c>
      <c r="R1739" t="s">
        <v>80</v>
      </c>
      <c r="S1739" s="3">
        <v>18.47</v>
      </c>
      <c r="T1739" s="5">
        <v>45947</v>
      </c>
      <c r="U1739">
        <v>1</v>
      </c>
      <c r="V1739">
        <v>2025</v>
      </c>
      <c r="X1739">
        <f t="shared" si="81"/>
        <v>6.1898261000000003</v>
      </c>
      <c r="Y1739">
        <f t="shared" si="82"/>
        <v>18.469826099999999</v>
      </c>
      <c r="Z1739">
        <f t="shared" si="83"/>
        <v>76.099826100000001</v>
      </c>
    </row>
    <row r="1740" spans="1:26" x14ac:dyDescent="0.3">
      <c r="A1740" t="s">
        <v>1830</v>
      </c>
      <c r="B1740" t="s">
        <v>107</v>
      </c>
      <c r="C1740" t="s">
        <v>78</v>
      </c>
      <c r="D1740" t="s">
        <v>57</v>
      </c>
      <c r="E1740">
        <v>22</v>
      </c>
      <c r="F1740" s="3">
        <v>6.92</v>
      </c>
      <c r="G1740" s="4">
        <v>81.599999999999994</v>
      </c>
      <c r="H1740">
        <v>0</v>
      </c>
      <c r="I1740">
        <v>2</v>
      </c>
      <c r="J1740">
        <v>3</v>
      </c>
      <c r="K1740" s="4">
        <v>82.3</v>
      </c>
      <c r="L1740" s="4">
        <v>68.2</v>
      </c>
      <c r="M1740" s="4">
        <v>75</v>
      </c>
      <c r="N1740">
        <v>0</v>
      </c>
      <c r="O1740" t="s">
        <v>58</v>
      </c>
      <c r="P1740" t="s">
        <v>90</v>
      </c>
      <c r="Q1740" t="s">
        <v>60</v>
      </c>
      <c r="R1740" t="s">
        <v>76</v>
      </c>
      <c r="S1740" s="3">
        <v>7.49</v>
      </c>
      <c r="T1740" s="5">
        <v>44462</v>
      </c>
      <c r="U1740">
        <v>2</v>
      </c>
      <c r="V1740">
        <v>2021</v>
      </c>
      <c r="X1740">
        <f t="shared" si="81"/>
        <v>6.9198259999999996</v>
      </c>
      <c r="Y1740">
        <f t="shared" si="82"/>
        <v>7.4898259999999999</v>
      </c>
      <c r="Z1740">
        <f t="shared" si="83"/>
        <v>68.199826000000002</v>
      </c>
    </row>
    <row r="1741" spans="1:26" x14ac:dyDescent="0.3">
      <c r="A1741" t="s">
        <v>1831</v>
      </c>
      <c r="B1741" t="s">
        <v>55</v>
      </c>
      <c r="C1741" t="s">
        <v>56</v>
      </c>
      <c r="D1741" t="s">
        <v>57</v>
      </c>
      <c r="E1741">
        <v>20</v>
      </c>
      <c r="F1741" s="3">
        <v>8.4499999999999993</v>
      </c>
      <c r="G1741" s="4">
        <v>84.7</v>
      </c>
      <c r="H1741">
        <v>2</v>
      </c>
      <c r="I1741">
        <v>1</v>
      </c>
      <c r="J1741">
        <v>5</v>
      </c>
      <c r="K1741" s="4">
        <v>93.2</v>
      </c>
      <c r="L1741" s="4">
        <v>88.1</v>
      </c>
      <c r="M1741" s="4">
        <v>72.599999999999994</v>
      </c>
      <c r="N1741">
        <v>2</v>
      </c>
      <c r="O1741" t="s">
        <v>64</v>
      </c>
      <c r="P1741" t="s">
        <v>65</v>
      </c>
      <c r="S1741" s="3">
        <v>0</v>
      </c>
      <c r="T1741" s="5"/>
      <c r="U1741">
        <v>0</v>
      </c>
      <c r="V1741">
        <v>2024</v>
      </c>
      <c r="X1741">
        <f t="shared" si="81"/>
        <v>8.4498258999999987</v>
      </c>
      <c r="Y1741">
        <f t="shared" si="82"/>
        <v>-1.741E-4</v>
      </c>
      <c r="Z1741">
        <f t="shared" si="83"/>
        <v>88.099825899999999</v>
      </c>
    </row>
    <row r="1742" spans="1:26" x14ac:dyDescent="0.3">
      <c r="A1742" t="s">
        <v>1832</v>
      </c>
      <c r="B1742" t="s">
        <v>82</v>
      </c>
      <c r="C1742" t="s">
        <v>74</v>
      </c>
      <c r="D1742" t="s">
        <v>69</v>
      </c>
      <c r="E1742">
        <v>23</v>
      </c>
      <c r="F1742" s="3">
        <v>8.31</v>
      </c>
      <c r="G1742" s="4">
        <v>64.7</v>
      </c>
      <c r="H1742">
        <v>1</v>
      </c>
      <c r="I1742">
        <v>3</v>
      </c>
      <c r="J1742">
        <v>4</v>
      </c>
      <c r="K1742" s="4">
        <v>70.7</v>
      </c>
      <c r="L1742" s="4">
        <v>73</v>
      </c>
      <c r="M1742" s="4">
        <v>68</v>
      </c>
      <c r="N1742">
        <v>1</v>
      </c>
      <c r="O1742" t="s">
        <v>58</v>
      </c>
      <c r="P1742" t="s">
        <v>59</v>
      </c>
      <c r="Q1742" t="s">
        <v>60</v>
      </c>
      <c r="R1742" t="s">
        <v>130</v>
      </c>
      <c r="S1742" s="3">
        <v>20.83</v>
      </c>
      <c r="T1742" s="5">
        <v>44840</v>
      </c>
      <c r="U1742">
        <v>1</v>
      </c>
      <c r="V1742">
        <v>2022</v>
      </c>
      <c r="X1742">
        <f t="shared" si="81"/>
        <v>8.3098258000000005</v>
      </c>
      <c r="Y1742">
        <f t="shared" si="82"/>
        <v>20.829825799999998</v>
      </c>
      <c r="Z1742">
        <f t="shared" si="83"/>
        <v>72.999825799999996</v>
      </c>
    </row>
    <row r="1743" spans="1:26" x14ac:dyDescent="0.3">
      <c r="A1743" t="s">
        <v>1833</v>
      </c>
      <c r="B1743" t="s">
        <v>107</v>
      </c>
      <c r="C1743" t="s">
        <v>68</v>
      </c>
      <c r="D1743" t="s">
        <v>57</v>
      </c>
      <c r="E1743">
        <v>20</v>
      </c>
      <c r="F1743" s="3">
        <v>7.64</v>
      </c>
      <c r="G1743" s="4">
        <v>80.7</v>
      </c>
      <c r="H1743">
        <v>1</v>
      </c>
      <c r="I1743">
        <v>3</v>
      </c>
      <c r="J1743">
        <v>4</v>
      </c>
      <c r="K1743" s="4">
        <v>79.5</v>
      </c>
      <c r="L1743" s="4">
        <v>88.2</v>
      </c>
      <c r="M1743" s="4">
        <v>76.900000000000006</v>
      </c>
      <c r="N1743">
        <v>0</v>
      </c>
      <c r="O1743" t="s">
        <v>58</v>
      </c>
      <c r="P1743" t="s">
        <v>87</v>
      </c>
      <c r="Q1743" t="s">
        <v>71</v>
      </c>
      <c r="R1743" t="s">
        <v>72</v>
      </c>
      <c r="S1743" s="3">
        <v>6.68</v>
      </c>
      <c r="T1743" s="5">
        <v>44503</v>
      </c>
      <c r="U1743">
        <v>2</v>
      </c>
      <c r="V1743">
        <v>2021</v>
      </c>
      <c r="X1743">
        <f t="shared" si="81"/>
        <v>7.6398256999999994</v>
      </c>
      <c r="Y1743">
        <f t="shared" si="82"/>
        <v>6.6798256999999994</v>
      </c>
      <c r="Z1743">
        <f t="shared" si="83"/>
        <v>88.199825700000005</v>
      </c>
    </row>
    <row r="1744" spans="1:26" x14ac:dyDescent="0.3">
      <c r="A1744" t="s">
        <v>1834</v>
      </c>
      <c r="B1744" t="s">
        <v>67</v>
      </c>
      <c r="C1744" t="s">
        <v>84</v>
      </c>
      <c r="D1744" t="s">
        <v>57</v>
      </c>
      <c r="E1744">
        <v>21</v>
      </c>
      <c r="F1744" s="3">
        <v>6.64</v>
      </c>
      <c r="G1744" s="4">
        <v>81.3</v>
      </c>
      <c r="H1744">
        <v>0</v>
      </c>
      <c r="I1744">
        <v>5</v>
      </c>
      <c r="J1744">
        <v>3</v>
      </c>
      <c r="K1744" s="4">
        <v>86.5</v>
      </c>
      <c r="L1744" s="4">
        <v>62.1</v>
      </c>
      <c r="M1744" s="4">
        <v>81.8</v>
      </c>
      <c r="N1744">
        <v>0</v>
      </c>
      <c r="O1744" t="s">
        <v>58</v>
      </c>
      <c r="P1744" t="s">
        <v>59</v>
      </c>
      <c r="Q1744" t="s">
        <v>60</v>
      </c>
      <c r="R1744" t="s">
        <v>130</v>
      </c>
      <c r="S1744" s="3">
        <v>16.61</v>
      </c>
      <c r="T1744" s="5">
        <v>45148</v>
      </c>
      <c r="U1744">
        <v>1</v>
      </c>
      <c r="V1744">
        <v>2023</v>
      </c>
      <c r="X1744">
        <f t="shared" si="81"/>
        <v>6.6398256</v>
      </c>
      <c r="Y1744">
        <f t="shared" si="82"/>
        <v>16.609825600000001</v>
      </c>
      <c r="Z1744">
        <f t="shared" si="83"/>
        <v>62.099825600000003</v>
      </c>
    </row>
    <row r="1745" spans="1:26" x14ac:dyDescent="0.3">
      <c r="A1745" t="s">
        <v>1835</v>
      </c>
      <c r="B1745" t="s">
        <v>107</v>
      </c>
      <c r="C1745" t="s">
        <v>56</v>
      </c>
      <c r="D1745" t="s">
        <v>57</v>
      </c>
      <c r="E1745">
        <v>23</v>
      </c>
      <c r="F1745" s="3">
        <v>6.64</v>
      </c>
      <c r="G1745" s="4">
        <v>64.099999999999994</v>
      </c>
      <c r="H1745">
        <v>0</v>
      </c>
      <c r="I1745">
        <v>1</v>
      </c>
      <c r="J1745">
        <v>3</v>
      </c>
      <c r="K1745" s="4">
        <v>68.400000000000006</v>
      </c>
      <c r="L1745" s="4">
        <v>88.2</v>
      </c>
      <c r="M1745" s="4">
        <v>82.3</v>
      </c>
      <c r="N1745">
        <v>1</v>
      </c>
      <c r="O1745" t="s">
        <v>64</v>
      </c>
      <c r="P1745" t="s">
        <v>65</v>
      </c>
      <c r="S1745" s="3">
        <v>0</v>
      </c>
      <c r="T1745" s="5"/>
      <c r="U1745">
        <v>0</v>
      </c>
      <c r="V1745">
        <v>2021</v>
      </c>
      <c r="X1745">
        <f t="shared" si="81"/>
        <v>6.6398254999999997</v>
      </c>
      <c r="Y1745">
        <f t="shared" si="82"/>
        <v>-1.7449999999999999E-4</v>
      </c>
      <c r="Z1745">
        <f t="shared" si="83"/>
        <v>88.199825500000003</v>
      </c>
    </row>
    <row r="1746" spans="1:26" x14ac:dyDescent="0.3">
      <c r="A1746" t="s">
        <v>1836</v>
      </c>
      <c r="B1746" t="s">
        <v>107</v>
      </c>
      <c r="C1746" t="s">
        <v>56</v>
      </c>
      <c r="D1746" t="s">
        <v>69</v>
      </c>
      <c r="E1746">
        <v>23</v>
      </c>
      <c r="F1746" s="3">
        <v>7</v>
      </c>
      <c r="G1746" s="4">
        <v>87.8</v>
      </c>
      <c r="H1746">
        <v>3</v>
      </c>
      <c r="I1746">
        <v>3</v>
      </c>
      <c r="J1746">
        <v>2</v>
      </c>
      <c r="K1746" s="4">
        <v>59</v>
      </c>
      <c r="L1746" s="4">
        <v>72.400000000000006</v>
      </c>
      <c r="M1746" s="4">
        <v>88.6</v>
      </c>
      <c r="N1746">
        <v>0</v>
      </c>
      <c r="O1746" t="s">
        <v>58</v>
      </c>
      <c r="P1746" t="s">
        <v>59</v>
      </c>
      <c r="Q1746" t="s">
        <v>60</v>
      </c>
      <c r="R1746" t="s">
        <v>76</v>
      </c>
      <c r="S1746" s="3">
        <v>20.85</v>
      </c>
      <c r="T1746" s="5">
        <v>44469</v>
      </c>
      <c r="U1746">
        <v>1</v>
      </c>
      <c r="V1746">
        <v>2021</v>
      </c>
      <c r="X1746">
        <f t="shared" si="81"/>
        <v>6.9998253999999998</v>
      </c>
      <c r="Y1746">
        <f t="shared" si="82"/>
        <v>20.8498254</v>
      </c>
      <c r="Z1746">
        <f t="shared" si="83"/>
        <v>72.399825400000012</v>
      </c>
    </row>
    <row r="1747" spans="1:26" x14ac:dyDescent="0.3">
      <c r="A1747" t="s">
        <v>1837</v>
      </c>
      <c r="B1747" t="s">
        <v>55</v>
      </c>
      <c r="C1747" t="s">
        <v>74</v>
      </c>
      <c r="D1747" t="s">
        <v>57</v>
      </c>
      <c r="E1747">
        <v>23</v>
      </c>
      <c r="F1747" s="3">
        <v>6.68</v>
      </c>
      <c r="G1747" s="4">
        <v>73.8</v>
      </c>
      <c r="H1747">
        <v>1</v>
      </c>
      <c r="I1747">
        <v>4</v>
      </c>
      <c r="J1747">
        <v>3</v>
      </c>
      <c r="K1747" s="4">
        <v>57.6</v>
      </c>
      <c r="L1747" s="4">
        <v>76.3</v>
      </c>
      <c r="M1747" s="4">
        <v>69.8</v>
      </c>
      <c r="N1747">
        <v>0</v>
      </c>
      <c r="O1747" t="s">
        <v>58</v>
      </c>
      <c r="P1747" t="s">
        <v>70</v>
      </c>
      <c r="Q1747" t="s">
        <v>71</v>
      </c>
      <c r="R1747" t="s">
        <v>109</v>
      </c>
      <c r="S1747" s="3">
        <v>5.25</v>
      </c>
      <c r="T1747" s="5">
        <v>45606</v>
      </c>
      <c r="U1747">
        <v>3</v>
      </c>
      <c r="V1747">
        <v>2024</v>
      </c>
      <c r="X1747">
        <f t="shared" si="81"/>
        <v>6.6798253000000001</v>
      </c>
      <c r="Y1747">
        <f t="shared" si="82"/>
        <v>5.2498253000000004</v>
      </c>
      <c r="Z1747">
        <f t="shared" si="83"/>
        <v>76.299825299999995</v>
      </c>
    </row>
    <row r="1748" spans="1:26" x14ac:dyDescent="0.3">
      <c r="A1748" t="s">
        <v>1838</v>
      </c>
      <c r="B1748" t="s">
        <v>82</v>
      </c>
      <c r="C1748" t="s">
        <v>56</v>
      </c>
      <c r="D1748" t="s">
        <v>69</v>
      </c>
      <c r="E1748">
        <v>20</v>
      </c>
      <c r="F1748" s="3">
        <v>7.77</v>
      </c>
      <c r="G1748" s="4">
        <v>90.5</v>
      </c>
      <c r="H1748">
        <v>2</v>
      </c>
      <c r="I1748">
        <v>2</v>
      </c>
      <c r="J1748">
        <v>4</v>
      </c>
      <c r="K1748" s="4">
        <v>63.9</v>
      </c>
      <c r="L1748" s="4">
        <v>44.2</v>
      </c>
      <c r="M1748" s="4">
        <v>67</v>
      </c>
      <c r="N1748">
        <v>0</v>
      </c>
      <c r="O1748" t="s">
        <v>64</v>
      </c>
      <c r="P1748" t="s">
        <v>65</v>
      </c>
      <c r="S1748" s="3">
        <v>0</v>
      </c>
      <c r="T1748" s="5"/>
      <c r="U1748">
        <v>0</v>
      </c>
      <c r="V1748">
        <v>2022</v>
      </c>
      <c r="X1748">
        <f t="shared" si="81"/>
        <v>7.7698251999999997</v>
      </c>
      <c r="Y1748">
        <f t="shared" si="82"/>
        <v>-1.7479999999999999E-4</v>
      </c>
      <c r="Z1748">
        <f t="shared" si="83"/>
        <v>44.199825199999999</v>
      </c>
    </row>
    <row r="1749" spans="1:26" x14ac:dyDescent="0.3">
      <c r="A1749" t="s">
        <v>1839</v>
      </c>
      <c r="B1749" t="s">
        <v>67</v>
      </c>
      <c r="C1749" t="s">
        <v>56</v>
      </c>
      <c r="D1749" t="s">
        <v>57</v>
      </c>
      <c r="E1749">
        <v>20</v>
      </c>
      <c r="F1749" s="3">
        <v>7.57</v>
      </c>
      <c r="G1749" s="4">
        <v>82.8</v>
      </c>
      <c r="H1749">
        <v>0</v>
      </c>
      <c r="I1749">
        <v>2</v>
      </c>
      <c r="J1749">
        <v>5</v>
      </c>
      <c r="K1749" s="4">
        <v>88.3</v>
      </c>
      <c r="L1749" s="4">
        <v>86.7</v>
      </c>
      <c r="M1749" s="4">
        <v>85.4</v>
      </c>
      <c r="N1749">
        <v>0</v>
      </c>
      <c r="O1749" t="s">
        <v>58</v>
      </c>
      <c r="P1749" t="s">
        <v>59</v>
      </c>
      <c r="Q1749" t="s">
        <v>60</v>
      </c>
      <c r="R1749" t="s">
        <v>80</v>
      </c>
      <c r="S1749" s="3">
        <v>19.989999999999998</v>
      </c>
      <c r="T1749" s="5">
        <v>45153</v>
      </c>
      <c r="U1749">
        <v>2</v>
      </c>
      <c r="V1749">
        <v>2023</v>
      </c>
      <c r="X1749">
        <f t="shared" si="81"/>
        <v>7.5698251000000001</v>
      </c>
      <c r="Y1749">
        <f t="shared" si="82"/>
        <v>19.989825099999997</v>
      </c>
      <c r="Z1749">
        <f t="shared" si="83"/>
        <v>86.699825099999998</v>
      </c>
    </row>
    <row r="1750" spans="1:26" x14ac:dyDescent="0.3">
      <c r="A1750" t="s">
        <v>1840</v>
      </c>
      <c r="B1750" t="s">
        <v>63</v>
      </c>
      <c r="C1750" t="s">
        <v>89</v>
      </c>
      <c r="D1750" t="s">
        <v>69</v>
      </c>
      <c r="E1750">
        <v>21</v>
      </c>
      <c r="F1750" s="3">
        <v>6.6</v>
      </c>
      <c r="G1750" s="4">
        <v>76.8</v>
      </c>
      <c r="H1750">
        <v>2</v>
      </c>
      <c r="I1750">
        <v>4</v>
      </c>
      <c r="J1750">
        <v>3</v>
      </c>
      <c r="K1750" s="4">
        <v>81.099999999999994</v>
      </c>
      <c r="L1750" s="4">
        <v>67.2</v>
      </c>
      <c r="M1750" s="4">
        <v>67.3</v>
      </c>
      <c r="N1750">
        <v>0</v>
      </c>
      <c r="O1750" t="s">
        <v>58</v>
      </c>
      <c r="P1750" t="s">
        <v>95</v>
      </c>
      <c r="Q1750" t="s">
        <v>93</v>
      </c>
      <c r="R1750" t="s">
        <v>85</v>
      </c>
      <c r="S1750" s="3">
        <v>6.23</v>
      </c>
      <c r="T1750" s="5">
        <v>45919</v>
      </c>
      <c r="U1750">
        <v>1</v>
      </c>
      <c r="V1750">
        <v>2025</v>
      </c>
      <c r="X1750">
        <f t="shared" si="81"/>
        <v>6.5998250000000001</v>
      </c>
      <c r="Y1750">
        <f t="shared" si="82"/>
        <v>6.2298250000000008</v>
      </c>
      <c r="Z1750">
        <f t="shared" si="83"/>
        <v>67.199825000000004</v>
      </c>
    </row>
    <row r="1751" spans="1:26" x14ac:dyDescent="0.3">
      <c r="A1751" t="s">
        <v>1841</v>
      </c>
      <c r="B1751" t="s">
        <v>63</v>
      </c>
      <c r="C1751" t="s">
        <v>56</v>
      </c>
      <c r="D1751" t="s">
        <v>69</v>
      </c>
      <c r="E1751">
        <v>22</v>
      </c>
      <c r="F1751" s="3">
        <v>7.33</v>
      </c>
      <c r="G1751" s="4">
        <v>91</v>
      </c>
      <c r="H1751">
        <v>3</v>
      </c>
      <c r="I1751">
        <v>5</v>
      </c>
      <c r="J1751">
        <v>4</v>
      </c>
      <c r="K1751" s="4">
        <v>64.900000000000006</v>
      </c>
      <c r="L1751" s="4">
        <v>77.400000000000006</v>
      </c>
      <c r="M1751" s="4">
        <v>71.400000000000006</v>
      </c>
      <c r="N1751">
        <v>0</v>
      </c>
      <c r="O1751" t="s">
        <v>64</v>
      </c>
      <c r="P1751" t="s">
        <v>65</v>
      </c>
      <c r="S1751" s="3">
        <v>0</v>
      </c>
      <c r="T1751" s="5"/>
      <c r="U1751">
        <v>0</v>
      </c>
      <c r="V1751">
        <v>2025</v>
      </c>
      <c r="X1751">
        <f t="shared" si="81"/>
        <v>7.3298249000000002</v>
      </c>
      <c r="Y1751">
        <f t="shared" si="82"/>
        <v>-1.751E-4</v>
      </c>
      <c r="Z1751">
        <f t="shared" si="83"/>
        <v>77.399824899999999</v>
      </c>
    </row>
    <row r="1752" spans="1:26" x14ac:dyDescent="0.3">
      <c r="A1752" t="s">
        <v>1842</v>
      </c>
      <c r="B1752" t="s">
        <v>107</v>
      </c>
      <c r="C1752" t="s">
        <v>56</v>
      </c>
      <c r="D1752" t="s">
        <v>57</v>
      </c>
      <c r="E1752">
        <v>22</v>
      </c>
      <c r="F1752" s="3">
        <v>5.27</v>
      </c>
      <c r="G1752" s="4">
        <v>97</v>
      </c>
      <c r="H1752">
        <v>1</v>
      </c>
      <c r="I1752">
        <v>2</v>
      </c>
      <c r="J1752">
        <v>3</v>
      </c>
      <c r="K1752" s="4">
        <v>85.4</v>
      </c>
      <c r="L1752" s="4">
        <v>65.099999999999994</v>
      </c>
      <c r="M1752" s="4">
        <v>67.400000000000006</v>
      </c>
      <c r="N1752">
        <v>1</v>
      </c>
      <c r="O1752" t="s">
        <v>58</v>
      </c>
      <c r="P1752" t="s">
        <v>92</v>
      </c>
      <c r="Q1752" t="s">
        <v>93</v>
      </c>
      <c r="R1752" t="s">
        <v>76</v>
      </c>
      <c r="S1752" s="3">
        <v>7.51</v>
      </c>
      <c r="T1752" s="5">
        <v>44509</v>
      </c>
      <c r="U1752">
        <v>3</v>
      </c>
      <c r="V1752">
        <v>2021</v>
      </c>
      <c r="X1752">
        <f t="shared" si="81"/>
        <v>5.2698247999999994</v>
      </c>
      <c r="Y1752">
        <f t="shared" si="82"/>
        <v>7.5098247999999996</v>
      </c>
      <c r="Z1752">
        <f t="shared" si="83"/>
        <v>65.099824799999993</v>
      </c>
    </row>
    <row r="1753" spans="1:26" x14ac:dyDescent="0.3">
      <c r="A1753" t="s">
        <v>1843</v>
      </c>
      <c r="B1753" t="s">
        <v>55</v>
      </c>
      <c r="C1753" t="s">
        <v>78</v>
      </c>
      <c r="D1753" t="s">
        <v>57</v>
      </c>
      <c r="E1753">
        <v>20</v>
      </c>
      <c r="F1753" s="3">
        <v>7.96</v>
      </c>
      <c r="G1753" s="4">
        <v>82.3</v>
      </c>
      <c r="H1753">
        <v>1</v>
      </c>
      <c r="I1753">
        <v>1</v>
      </c>
      <c r="J1753">
        <v>5</v>
      </c>
      <c r="K1753" s="4">
        <v>74.3</v>
      </c>
      <c r="L1753" s="4">
        <v>87.3</v>
      </c>
      <c r="M1753" s="4">
        <v>94.4</v>
      </c>
      <c r="N1753">
        <v>0</v>
      </c>
      <c r="O1753" t="s">
        <v>58</v>
      </c>
      <c r="P1753" t="s">
        <v>75</v>
      </c>
      <c r="Q1753" t="s">
        <v>71</v>
      </c>
      <c r="R1753" t="s">
        <v>85</v>
      </c>
      <c r="S1753" s="3">
        <v>7.47</v>
      </c>
      <c r="T1753" s="5">
        <v>45546</v>
      </c>
      <c r="U1753">
        <v>1</v>
      </c>
      <c r="V1753">
        <v>2024</v>
      </c>
      <c r="X1753">
        <f t="shared" si="81"/>
        <v>7.9598246999999995</v>
      </c>
      <c r="Y1753">
        <f t="shared" si="82"/>
        <v>7.4698246999999993</v>
      </c>
      <c r="Z1753">
        <f t="shared" si="83"/>
        <v>87.299824700000002</v>
      </c>
    </row>
    <row r="1754" spans="1:26" x14ac:dyDescent="0.3">
      <c r="A1754" t="s">
        <v>1844</v>
      </c>
      <c r="B1754" t="s">
        <v>55</v>
      </c>
      <c r="C1754" t="s">
        <v>74</v>
      </c>
      <c r="D1754" t="s">
        <v>57</v>
      </c>
      <c r="E1754">
        <v>23</v>
      </c>
      <c r="F1754" s="3">
        <v>8.3000000000000007</v>
      </c>
      <c r="G1754" s="4">
        <v>94.4</v>
      </c>
      <c r="H1754">
        <v>3</v>
      </c>
      <c r="I1754">
        <v>3</v>
      </c>
      <c r="J1754">
        <v>5</v>
      </c>
      <c r="K1754" s="4">
        <v>65</v>
      </c>
      <c r="L1754" s="4">
        <v>73.400000000000006</v>
      </c>
      <c r="M1754" s="4">
        <v>81</v>
      </c>
      <c r="N1754">
        <v>0</v>
      </c>
      <c r="O1754" t="s">
        <v>58</v>
      </c>
      <c r="P1754" t="s">
        <v>70</v>
      </c>
      <c r="Q1754" t="s">
        <v>71</v>
      </c>
      <c r="R1754" t="s">
        <v>72</v>
      </c>
      <c r="S1754" s="3">
        <v>6.57</v>
      </c>
      <c r="T1754" s="5">
        <v>45572</v>
      </c>
      <c r="U1754">
        <v>2</v>
      </c>
      <c r="V1754">
        <v>2024</v>
      </c>
      <c r="X1754">
        <f t="shared" si="81"/>
        <v>8.2998246000000009</v>
      </c>
      <c r="Y1754">
        <f t="shared" si="82"/>
        <v>6.5698246000000005</v>
      </c>
      <c r="Z1754">
        <f t="shared" si="83"/>
        <v>73.399824600000002</v>
      </c>
    </row>
    <row r="1755" spans="1:26" x14ac:dyDescent="0.3">
      <c r="A1755" t="s">
        <v>1845</v>
      </c>
      <c r="B1755" t="s">
        <v>63</v>
      </c>
      <c r="C1755" t="s">
        <v>56</v>
      </c>
      <c r="D1755" t="s">
        <v>57</v>
      </c>
      <c r="E1755">
        <v>22</v>
      </c>
      <c r="F1755" s="3">
        <v>6.83</v>
      </c>
      <c r="G1755" s="4">
        <v>80.400000000000006</v>
      </c>
      <c r="H1755">
        <v>2</v>
      </c>
      <c r="I1755">
        <v>0</v>
      </c>
      <c r="J1755">
        <v>3</v>
      </c>
      <c r="K1755" s="4">
        <v>70.5</v>
      </c>
      <c r="L1755" s="4">
        <v>72.2</v>
      </c>
      <c r="M1755" s="4">
        <v>60.4</v>
      </c>
      <c r="N1755">
        <v>0</v>
      </c>
      <c r="O1755" t="s">
        <v>58</v>
      </c>
      <c r="P1755" t="s">
        <v>112</v>
      </c>
      <c r="Q1755" t="s">
        <v>93</v>
      </c>
      <c r="R1755" t="s">
        <v>72</v>
      </c>
      <c r="S1755" s="3">
        <v>7.32</v>
      </c>
      <c r="T1755" s="5">
        <v>45879</v>
      </c>
      <c r="U1755">
        <v>1</v>
      </c>
      <c r="V1755">
        <v>2025</v>
      </c>
      <c r="X1755">
        <f t="shared" si="81"/>
        <v>6.8298245</v>
      </c>
      <c r="Y1755">
        <f t="shared" si="82"/>
        <v>7.3198245000000002</v>
      </c>
      <c r="Z1755">
        <f t="shared" si="83"/>
        <v>72.199824500000005</v>
      </c>
    </row>
    <row r="1756" spans="1:26" x14ac:dyDescent="0.3">
      <c r="A1756" t="s">
        <v>1846</v>
      </c>
      <c r="B1756" t="s">
        <v>67</v>
      </c>
      <c r="C1756" t="s">
        <v>74</v>
      </c>
      <c r="D1756" t="s">
        <v>69</v>
      </c>
      <c r="E1756">
        <v>22</v>
      </c>
      <c r="F1756" s="3">
        <v>6.94</v>
      </c>
      <c r="G1756" s="4">
        <v>90.7</v>
      </c>
      <c r="H1756">
        <v>0</v>
      </c>
      <c r="I1756">
        <v>1</v>
      </c>
      <c r="J1756">
        <v>4</v>
      </c>
      <c r="K1756" s="4">
        <v>73.599999999999994</v>
      </c>
      <c r="L1756" s="4">
        <v>98.4</v>
      </c>
      <c r="M1756" s="4">
        <v>74</v>
      </c>
      <c r="N1756">
        <v>0</v>
      </c>
      <c r="O1756" t="s">
        <v>58</v>
      </c>
      <c r="P1756" t="s">
        <v>70</v>
      </c>
      <c r="Q1756" t="s">
        <v>71</v>
      </c>
      <c r="R1756" t="s">
        <v>80</v>
      </c>
      <c r="S1756" s="3">
        <v>6.14</v>
      </c>
      <c r="T1756" s="5">
        <v>45254</v>
      </c>
      <c r="U1756">
        <v>1</v>
      </c>
      <c r="V1756">
        <v>2023</v>
      </c>
      <c r="X1756">
        <f t="shared" si="81"/>
        <v>6.9398244</v>
      </c>
      <c r="Y1756">
        <f t="shared" si="82"/>
        <v>6.1398243999999993</v>
      </c>
      <c r="Z1756">
        <f t="shared" si="83"/>
        <v>98.3998244</v>
      </c>
    </row>
    <row r="1757" spans="1:26" x14ac:dyDescent="0.3">
      <c r="A1757" t="s">
        <v>1847</v>
      </c>
      <c r="B1757" t="s">
        <v>82</v>
      </c>
      <c r="C1757" t="s">
        <v>89</v>
      </c>
      <c r="D1757" t="s">
        <v>57</v>
      </c>
      <c r="E1757">
        <v>20</v>
      </c>
      <c r="F1757" s="3">
        <v>7.88</v>
      </c>
      <c r="G1757" s="4">
        <v>78.7</v>
      </c>
      <c r="H1757">
        <v>1</v>
      </c>
      <c r="I1757">
        <v>5</v>
      </c>
      <c r="J1757">
        <v>4</v>
      </c>
      <c r="K1757" s="4">
        <v>69.900000000000006</v>
      </c>
      <c r="L1757" s="4">
        <v>32.6</v>
      </c>
      <c r="M1757" s="4">
        <v>78.900000000000006</v>
      </c>
      <c r="N1757">
        <v>0</v>
      </c>
      <c r="O1757" t="s">
        <v>58</v>
      </c>
      <c r="P1757" t="s">
        <v>70</v>
      </c>
      <c r="Q1757" t="s">
        <v>71</v>
      </c>
      <c r="R1757" t="s">
        <v>76</v>
      </c>
      <c r="S1757" s="3">
        <v>3.84</v>
      </c>
      <c r="T1757" s="5">
        <v>44795</v>
      </c>
      <c r="U1757">
        <v>1</v>
      </c>
      <c r="V1757">
        <v>2022</v>
      </c>
      <c r="X1757">
        <f t="shared" si="81"/>
        <v>7.8798243000000001</v>
      </c>
      <c r="Y1757">
        <f t="shared" si="82"/>
        <v>3.8398243000000001</v>
      </c>
      <c r="Z1757">
        <f t="shared" si="83"/>
        <v>32.599824300000002</v>
      </c>
    </row>
    <row r="1758" spans="1:26" x14ac:dyDescent="0.3">
      <c r="A1758" t="s">
        <v>1848</v>
      </c>
      <c r="B1758" t="s">
        <v>67</v>
      </c>
      <c r="C1758" t="s">
        <v>74</v>
      </c>
      <c r="D1758" t="s">
        <v>69</v>
      </c>
      <c r="E1758">
        <v>21</v>
      </c>
      <c r="F1758" s="3">
        <v>7.75</v>
      </c>
      <c r="G1758" s="4">
        <v>98.4</v>
      </c>
      <c r="H1758">
        <v>0</v>
      </c>
      <c r="I1758">
        <v>3</v>
      </c>
      <c r="J1758">
        <v>3</v>
      </c>
      <c r="K1758" s="4">
        <v>92.4</v>
      </c>
      <c r="L1758" s="4">
        <v>63.9</v>
      </c>
      <c r="M1758" s="4">
        <v>60.5</v>
      </c>
      <c r="N1758">
        <v>0</v>
      </c>
      <c r="O1758" t="s">
        <v>58</v>
      </c>
      <c r="P1758" t="s">
        <v>112</v>
      </c>
      <c r="Q1758" t="s">
        <v>93</v>
      </c>
      <c r="R1758" t="s">
        <v>109</v>
      </c>
      <c r="S1758" s="3">
        <v>7.43</v>
      </c>
      <c r="T1758" s="5">
        <v>45169</v>
      </c>
      <c r="U1758">
        <v>2</v>
      </c>
      <c r="V1758">
        <v>2023</v>
      </c>
      <c r="X1758">
        <f t="shared" si="81"/>
        <v>7.7498241999999999</v>
      </c>
      <c r="Y1758">
        <f t="shared" si="82"/>
        <v>7.4298241999999997</v>
      </c>
      <c r="Z1758">
        <f t="shared" si="83"/>
        <v>63.899824199999998</v>
      </c>
    </row>
    <row r="1759" spans="1:26" x14ac:dyDescent="0.3">
      <c r="A1759" t="s">
        <v>1849</v>
      </c>
      <c r="B1759" t="s">
        <v>82</v>
      </c>
      <c r="C1759" t="s">
        <v>68</v>
      </c>
      <c r="D1759" t="s">
        <v>57</v>
      </c>
      <c r="E1759">
        <v>20</v>
      </c>
      <c r="F1759" s="3">
        <v>8.35</v>
      </c>
      <c r="G1759" s="4">
        <v>91.7</v>
      </c>
      <c r="H1759">
        <v>2</v>
      </c>
      <c r="I1759">
        <v>4</v>
      </c>
      <c r="J1759">
        <v>6</v>
      </c>
      <c r="K1759" s="4">
        <v>65.900000000000006</v>
      </c>
      <c r="L1759" s="4">
        <v>67.7</v>
      </c>
      <c r="M1759" s="4">
        <v>78.3</v>
      </c>
      <c r="N1759">
        <v>0</v>
      </c>
      <c r="O1759" t="s">
        <v>58</v>
      </c>
      <c r="P1759" t="s">
        <v>92</v>
      </c>
      <c r="Q1759" t="s">
        <v>93</v>
      </c>
      <c r="R1759" t="s">
        <v>76</v>
      </c>
      <c r="S1759" s="3">
        <v>9.5299999999999994</v>
      </c>
      <c r="T1759" s="5">
        <v>44873</v>
      </c>
      <c r="U1759">
        <v>1</v>
      </c>
      <c r="V1759">
        <v>2022</v>
      </c>
      <c r="X1759">
        <f t="shared" si="81"/>
        <v>8.3498240999999993</v>
      </c>
      <c r="Y1759">
        <f t="shared" si="82"/>
        <v>9.529824099999999</v>
      </c>
      <c r="Z1759">
        <f t="shared" si="83"/>
        <v>67.699824100000001</v>
      </c>
    </row>
    <row r="1760" spans="1:26" x14ac:dyDescent="0.3">
      <c r="A1760" t="s">
        <v>1850</v>
      </c>
      <c r="B1760" t="s">
        <v>63</v>
      </c>
      <c r="C1760" t="s">
        <v>56</v>
      </c>
      <c r="D1760" t="s">
        <v>57</v>
      </c>
      <c r="E1760">
        <v>20</v>
      </c>
      <c r="F1760" s="3">
        <v>6.95</v>
      </c>
      <c r="G1760" s="4">
        <v>86.2</v>
      </c>
      <c r="H1760">
        <v>2</v>
      </c>
      <c r="I1760">
        <v>2</v>
      </c>
      <c r="J1760">
        <v>5</v>
      </c>
      <c r="K1760" s="4">
        <v>48.6</v>
      </c>
      <c r="L1760" s="4">
        <v>57.6</v>
      </c>
      <c r="M1760" s="4">
        <v>72.2</v>
      </c>
      <c r="N1760">
        <v>0</v>
      </c>
      <c r="O1760" t="s">
        <v>58</v>
      </c>
      <c r="P1760" t="s">
        <v>70</v>
      </c>
      <c r="Q1760" t="s">
        <v>71</v>
      </c>
      <c r="R1760" t="s">
        <v>76</v>
      </c>
      <c r="S1760" s="3">
        <v>3.87</v>
      </c>
      <c r="T1760" s="5">
        <v>45945</v>
      </c>
      <c r="U1760">
        <v>2</v>
      </c>
      <c r="V1760">
        <v>2025</v>
      </c>
      <c r="X1760">
        <f t="shared" si="81"/>
        <v>6.9498240000000004</v>
      </c>
      <c r="Y1760">
        <f t="shared" si="82"/>
        <v>3.8698239999999999</v>
      </c>
      <c r="Z1760">
        <f t="shared" si="83"/>
        <v>57.599823999999998</v>
      </c>
    </row>
    <row r="1761" spans="1:26" x14ac:dyDescent="0.3">
      <c r="A1761" t="s">
        <v>1851</v>
      </c>
      <c r="B1761" t="s">
        <v>82</v>
      </c>
      <c r="C1761" t="s">
        <v>89</v>
      </c>
      <c r="D1761" t="s">
        <v>57</v>
      </c>
      <c r="E1761">
        <v>23</v>
      </c>
      <c r="F1761" s="3">
        <v>7.06</v>
      </c>
      <c r="G1761" s="4">
        <v>59.2</v>
      </c>
      <c r="H1761">
        <v>3</v>
      </c>
      <c r="I1761">
        <v>2</v>
      </c>
      <c r="J1761">
        <v>4</v>
      </c>
      <c r="K1761" s="4">
        <v>72.400000000000006</v>
      </c>
      <c r="L1761" s="4">
        <v>75</v>
      </c>
      <c r="M1761" s="4">
        <v>59.3</v>
      </c>
      <c r="N1761">
        <v>0</v>
      </c>
      <c r="O1761" t="s">
        <v>58</v>
      </c>
      <c r="P1761" t="s">
        <v>104</v>
      </c>
      <c r="Q1761" t="s">
        <v>105</v>
      </c>
      <c r="R1761" t="s">
        <v>61</v>
      </c>
      <c r="S1761" s="3">
        <v>16.489999999999998</v>
      </c>
      <c r="T1761" s="5">
        <v>44846</v>
      </c>
      <c r="U1761">
        <v>3</v>
      </c>
      <c r="V1761">
        <v>2022</v>
      </c>
      <c r="X1761">
        <f t="shared" si="81"/>
        <v>7.0598238999999996</v>
      </c>
      <c r="Y1761">
        <f t="shared" si="82"/>
        <v>16.489823899999998</v>
      </c>
      <c r="Z1761">
        <f t="shared" si="83"/>
        <v>74.999823899999996</v>
      </c>
    </row>
    <row r="1762" spans="1:26" x14ac:dyDescent="0.3">
      <c r="A1762" t="s">
        <v>1852</v>
      </c>
      <c r="B1762" t="s">
        <v>55</v>
      </c>
      <c r="C1762" t="s">
        <v>74</v>
      </c>
      <c r="D1762" t="s">
        <v>69</v>
      </c>
      <c r="E1762">
        <v>20</v>
      </c>
      <c r="F1762" s="3">
        <v>7.45</v>
      </c>
      <c r="G1762" s="4">
        <v>86</v>
      </c>
      <c r="H1762">
        <v>0</v>
      </c>
      <c r="I1762">
        <v>5</v>
      </c>
      <c r="J1762">
        <v>4</v>
      </c>
      <c r="K1762" s="4">
        <v>63.9</v>
      </c>
      <c r="L1762" s="4">
        <v>49.9</v>
      </c>
      <c r="M1762" s="4">
        <v>57.8</v>
      </c>
      <c r="N1762">
        <v>0</v>
      </c>
      <c r="O1762" t="s">
        <v>64</v>
      </c>
      <c r="P1762" t="s">
        <v>65</v>
      </c>
      <c r="S1762" s="3">
        <v>0</v>
      </c>
      <c r="T1762" s="5"/>
      <c r="U1762">
        <v>0</v>
      </c>
      <c r="V1762">
        <v>2024</v>
      </c>
      <c r="X1762">
        <f t="shared" si="81"/>
        <v>7.4498237999999999</v>
      </c>
      <c r="Y1762">
        <f t="shared" si="82"/>
        <v>-1.762E-4</v>
      </c>
      <c r="Z1762">
        <f t="shared" si="83"/>
        <v>49.8998238</v>
      </c>
    </row>
    <row r="1763" spans="1:26" x14ac:dyDescent="0.3">
      <c r="A1763" t="s">
        <v>1853</v>
      </c>
      <c r="B1763" t="s">
        <v>107</v>
      </c>
      <c r="C1763" t="s">
        <v>89</v>
      </c>
      <c r="D1763" t="s">
        <v>57</v>
      </c>
      <c r="E1763">
        <v>23</v>
      </c>
      <c r="F1763" s="3">
        <v>6.69</v>
      </c>
      <c r="G1763" s="4">
        <v>70.900000000000006</v>
      </c>
      <c r="H1763">
        <v>1</v>
      </c>
      <c r="I1763">
        <v>1</v>
      </c>
      <c r="J1763">
        <v>2</v>
      </c>
      <c r="K1763" s="4">
        <v>49.2</v>
      </c>
      <c r="L1763" s="4">
        <v>50.5</v>
      </c>
      <c r="M1763" s="4">
        <v>90.4</v>
      </c>
      <c r="N1763">
        <v>1</v>
      </c>
      <c r="O1763" t="s">
        <v>58</v>
      </c>
      <c r="P1763" t="s">
        <v>104</v>
      </c>
      <c r="Q1763" t="s">
        <v>105</v>
      </c>
      <c r="R1763" t="s">
        <v>72</v>
      </c>
      <c r="S1763" s="3">
        <v>13.68</v>
      </c>
      <c r="T1763" s="5">
        <v>44506</v>
      </c>
      <c r="U1763">
        <v>2</v>
      </c>
      <c r="V1763">
        <v>2021</v>
      </c>
      <c r="X1763">
        <f t="shared" si="81"/>
        <v>6.6898237000000007</v>
      </c>
      <c r="Y1763">
        <f t="shared" si="82"/>
        <v>13.6798237</v>
      </c>
      <c r="Z1763">
        <f t="shared" si="83"/>
        <v>50.4998237</v>
      </c>
    </row>
    <row r="1764" spans="1:26" x14ac:dyDescent="0.3">
      <c r="A1764" t="s">
        <v>1854</v>
      </c>
      <c r="B1764" t="s">
        <v>107</v>
      </c>
      <c r="C1764" t="s">
        <v>101</v>
      </c>
      <c r="D1764" t="s">
        <v>69</v>
      </c>
      <c r="E1764">
        <v>21</v>
      </c>
      <c r="F1764" s="3">
        <v>7.43</v>
      </c>
      <c r="G1764" s="4">
        <v>85.2</v>
      </c>
      <c r="H1764">
        <v>0</v>
      </c>
      <c r="I1764">
        <v>3</v>
      </c>
      <c r="J1764">
        <v>2</v>
      </c>
      <c r="K1764" s="4">
        <v>77.3</v>
      </c>
      <c r="L1764" s="4">
        <v>76.599999999999994</v>
      </c>
      <c r="M1764" s="4">
        <v>63.9</v>
      </c>
      <c r="N1764">
        <v>0</v>
      </c>
      <c r="O1764" t="s">
        <v>58</v>
      </c>
      <c r="P1764" t="s">
        <v>59</v>
      </c>
      <c r="Q1764" t="s">
        <v>60</v>
      </c>
      <c r="R1764" t="s">
        <v>76</v>
      </c>
      <c r="S1764" s="3">
        <v>19.34</v>
      </c>
      <c r="T1764" s="5">
        <v>44477</v>
      </c>
      <c r="U1764">
        <v>1</v>
      </c>
      <c r="V1764">
        <v>2021</v>
      </c>
      <c r="X1764">
        <f t="shared" si="81"/>
        <v>7.4298235999999998</v>
      </c>
      <c r="Y1764">
        <f t="shared" si="82"/>
        <v>19.339823599999999</v>
      </c>
      <c r="Z1764">
        <f t="shared" si="83"/>
        <v>76.599823599999993</v>
      </c>
    </row>
    <row r="1765" spans="1:26" x14ac:dyDescent="0.3">
      <c r="A1765" t="s">
        <v>1855</v>
      </c>
      <c r="B1765" t="s">
        <v>63</v>
      </c>
      <c r="C1765" t="s">
        <v>89</v>
      </c>
      <c r="D1765" t="s">
        <v>57</v>
      </c>
      <c r="E1765">
        <v>23</v>
      </c>
      <c r="F1765" s="3">
        <v>6.71</v>
      </c>
      <c r="G1765" s="4">
        <v>93.5</v>
      </c>
      <c r="H1765">
        <v>1</v>
      </c>
      <c r="I1765">
        <v>2</v>
      </c>
      <c r="J1765">
        <v>3</v>
      </c>
      <c r="K1765" s="4">
        <v>20</v>
      </c>
      <c r="L1765" s="4">
        <v>56.3</v>
      </c>
      <c r="M1765" s="4">
        <v>86.1</v>
      </c>
      <c r="N1765">
        <v>0</v>
      </c>
      <c r="O1765" t="s">
        <v>58</v>
      </c>
      <c r="P1765" t="s">
        <v>90</v>
      </c>
      <c r="Q1765" t="s">
        <v>60</v>
      </c>
      <c r="R1765" t="s">
        <v>76</v>
      </c>
      <c r="S1765" s="3">
        <v>6.45</v>
      </c>
      <c r="T1765" s="5">
        <v>45963</v>
      </c>
      <c r="U1765">
        <v>3</v>
      </c>
      <c r="V1765">
        <v>2025</v>
      </c>
      <c r="X1765">
        <f t="shared" si="81"/>
        <v>6.7098234999999997</v>
      </c>
      <c r="Y1765">
        <f t="shared" si="82"/>
        <v>6.4498234999999999</v>
      </c>
      <c r="Z1765">
        <f t="shared" si="83"/>
        <v>56.299823499999995</v>
      </c>
    </row>
    <row r="1766" spans="1:26" x14ac:dyDescent="0.3">
      <c r="A1766" t="s">
        <v>1856</v>
      </c>
      <c r="B1766" t="s">
        <v>55</v>
      </c>
      <c r="C1766" t="s">
        <v>74</v>
      </c>
      <c r="D1766" t="s">
        <v>57</v>
      </c>
      <c r="E1766">
        <v>21</v>
      </c>
      <c r="F1766" s="3">
        <v>8.0299999999999994</v>
      </c>
      <c r="G1766" s="4">
        <v>88.2</v>
      </c>
      <c r="H1766">
        <v>0</v>
      </c>
      <c r="I1766">
        <v>1</v>
      </c>
      <c r="J1766">
        <v>3</v>
      </c>
      <c r="K1766" s="4">
        <v>72</v>
      </c>
      <c r="L1766" s="4">
        <v>77.7</v>
      </c>
      <c r="M1766" s="4">
        <v>81.900000000000006</v>
      </c>
      <c r="N1766">
        <v>3</v>
      </c>
      <c r="O1766" t="s">
        <v>64</v>
      </c>
      <c r="P1766" t="s">
        <v>65</v>
      </c>
      <c r="S1766" s="3">
        <v>0</v>
      </c>
      <c r="T1766" s="5"/>
      <c r="U1766">
        <v>0</v>
      </c>
      <c r="V1766">
        <v>2024</v>
      </c>
      <c r="X1766">
        <f t="shared" si="81"/>
        <v>8.0298233999999997</v>
      </c>
      <c r="Y1766">
        <f t="shared" si="82"/>
        <v>-1.7659999999999998E-4</v>
      </c>
      <c r="Z1766">
        <f t="shared" si="83"/>
        <v>77.6998234</v>
      </c>
    </row>
    <row r="1767" spans="1:26" x14ac:dyDescent="0.3">
      <c r="A1767" t="s">
        <v>1857</v>
      </c>
      <c r="B1767" t="s">
        <v>67</v>
      </c>
      <c r="C1767" t="s">
        <v>74</v>
      </c>
      <c r="D1767" t="s">
        <v>69</v>
      </c>
      <c r="E1767">
        <v>21</v>
      </c>
      <c r="F1767" s="3">
        <v>6.81</v>
      </c>
      <c r="G1767" s="4">
        <v>89.7</v>
      </c>
      <c r="H1767">
        <v>1</v>
      </c>
      <c r="I1767">
        <v>0</v>
      </c>
      <c r="J1767">
        <v>6</v>
      </c>
      <c r="K1767" s="4">
        <v>34.799999999999997</v>
      </c>
      <c r="L1767" s="4">
        <v>61</v>
      </c>
      <c r="M1767" s="4">
        <v>66.5</v>
      </c>
      <c r="N1767">
        <v>1</v>
      </c>
      <c r="O1767" t="s">
        <v>58</v>
      </c>
      <c r="P1767" t="s">
        <v>87</v>
      </c>
      <c r="Q1767" t="s">
        <v>71</v>
      </c>
      <c r="R1767" t="s">
        <v>109</v>
      </c>
      <c r="S1767" s="3">
        <v>5.95</v>
      </c>
      <c r="T1767" s="5">
        <v>45157</v>
      </c>
      <c r="U1767">
        <v>2</v>
      </c>
      <c r="V1767">
        <v>2023</v>
      </c>
      <c r="X1767">
        <f t="shared" si="81"/>
        <v>6.8098232999999997</v>
      </c>
      <c r="Y1767">
        <f t="shared" si="82"/>
        <v>5.9498233000000003</v>
      </c>
      <c r="Z1767">
        <f t="shared" si="83"/>
        <v>60.999823300000003</v>
      </c>
    </row>
    <row r="1768" spans="1:26" x14ac:dyDescent="0.3">
      <c r="A1768" t="s">
        <v>1858</v>
      </c>
      <c r="B1768" t="s">
        <v>55</v>
      </c>
      <c r="C1768" t="s">
        <v>74</v>
      </c>
      <c r="D1768" t="s">
        <v>69</v>
      </c>
      <c r="E1768">
        <v>21</v>
      </c>
      <c r="F1768" s="3">
        <v>7.88</v>
      </c>
      <c r="G1768" s="4">
        <v>78.599999999999994</v>
      </c>
      <c r="H1768">
        <v>2</v>
      </c>
      <c r="I1768">
        <v>1</v>
      </c>
      <c r="J1768">
        <v>3</v>
      </c>
      <c r="K1768" s="4">
        <v>68.099999999999994</v>
      </c>
      <c r="L1768" s="4">
        <v>57.4</v>
      </c>
      <c r="M1768" s="4">
        <v>80</v>
      </c>
      <c r="N1768">
        <v>0</v>
      </c>
      <c r="O1768" t="s">
        <v>58</v>
      </c>
      <c r="P1768" t="s">
        <v>59</v>
      </c>
      <c r="Q1768" t="s">
        <v>60</v>
      </c>
      <c r="R1768" t="s">
        <v>80</v>
      </c>
      <c r="S1768" s="3">
        <v>19.7</v>
      </c>
      <c r="T1768" s="5">
        <v>45624</v>
      </c>
      <c r="U1768">
        <v>1</v>
      </c>
      <c r="V1768">
        <v>2024</v>
      </c>
      <c r="X1768">
        <f t="shared" si="81"/>
        <v>7.8798231999999997</v>
      </c>
      <c r="Y1768">
        <f t="shared" si="82"/>
        <v>19.699823200000001</v>
      </c>
      <c r="Z1768">
        <f t="shared" si="83"/>
        <v>57.3998232</v>
      </c>
    </row>
    <row r="1769" spans="1:26" x14ac:dyDescent="0.3">
      <c r="A1769" t="s">
        <v>1859</v>
      </c>
      <c r="B1769" t="s">
        <v>107</v>
      </c>
      <c r="C1769" t="s">
        <v>56</v>
      </c>
      <c r="D1769" t="s">
        <v>57</v>
      </c>
      <c r="E1769">
        <v>20</v>
      </c>
      <c r="F1769" s="3">
        <v>8.9600000000000009</v>
      </c>
      <c r="G1769" s="4">
        <v>68.3</v>
      </c>
      <c r="H1769">
        <v>0</v>
      </c>
      <c r="I1769">
        <v>2</v>
      </c>
      <c r="J1769">
        <v>5</v>
      </c>
      <c r="K1769" s="4">
        <v>75.7</v>
      </c>
      <c r="L1769" s="4">
        <v>55.2</v>
      </c>
      <c r="M1769" s="4">
        <v>77.900000000000006</v>
      </c>
      <c r="N1769">
        <v>0</v>
      </c>
      <c r="O1769" t="s">
        <v>58</v>
      </c>
      <c r="P1769" t="s">
        <v>59</v>
      </c>
      <c r="Q1769" t="s">
        <v>60</v>
      </c>
      <c r="R1769" t="s">
        <v>80</v>
      </c>
      <c r="S1769" s="3">
        <v>19.22</v>
      </c>
      <c r="T1769" s="5">
        <v>44486</v>
      </c>
      <c r="U1769">
        <v>3</v>
      </c>
      <c r="V1769">
        <v>2021</v>
      </c>
      <c r="X1769">
        <f t="shared" si="81"/>
        <v>8.9598231000000013</v>
      </c>
      <c r="Y1769">
        <f t="shared" si="82"/>
        <v>19.219823099999999</v>
      </c>
      <c r="Z1769">
        <f t="shared" si="83"/>
        <v>55.199823100000003</v>
      </c>
    </row>
    <row r="1770" spans="1:26" x14ac:dyDescent="0.3">
      <c r="A1770" t="s">
        <v>1860</v>
      </c>
      <c r="B1770" t="s">
        <v>107</v>
      </c>
      <c r="C1770" t="s">
        <v>56</v>
      </c>
      <c r="D1770" t="s">
        <v>69</v>
      </c>
      <c r="E1770">
        <v>23</v>
      </c>
      <c r="F1770" s="3">
        <v>8.0399999999999991</v>
      </c>
      <c r="G1770" s="4">
        <v>75.099999999999994</v>
      </c>
      <c r="H1770">
        <v>1</v>
      </c>
      <c r="I1770">
        <v>1</v>
      </c>
      <c r="J1770">
        <v>5</v>
      </c>
      <c r="K1770" s="4">
        <v>78.2</v>
      </c>
      <c r="L1770" s="4">
        <v>55.7</v>
      </c>
      <c r="M1770" s="4">
        <v>84.9</v>
      </c>
      <c r="N1770">
        <v>0</v>
      </c>
      <c r="O1770" t="s">
        <v>58</v>
      </c>
      <c r="P1770" t="s">
        <v>59</v>
      </c>
      <c r="Q1770" t="s">
        <v>60</v>
      </c>
      <c r="R1770" t="s">
        <v>61</v>
      </c>
      <c r="S1770" s="3">
        <v>18.899999999999999</v>
      </c>
      <c r="T1770" s="5">
        <v>44455</v>
      </c>
      <c r="U1770">
        <v>1</v>
      </c>
      <c r="V1770">
        <v>2021</v>
      </c>
      <c r="X1770">
        <f t="shared" si="81"/>
        <v>8.0398229999999984</v>
      </c>
      <c r="Y1770">
        <f t="shared" si="82"/>
        <v>18.899822999999998</v>
      </c>
      <c r="Z1770">
        <f t="shared" si="83"/>
        <v>55.699823000000002</v>
      </c>
    </row>
    <row r="1771" spans="1:26" x14ac:dyDescent="0.3">
      <c r="A1771" t="s">
        <v>1861</v>
      </c>
      <c r="B1771" t="s">
        <v>55</v>
      </c>
      <c r="C1771" t="s">
        <v>101</v>
      </c>
      <c r="D1771" t="s">
        <v>57</v>
      </c>
      <c r="E1771">
        <v>22</v>
      </c>
      <c r="F1771" s="3">
        <v>7.81</v>
      </c>
      <c r="G1771" s="4">
        <v>79</v>
      </c>
      <c r="H1771">
        <v>3</v>
      </c>
      <c r="I1771">
        <v>2</v>
      </c>
      <c r="J1771">
        <v>5</v>
      </c>
      <c r="K1771" s="4">
        <v>79.3</v>
      </c>
      <c r="L1771" s="4">
        <v>63.6</v>
      </c>
      <c r="M1771" s="4">
        <v>76.099999999999994</v>
      </c>
      <c r="N1771">
        <v>0</v>
      </c>
      <c r="O1771" t="s">
        <v>58</v>
      </c>
      <c r="P1771" t="s">
        <v>75</v>
      </c>
      <c r="Q1771" t="s">
        <v>71</v>
      </c>
      <c r="R1771" t="s">
        <v>76</v>
      </c>
      <c r="S1771" s="3">
        <v>7.78</v>
      </c>
      <c r="T1771" s="5">
        <v>45619</v>
      </c>
      <c r="U1771">
        <v>1</v>
      </c>
      <c r="V1771">
        <v>2024</v>
      </c>
      <c r="X1771">
        <f t="shared" si="81"/>
        <v>7.8098228999999995</v>
      </c>
      <c r="Y1771">
        <f t="shared" si="82"/>
        <v>7.7798229000000001</v>
      </c>
      <c r="Z1771">
        <f t="shared" si="83"/>
        <v>63.599822899999999</v>
      </c>
    </row>
    <row r="1772" spans="1:26" x14ac:dyDescent="0.3">
      <c r="A1772" t="s">
        <v>1862</v>
      </c>
      <c r="B1772" t="s">
        <v>55</v>
      </c>
      <c r="C1772" t="s">
        <v>74</v>
      </c>
      <c r="D1772" t="s">
        <v>69</v>
      </c>
      <c r="E1772">
        <v>20</v>
      </c>
      <c r="F1772" s="3">
        <v>6.42</v>
      </c>
      <c r="G1772" s="4">
        <v>81.900000000000006</v>
      </c>
      <c r="H1772">
        <v>3</v>
      </c>
      <c r="I1772">
        <v>2</v>
      </c>
      <c r="J1772">
        <v>3</v>
      </c>
      <c r="K1772" s="4">
        <v>53.2</v>
      </c>
      <c r="L1772" s="4">
        <v>58</v>
      </c>
      <c r="M1772" s="4">
        <v>70</v>
      </c>
      <c r="N1772">
        <v>1</v>
      </c>
      <c r="O1772" t="s">
        <v>64</v>
      </c>
      <c r="P1772" t="s">
        <v>65</v>
      </c>
      <c r="S1772" s="3">
        <v>0</v>
      </c>
      <c r="T1772" s="5"/>
      <c r="U1772">
        <v>0</v>
      </c>
      <c r="V1772">
        <v>2024</v>
      </c>
      <c r="X1772">
        <f t="shared" si="81"/>
        <v>6.4198227999999995</v>
      </c>
      <c r="Y1772">
        <f t="shared" si="82"/>
        <v>-1.772E-4</v>
      </c>
      <c r="Z1772">
        <f t="shared" si="83"/>
        <v>57.999822799999997</v>
      </c>
    </row>
    <row r="1773" spans="1:26" x14ac:dyDescent="0.3">
      <c r="A1773" t="s">
        <v>1863</v>
      </c>
      <c r="B1773" t="s">
        <v>107</v>
      </c>
      <c r="C1773" t="s">
        <v>68</v>
      </c>
      <c r="D1773" t="s">
        <v>69</v>
      </c>
      <c r="E1773">
        <v>21</v>
      </c>
      <c r="F1773" s="3">
        <v>8.9</v>
      </c>
      <c r="G1773" s="4">
        <v>93.4</v>
      </c>
      <c r="H1773">
        <v>1</v>
      </c>
      <c r="I1773">
        <v>3</v>
      </c>
      <c r="J1773">
        <v>3</v>
      </c>
      <c r="K1773" s="4">
        <v>70.7</v>
      </c>
      <c r="L1773" s="4">
        <v>68.099999999999994</v>
      </c>
      <c r="M1773" s="4">
        <v>89.9</v>
      </c>
      <c r="N1773">
        <v>0</v>
      </c>
      <c r="O1773" t="s">
        <v>58</v>
      </c>
      <c r="P1773" t="s">
        <v>92</v>
      </c>
      <c r="Q1773" t="s">
        <v>93</v>
      </c>
      <c r="R1773" t="s">
        <v>130</v>
      </c>
      <c r="S1773" s="3">
        <v>9.64</v>
      </c>
      <c r="T1773" s="5">
        <v>44464</v>
      </c>
      <c r="U1773">
        <v>1</v>
      </c>
      <c r="V1773">
        <v>2021</v>
      </c>
      <c r="X1773">
        <f t="shared" si="81"/>
        <v>8.8998226999999996</v>
      </c>
      <c r="Y1773">
        <f t="shared" si="82"/>
        <v>9.6398226999999999</v>
      </c>
      <c r="Z1773">
        <f t="shared" si="83"/>
        <v>68.09982269999999</v>
      </c>
    </row>
    <row r="1774" spans="1:26" x14ac:dyDescent="0.3">
      <c r="A1774" t="s">
        <v>1864</v>
      </c>
      <c r="B1774" t="s">
        <v>67</v>
      </c>
      <c r="C1774" t="s">
        <v>89</v>
      </c>
      <c r="D1774" t="s">
        <v>69</v>
      </c>
      <c r="E1774">
        <v>22</v>
      </c>
      <c r="F1774" s="3">
        <v>8.65</v>
      </c>
      <c r="G1774" s="4">
        <v>88.6</v>
      </c>
      <c r="H1774">
        <v>3</v>
      </c>
      <c r="I1774">
        <v>0</v>
      </c>
      <c r="J1774">
        <v>3</v>
      </c>
      <c r="K1774" s="4">
        <v>58.2</v>
      </c>
      <c r="L1774" s="4">
        <v>42.1</v>
      </c>
      <c r="M1774" s="4">
        <v>82.8</v>
      </c>
      <c r="N1774">
        <v>1</v>
      </c>
      <c r="O1774" t="s">
        <v>58</v>
      </c>
      <c r="P1774" t="s">
        <v>104</v>
      </c>
      <c r="Q1774" t="s">
        <v>105</v>
      </c>
      <c r="R1774" t="s">
        <v>85</v>
      </c>
      <c r="S1774" s="3">
        <v>15.8</v>
      </c>
      <c r="T1774" s="5">
        <v>45252</v>
      </c>
      <c r="U1774">
        <v>2</v>
      </c>
      <c r="V1774">
        <v>2023</v>
      </c>
      <c r="X1774">
        <f t="shared" si="81"/>
        <v>8.6498226000000003</v>
      </c>
      <c r="Y1774">
        <f t="shared" si="82"/>
        <v>15.799822600000001</v>
      </c>
      <c r="Z1774">
        <f t="shared" si="83"/>
        <v>42.099822600000003</v>
      </c>
    </row>
    <row r="1775" spans="1:26" x14ac:dyDescent="0.3">
      <c r="A1775" t="s">
        <v>1865</v>
      </c>
      <c r="B1775" t="s">
        <v>63</v>
      </c>
      <c r="C1775" t="s">
        <v>89</v>
      </c>
      <c r="D1775" t="s">
        <v>69</v>
      </c>
      <c r="E1775">
        <v>20</v>
      </c>
      <c r="F1775" s="3">
        <v>7.51</v>
      </c>
      <c r="G1775" s="4">
        <v>100</v>
      </c>
      <c r="H1775">
        <v>1</v>
      </c>
      <c r="I1775">
        <v>2</v>
      </c>
      <c r="J1775">
        <v>6</v>
      </c>
      <c r="K1775" s="4">
        <v>57.4</v>
      </c>
      <c r="L1775" s="4">
        <v>57.3</v>
      </c>
      <c r="M1775" s="4">
        <v>66.3</v>
      </c>
      <c r="N1775">
        <v>2</v>
      </c>
      <c r="O1775" t="s">
        <v>58</v>
      </c>
      <c r="P1775" t="s">
        <v>112</v>
      </c>
      <c r="Q1775" t="s">
        <v>93</v>
      </c>
      <c r="R1775" t="s">
        <v>109</v>
      </c>
      <c r="S1775" s="3">
        <v>6.48</v>
      </c>
      <c r="T1775" s="5">
        <v>45880</v>
      </c>
      <c r="U1775">
        <v>1</v>
      </c>
      <c r="V1775">
        <v>2025</v>
      </c>
      <c r="X1775">
        <f t="shared" si="81"/>
        <v>7.5098224999999994</v>
      </c>
      <c r="Y1775">
        <f t="shared" si="82"/>
        <v>6.4798225</v>
      </c>
      <c r="Z1775">
        <f t="shared" si="83"/>
        <v>57.299822499999998</v>
      </c>
    </row>
    <row r="1776" spans="1:26" x14ac:dyDescent="0.3">
      <c r="A1776" t="s">
        <v>1866</v>
      </c>
      <c r="B1776" t="s">
        <v>63</v>
      </c>
      <c r="C1776" t="s">
        <v>56</v>
      </c>
      <c r="D1776" t="s">
        <v>57</v>
      </c>
      <c r="E1776">
        <v>22</v>
      </c>
      <c r="F1776" s="3">
        <v>7.3</v>
      </c>
      <c r="G1776" s="4">
        <v>73</v>
      </c>
      <c r="H1776">
        <v>1</v>
      </c>
      <c r="I1776">
        <v>0</v>
      </c>
      <c r="J1776">
        <v>5</v>
      </c>
      <c r="K1776" s="4">
        <v>66.5</v>
      </c>
      <c r="L1776" s="4">
        <v>88.7</v>
      </c>
      <c r="M1776" s="4">
        <v>71.900000000000006</v>
      </c>
      <c r="N1776">
        <v>0</v>
      </c>
      <c r="O1776" t="s">
        <v>58</v>
      </c>
      <c r="P1776" t="s">
        <v>112</v>
      </c>
      <c r="Q1776" t="s">
        <v>93</v>
      </c>
      <c r="R1776" t="s">
        <v>76</v>
      </c>
      <c r="S1776" s="3">
        <v>8.17</v>
      </c>
      <c r="T1776" s="5">
        <v>45946</v>
      </c>
      <c r="U1776">
        <v>1</v>
      </c>
      <c r="V1776">
        <v>2025</v>
      </c>
      <c r="X1776">
        <f t="shared" si="81"/>
        <v>7.2998224</v>
      </c>
      <c r="Y1776">
        <f t="shared" si="82"/>
        <v>8.1698223999999993</v>
      </c>
      <c r="Z1776">
        <f t="shared" si="83"/>
        <v>88.699822400000002</v>
      </c>
    </row>
    <row r="1777" spans="1:26" x14ac:dyDescent="0.3">
      <c r="A1777" t="s">
        <v>1867</v>
      </c>
      <c r="B1777" t="s">
        <v>55</v>
      </c>
      <c r="C1777" t="s">
        <v>101</v>
      </c>
      <c r="D1777" t="s">
        <v>69</v>
      </c>
      <c r="E1777">
        <v>21</v>
      </c>
      <c r="F1777" s="3">
        <v>6.92</v>
      </c>
      <c r="G1777" s="4">
        <v>92.5</v>
      </c>
      <c r="H1777">
        <v>2</v>
      </c>
      <c r="I1777">
        <v>0</v>
      </c>
      <c r="J1777">
        <v>3</v>
      </c>
      <c r="K1777" s="4">
        <v>62.1</v>
      </c>
      <c r="L1777" s="4">
        <v>51.1</v>
      </c>
      <c r="M1777" s="4">
        <v>89.6</v>
      </c>
      <c r="N1777">
        <v>0</v>
      </c>
      <c r="O1777" t="s">
        <v>58</v>
      </c>
      <c r="P1777" t="s">
        <v>95</v>
      </c>
      <c r="Q1777" t="s">
        <v>93</v>
      </c>
      <c r="R1777" t="s">
        <v>109</v>
      </c>
      <c r="S1777" s="3">
        <v>6.71</v>
      </c>
      <c r="T1777" s="5">
        <v>45578</v>
      </c>
      <c r="U1777">
        <v>1</v>
      </c>
      <c r="V1777">
        <v>2024</v>
      </c>
      <c r="X1777">
        <f t="shared" si="81"/>
        <v>6.9198222999999999</v>
      </c>
      <c r="Y1777">
        <f t="shared" si="82"/>
        <v>6.7098222999999999</v>
      </c>
      <c r="Z1777">
        <f t="shared" si="83"/>
        <v>51.0998223</v>
      </c>
    </row>
    <row r="1778" spans="1:26" x14ac:dyDescent="0.3">
      <c r="A1778" t="s">
        <v>1868</v>
      </c>
      <c r="B1778" t="s">
        <v>63</v>
      </c>
      <c r="C1778" t="s">
        <v>56</v>
      </c>
      <c r="D1778" t="s">
        <v>57</v>
      </c>
      <c r="E1778">
        <v>22</v>
      </c>
      <c r="F1778" s="3">
        <v>9.26</v>
      </c>
      <c r="G1778" s="4">
        <v>89.9</v>
      </c>
      <c r="H1778">
        <v>2</v>
      </c>
      <c r="I1778">
        <v>1</v>
      </c>
      <c r="J1778">
        <v>3</v>
      </c>
      <c r="K1778" s="4">
        <v>53.5</v>
      </c>
      <c r="L1778" s="4">
        <v>60.1</v>
      </c>
      <c r="M1778" s="4">
        <v>92</v>
      </c>
      <c r="N1778">
        <v>1</v>
      </c>
      <c r="O1778" t="s">
        <v>58</v>
      </c>
      <c r="P1778" t="s">
        <v>92</v>
      </c>
      <c r="Q1778" t="s">
        <v>93</v>
      </c>
      <c r="R1778" t="s">
        <v>72</v>
      </c>
      <c r="S1778" s="3">
        <v>10.52</v>
      </c>
      <c r="T1778" s="5">
        <v>45962</v>
      </c>
      <c r="U1778">
        <v>3</v>
      </c>
      <c r="V1778">
        <v>2025</v>
      </c>
      <c r="X1778">
        <f t="shared" si="81"/>
        <v>9.2598222000000003</v>
      </c>
      <c r="Y1778">
        <f t="shared" si="82"/>
        <v>10.5198222</v>
      </c>
      <c r="Z1778">
        <f t="shared" si="83"/>
        <v>60.099822199999998</v>
      </c>
    </row>
    <row r="1779" spans="1:26" x14ac:dyDescent="0.3">
      <c r="A1779" t="s">
        <v>1869</v>
      </c>
      <c r="B1779" t="s">
        <v>107</v>
      </c>
      <c r="C1779" t="s">
        <v>78</v>
      </c>
      <c r="D1779" t="s">
        <v>57</v>
      </c>
      <c r="E1779">
        <v>22</v>
      </c>
      <c r="F1779" s="3">
        <v>8.36</v>
      </c>
      <c r="G1779" s="4">
        <v>81</v>
      </c>
      <c r="H1779">
        <v>2</v>
      </c>
      <c r="I1779">
        <v>2</v>
      </c>
      <c r="J1779">
        <v>4</v>
      </c>
      <c r="K1779" s="4">
        <v>72.5</v>
      </c>
      <c r="L1779" s="4">
        <v>88.6</v>
      </c>
      <c r="M1779" s="4">
        <v>71.900000000000006</v>
      </c>
      <c r="N1779">
        <v>0</v>
      </c>
      <c r="O1779" t="s">
        <v>58</v>
      </c>
      <c r="P1779" t="s">
        <v>112</v>
      </c>
      <c r="Q1779" t="s">
        <v>93</v>
      </c>
      <c r="R1779" t="s">
        <v>61</v>
      </c>
      <c r="S1779" s="3">
        <v>8.5500000000000007</v>
      </c>
      <c r="T1779" s="5">
        <v>44511</v>
      </c>
      <c r="U1779">
        <v>1</v>
      </c>
      <c r="V1779">
        <v>2021</v>
      </c>
      <c r="X1779">
        <f t="shared" si="81"/>
        <v>8.3598220999999988</v>
      </c>
      <c r="Y1779">
        <f t="shared" si="82"/>
        <v>8.5498221000000001</v>
      </c>
      <c r="Z1779">
        <f t="shared" si="83"/>
        <v>88.599822099999997</v>
      </c>
    </row>
    <row r="1780" spans="1:26" x14ac:dyDescent="0.3">
      <c r="A1780" t="s">
        <v>1870</v>
      </c>
      <c r="B1780" t="s">
        <v>107</v>
      </c>
      <c r="C1780" t="s">
        <v>78</v>
      </c>
      <c r="D1780" t="s">
        <v>57</v>
      </c>
      <c r="E1780">
        <v>21</v>
      </c>
      <c r="F1780" s="3">
        <v>6.97</v>
      </c>
      <c r="G1780" s="4">
        <v>73.400000000000006</v>
      </c>
      <c r="H1780">
        <v>2</v>
      </c>
      <c r="I1780">
        <v>0</v>
      </c>
      <c r="J1780">
        <v>3</v>
      </c>
      <c r="K1780" s="4">
        <v>75.7</v>
      </c>
      <c r="L1780" s="4">
        <v>69.400000000000006</v>
      </c>
      <c r="M1780" s="4">
        <v>79.900000000000006</v>
      </c>
      <c r="N1780">
        <v>0</v>
      </c>
      <c r="O1780" t="s">
        <v>58</v>
      </c>
      <c r="P1780" t="s">
        <v>104</v>
      </c>
      <c r="Q1780" t="s">
        <v>105</v>
      </c>
      <c r="R1780" t="s">
        <v>130</v>
      </c>
      <c r="S1780" s="3">
        <v>15.53</v>
      </c>
      <c r="T1780" s="5">
        <v>44499</v>
      </c>
      <c r="U1780">
        <v>2</v>
      </c>
      <c r="V1780">
        <v>2021</v>
      </c>
      <c r="X1780">
        <f t="shared" si="81"/>
        <v>6.9698219999999997</v>
      </c>
      <c r="Y1780">
        <f t="shared" si="82"/>
        <v>15.529821999999999</v>
      </c>
      <c r="Z1780">
        <f t="shared" si="83"/>
        <v>69.399822</v>
      </c>
    </row>
    <row r="1781" spans="1:26" x14ac:dyDescent="0.3">
      <c r="A1781" t="s">
        <v>1871</v>
      </c>
      <c r="B1781" t="s">
        <v>55</v>
      </c>
      <c r="C1781" t="s">
        <v>78</v>
      </c>
      <c r="D1781" t="s">
        <v>69</v>
      </c>
      <c r="E1781">
        <v>22</v>
      </c>
      <c r="F1781" s="3">
        <v>8.64</v>
      </c>
      <c r="G1781" s="4">
        <v>76.5</v>
      </c>
      <c r="H1781">
        <v>1</v>
      </c>
      <c r="I1781">
        <v>0</v>
      </c>
      <c r="J1781">
        <v>5</v>
      </c>
      <c r="K1781" s="4">
        <v>55.9</v>
      </c>
      <c r="L1781" s="4">
        <v>44.2</v>
      </c>
      <c r="M1781" s="4">
        <v>78.3</v>
      </c>
      <c r="N1781">
        <v>0</v>
      </c>
      <c r="O1781" t="s">
        <v>58</v>
      </c>
      <c r="P1781" t="s">
        <v>90</v>
      </c>
      <c r="Q1781" t="s">
        <v>60</v>
      </c>
      <c r="R1781" t="s">
        <v>80</v>
      </c>
      <c r="S1781" s="3">
        <v>9.18</v>
      </c>
      <c r="T1781" s="5">
        <v>45558</v>
      </c>
      <c r="U1781">
        <v>2</v>
      </c>
      <c r="V1781">
        <v>2024</v>
      </c>
      <c r="X1781">
        <f t="shared" si="81"/>
        <v>8.6398219000000012</v>
      </c>
      <c r="Y1781">
        <f t="shared" si="82"/>
        <v>9.1798219000000003</v>
      </c>
      <c r="Z1781">
        <f t="shared" si="83"/>
        <v>44.199821900000003</v>
      </c>
    </row>
    <row r="1782" spans="1:26" x14ac:dyDescent="0.3">
      <c r="A1782" t="s">
        <v>1872</v>
      </c>
      <c r="B1782" t="s">
        <v>55</v>
      </c>
      <c r="C1782" t="s">
        <v>89</v>
      </c>
      <c r="D1782" t="s">
        <v>69</v>
      </c>
      <c r="E1782">
        <v>20</v>
      </c>
      <c r="F1782" s="3">
        <v>8.86</v>
      </c>
      <c r="G1782" s="4">
        <v>76</v>
      </c>
      <c r="H1782">
        <v>1</v>
      </c>
      <c r="I1782">
        <v>0</v>
      </c>
      <c r="J1782">
        <v>5</v>
      </c>
      <c r="K1782" s="4">
        <v>65.400000000000006</v>
      </c>
      <c r="L1782" s="4">
        <v>78.900000000000006</v>
      </c>
      <c r="M1782" s="4">
        <v>60.8</v>
      </c>
      <c r="N1782">
        <v>1</v>
      </c>
      <c r="O1782" t="s">
        <v>64</v>
      </c>
      <c r="P1782" t="s">
        <v>65</v>
      </c>
      <c r="S1782" s="3">
        <v>0</v>
      </c>
      <c r="T1782" s="5"/>
      <c r="U1782">
        <v>0</v>
      </c>
      <c r="V1782">
        <v>2024</v>
      </c>
      <c r="X1782">
        <f t="shared" si="81"/>
        <v>8.8598217999999989</v>
      </c>
      <c r="Y1782">
        <f t="shared" si="82"/>
        <v>-1.7819999999999999E-4</v>
      </c>
      <c r="Z1782">
        <f t="shared" si="83"/>
        <v>78.899821800000012</v>
      </c>
    </row>
    <row r="1783" spans="1:26" x14ac:dyDescent="0.3">
      <c r="A1783" t="s">
        <v>1873</v>
      </c>
      <c r="B1783" t="s">
        <v>55</v>
      </c>
      <c r="C1783" t="s">
        <v>56</v>
      </c>
      <c r="D1783" t="s">
        <v>57</v>
      </c>
      <c r="E1783">
        <v>22</v>
      </c>
      <c r="F1783" s="3">
        <v>7.63</v>
      </c>
      <c r="G1783" s="4">
        <v>97.4</v>
      </c>
      <c r="H1783">
        <v>1</v>
      </c>
      <c r="I1783">
        <v>4</v>
      </c>
      <c r="J1783">
        <v>4</v>
      </c>
      <c r="K1783" s="4">
        <v>65.7</v>
      </c>
      <c r="L1783" s="4">
        <v>87.8</v>
      </c>
      <c r="M1783" s="4">
        <v>80.099999999999994</v>
      </c>
      <c r="N1783">
        <v>0</v>
      </c>
      <c r="O1783" t="s">
        <v>58</v>
      </c>
      <c r="P1783" t="s">
        <v>70</v>
      </c>
      <c r="Q1783" t="s">
        <v>71</v>
      </c>
      <c r="R1783" t="s">
        <v>85</v>
      </c>
      <c r="S1783" s="3">
        <v>6.12</v>
      </c>
      <c r="T1783" s="5">
        <v>45569</v>
      </c>
      <c r="U1783">
        <v>3</v>
      </c>
      <c r="V1783">
        <v>2024</v>
      </c>
      <c r="X1783">
        <f t="shared" si="81"/>
        <v>7.6298216999999999</v>
      </c>
      <c r="Y1783">
        <f t="shared" si="82"/>
        <v>6.1198217000000001</v>
      </c>
      <c r="Z1783">
        <f t="shared" si="83"/>
        <v>87.799821699999995</v>
      </c>
    </row>
    <row r="1784" spans="1:26" x14ac:dyDescent="0.3">
      <c r="A1784" t="s">
        <v>1874</v>
      </c>
      <c r="B1784" t="s">
        <v>67</v>
      </c>
      <c r="C1784" t="s">
        <v>74</v>
      </c>
      <c r="D1784" t="s">
        <v>69</v>
      </c>
      <c r="E1784">
        <v>23</v>
      </c>
      <c r="F1784" s="3">
        <v>7.34</v>
      </c>
      <c r="G1784" s="4">
        <v>89.5</v>
      </c>
      <c r="H1784">
        <v>1</v>
      </c>
      <c r="I1784">
        <v>4</v>
      </c>
      <c r="J1784">
        <v>4</v>
      </c>
      <c r="K1784" s="4">
        <v>65.900000000000006</v>
      </c>
      <c r="L1784" s="4">
        <v>69.599999999999994</v>
      </c>
      <c r="M1784" s="4">
        <v>48.2</v>
      </c>
      <c r="N1784">
        <v>0</v>
      </c>
      <c r="O1784" t="s">
        <v>58</v>
      </c>
      <c r="P1784" t="s">
        <v>79</v>
      </c>
      <c r="Q1784" t="s">
        <v>71</v>
      </c>
      <c r="R1784" t="s">
        <v>61</v>
      </c>
      <c r="S1784" s="3">
        <v>5.28</v>
      </c>
      <c r="T1784" s="5">
        <v>45170</v>
      </c>
      <c r="U1784">
        <v>1</v>
      </c>
      <c r="V1784">
        <v>2023</v>
      </c>
      <c r="X1784">
        <f t="shared" si="81"/>
        <v>7.3398215999999996</v>
      </c>
      <c r="Y1784">
        <f t="shared" si="82"/>
        <v>5.2798216</v>
      </c>
      <c r="Z1784">
        <f t="shared" si="83"/>
        <v>69.599821599999999</v>
      </c>
    </row>
    <row r="1785" spans="1:26" x14ac:dyDescent="0.3">
      <c r="A1785" t="s">
        <v>1875</v>
      </c>
      <c r="B1785" t="s">
        <v>63</v>
      </c>
      <c r="C1785" t="s">
        <v>89</v>
      </c>
      <c r="D1785" t="s">
        <v>69</v>
      </c>
      <c r="E1785">
        <v>20</v>
      </c>
      <c r="F1785" s="3">
        <v>6.76</v>
      </c>
      <c r="G1785" s="4">
        <v>89.8</v>
      </c>
      <c r="H1785">
        <v>0</v>
      </c>
      <c r="I1785">
        <v>0</v>
      </c>
      <c r="J1785">
        <v>4</v>
      </c>
      <c r="K1785" s="4">
        <v>67.2</v>
      </c>
      <c r="L1785" s="4">
        <v>61.6</v>
      </c>
      <c r="M1785" s="4">
        <v>84.9</v>
      </c>
      <c r="N1785">
        <v>0</v>
      </c>
      <c r="O1785" t="s">
        <v>64</v>
      </c>
      <c r="P1785" t="s">
        <v>65</v>
      </c>
      <c r="S1785" s="3">
        <v>0</v>
      </c>
      <c r="T1785" s="5"/>
      <c r="U1785">
        <v>0</v>
      </c>
      <c r="V1785">
        <v>2025</v>
      </c>
      <c r="X1785">
        <f t="shared" si="81"/>
        <v>6.7598215000000001</v>
      </c>
      <c r="Y1785">
        <f t="shared" si="82"/>
        <v>-1.785E-4</v>
      </c>
      <c r="Z1785">
        <f t="shared" si="83"/>
        <v>61.599821500000004</v>
      </c>
    </row>
    <row r="1786" spans="1:26" x14ac:dyDescent="0.3">
      <c r="A1786" t="s">
        <v>1876</v>
      </c>
      <c r="B1786" t="s">
        <v>55</v>
      </c>
      <c r="C1786" t="s">
        <v>74</v>
      </c>
      <c r="D1786" t="s">
        <v>57</v>
      </c>
      <c r="E1786">
        <v>22</v>
      </c>
      <c r="F1786" s="3">
        <v>8.2899999999999991</v>
      </c>
      <c r="G1786" s="4">
        <v>82.8</v>
      </c>
      <c r="H1786">
        <v>1</v>
      </c>
      <c r="I1786">
        <v>1</v>
      </c>
      <c r="J1786">
        <v>3</v>
      </c>
      <c r="K1786" s="4">
        <v>72</v>
      </c>
      <c r="L1786" s="4">
        <v>43.9</v>
      </c>
      <c r="M1786" s="4">
        <v>80.2</v>
      </c>
      <c r="N1786">
        <v>3</v>
      </c>
      <c r="O1786" t="s">
        <v>58</v>
      </c>
      <c r="P1786" t="s">
        <v>87</v>
      </c>
      <c r="Q1786" t="s">
        <v>71</v>
      </c>
      <c r="R1786" t="s">
        <v>80</v>
      </c>
      <c r="S1786" s="3">
        <v>5.6</v>
      </c>
      <c r="T1786" s="5">
        <v>45508</v>
      </c>
      <c r="U1786">
        <v>2</v>
      </c>
      <c r="V1786">
        <v>2024</v>
      </c>
      <c r="X1786">
        <f t="shared" si="81"/>
        <v>8.2898213999999992</v>
      </c>
      <c r="Y1786">
        <f t="shared" si="82"/>
        <v>5.5998213999999997</v>
      </c>
      <c r="Z1786">
        <f t="shared" si="83"/>
        <v>43.8998214</v>
      </c>
    </row>
    <row r="1787" spans="1:26" x14ac:dyDescent="0.3">
      <c r="A1787" t="s">
        <v>1877</v>
      </c>
      <c r="B1787" t="s">
        <v>82</v>
      </c>
      <c r="C1787" t="s">
        <v>101</v>
      </c>
      <c r="D1787" t="s">
        <v>57</v>
      </c>
      <c r="E1787">
        <v>23</v>
      </c>
      <c r="F1787" s="3">
        <v>7.27</v>
      </c>
      <c r="G1787" s="4">
        <v>79.900000000000006</v>
      </c>
      <c r="H1787">
        <v>2</v>
      </c>
      <c r="I1787">
        <v>4</v>
      </c>
      <c r="J1787">
        <v>5</v>
      </c>
      <c r="K1787" s="4">
        <v>84.3</v>
      </c>
      <c r="L1787" s="4">
        <v>62.7</v>
      </c>
      <c r="M1787" s="4">
        <v>37.700000000000003</v>
      </c>
      <c r="N1787">
        <v>0</v>
      </c>
      <c r="O1787" t="s">
        <v>58</v>
      </c>
      <c r="P1787" t="s">
        <v>112</v>
      </c>
      <c r="Q1787" t="s">
        <v>93</v>
      </c>
      <c r="R1787" t="s">
        <v>72</v>
      </c>
      <c r="S1787" s="3">
        <v>5.41</v>
      </c>
      <c r="T1787" s="5">
        <v>44853</v>
      </c>
      <c r="U1787">
        <v>1</v>
      </c>
      <c r="V1787">
        <v>2022</v>
      </c>
      <c r="X1787">
        <f t="shared" si="81"/>
        <v>7.2698212999999994</v>
      </c>
      <c r="Y1787">
        <f t="shared" si="82"/>
        <v>5.4098212999999999</v>
      </c>
      <c r="Z1787">
        <f t="shared" si="83"/>
        <v>62.699821300000004</v>
      </c>
    </row>
    <row r="1788" spans="1:26" x14ac:dyDescent="0.3">
      <c r="A1788" t="s">
        <v>1878</v>
      </c>
      <c r="B1788" t="s">
        <v>82</v>
      </c>
      <c r="C1788" t="s">
        <v>74</v>
      </c>
      <c r="D1788" t="s">
        <v>69</v>
      </c>
      <c r="E1788">
        <v>23</v>
      </c>
      <c r="F1788" s="3">
        <v>7.23</v>
      </c>
      <c r="G1788" s="4">
        <v>85</v>
      </c>
      <c r="H1788">
        <v>2</v>
      </c>
      <c r="I1788">
        <v>0</v>
      </c>
      <c r="J1788">
        <v>5</v>
      </c>
      <c r="K1788" s="4">
        <v>69.8</v>
      </c>
      <c r="L1788" s="4">
        <v>51.3</v>
      </c>
      <c r="M1788" s="4">
        <v>62.4</v>
      </c>
      <c r="N1788">
        <v>0</v>
      </c>
      <c r="O1788" t="s">
        <v>58</v>
      </c>
      <c r="P1788" t="s">
        <v>75</v>
      </c>
      <c r="Q1788" t="s">
        <v>71</v>
      </c>
      <c r="R1788" t="s">
        <v>76</v>
      </c>
      <c r="S1788" s="3">
        <v>4.8600000000000003</v>
      </c>
      <c r="T1788" s="5">
        <v>44855</v>
      </c>
      <c r="U1788">
        <v>1</v>
      </c>
      <c r="V1788">
        <v>2022</v>
      </c>
      <c r="X1788">
        <f t="shared" si="81"/>
        <v>7.2298212000000008</v>
      </c>
      <c r="Y1788">
        <f t="shared" si="82"/>
        <v>4.8598212000000007</v>
      </c>
      <c r="Z1788">
        <f t="shared" si="83"/>
        <v>51.299821199999997</v>
      </c>
    </row>
    <row r="1789" spans="1:26" x14ac:dyDescent="0.3">
      <c r="A1789" t="s">
        <v>1879</v>
      </c>
      <c r="B1789" t="s">
        <v>107</v>
      </c>
      <c r="C1789" t="s">
        <v>74</v>
      </c>
      <c r="D1789" t="s">
        <v>57</v>
      </c>
      <c r="E1789">
        <v>23</v>
      </c>
      <c r="F1789" s="3">
        <v>7.64</v>
      </c>
      <c r="G1789" s="4">
        <v>82.9</v>
      </c>
      <c r="H1789">
        <v>2</v>
      </c>
      <c r="I1789">
        <v>0</v>
      </c>
      <c r="J1789">
        <v>1</v>
      </c>
      <c r="K1789" s="4">
        <v>60.9</v>
      </c>
      <c r="L1789" s="4">
        <v>69.900000000000006</v>
      </c>
      <c r="M1789" s="4">
        <v>52.9</v>
      </c>
      <c r="N1789">
        <v>0</v>
      </c>
      <c r="O1789" t="s">
        <v>58</v>
      </c>
      <c r="P1789" t="s">
        <v>90</v>
      </c>
      <c r="Q1789" t="s">
        <v>60</v>
      </c>
      <c r="R1789" t="s">
        <v>61</v>
      </c>
      <c r="S1789" s="3">
        <v>8.82</v>
      </c>
      <c r="T1789" s="5">
        <v>44493</v>
      </c>
      <c r="U1789">
        <v>2</v>
      </c>
      <c r="V1789">
        <v>2021</v>
      </c>
      <c r="X1789">
        <f t="shared" si="81"/>
        <v>7.6398210999999998</v>
      </c>
      <c r="Y1789">
        <f t="shared" si="82"/>
        <v>8.8198211000000004</v>
      </c>
      <c r="Z1789">
        <f t="shared" si="83"/>
        <v>69.899821100000011</v>
      </c>
    </row>
    <row r="1790" spans="1:26" x14ac:dyDescent="0.3">
      <c r="A1790" t="s">
        <v>1880</v>
      </c>
      <c r="B1790" t="s">
        <v>63</v>
      </c>
      <c r="C1790" t="s">
        <v>74</v>
      </c>
      <c r="D1790" t="s">
        <v>57</v>
      </c>
      <c r="E1790">
        <v>22</v>
      </c>
      <c r="F1790" s="3">
        <v>6.91</v>
      </c>
      <c r="G1790" s="4">
        <v>81.099999999999994</v>
      </c>
      <c r="H1790">
        <v>1</v>
      </c>
      <c r="I1790">
        <v>0</v>
      </c>
      <c r="J1790">
        <v>3</v>
      </c>
      <c r="K1790" s="4">
        <v>67.8</v>
      </c>
      <c r="L1790" s="4">
        <v>82.4</v>
      </c>
      <c r="M1790" s="4">
        <v>61.7</v>
      </c>
      <c r="N1790">
        <v>3</v>
      </c>
      <c r="O1790" t="s">
        <v>64</v>
      </c>
      <c r="P1790" t="s">
        <v>65</v>
      </c>
      <c r="S1790" s="3">
        <v>0</v>
      </c>
      <c r="T1790" s="5"/>
      <c r="U1790">
        <v>0</v>
      </c>
      <c r="V1790">
        <v>2025</v>
      </c>
      <c r="X1790">
        <f t="shared" si="81"/>
        <v>6.909821</v>
      </c>
      <c r="Y1790">
        <f t="shared" si="82"/>
        <v>-1.7899999999999999E-4</v>
      </c>
      <c r="Z1790">
        <f t="shared" si="83"/>
        <v>82.399821000000003</v>
      </c>
    </row>
    <row r="1791" spans="1:26" x14ac:dyDescent="0.3">
      <c r="A1791" t="s">
        <v>1881</v>
      </c>
      <c r="B1791" t="s">
        <v>55</v>
      </c>
      <c r="C1791" t="s">
        <v>74</v>
      </c>
      <c r="D1791" t="s">
        <v>69</v>
      </c>
      <c r="E1791">
        <v>21</v>
      </c>
      <c r="F1791" s="3">
        <v>9.0299999999999994</v>
      </c>
      <c r="G1791" s="4">
        <v>85.3</v>
      </c>
      <c r="H1791">
        <v>2</v>
      </c>
      <c r="I1791">
        <v>5</v>
      </c>
      <c r="J1791">
        <v>1</v>
      </c>
      <c r="K1791" s="4">
        <v>53.1</v>
      </c>
      <c r="L1791" s="4">
        <v>55.2</v>
      </c>
      <c r="M1791" s="4">
        <v>75.599999999999994</v>
      </c>
      <c r="N1791">
        <v>0</v>
      </c>
      <c r="O1791" t="s">
        <v>58</v>
      </c>
      <c r="P1791" t="s">
        <v>104</v>
      </c>
      <c r="Q1791" t="s">
        <v>105</v>
      </c>
      <c r="R1791" t="s">
        <v>76</v>
      </c>
      <c r="S1791" s="3">
        <v>16.02</v>
      </c>
      <c r="T1791" s="5">
        <v>45551</v>
      </c>
      <c r="U1791">
        <v>1</v>
      </c>
      <c r="V1791">
        <v>2024</v>
      </c>
      <c r="X1791">
        <f t="shared" si="81"/>
        <v>9.0298208999999989</v>
      </c>
      <c r="Y1791">
        <f t="shared" si="82"/>
        <v>16.019820899999999</v>
      </c>
      <c r="Z1791">
        <f t="shared" si="83"/>
        <v>55.199820900000006</v>
      </c>
    </row>
    <row r="1792" spans="1:26" x14ac:dyDescent="0.3">
      <c r="A1792" t="s">
        <v>1882</v>
      </c>
      <c r="B1792" t="s">
        <v>82</v>
      </c>
      <c r="C1792" t="s">
        <v>68</v>
      </c>
      <c r="D1792" t="s">
        <v>69</v>
      </c>
      <c r="E1792">
        <v>23</v>
      </c>
      <c r="F1792" s="3">
        <v>8.52</v>
      </c>
      <c r="G1792" s="4">
        <v>72.400000000000006</v>
      </c>
      <c r="H1792">
        <v>2</v>
      </c>
      <c r="I1792">
        <v>3</v>
      </c>
      <c r="J1792">
        <v>5</v>
      </c>
      <c r="K1792" s="4">
        <v>55.4</v>
      </c>
      <c r="L1792" s="4">
        <v>80.3</v>
      </c>
      <c r="M1792" s="4">
        <v>94.9</v>
      </c>
      <c r="N1792">
        <v>1</v>
      </c>
      <c r="O1792" t="s">
        <v>58</v>
      </c>
      <c r="P1792" t="s">
        <v>90</v>
      </c>
      <c r="Q1792" t="s">
        <v>60</v>
      </c>
      <c r="R1792" t="s">
        <v>61</v>
      </c>
      <c r="S1792" s="3">
        <v>8.92</v>
      </c>
      <c r="T1792" s="5">
        <v>44827</v>
      </c>
      <c r="U1792">
        <v>2</v>
      </c>
      <c r="V1792">
        <v>2022</v>
      </c>
      <c r="X1792">
        <f t="shared" si="81"/>
        <v>8.5198207999999997</v>
      </c>
      <c r="Y1792">
        <f t="shared" si="82"/>
        <v>8.9198208000000001</v>
      </c>
      <c r="Z1792">
        <f t="shared" si="83"/>
        <v>80.299820799999992</v>
      </c>
    </row>
    <row r="1793" spans="1:26" x14ac:dyDescent="0.3">
      <c r="A1793" t="s">
        <v>1883</v>
      </c>
      <c r="B1793" t="s">
        <v>63</v>
      </c>
      <c r="C1793" t="s">
        <v>78</v>
      </c>
      <c r="D1793" t="s">
        <v>69</v>
      </c>
      <c r="E1793">
        <v>21</v>
      </c>
      <c r="F1793" s="3">
        <v>7.72</v>
      </c>
      <c r="G1793" s="4">
        <v>84.4</v>
      </c>
      <c r="H1793">
        <v>3</v>
      </c>
      <c r="I1793">
        <v>1</v>
      </c>
      <c r="J1793">
        <v>2</v>
      </c>
      <c r="K1793" s="4">
        <v>74.099999999999994</v>
      </c>
      <c r="L1793" s="4">
        <v>43.7</v>
      </c>
      <c r="M1793" s="4">
        <v>80.2</v>
      </c>
      <c r="N1793">
        <v>0</v>
      </c>
      <c r="O1793" t="s">
        <v>64</v>
      </c>
      <c r="P1793" t="s">
        <v>65</v>
      </c>
      <c r="S1793" s="3">
        <v>0</v>
      </c>
      <c r="T1793" s="5"/>
      <c r="U1793">
        <v>0</v>
      </c>
      <c r="V1793">
        <v>2025</v>
      </c>
      <c r="X1793">
        <f t="shared" si="81"/>
        <v>7.7198206999999996</v>
      </c>
      <c r="Y1793">
        <f t="shared" si="82"/>
        <v>-1.7929999999999999E-4</v>
      </c>
      <c r="Z1793">
        <f t="shared" si="83"/>
        <v>43.699820700000004</v>
      </c>
    </row>
    <row r="1794" spans="1:26" x14ac:dyDescent="0.3">
      <c r="A1794" t="s">
        <v>1884</v>
      </c>
      <c r="B1794" t="s">
        <v>107</v>
      </c>
      <c r="C1794" t="s">
        <v>78</v>
      </c>
      <c r="D1794" t="s">
        <v>69</v>
      </c>
      <c r="E1794">
        <v>20</v>
      </c>
      <c r="F1794" s="3">
        <v>6.88</v>
      </c>
      <c r="G1794" s="4">
        <v>81</v>
      </c>
      <c r="H1794">
        <v>1</v>
      </c>
      <c r="I1794">
        <v>0</v>
      </c>
      <c r="J1794">
        <v>4</v>
      </c>
      <c r="K1794" s="4">
        <v>24.2</v>
      </c>
      <c r="L1794" s="4">
        <v>66.3</v>
      </c>
      <c r="M1794" s="4">
        <v>69.400000000000006</v>
      </c>
      <c r="N1794">
        <v>1</v>
      </c>
      <c r="O1794" t="s">
        <v>64</v>
      </c>
      <c r="P1794" t="s">
        <v>65</v>
      </c>
      <c r="S1794" s="3">
        <v>0</v>
      </c>
      <c r="T1794" s="5"/>
      <c r="U1794">
        <v>0</v>
      </c>
      <c r="V1794">
        <v>2021</v>
      </c>
      <c r="X1794">
        <f t="shared" ref="X1794:X1857" si="84">F1794-ROW()*0.0000001</f>
        <v>6.8798205999999995</v>
      </c>
      <c r="Y1794">
        <f t="shared" ref="Y1794:Y1857" si="85">S1794-ROW()*0.0000001</f>
        <v>-1.794E-4</v>
      </c>
      <c r="Z1794">
        <f t="shared" ref="Z1794:Z1857" si="86">L1794-ROW()*0.0000001</f>
        <v>66.299820600000004</v>
      </c>
    </row>
    <row r="1795" spans="1:26" x14ac:dyDescent="0.3">
      <c r="A1795" t="s">
        <v>1885</v>
      </c>
      <c r="B1795" t="s">
        <v>67</v>
      </c>
      <c r="C1795" t="s">
        <v>101</v>
      </c>
      <c r="D1795" t="s">
        <v>57</v>
      </c>
      <c r="E1795">
        <v>21</v>
      </c>
      <c r="F1795" s="3">
        <v>6.93</v>
      </c>
      <c r="G1795" s="4">
        <v>75.599999999999994</v>
      </c>
      <c r="H1795">
        <v>1</v>
      </c>
      <c r="I1795">
        <v>5</v>
      </c>
      <c r="J1795">
        <v>3</v>
      </c>
      <c r="K1795" s="4">
        <v>65</v>
      </c>
      <c r="L1795" s="4">
        <v>39.9</v>
      </c>
      <c r="M1795" s="4">
        <v>82.6</v>
      </c>
      <c r="N1795">
        <v>1</v>
      </c>
      <c r="O1795" t="s">
        <v>58</v>
      </c>
      <c r="P1795" t="s">
        <v>104</v>
      </c>
      <c r="Q1795" t="s">
        <v>105</v>
      </c>
      <c r="R1795" t="s">
        <v>61</v>
      </c>
      <c r="S1795" s="3">
        <v>14.05</v>
      </c>
      <c r="T1795" s="5">
        <v>45145</v>
      </c>
      <c r="U1795">
        <v>2</v>
      </c>
      <c r="V1795">
        <v>2023</v>
      </c>
      <c r="X1795">
        <f t="shared" si="84"/>
        <v>6.9298204999999999</v>
      </c>
      <c r="Y1795">
        <f t="shared" si="85"/>
        <v>14.049820500000001</v>
      </c>
      <c r="Z1795">
        <f t="shared" si="86"/>
        <v>39.899820499999997</v>
      </c>
    </row>
    <row r="1796" spans="1:26" x14ac:dyDescent="0.3">
      <c r="A1796" t="s">
        <v>1886</v>
      </c>
      <c r="B1796" t="s">
        <v>63</v>
      </c>
      <c r="C1796" t="s">
        <v>84</v>
      </c>
      <c r="D1796" t="s">
        <v>57</v>
      </c>
      <c r="E1796">
        <v>21</v>
      </c>
      <c r="F1796" s="3">
        <v>6.89</v>
      </c>
      <c r="G1796" s="4">
        <v>87.8</v>
      </c>
      <c r="H1796">
        <v>3</v>
      </c>
      <c r="I1796">
        <v>2</v>
      </c>
      <c r="J1796">
        <v>5</v>
      </c>
      <c r="K1796" s="4">
        <v>81</v>
      </c>
      <c r="L1796" s="4">
        <v>72.7</v>
      </c>
      <c r="M1796" s="4">
        <v>81.400000000000006</v>
      </c>
      <c r="N1796">
        <v>0</v>
      </c>
      <c r="O1796" t="s">
        <v>64</v>
      </c>
      <c r="P1796" t="s">
        <v>65</v>
      </c>
      <c r="S1796" s="3">
        <v>0</v>
      </c>
      <c r="T1796" s="5"/>
      <c r="U1796">
        <v>0</v>
      </c>
      <c r="V1796">
        <v>2025</v>
      </c>
      <c r="X1796">
        <f t="shared" si="84"/>
        <v>6.8898203999999996</v>
      </c>
      <c r="Y1796">
        <f t="shared" si="85"/>
        <v>-1.796E-4</v>
      </c>
      <c r="Z1796">
        <f t="shared" si="86"/>
        <v>72.699820400000007</v>
      </c>
    </row>
    <row r="1797" spans="1:26" x14ac:dyDescent="0.3">
      <c r="A1797" t="s">
        <v>1887</v>
      </c>
      <c r="B1797" t="s">
        <v>63</v>
      </c>
      <c r="C1797" t="s">
        <v>101</v>
      </c>
      <c r="D1797" t="s">
        <v>69</v>
      </c>
      <c r="E1797">
        <v>21</v>
      </c>
      <c r="F1797" s="3">
        <v>6.54</v>
      </c>
      <c r="G1797" s="4">
        <v>98.2</v>
      </c>
      <c r="H1797">
        <v>3</v>
      </c>
      <c r="I1797">
        <v>2</v>
      </c>
      <c r="J1797">
        <v>4</v>
      </c>
      <c r="K1797" s="4">
        <v>73.7</v>
      </c>
      <c r="L1797" s="4">
        <v>86.9</v>
      </c>
      <c r="M1797" s="4">
        <v>91.4</v>
      </c>
      <c r="N1797">
        <v>0</v>
      </c>
      <c r="O1797" t="s">
        <v>64</v>
      </c>
      <c r="P1797" t="s">
        <v>65</v>
      </c>
      <c r="S1797" s="3">
        <v>0</v>
      </c>
      <c r="T1797" s="5"/>
      <c r="U1797">
        <v>0</v>
      </c>
      <c r="V1797">
        <v>2025</v>
      </c>
      <c r="X1797">
        <f t="shared" si="84"/>
        <v>6.5398202999999997</v>
      </c>
      <c r="Y1797">
        <f t="shared" si="85"/>
        <v>-1.797E-4</v>
      </c>
      <c r="Z1797">
        <f t="shared" si="86"/>
        <v>86.899820300000002</v>
      </c>
    </row>
    <row r="1798" spans="1:26" x14ac:dyDescent="0.3">
      <c r="A1798" t="s">
        <v>1888</v>
      </c>
      <c r="B1798" t="s">
        <v>67</v>
      </c>
      <c r="C1798" t="s">
        <v>56</v>
      </c>
      <c r="D1798" t="s">
        <v>57</v>
      </c>
      <c r="E1798">
        <v>21</v>
      </c>
      <c r="F1798" s="3">
        <v>7.94</v>
      </c>
      <c r="G1798" s="4">
        <v>93.5</v>
      </c>
      <c r="H1798">
        <v>1</v>
      </c>
      <c r="I1798">
        <v>1</v>
      </c>
      <c r="J1798">
        <v>3</v>
      </c>
      <c r="K1798" s="4">
        <v>80</v>
      </c>
      <c r="L1798" s="4">
        <v>63.5</v>
      </c>
      <c r="M1798" s="4">
        <v>84.1</v>
      </c>
      <c r="N1798">
        <v>0</v>
      </c>
      <c r="O1798" t="s">
        <v>64</v>
      </c>
      <c r="P1798" t="s">
        <v>65</v>
      </c>
      <c r="S1798" s="3">
        <v>0</v>
      </c>
      <c r="T1798" s="5"/>
      <c r="U1798">
        <v>0</v>
      </c>
      <c r="V1798">
        <v>2023</v>
      </c>
      <c r="X1798">
        <f t="shared" si="84"/>
        <v>7.9398202000000007</v>
      </c>
      <c r="Y1798">
        <f t="shared" si="85"/>
        <v>-1.7979999999999998E-4</v>
      </c>
      <c r="Z1798">
        <f t="shared" si="86"/>
        <v>63.499820200000002</v>
      </c>
    </row>
    <row r="1799" spans="1:26" x14ac:dyDescent="0.3">
      <c r="A1799" t="s">
        <v>1889</v>
      </c>
      <c r="B1799" t="s">
        <v>63</v>
      </c>
      <c r="C1799" t="s">
        <v>78</v>
      </c>
      <c r="D1799" t="s">
        <v>69</v>
      </c>
      <c r="E1799">
        <v>21</v>
      </c>
      <c r="F1799" s="3">
        <v>7.07</v>
      </c>
      <c r="G1799" s="4">
        <v>79.5</v>
      </c>
      <c r="H1799">
        <v>0</v>
      </c>
      <c r="I1799">
        <v>3</v>
      </c>
      <c r="J1799">
        <v>3</v>
      </c>
      <c r="K1799" s="4">
        <v>72.7</v>
      </c>
      <c r="L1799" s="4">
        <v>72.400000000000006</v>
      </c>
      <c r="M1799" s="4">
        <v>74.099999999999994</v>
      </c>
      <c r="N1799">
        <v>0</v>
      </c>
      <c r="O1799" t="s">
        <v>58</v>
      </c>
      <c r="P1799" t="s">
        <v>92</v>
      </c>
      <c r="Q1799" t="s">
        <v>93</v>
      </c>
      <c r="R1799" t="s">
        <v>76</v>
      </c>
      <c r="S1799" s="3">
        <v>6.15</v>
      </c>
      <c r="T1799" s="5">
        <v>45966</v>
      </c>
      <c r="U1799">
        <v>2</v>
      </c>
      <c r="V1799">
        <v>2025</v>
      </c>
      <c r="X1799">
        <f t="shared" si="84"/>
        <v>7.0698201000000003</v>
      </c>
      <c r="Y1799">
        <f t="shared" si="85"/>
        <v>6.1498201000000003</v>
      </c>
      <c r="Z1799">
        <f t="shared" si="86"/>
        <v>72.399820099999999</v>
      </c>
    </row>
    <row r="1800" spans="1:26" x14ac:dyDescent="0.3">
      <c r="A1800" t="s">
        <v>1890</v>
      </c>
      <c r="B1800" t="s">
        <v>107</v>
      </c>
      <c r="C1800" t="s">
        <v>56</v>
      </c>
      <c r="D1800" t="s">
        <v>57</v>
      </c>
      <c r="E1800">
        <v>20</v>
      </c>
      <c r="F1800" s="3">
        <v>7.02</v>
      </c>
      <c r="G1800" s="4">
        <v>88</v>
      </c>
      <c r="H1800">
        <v>2</v>
      </c>
      <c r="I1800">
        <v>1</v>
      </c>
      <c r="J1800">
        <v>3</v>
      </c>
      <c r="K1800" s="4">
        <v>95.9</v>
      </c>
      <c r="L1800" s="4">
        <v>62.4</v>
      </c>
      <c r="M1800" s="4">
        <v>55.9</v>
      </c>
      <c r="N1800">
        <v>1</v>
      </c>
      <c r="O1800" t="s">
        <v>58</v>
      </c>
      <c r="P1800" t="s">
        <v>79</v>
      </c>
      <c r="Q1800" t="s">
        <v>71</v>
      </c>
      <c r="R1800" t="s">
        <v>61</v>
      </c>
      <c r="S1800" s="3">
        <v>6.12</v>
      </c>
      <c r="T1800" s="5">
        <v>44427</v>
      </c>
      <c r="U1800">
        <v>1</v>
      </c>
      <c r="V1800">
        <v>2021</v>
      </c>
      <c r="X1800">
        <f t="shared" si="84"/>
        <v>7.0198199999999993</v>
      </c>
      <c r="Y1800">
        <f t="shared" si="85"/>
        <v>6.1198199999999998</v>
      </c>
      <c r="Z1800">
        <f t="shared" si="86"/>
        <v>62.399819999999998</v>
      </c>
    </row>
    <row r="1801" spans="1:26" x14ac:dyDescent="0.3">
      <c r="A1801" t="s">
        <v>1891</v>
      </c>
      <c r="B1801" t="s">
        <v>107</v>
      </c>
      <c r="C1801" t="s">
        <v>56</v>
      </c>
      <c r="D1801" t="s">
        <v>57</v>
      </c>
      <c r="E1801">
        <v>20</v>
      </c>
      <c r="F1801" s="3">
        <v>6.92</v>
      </c>
      <c r="G1801" s="4">
        <v>89.6</v>
      </c>
      <c r="H1801">
        <v>1</v>
      </c>
      <c r="I1801">
        <v>3</v>
      </c>
      <c r="J1801">
        <v>5</v>
      </c>
      <c r="K1801" s="4">
        <v>50.8</v>
      </c>
      <c r="L1801" s="4">
        <v>75.3</v>
      </c>
      <c r="M1801" s="4">
        <v>90.2</v>
      </c>
      <c r="N1801">
        <v>0</v>
      </c>
      <c r="O1801" t="s">
        <v>58</v>
      </c>
      <c r="P1801" t="s">
        <v>95</v>
      </c>
      <c r="Q1801" t="s">
        <v>93</v>
      </c>
      <c r="R1801" t="s">
        <v>72</v>
      </c>
      <c r="S1801" s="3">
        <v>3.48</v>
      </c>
      <c r="T1801" s="5">
        <v>44415</v>
      </c>
      <c r="U1801">
        <v>3</v>
      </c>
      <c r="V1801">
        <v>2021</v>
      </c>
      <c r="X1801">
        <f t="shared" si="84"/>
        <v>6.9198199000000002</v>
      </c>
      <c r="Y1801">
        <f t="shared" si="85"/>
        <v>3.4798198999999999</v>
      </c>
      <c r="Z1801">
        <f t="shared" si="86"/>
        <v>75.299819900000003</v>
      </c>
    </row>
    <row r="1802" spans="1:26" x14ac:dyDescent="0.3">
      <c r="A1802" t="s">
        <v>1892</v>
      </c>
      <c r="B1802" t="s">
        <v>67</v>
      </c>
      <c r="C1802" t="s">
        <v>89</v>
      </c>
      <c r="D1802" t="s">
        <v>57</v>
      </c>
      <c r="E1802">
        <v>21</v>
      </c>
      <c r="F1802" s="3">
        <v>8.5500000000000007</v>
      </c>
      <c r="G1802" s="4">
        <v>83.1</v>
      </c>
      <c r="H1802">
        <v>2</v>
      </c>
      <c r="I1802">
        <v>1</v>
      </c>
      <c r="J1802">
        <v>4</v>
      </c>
      <c r="K1802" s="4">
        <v>69.599999999999994</v>
      </c>
      <c r="L1802" s="4">
        <v>82.2</v>
      </c>
      <c r="M1802" s="4">
        <v>72.5</v>
      </c>
      <c r="N1802">
        <v>0</v>
      </c>
      <c r="O1802" t="s">
        <v>58</v>
      </c>
      <c r="P1802" t="s">
        <v>95</v>
      </c>
      <c r="Q1802" t="s">
        <v>93</v>
      </c>
      <c r="R1802" t="s">
        <v>109</v>
      </c>
      <c r="S1802" s="3">
        <v>7.35</v>
      </c>
      <c r="T1802" s="5">
        <v>45249</v>
      </c>
      <c r="U1802">
        <v>2</v>
      </c>
      <c r="V1802">
        <v>2023</v>
      </c>
      <c r="X1802">
        <f t="shared" si="84"/>
        <v>8.5498197999999999</v>
      </c>
      <c r="Y1802">
        <f t="shared" si="85"/>
        <v>7.3498197999999997</v>
      </c>
      <c r="Z1802">
        <f t="shared" si="86"/>
        <v>82.1998198</v>
      </c>
    </row>
    <row r="1803" spans="1:26" x14ac:dyDescent="0.3">
      <c r="A1803" t="s">
        <v>1893</v>
      </c>
      <c r="B1803" t="s">
        <v>55</v>
      </c>
      <c r="C1803" t="s">
        <v>74</v>
      </c>
      <c r="D1803" t="s">
        <v>69</v>
      </c>
      <c r="E1803">
        <v>21</v>
      </c>
      <c r="F1803" s="3">
        <v>6.97</v>
      </c>
      <c r="G1803" s="4">
        <v>81.8</v>
      </c>
      <c r="H1803">
        <v>1</v>
      </c>
      <c r="I1803">
        <v>0</v>
      </c>
      <c r="J1803">
        <v>3</v>
      </c>
      <c r="K1803" s="4">
        <v>78.2</v>
      </c>
      <c r="L1803" s="4">
        <v>69.8</v>
      </c>
      <c r="M1803" s="4">
        <v>63.3</v>
      </c>
      <c r="N1803">
        <v>0</v>
      </c>
      <c r="O1803" t="s">
        <v>64</v>
      </c>
      <c r="P1803" t="s">
        <v>65</v>
      </c>
      <c r="S1803" s="3">
        <v>0</v>
      </c>
      <c r="T1803" s="5"/>
      <c r="U1803">
        <v>0</v>
      </c>
      <c r="V1803">
        <v>2024</v>
      </c>
      <c r="X1803">
        <f t="shared" si="84"/>
        <v>6.9698196999999995</v>
      </c>
      <c r="Y1803">
        <f t="shared" si="85"/>
        <v>-1.8029999999999999E-4</v>
      </c>
      <c r="Z1803">
        <f t="shared" si="86"/>
        <v>69.7998197</v>
      </c>
    </row>
    <row r="1804" spans="1:26" x14ac:dyDescent="0.3">
      <c r="A1804" t="s">
        <v>1894</v>
      </c>
      <c r="B1804" t="s">
        <v>82</v>
      </c>
      <c r="C1804" t="s">
        <v>56</v>
      </c>
      <c r="D1804" t="s">
        <v>57</v>
      </c>
      <c r="E1804">
        <v>23</v>
      </c>
      <c r="F1804" s="3">
        <v>8.7899999999999991</v>
      </c>
      <c r="G1804" s="4">
        <v>85.1</v>
      </c>
      <c r="H1804">
        <v>1</v>
      </c>
      <c r="I1804">
        <v>2</v>
      </c>
      <c r="J1804">
        <v>4</v>
      </c>
      <c r="K1804" s="4">
        <v>62.1</v>
      </c>
      <c r="L1804" s="4">
        <v>62</v>
      </c>
      <c r="M1804" s="4">
        <v>50.2</v>
      </c>
      <c r="N1804">
        <v>0</v>
      </c>
      <c r="O1804" t="s">
        <v>58</v>
      </c>
      <c r="P1804" t="s">
        <v>79</v>
      </c>
      <c r="Q1804" t="s">
        <v>71</v>
      </c>
      <c r="R1804" t="s">
        <v>80</v>
      </c>
      <c r="S1804" s="3">
        <v>6.78</v>
      </c>
      <c r="T1804" s="5">
        <v>44878</v>
      </c>
      <c r="U1804">
        <v>1</v>
      </c>
      <c r="V1804">
        <v>2022</v>
      </c>
      <c r="X1804">
        <f t="shared" si="84"/>
        <v>8.7898195999999995</v>
      </c>
      <c r="Y1804">
        <f t="shared" si="85"/>
        <v>6.7798196000000006</v>
      </c>
      <c r="Z1804">
        <f t="shared" si="86"/>
        <v>61.999819600000002</v>
      </c>
    </row>
    <row r="1805" spans="1:26" x14ac:dyDescent="0.3">
      <c r="A1805" t="s">
        <v>1895</v>
      </c>
      <c r="B1805" t="s">
        <v>55</v>
      </c>
      <c r="C1805" t="s">
        <v>56</v>
      </c>
      <c r="D1805" t="s">
        <v>57</v>
      </c>
      <c r="E1805">
        <v>20</v>
      </c>
      <c r="F1805" s="3">
        <v>7.39</v>
      </c>
      <c r="G1805" s="4">
        <v>100</v>
      </c>
      <c r="H1805">
        <v>0</v>
      </c>
      <c r="I1805">
        <v>3</v>
      </c>
      <c r="J1805">
        <v>2</v>
      </c>
      <c r="K1805" s="4">
        <v>84.5</v>
      </c>
      <c r="L1805" s="4">
        <v>74.3</v>
      </c>
      <c r="M1805" s="4">
        <v>60.2</v>
      </c>
      <c r="N1805">
        <v>0</v>
      </c>
      <c r="O1805" t="s">
        <v>58</v>
      </c>
      <c r="P1805" t="s">
        <v>90</v>
      </c>
      <c r="Q1805" t="s">
        <v>60</v>
      </c>
      <c r="R1805" t="s">
        <v>72</v>
      </c>
      <c r="S1805" s="3">
        <v>6.76</v>
      </c>
      <c r="T1805" s="5">
        <v>45582</v>
      </c>
      <c r="U1805">
        <v>2</v>
      </c>
      <c r="V1805">
        <v>2024</v>
      </c>
      <c r="X1805">
        <f t="shared" si="84"/>
        <v>7.3898194999999998</v>
      </c>
      <c r="Y1805">
        <f t="shared" si="85"/>
        <v>6.7598194999999999</v>
      </c>
      <c r="Z1805">
        <f t="shared" si="86"/>
        <v>74.299819499999998</v>
      </c>
    </row>
    <row r="1806" spans="1:26" x14ac:dyDescent="0.3">
      <c r="A1806" t="s">
        <v>1896</v>
      </c>
      <c r="B1806" t="s">
        <v>63</v>
      </c>
      <c r="C1806" t="s">
        <v>56</v>
      </c>
      <c r="D1806" t="s">
        <v>57</v>
      </c>
      <c r="E1806">
        <v>22</v>
      </c>
      <c r="F1806" s="3">
        <v>6.53</v>
      </c>
      <c r="G1806" s="4">
        <v>84.3</v>
      </c>
      <c r="H1806">
        <v>1</v>
      </c>
      <c r="I1806">
        <v>1</v>
      </c>
      <c r="J1806">
        <v>5</v>
      </c>
      <c r="K1806" s="4">
        <v>76.5</v>
      </c>
      <c r="L1806" s="4">
        <v>97.2</v>
      </c>
      <c r="M1806" s="4">
        <v>78.8</v>
      </c>
      <c r="N1806">
        <v>0</v>
      </c>
      <c r="O1806" t="s">
        <v>58</v>
      </c>
      <c r="P1806" t="s">
        <v>87</v>
      </c>
      <c r="Q1806" t="s">
        <v>71</v>
      </c>
      <c r="R1806" t="s">
        <v>109</v>
      </c>
      <c r="S1806" s="3">
        <v>5.88</v>
      </c>
      <c r="T1806" s="5">
        <v>45907</v>
      </c>
      <c r="U1806">
        <v>3</v>
      </c>
      <c r="V1806">
        <v>2025</v>
      </c>
      <c r="X1806">
        <f t="shared" si="84"/>
        <v>6.5298194000000001</v>
      </c>
      <c r="Y1806">
        <f t="shared" si="85"/>
        <v>5.8798193999999997</v>
      </c>
      <c r="Z1806">
        <f t="shared" si="86"/>
        <v>97.19981940000001</v>
      </c>
    </row>
    <row r="1807" spans="1:26" x14ac:dyDescent="0.3">
      <c r="A1807" t="s">
        <v>1897</v>
      </c>
      <c r="B1807" t="s">
        <v>82</v>
      </c>
      <c r="C1807" t="s">
        <v>84</v>
      </c>
      <c r="D1807" t="s">
        <v>69</v>
      </c>
      <c r="E1807">
        <v>20</v>
      </c>
      <c r="F1807" s="3">
        <v>8.07</v>
      </c>
      <c r="G1807" s="4">
        <v>70.599999999999994</v>
      </c>
      <c r="H1807">
        <v>0</v>
      </c>
      <c r="I1807">
        <v>0</v>
      </c>
      <c r="J1807">
        <v>3</v>
      </c>
      <c r="K1807" s="4">
        <v>47.1</v>
      </c>
      <c r="L1807" s="4">
        <v>74.7</v>
      </c>
      <c r="M1807" s="4">
        <v>69.3</v>
      </c>
      <c r="N1807">
        <v>0</v>
      </c>
      <c r="O1807" t="s">
        <v>58</v>
      </c>
      <c r="P1807" t="s">
        <v>79</v>
      </c>
      <c r="Q1807" t="s">
        <v>71</v>
      </c>
      <c r="R1807" t="s">
        <v>109</v>
      </c>
      <c r="S1807" s="3">
        <v>5.04</v>
      </c>
      <c r="T1807" s="5">
        <v>44780</v>
      </c>
      <c r="U1807">
        <v>1</v>
      </c>
      <c r="V1807">
        <v>2022</v>
      </c>
      <c r="X1807">
        <f t="shared" si="84"/>
        <v>8.0698193000000007</v>
      </c>
      <c r="Y1807">
        <f t="shared" si="85"/>
        <v>5.0398193000000004</v>
      </c>
      <c r="Z1807">
        <f t="shared" si="86"/>
        <v>74.699819300000001</v>
      </c>
    </row>
    <row r="1808" spans="1:26" x14ac:dyDescent="0.3">
      <c r="A1808" t="s">
        <v>1898</v>
      </c>
      <c r="B1808" t="s">
        <v>67</v>
      </c>
      <c r="C1808" t="s">
        <v>56</v>
      </c>
      <c r="D1808" t="s">
        <v>57</v>
      </c>
      <c r="E1808">
        <v>22</v>
      </c>
      <c r="F1808" s="3">
        <v>8.4499999999999993</v>
      </c>
      <c r="G1808" s="4">
        <v>72.599999999999994</v>
      </c>
      <c r="H1808">
        <v>1</v>
      </c>
      <c r="I1808">
        <v>2</v>
      </c>
      <c r="J1808">
        <v>5</v>
      </c>
      <c r="K1808" s="4">
        <v>73.099999999999994</v>
      </c>
      <c r="L1808" s="4">
        <v>50.9</v>
      </c>
      <c r="M1808" s="4">
        <v>85.9</v>
      </c>
      <c r="N1808">
        <v>0</v>
      </c>
      <c r="O1808" t="s">
        <v>58</v>
      </c>
      <c r="P1808" t="s">
        <v>59</v>
      </c>
      <c r="Q1808" t="s">
        <v>60</v>
      </c>
      <c r="R1808" t="s">
        <v>80</v>
      </c>
      <c r="S1808" s="3">
        <v>20.07</v>
      </c>
      <c r="T1808" s="5">
        <v>45184</v>
      </c>
      <c r="U1808">
        <v>1</v>
      </c>
      <c r="V1808">
        <v>2023</v>
      </c>
      <c r="X1808">
        <f t="shared" si="84"/>
        <v>8.4498191999999985</v>
      </c>
      <c r="Y1808">
        <f t="shared" si="85"/>
        <v>20.069819200000001</v>
      </c>
      <c r="Z1808">
        <f t="shared" si="86"/>
        <v>50.899819199999996</v>
      </c>
    </row>
    <row r="1809" spans="1:26" x14ac:dyDescent="0.3">
      <c r="A1809" t="s">
        <v>1899</v>
      </c>
      <c r="B1809" t="s">
        <v>67</v>
      </c>
      <c r="C1809" t="s">
        <v>56</v>
      </c>
      <c r="D1809" t="s">
        <v>57</v>
      </c>
      <c r="E1809">
        <v>23</v>
      </c>
      <c r="F1809" s="3">
        <v>6.88</v>
      </c>
      <c r="G1809" s="4">
        <v>80.5</v>
      </c>
      <c r="H1809">
        <v>1</v>
      </c>
      <c r="I1809">
        <v>3</v>
      </c>
      <c r="J1809">
        <v>4</v>
      </c>
      <c r="K1809" s="4">
        <v>76.5</v>
      </c>
      <c r="L1809" s="4">
        <v>98.4</v>
      </c>
      <c r="M1809" s="4">
        <v>93.4</v>
      </c>
      <c r="N1809">
        <v>0</v>
      </c>
      <c r="O1809" t="s">
        <v>64</v>
      </c>
      <c r="P1809" t="s">
        <v>65</v>
      </c>
      <c r="S1809" s="3">
        <v>0</v>
      </c>
      <c r="T1809" s="5"/>
      <c r="U1809">
        <v>0</v>
      </c>
      <c r="V1809">
        <v>2023</v>
      </c>
      <c r="X1809">
        <f t="shared" si="84"/>
        <v>6.8798190999999997</v>
      </c>
      <c r="Y1809">
        <f t="shared" si="85"/>
        <v>-1.8089999999999998E-4</v>
      </c>
      <c r="Z1809">
        <f t="shared" si="86"/>
        <v>98.399819100000002</v>
      </c>
    </row>
    <row r="1810" spans="1:26" x14ac:dyDescent="0.3">
      <c r="A1810" t="s">
        <v>1900</v>
      </c>
      <c r="B1810" t="s">
        <v>82</v>
      </c>
      <c r="C1810" t="s">
        <v>68</v>
      </c>
      <c r="D1810" t="s">
        <v>57</v>
      </c>
      <c r="E1810">
        <v>21</v>
      </c>
      <c r="F1810" s="3">
        <v>7.71</v>
      </c>
      <c r="G1810" s="4">
        <v>70.8</v>
      </c>
      <c r="H1810">
        <v>1</v>
      </c>
      <c r="I1810">
        <v>3</v>
      </c>
      <c r="J1810">
        <v>4</v>
      </c>
      <c r="K1810" s="4">
        <v>90.9</v>
      </c>
      <c r="L1810" s="4">
        <v>57.8</v>
      </c>
      <c r="M1810" s="4">
        <v>48.4</v>
      </c>
      <c r="N1810">
        <v>1</v>
      </c>
      <c r="O1810" t="s">
        <v>58</v>
      </c>
      <c r="P1810" t="s">
        <v>92</v>
      </c>
      <c r="Q1810" t="s">
        <v>93</v>
      </c>
      <c r="R1810" t="s">
        <v>85</v>
      </c>
      <c r="S1810" s="3">
        <v>8.32</v>
      </c>
      <c r="T1810" s="5">
        <v>44840</v>
      </c>
      <c r="U1810">
        <v>2</v>
      </c>
      <c r="V1810">
        <v>2022</v>
      </c>
      <c r="X1810">
        <f t="shared" si="84"/>
        <v>7.7098189999999995</v>
      </c>
      <c r="Y1810">
        <f t="shared" si="85"/>
        <v>8.3198190000000007</v>
      </c>
      <c r="Z1810">
        <f t="shared" si="86"/>
        <v>57.799818999999999</v>
      </c>
    </row>
    <row r="1811" spans="1:26" x14ac:dyDescent="0.3">
      <c r="A1811" t="s">
        <v>1901</v>
      </c>
      <c r="B1811" t="s">
        <v>107</v>
      </c>
      <c r="C1811" t="s">
        <v>74</v>
      </c>
      <c r="D1811" t="s">
        <v>69</v>
      </c>
      <c r="E1811">
        <v>23</v>
      </c>
      <c r="F1811" s="3">
        <v>7.94</v>
      </c>
      <c r="G1811" s="4">
        <v>80.8</v>
      </c>
      <c r="H1811">
        <v>1</v>
      </c>
      <c r="I1811">
        <v>2</v>
      </c>
      <c r="J1811">
        <v>2</v>
      </c>
      <c r="K1811" s="4">
        <v>65.5</v>
      </c>
      <c r="L1811" s="4">
        <v>58.2</v>
      </c>
      <c r="M1811" s="4">
        <v>61.8</v>
      </c>
      <c r="N1811">
        <v>1</v>
      </c>
      <c r="O1811" t="s">
        <v>58</v>
      </c>
      <c r="P1811" t="s">
        <v>95</v>
      </c>
      <c r="Q1811" t="s">
        <v>93</v>
      </c>
      <c r="R1811" t="s">
        <v>85</v>
      </c>
      <c r="S1811" s="3">
        <v>6.42</v>
      </c>
      <c r="T1811" s="5">
        <v>44483</v>
      </c>
      <c r="U1811">
        <v>1</v>
      </c>
      <c r="V1811">
        <v>2021</v>
      </c>
      <c r="X1811">
        <f t="shared" si="84"/>
        <v>7.9398189000000006</v>
      </c>
      <c r="Y1811">
        <f t="shared" si="85"/>
        <v>6.4198189000000001</v>
      </c>
      <c r="Z1811">
        <f t="shared" si="86"/>
        <v>58.199818900000004</v>
      </c>
    </row>
    <row r="1812" spans="1:26" x14ac:dyDescent="0.3">
      <c r="A1812" t="s">
        <v>1902</v>
      </c>
      <c r="B1812" t="s">
        <v>82</v>
      </c>
      <c r="C1812" t="s">
        <v>84</v>
      </c>
      <c r="D1812" t="s">
        <v>57</v>
      </c>
      <c r="E1812">
        <v>21</v>
      </c>
      <c r="F1812" s="3">
        <v>7.74</v>
      </c>
      <c r="G1812" s="4">
        <v>100</v>
      </c>
      <c r="H1812">
        <v>0</v>
      </c>
      <c r="I1812">
        <v>0</v>
      </c>
      <c r="J1812">
        <v>2</v>
      </c>
      <c r="K1812" s="4">
        <v>75.8</v>
      </c>
      <c r="L1812" s="4">
        <v>85.1</v>
      </c>
      <c r="M1812" s="4">
        <v>75.7</v>
      </c>
      <c r="N1812">
        <v>1</v>
      </c>
      <c r="O1812" t="s">
        <v>64</v>
      </c>
      <c r="P1812" t="s">
        <v>65</v>
      </c>
      <c r="S1812" s="3">
        <v>0</v>
      </c>
      <c r="T1812" s="5"/>
      <c r="U1812">
        <v>0</v>
      </c>
      <c r="V1812">
        <v>2022</v>
      </c>
      <c r="X1812">
        <f t="shared" si="84"/>
        <v>7.7398188000000001</v>
      </c>
      <c r="Y1812">
        <f t="shared" si="85"/>
        <v>-1.8119999999999999E-4</v>
      </c>
      <c r="Z1812">
        <f t="shared" si="86"/>
        <v>85.099818799999994</v>
      </c>
    </row>
    <row r="1813" spans="1:26" x14ac:dyDescent="0.3">
      <c r="A1813" t="s">
        <v>1903</v>
      </c>
      <c r="B1813" t="s">
        <v>63</v>
      </c>
      <c r="C1813" t="s">
        <v>56</v>
      </c>
      <c r="D1813" t="s">
        <v>57</v>
      </c>
      <c r="E1813">
        <v>20</v>
      </c>
      <c r="F1813" s="3">
        <v>7.24</v>
      </c>
      <c r="G1813" s="4">
        <v>77.400000000000006</v>
      </c>
      <c r="H1813">
        <v>3</v>
      </c>
      <c r="I1813">
        <v>2</v>
      </c>
      <c r="J1813">
        <v>4</v>
      </c>
      <c r="K1813" s="4">
        <v>71.599999999999994</v>
      </c>
      <c r="L1813" s="4">
        <v>63.7</v>
      </c>
      <c r="M1813" s="4">
        <v>91.8</v>
      </c>
      <c r="N1813">
        <v>3</v>
      </c>
      <c r="O1813" t="s">
        <v>58</v>
      </c>
      <c r="P1813" t="s">
        <v>90</v>
      </c>
      <c r="Q1813" t="s">
        <v>60</v>
      </c>
      <c r="R1813" t="s">
        <v>61</v>
      </c>
      <c r="S1813" s="3">
        <v>9.0500000000000007</v>
      </c>
      <c r="T1813" s="5">
        <v>45959</v>
      </c>
      <c r="U1813">
        <v>2</v>
      </c>
      <c r="V1813">
        <v>2025</v>
      </c>
      <c r="X1813">
        <f t="shared" si="84"/>
        <v>7.2398186999999998</v>
      </c>
      <c r="Y1813">
        <f t="shared" si="85"/>
        <v>9.0498187000000012</v>
      </c>
      <c r="Z1813">
        <f t="shared" si="86"/>
        <v>63.699818700000002</v>
      </c>
    </row>
    <row r="1814" spans="1:26" x14ac:dyDescent="0.3">
      <c r="A1814" t="s">
        <v>1904</v>
      </c>
      <c r="B1814" t="s">
        <v>107</v>
      </c>
      <c r="C1814" t="s">
        <v>68</v>
      </c>
      <c r="D1814" t="s">
        <v>57</v>
      </c>
      <c r="E1814">
        <v>21</v>
      </c>
      <c r="F1814" s="3">
        <v>8.44</v>
      </c>
      <c r="G1814" s="4">
        <v>72.2</v>
      </c>
      <c r="H1814">
        <v>0</v>
      </c>
      <c r="I1814">
        <v>1</v>
      </c>
      <c r="J1814">
        <v>3</v>
      </c>
      <c r="K1814" s="4">
        <v>60.1</v>
      </c>
      <c r="L1814" s="4">
        <v>77.5</v>
      </c>
      <c r="M1814" s="4">
        <v>63.9</v>
      </c>
      <c r="N1814">
        <v>2</v>
      </c>
      <c r="O1814" t="s">
        <v>64</v>
      </c>
      <c r="P1814" t="s">
        <v>65</v>
      </c>
      <c r="S1814" s="3">
        <v>0</v>
      </c>
      <c r="T1814" s="5"/>
      <c r="U1814">
        <v>0</v>
      </c>
      <c r="V1814">
        <v>2021</v>
      </c>
      <c r="X1814">
        <f t="shared" si="84"/>
        <v>8.4398185999999988</v>
      </c>
      <c r="Y1814">
        <f t="shared" si="85"/>
        <v>-1.8139999999999999E-4</v>
      </c>
      <c r="Z1814">
        <f t="shared" si="86"/>
        <v>77.499818599999998</v>
      </c>
    </row>
    <row r="1815" spans="1:26" x14ac:dyDescent="0.3">
      <c r="A1815" t="s">
        <v>1905</v>
      </c>
      <c r="B1815" t="s">
        <v>67</v>
      </c>
      <c r="C1815" t="s">
        <v>78</v>
      </c>
      <c r="D1815" t="s">
        <v>57</v>
      </c>
      <c r="E1815">
        <v>22</v>
      </c>
      <c r="F1815" s="3">
        <v>7.42</v>
      </c>
      <c r="G1815" s="4">
        <v>80.099999999999994</v>
      </c>
      <c r="H1815">
        <v>1</v>
      </c>
      <c r="I1815">
        <v>4</v>
      </c>
      <c r="J1815">
        <v>2</v>
      </c>
      <c r="K1815" s="4">
        <v>63.1</v>
      </c>
      <c r="L1815" s="4">
        <v>76.400000000000006</v>
      </c>
      <c r="M1815" s="4">
        <v>76.7</v>
      </c>
      <c r="N1815">
        <v>0</v>
      </c>
      <c r="O1815" t="s">
        <v>58</v>
      </c>
      <c r="P1815" t="s">
        <v>87</v>
      </c>
      <c r="Q1815" t="s">
        <v>71</v>
      </c>
      <c r="R1815" t="s">
        <v>80</v>
      </c>
      <c r="S1815" s="3">
        <v>5.38</v>
      </c>
      <c r="T1815" s="5">
        <v>45141</v>
      </c>
      <c r="U1815">
        <v>1</v>
      </c>
      <c r="V1815">
        <v>2023</v>
      </c>
      <c r="X1815">
        <f t="shared" si="84"/>
        <v>7.4198184999999999</v>
      </c>
      <c r="Y1815">
        <f t="shared" si="85"/>
        <v>5.3798184999999998</v>
      </c>
      <c r="Z1815">
        <f t="shared" si="86"/>
        <v>76.399818500000009</v>
      </c>
    </row>
    <row r="1816" spans="1:26" x14ac:dyDescent="0.3">
      <c r="A1816" t="s">
        <v>1906</v>
      </c>
      <c r="B1816" t="s">
        <v>82</v>
      </c>
      <c r="C1816" t="s">
        <v>84</v>
      </c>
      <c r="D1816" t="s">
        <v>69</v>
      </c>
      <c r="E1816">
        <v>22</v>
      </c>
      <c r="F1816" s="3">
        <v>7.1</v>
      </c>
      <c r="G1816" s="4">
        <v>81.099999999999994</v>
      </c>
      <c r="H1816">
        <v>1</v>
      </c>
      <c r="I1816">
        <v>2</v>
      </c>
      <c r="J1816">
        <v>5</v>
      </c>
      <c r="K1816" s="4">
        <v>37.299999999999997</v>
      </c>
      <c r="L1816" s="4">
        <v>76.599999999999994</v>
      </c>
      <c r="M1816" s="4">
        <v>60.9</v>
      </c>
      <c r="N1816">
        <v>0</v>
      </c>
      <c r="O1816" t="s">
        <v>58</v>
      </c>
      <c r="P1816" t="s">
        <v>59</v>
      </c>
      <c r="Q1816" t="s">
        <v>60</v>
      </c>
      <c r="R1816" t="s">
        <v>109</v>
      </c>
      <c r="S1816" s="3">
        <v>19.43</v>
      </c>
      <c r="T1816" s="5">
        <v>44866</v>
      </c>
      <c r="U1816">
        <v>1</v>
      </c>
      <c r="V1816">
        <v>2022</v>
      </c>
      <c r="X1816">
        <f t="shared" si="84"/>
        <v>7.0998183999999993</v>
      </c>
      <c r="Y1816">
        <f t="shared" si="85"/>
        <v>19.429818399999998</v>
      </c>
      <c r="Z1816">
        <f t="shared" si="86"/>
        <v>76.59981839999999</v>
      </c>
    </row>
    <row r="1817" spans="1:26" x14ac:dyDescent="0.3">
      <c r="A1817" t="s">
        <v>1907</v>
      </c>
      <c r="B1817" t="s">
        <v>55</v>
      </c>
      <c r="C1817" t="s">
        <v>89</v>
      </c>
      <c r="D1817" t="s">
        <v>57</v>
      </c>
      <c r="E1817">
        <v>23</v>
      </c>
      <c r="F1817" s="3">
        <v>6.06</v>
      </c>
      <c r="G1817" s="4">
        <v>73.099999999999994</v>
      </c>
      <c r="H1817">
        <v>2</v>
      </c>
      <c r="I1817">
        <v>2</v>
      </c>
      <c r="J1817">
        <v>3</v>
      </c>
      <c r="K1817" s="4">
        <v>61.4</v>
      </c>
      <c r="L1817" s="4">
        <v>91.7</v>
      </c>
      <c r="M1817" s="4">
        <v>73</v>
      </c>
      <c r="N1817">
        <v>0</v>
      </c>
      <c r="O1817" t="s">
        <v>64</v>
      </c>
      <c r="P1817" t="s">
        <v>65</v>
      </c>
      <c r="S1817" s="3">
        <v>0</v>
      </c>
      <c r="T1817" s="5"/>
      <c r="U1817">
        <v>0</v>
      </c>
      <c r="V1817">
        <v>2024</v>
      </c>
      <c r="X1817">
        <f t="shared" si="84"/>
        <v>6.0598182999999999</v>
      </c>
      <c r="Y1817">
        <f t="shared" si="85"/>
        <v>-1.817E-4</v>
      </c>
      <c r="Z1817">
        <f t="shared" si="86"/>
        <v>91.699818300000004</v>
      </c>
    </row>
    <row r="1818" spans="1:26" x14ac:dyDescent="0.3">
      <c r="A1818" t="s">
        <v>1908</v>
      </c>
      <c r="B1818" t="s">
        <v>55</v>
      </c>
      <c r="C1818" t="s">
        <v>101</v>
      </c>
      <c r="D1818" t="s">
        <v>69</v>
      </c>
      <c r="E1818">
        <v>20</v>
      </c>
      <c r="F1818" s="3">
        <v>6.07</v>
      </c>
      <c r="G1818" s="4">
        <v>70.900000000000006</v>
      </c>
      <c r="H1818">
        <v>1</v>
      </c>
      <c r="I1818">
        <v>1</v>
      </c>
      <c r="J1818">
        <v>3</v>
      </c>
      <c r="K1818" s="4">
        <v>90</v>
      </c>
      <c r="L1818" s="4">
        <v>66</v>
      </c>
      <c r="M1818" s="4">
        <v>75.7</v>
      </c>
      <c r="N1818">
        <v>0</v>
      </c>
      <c r="O1818" t="s">
        <v>58</v>
      </c>
      <c r="P1818" t="s">
        <v>87</v>
      </c>
      <c r="Q1818" t="s">
        <v>71</v>
      </c>
      <c r="R1818" t="s">
        <v>76</v>
      </c>
      <c r="S1818" s="3">
        <v>5.33</v>
      </c>
      <c r="T1818" s="5">
        <v>45586</v>
      </c>
      <c r="U1818">
        <v>1</v>
      </c>
      <c r="V1818">
        <v>2024</v>
      </c>
      <c r="X1818">
        <f t="shared" si="84"/>
        <v>6.0698182000000003</v>
      </c>
      <c r="Y1818">
        <f t="shared" si="85"/>
        <v>5.3298182000000001</v>
      </c>
      <c r="Z1818">
        <f t="shared" si="86"/>
        <v>65.999818200000007</v>
      </c>
    </row>
    <row r="1819" spans="1:26" x14ac:dyDescent="0.3">
      <c r="A1819" t="s">
        <v>1909</v>
      </c>
      <c r="B1819" t="s">
        <v>63</v>
      </c>
      <c r="C1819" t="s">
        <v>56</v>
      </c>
      <c r="D1819" t="s">
        <v>69</v>
      </c>
      <c r="E1819">
        <v>22</v>
      </c>
      <c r="F1819" s="3">
        <v>7.84</v>
      </c>
      <c r="G1819" s="4">
        <v>94.2</v>
      </c>
      <c r="H1819">
        <v>0</v>
      </c>
      <c r="I1819">
        <v>1</v>
      </c>
      <c r="J1819">
        <v>5</v>
      </c>
      <c r="K1819" s="4">
        <v>65.599999999999994</v>
      </c>
      <c r="L1819" s="4">
        <v>70.5</v>
      </c>
      <c r="M1819" s="4">
        <v>70.099999999999994</v>
      </c>
      <c r="N1819">
        <v>2</v>
      </c>
      <c r="O1819" t="s">
        <v>58</v>
      </c>
      <c r="P1819" t="s">
        <v>90</v>
      </c>
      <c r="Q1819" t="s">
        <v>60</v>
      </c>
      <c r="R1819" t="s">
        <v>61</v>
      </c>
      <c r="S1819" s="3">
        <v>8.9600000000000009</v>
      </c>
      <c r="T1819" s="5">
        <v>45912</v>
      </c>
      <c r="U1819">
        <v>3</v>
      </c>
      <c r="V1819">
        <v>2025</v>
      </c>
      <c r="X1819">
        <f t="shared" si="84"/>
        <v>7.8398180999999996</v>
      </c>
      <c r="Y1819">
        <f t="shared" si="85"/>
        <v>8.9598181000000015</v>
      </c>
      <c r="Z1819">
        <f t="shared" si="86"/>
        <v>70.499818099999999</v>
      </c>
    </row>
    <row r="1820" spans="1:26" x14ac:dyDescent="0.3">
      <c r="A1820" t="s">
        <v>1910</v>
      </c>
      <c r="B1820" t="s">
        <v>55</v>
      </c>
      <c r="C1820" t="s">
        <v>74</v>
      </c>
      <c r="D1820" t="s">
        <v>57</v>
      </c>
      <c r="E1820">
        <v>23</v>
      </c>
      <c r="F1820" s="3">
        <v>7.58</v>
      </c>
      <c r="G1820" s="4">
        <v>86.5</v>
      </c>
      <c r="H1820">
        <v>0</v>
      </c>
      <c r="I1820">
        <v>2</v>
      </c>
      <c r="J1820">
        <v>6</v>
      </c>
      <c r="K1820" s="4">
        <v>79.8</v>
      </c>
      <c r="L1820" s="4">
        <v>56.2</v>
      </c>
      <c r="M1820" s="4">
        <v>93.7</v>
      </c>
      <c r="N1820">
        <v>0</v>
      </c>
      <c r="O1820" t="s">
        <v>58</v>
      </c>
      <c r="P1820" t="s">
        <v>75</v>
      </c>
      <c r="Q1820" t="s">
        <v>71</v>
      </c>
      <c r="R1820" t="s">
        <v>109</v>
      </c>
      <c r="S1820" s="3">
        <v>4</v>
      </c>
      <c r="T1820" s="5">
        <v>45511</v>
      </c>
      <c r="U1820">
        <v>1</v>
      </c>
      <c r="V1820">
        <v>2024</v>
      </c>
      <c r="X1820">
        <f t="shared" si="84"/>
        <v>7.5798180000000004</v>
      </c>
      <c r="Y1820">
        <f t="shared" si="85"/>
        <v>3.9998179999999999</v>
      </c>
      <c r="Z1820">
        <f t="shared" si="86"/>
        <v>56.199818</v>
      </c>
    </row>
    <row r="1821" spans="1:26" x14ac:dyDescent="0.3">
      <c r="A1821" t="s">
        <v>1911</v>
      </c>
      <c r="B1821" t="s">
        <v>82</v>
      </c>
      <c r="C1821" t="s">
        <v>74</v>
      </c>
      <c r="D1821" t="s">
        <v>69</v>
      </c>
      <c r="E1821">
        <v>20</v>
      </c>
      <c r="F1821" s="3">
        <v>8.4499999999999993</v>
      </c>
      <c r="G1821" s="4">
        <v>77.7</v>
      </c>
      <c r="H1821">
        <v>2</v>
      </c>
      <c r="I1821">
        <v>1</v>
      </c>
      <c r="J1821">
        <v>3</v>
      </c>
      <c r="K1821" s="4">
        <v>71.2</v>
      </c>
      <c r="L1821" s="4">
        <v>81.2</v>
      </c>
      <c r="M1821" s="4">
        <v>88.3</v>
      </c>
      <c r="N1821">
        <v>1</v>
      </c>
      <c r="O1821" t="s">
        <v>58</v>
      </c>
      <c r="P1821" t="s">
        <v>59</v>
      </c>
      <c r="Q1821" t="s">
        <v>60</v>
      </c>
      <c r="R1821" t="s">
        <v>72</v>
      </c>
      <c r="S1821" s="3">
        <v>19.52</v>
      </c>
      <c r="T1821" s="5">
        <v>44867</v>
      </c>
      <c r="U1821">
        <v>2</v>
      </c>
      <c r="V1821">
        <v>2022</v>
      </c>
      <c r="X1821">
        <f t="shared" si="84"/>
        <v>8.4498178999999993</v>
      </c>
      <c r="Y1821">
        <f t="shared" si="85"/>
        <v>19.5198179</v>
      </c>
      <c r="Z1821">
        <f t="shared" si="86"/>
        <v>81.199817899999999</v>
      </c>
    </row>
    <row r="1822" spans="1:26" x14ac:dyDescent="0.3">
      <c r="A1822" t="s">
        <v>1912</v>
      </c>
      <c r="B1822" t="s">
        <v>82</v>
      </c>
      <c r="C1822" t="s">
        <v>84</v>
      </c>
      <c r="D1822" t="s">
        <v>69</v>
      </c>
      <c r="E1822">
        <v>20</v>
      </c>
      <c r="F1822" s="3">
        <v>8.67</v>
      </c>
      <c r="G1822" s="4">
        <v>71.599999999999994</v>
      </c>
      <c r="H1822">
        <v>2</v>
      </c>
      <c r="I1822">
        <v>4</v>
      </c>
      <c r="J1822">
        <v>5</v>
      </c>
      <c r="K1822" s="4">
        <v>73.900000000000006</v>
      </c>
      <c r="L1822" s="4">
        <v>73.099999999999994</v>
      </c>
      <c r="M1822" s="4">
        <v>70.2</v>
      </c>
      <c r="N1822">
        <v>0</v>
      </c>
      <c r="O1822" t="s">
        <v>58</v>
      </c>
      <c r="P1822" t="s">
        <v>92</v>
      </c>
      <c r="Q1822" t="s">
        <v>93</v>
      </c>
      <c r="R1822" t="s">
        <v>76</v>
      </c>
      <c r="S1822" s="3">
        <v>11.36</v>
      </c>
      <c r="T1822" s="5">
        <v>44879</v>
      </c>
      <c r="U1822">
        <v>1</v>
      </c>
      <c r="V1822">
        <v>2022</v>
      </c>
      <c r="X1822">
        <f t="shared" si="84"/>
        <v>8.6698178000000006</v>
      </c>
      <c r="Y1822">
        <f t="shared" si="85"/>
        <v>11.3598178</v>
      </c>
      <c r="Z1822">
        <f t="shared" si="86"/>
        <v>73.099817799999997</v>
      </c>
    </row>
    <row r="1823" spans="1:26" x14ac:dyDescent="0.3">
      <c r="A1823" t="s">
        <v>1913</v>
      </c>
      <c r="B1823" t="s">
        <v>55</v>
      </c>
      <c r="C1823" t="s">
        <v>56</v>
      </c>
      <c r="D1823" t="s">
        <v>69</v>
      </c>
      <c r="E1823">
        <v>23</v>
      </c>
      <c r="F1823" s="3">
        <v>7.43</v>
      </c>
      <c r="G1823" s="4">
        <v>77.3</v>
      </c>
      <c r="H1823">
        <v>1</v>
      </c>
      <c r="I1823">
        <v>2</v>
      </c>
      <c r="J1823">
        <v>4</v>
      </c>
      <c r="K1823" s="4">
        <v>95.9</v>
      </c>
      <c r="L1823" s="4">
        <v>88.9</v>
      </c>
      <c r="M1823" s="4">
        <v>70.900000000000006</v>
      </c>
      <c r="N1823">
        <v>2</v>
      </c>
      <c r="O1823" t="s">
        <v>58</v>
      </c>
      <c r="P1823" t="s">
        <v>59</v>
      </c>
      <c r="Q1823" t="s">
        <v>60</v>
      </c>
      <c r="R1823" t="s">
        <v>130</v>
      </c>
      <c r="S1823" s="3">
        <v>19.29</v>
      </c>
      <c r="T1823" s="5">
        <v>45552</v>
      </c>
      <c r="U1823">
        <v>1</v>
      </c>
      <c r="V1823">
        <v>2024</v>
      </c>
      <c r="X1823">
        <f t="shared" si="84"/>
        <v>7.4298177000000001</v>
      </c>
      <c r="Y1823">
        <f t="shared" si="85"/>
        <v>19.2898177</v>
      </c>
      <c r="Z1823">
        <f t="shared" si="86"/>
        <v>88.8998177</v>
      </c>
    </row>
    <row r="1824" spans="1:26" x14ac:dyDescent="0.3">
      <c r="A1824" t="s">
        <v>1914</v>
      </c>
      <c r="B1824" t="s">
        <v>82</v>
      </c>
      <c r="C1824" t="s">
        <v>56</v>
      </c>
      <c r="D1824" t="s">
        <v>57</v>
      </c>
      <c r="E1824">
        <v>22</v>
      </c>
      <c r="F1824" s="3">
        <v>8.5</v>
      </c>
      <c r="G1824" s="4">
        <v>71</v>
      </c>
      <c r="H1824">
        <v>0</v>
      </c>
      <c r="I1824">
        <v>1</v>
      </c>
      <c r="J1824">
        <v>6</v>
      </c>
      <c r="K1824" s="4">
        <v>62.3</v>
      </c>
      <c r="L1824" s="4">
        <v>75.5</v>
      </c>
      <c r="M1824" s="4">
        <v>83.6</v>
      </c>
      <c r="N1824">
        <v>1</v>
      </c>
      <c r="O1824" t="s">
        <v>58</v>
      </c>
      <c r="P1824" t="s">
        <v>70</v>
      </c>
      <c r="Q1824" t="s">
        <v>71</v>
      </c>
      <c r="R1824" t="s">
        <v>85</v>
      </c>
      <c r="S1824" s="3">
        <v>6.55</v>
      </c>
      <c r="T1824" s="5">
        <v>44853</v>
      </c>
      <c r="U1824">
        <v>1</v>
      </c>
      <c r="V1824">
        <v>2022</v>
      </c>
      <c r="X1824">
        <f t="shared" si="84"/>
        <v>8.4998176000000001</v>
      </c>
      <c r="Y1824">
        <f t="shared" si="85"/>
        <v>6.5498175999999999</v>
      </c>
      <c r="Z1824">
        <f t="shared" si="86"/>
        <v>75.4998176</v>
      </c>
    </row>
    <row r="1825" spans="1:26" x14ac:dyDescent="0.3">
      <c r="A1825" t="s">
        <v>1915</v>
      </c>
      <c r="B1825" t="s">
        <v>63</v>
      </c>
      <c r="C1825" t="s">
        <v>74</v>
      </c>
      <c r="D1825" t="s">
        <v>57</v>
      </c>
      <c r="E1825">
        <v>22</v>
      </c>
      <c r="F1825" s="3">
        <v>7.14</v>
      </c>
      <c r="G1825" s="4">
        <v>76.8</v>
      </c>
      <c r="H1825">
        <v>1</v>
      </c>
      <c r="I1825">
        <v>1</v>
      </c>
      <c r="J1825">
        <v>3</v>
      </c>
      <c r="K1825" s="4">
        <v>62.2</v>
      </c>
      <c r="L1825" s="4">
        <v>96</v>
      </c>
      <c r="M1825" s="4">
        <v>74.599999999999994</v>
      </c>
      <c r="N1825">
        <v>0</v>
      </c>
      <c r="O1825" t="s">
        <v>58</v>
      </c>
      <c r="P1825" t="s">
        <v>70</v>
      </c>
      <c r="Q1825" t="s">
        <v>71</v>
      </c>
      <c r="R1825" t="s">
        <v>61</v>
      </c>
      <c r="S1825" s="3">
        <v>5.01</v>
      </c>
      <c r="T1825" s="5">
        <v>45980</v>
      </c>
      <c r="U1825">
        <v>2</v>
      </c>
      <c r="V1825">
        <v>2025</v>
      </c>
      <c r="X1825">
        <f t="shared" si="84"/>
        <v>7.1398174999999995</v>
      </c>
      <c r="Y1825">
        <f t="shared" si="85"/>
        <v>5.0098174999999996</v>
      </c>
      <c r="Z1825">
        <f t="shared" si="86"/>
        <v>95.999817500000006</v>
      </c>
    </row>
    <row r="1826" spans="1:26" x14ac:dyDescent="0.3">
      <c r="A1826" t="s">
        <v>1916</v>
      </c>
      <c r="B1826" t="s">
        <v>107</v>
      </c>
      <c r="C1826" t="s">
        <v>56</v>
      </c>
      <c r="D1826" t="s">
        <v>57</v>
      </c>
      <c r="E1826">
        <v>23</v>
      </c>
      <c r="F1826" s="3">
        <v>7.52</v>
      </c>
      <c r="G1826" s="4">
        <v>100</v>
      </c>
      <c r="H1826">
        <v>1</v>
      </c>
      <c r="I1826">
        <v>2</v>
      </c>
      <c r="J1826">
        <v>6</v>
      </c>
      <c r="K1826" s="4">
        <v>83.2</v>
      </c>
      <c r="L1826" s="4">
        <v>68.099999999999994</v>
      </c>
      <c r="M1826" s="4">
        <v>74.2</v>
      </c>
      <c r="N1826">
        <v>0</v>
      </c>
      <c r="O1826" t="s">
        <v>58</v>
      </c>
      <c r="P1826" t="s">
        <v>79</v>
      </c>
      <c r="Q1826" t="s">
        <v>71</v>
      </c>
      <c r="R1826" t="s">
        <v>61</v>
      </c>
      <c r="S1826" s="3">
        <v>6.63</v>
      </c>
      <c r="T1826" s="5">
        <v>44453</v>
      </c>
      <c r="U1826">
        <v>2</v>
      </c>
      <c r="V1826">
        <v>2021</v>
      </c>
      <c r="X1826">
        <f t="shared" si="84"/>
        <v>7.5198174</v>
      </c>
      <c r="Y1826">
        <f t="shared" si="85"/>
        <v>6.6298174000000003</v>
      </c>
      <c r="Z1826">
        <f t="shared" si="86"/>
        <v>68.099817399999992</v>
      </c>
    </row>
    <row r="1827" spans="1:26" x14ac:dyDescent="0.3">
      <c r="A1827" t="s">
        <v>1917</v>
      </c>
      <c r="B1827" t="s">
        <v>63</v>
      </c>
      <c r="C1827" t="s">
        <v>56</v>
      </c>
      <c r="D1827" t="s">
        <v>69</v>
      </c>
      <c r="E1827">
        <v>22</v>
      </c>
      <c r="F1827" s="3">
        <v>7.49</v>
      </c>
      <c r="G1827" s="4">
        <v>84.1</v>
      </c>
      <c r="H1827">
        <v>2</v>
      </c>
      <c r="I1827">
        <v>0</v>
      </c>
      <c r="J1827">
        <v>3</v>
      </c>
      <c r="K1827" s="4">
        <v>66.900000000000006</v>
      </c>
      <c r="L1827" s="4">
        <v>73.5</v>
      </c>
      <c r="M1827" s="4">
        <v>65.8</v>
      </c>
      <c r="N1827">
        <v>1</v>
      </c>
      <c r="O1827" t="s">
        <v>64</v>
      </c>
      <c r="P1827" t="s">
        <v>65</v>
      </c>
      <c r="S1827" s="3">
        <v>0</v>
      </c>
      <c r="T1827" s="5"/>
      <c r="U1827">
        <v>0</v>
      </c>
      <c r="V1827">
        <v>2025</v>
      </c>
      <c r="X1827">
        <f t="shared" si="84"/>
        <v>7.4898173000000003</v>
      </c>
      <c r="Y1827">
        <f t="shared" si="85"/>
        <v>-1.827E-4</v>
      </c>
      <c r="Z1827">
        <f t="shared" si="86"/>
        <v>73.499817300000004</v>
      </c>
    </row>
    <row r="1828" spans="1:26" x14ac:dyDescent="0.3">
      <c r="A1828" t="s">
        <v>1918</v>
      </c>
      <c r="B1828" t="s">
        <v>63</v>
      </c>
      <c r="C1828" t="s">
        <v>84</v>
      </c>
      <c r="D1828" t="s">
        <v>57</v>
      </c>
      <c r="E1828">
        <v>23</v>
      </c>
      <c r="F1828" s="3">
        <v>9.07</v>
      </c>
      <c r="G1828" s="4">
        <v>76.400000000000006</v>
      </c>
      <c r="H1828">
        <v>0</v>
      </c>
      <c r="I1828">
        <v>2</v>
      </c>
      <c r="J1828">
        <v>3</v>
      </c>
      <c r="K1828" s="4">
        <v>64.2</v>
      </c>
      <c r="L1828" s="4">
        <v>71</v>
      </c>
      <c r="M1828" s="4">
        <v>81.2</v>
      </c>
      <c r="N1828">
        <v>2</v>
      </c>
      <c r="O1828" t="s">
        <v>58</v>
      </c>
      <c r="P1828" t="s">
        <v>112</v>
      </c>
      <c r="Q1828" t="s">
        <v>93</v>
      </c>
      <c r="R1828" t="s">
        <v>76</v>
      </c>
      <c r="S1828" s="3">
        <v>8.6</v>
      </c>
      <c r="T1828" s="5">
        <v>45873</v>
      </c>
      <c r="U1828">
        <v>1</v>
      </c>
      <c r="V1828">
        <v>2025</v>
      </c>
      <c r="X1828">
        <f t="shared" si="84"/>
        <v>9.069817200000001</v>
      </c>
      <c r="Y1828">
        <f t="shared" si="85"/>
        <v>8.5998172000000004</v>
      </c>
      <c r="Z1828">
        <f t="shared" si="86"/>
        <v>70.999817199999995</v>
      </c>
    </row>
    <row r="1829" spans="1:26" x14ac:dyDescent="0.3">
      <c r="A1829" t="s">
        <v>1919</v>
      </c>
      <c r="B1829" t="s">
        <v>82</v>
      </c>
      <c r="C1829" t="s">
        <v>68</v>
      </c>
      <c r="D1829" t="s">
        <v>57</v>
      </c>
      <c r="E1829">
        <v>22</v>
      </c>
      <c r="F1829" s="3">
        <v>6.5</v>
      </c>
      <c r="G1829" s="4">
        <v>88.1</v>
      </c>
      <c r="H1829">
        <v>1</v>
      </c>
      <c r="I1829">
        <v>2</v>
      </c>
      <c r="J1829">
        <v>3</v>
      </c>
      <c r="K1829" s="4">
        <v>81.400000000000006</v>
      </c>
      <c r="L1829" s="4">
        <v>59.6</v>
      </c>
      <c r="M1829" s="4">
        <v>66.3</v>
      </c>
      <c r="N1829">
        <v>1</v>
      </c>
      <c r="O1829" t="s">
        <v>58</v>
      </c>
      <c r="P1829" t="s">
        <v>104</v>
      </c>
      <c r="Q1829" t="s">
        <v>105</v>
      </c>
      <c r="R1829" t="s">
        <v>72</v>
      </c>
      <c r="S1829" s="3">
        <v>15.51</v>
      </c>
      <c r="T1829" s="5">
        <v>44777</v>
      </c>
      <c r="U1829">
        <v>1</v>
      </c>
      <c r="V1829">
        <v>2022</v>
      </c>
      <c r="X1829">
        <f t="shared" si="84"/>
        <v>6.4998170999999996</v>
      </c>
      <c r="Y1829">
        <f t="shared" si="85"/>
        <v>15.509817099999999</v>
      </c>
      <c r="Z1829">
        <f t="shared" si="86"/>
        <v>59.599817100000003</v>
      </c>
    </row>
    <row r="1830" spans="1:26" x14ac:dyDescent="0.3">
      <c r="A1830" t="s">
        <v>1920</v>
      </c>
      <c r="B1830" t="s">
        <v>107</v>
      </c>
      <c r="C1830" t="s">
        <v>89</v>
      </c>
      <c r="D1830" t="s">
        <v>57</v>
      </c>
      <c r="E1830">
        <v>22</v>
      </c>
      <c r="F1830" s="3">
        <v>7.7</v>
      </c>
      <c r="G1830" s="4">
        <v>73.599999999999994</v>
      </c>
      <c r="H1830">
        <v>1</v>
      </c>
      <c r="I1830">
        <v>1</v>
      </c>
      <c r="J1830">
        <v>3</v>
      </c>
      <c r="K1830" s="4">
        <v>71.599999999999994</v>
      </c>
      <c r="L1830" s="4">
        <v>40.6</v>
      </c>
      <c r="M1830" s="4">
        <v>66.3</v>
      </c>
      <c r="N1830">
        <v>1</v>
      </c>
      <c r="O1830" t="s">
        <v>58</v>
      </c>
      <c r="P1830" t="s">
        <v>87</v>
      </c>
      <c r="Q1830" t="s">
        <v>71</v>
      </c>
      <c r="R1830" t="s">
        <v>85</v>
      </c>
      <c r="S1830" s="3">
        <v>4.5199999999999996</v>
      </c>
      <c r="T1830" s="5">
        <v>44510</v>
      </c>
      <c r="U1830">
        <v>2</v>
      </c>
      <c r="V1830">
        <v>2021</v>
      </c>
      <c r="X1830">
        <f t="shared" si="84"/>
        <v>7.6998170000000004</v>
      </c>
      <c r="Y1830">
        <f t="shared" si="85"/>
        <v>4.5198169999999998</v>
      </c>
      <c r="Z1830">
        <f t="shared" si="86"/>
        <v>40.599817000000002</v>
      </c>
    </row>
    <row r="1831" spans="1:26" x14ac:dyDescent="0.3">
      <c r="A1831" t="s">
        <v>1921</v>
      </c>
      <c r="B1831" t="s">
        <v>82</v>
      </c>
      <c r="C1831" t="s">
        <v>78</v>
      </c>
      <c r="D1831" t="s">
        <v>57</v>
      </c>
      <c r="E1831">
        <v>23</v>
      </c>
      <c r="F1831" s="3">
        <v>7.02</v>
      </c>
      <c r="G1831" s="4">
        <v>78.3</v>
      </c>
      <c r="H1831">
        <v>2</v>
      </c>
      <c r="I1831">
        <v>3</v>
      </c>
      <c r="J1831">
        <v>4</v>
      </c>
      <c r="K1831" s="4">
        <v>65.900000000000006</v>
      </c>
      <c r="L1831" s="4">
        <v>73.400000000000006</v>
      </c>
      <c r="M1831" s="4">
        <v>77.5</v>
      </c>
      <c r="N1831">
        <v>0</v>
      </c>
      <c r="O1831" t="s">
        <v>58</v>
      </c>
      <c r="P1831" t="s">
        <v>95</v>
      </c>
      <c r="Q1831" t="s">
        <v>93</v>
      </c>
      <c r="R1831" t="s">
        <v>76</v>
      </c>
      <c r="S1831" s="3">
        <v>7.57</v>
      </c>
      <c r="T1831" s="5">
        <v>44823</v>
      </c>
      <c r="U1831">
        <v>1</v>
      </c>
      <c r="V1831">
        <v>2022</v>
      </c>
      <c r="X1831">
        <f t="shared" si="84"/>
        <v>7.0198168999999995</v>
      </c>
      <c r="Y1831">
        <f t="shared" si="85"/>
        <v>7.5698169000000002</v>
      </c>
      <c r="Z1831">
        <f t="shared" si="86"/>
        <v>73.399816900000005</v>
      </c>
    </row>
    <row r="1832" spans="1:26" x14ac:dyDescent="0.3">
      <c r="A1832" t="s">
        <v>1922</v>
      </c>
      <c r="B1832" t="s">
        <v>67</v>
      </c>
      <c r="C1832" t="s">
        <v>74</v>
      </c>
      <c r="D1832" t="s">
        <v>57</v>
      </c>
      <c r="E1832">
        <v>23</v>
      </c>
      <c r="F1832" s="3">
        <v>7.38</v>
      </c>
      <c r="G1832" s="4">
        <v>65.3</v>
      </c>
      <c r="H1832">
        <v>2</v>
      </c>
      <c r="I1832">
        <v>2</v>
      </c>
      <c r="J1832">
        <v>4</v>
      </c>
      <c r="K1832" s="4">
        <v>63.2</v>
      </c>
      <c r="L1832" s="4">
        <v>46</v>
      </c>
      <c r="M1832" s="4">
        <v>75.7</v>
      </c>
      <c r="N1832">
        <v>0</v>
      </c>
      <c r="O1832" t="s">
        <v>64</v>
      </c>
      <c r="P1832" t="s">
        <v>65</v>
      </c>
      <c r="S1832" s="3">
        <v>0</v>
      </c>
      <c r="T1832" s="5"/>
      <c r="U1832">
        <v>0</v>
      </c>
      <c r="V1832">
        <v>2023</v>
      </c>
      <c r="X1832">
        <f t="shared" si="84"/>
        <v>7.3798167999999995</v>
      </c>
      <c r="Y1832">
        <f t="shared" si="85"/>
        <v>-1.8319999999999998E-4</v>
      </c>
      <c r="Z1832">
        <f t="shared" si="86"/>
        <v>45.999816799999998</v>
      </c>
    </row>
    <row r="1833" spans="1:26" x14ac:dyDescent="0.3">
      <c r="A1833" t="s">
        <v>1923</v>
      </c>
      <c r="B1833" t="s">
        <v>82</v>
      </c>
      <c r="C1833" t="s">
        <v>56</v>
      </c>
      <c r="D1833" t="s">
        <v>57</v>
      </c>
      <c r="E1833">
        <v>22</v>
      </c>
      <c r="F1833" s="3">
        <v>7.34</v>
      </c>
      <c r="G1833" s="4">
        <v>93.5</v>
      </c>
      <c r="H1833">
        <v>3</v>
      </c>
      <c r="I1833">
        <v>5</v>
      </c>
      <c r="J1833">
        <v>3</v>
      </c>
      <c r="K1833" s="4">
        <v>56.2</v>
      </c>
      <c r="L1833" s="4">
        <v>77</v>
      </c>
      <c r="M1833" s="4">
        <v>74.400000000000006</v>
      </c>
      <c r="N1833">
        <v>2</v>
      </c>
      <c r="O1833" t="s">
        <v>58</v>
      </c>
      <c r="P1833" t="s">
        <v>112</v>
      </c>
      <c r="Q1833" t="s">
        <v>93</v>
      </c>
      <c r="R1833" t="s">
        <v>76</v>
      </c>
      <c r="S1833" s="3">
        <v>7.64</v>
      </c>
      <c r="T1833" s="5">
        <v>44838</v>
      </c>
      <c r="U1833">
        <v>2</v>
      </c>
      <c r="V1833">
        <v>2022</v>
      </c>
      <c r="X1833">
        <f t="shared" si="84"/>
        <v>7.3398167000000001</v>
      </c>
      <c r="Y1833">
        <f t="shared" si="85"/>
        <v>7.6398166999999999</v>
      </c>
      <c r="Z1833">
        <f t="shared" si="86"/>
        <v>76.999816699999997</v>
      </c>
    </row>
    <row r="1834" spans="1:26" x14ac:dyDescent="0.3">
      <c r="A1834" t="s">
        <v>1924</v>
      </c>
      <c r="B1834" t="s">
        <v>82</v>
      </c>
      <c r="C1834" t="s">
        <v>56</v>
      </c>
      <c r="D1834" t="s">
        <v>57</v>
      </c>
      <c r="E1834">
        <v>23</v>
      </c>
      <c r="F1834" s="3">
        <v>7.71</v>
      </c>
      <c r="G1834" s="4">
        <v>80.2</v>
      </c>
      <c r="H1834">
        <v>1</v>
      </c>
      <c r="I1834">
        <v>2</v>
      </c>
      <c r="J1834">
        <v>2</v>
      </c>
      <c r="K1834" s="4">
        <v>46.3</v>
      </c>
      <c r="L1834" s="4">
        <v>87.3</v>
      </c>
      <c r="M1834" s="4">
        <v>52.2</v>
      </c>
      <c r="N1834">
        <v>0</v>
      </c>
      <c r="O1834" t="s">
        <v>58</v>
      </c>
      <c r="P1834" t="s">
        <v>70</v>
      </c>
      <c r="Q1834" t="s">
        <v>71</v>
      </c>
      <c r="R1834" t="s">
        <v>85</v>
      </c>
      <c r="S1834" s="3">
        <v>6.6</v>
      </c>
      <c r="T1834" s="5">
        <v>44879</v>
      </c>
      <c r="U1834">
        <v>1</v>
      </c>
      <c r="V1834">
        <v>2022</v>
      </c>
      <c r="X1834">
        <f t="shared" si="84"/>
        <v>7.7098165999999999</v>
      </c>
      <c r="Y1834">
        <f t="shared" si="85"/>
        <v>6.5998165999999996</v>
      </c>
      <c r="Z1834">
        <f t="shared" si="86"/>
        <v>87.2998166</v>
      </c>
    </row>
    <row r="1835" spans="1:26" x14ac:dyDescent="0.3">
      <c r="A1835" t="s">
        <v>1925</v>
      </c>
      <c r="B1835" t="s">
        <v>82</v>
      </c>
      <c r="C1835" t="s">
        <v>74</v>
      </c>
      <c r="D1835" t="s">
        <v>69</v>
      </c>
      <c r="E1835">
        <v>22</v>
      </c>
      <c r="F1835" s="3">
        <v>8.86</v>
      </c>
      <c r="G1835" s="4">
        <v>74.599999999999994</v>
      </c>
      <c r="H1835">
        <v>1</v>
      </c>
      <c r="I1835">
        <v>2</v>
      </c>
      <c r="J1835">
        <v>3</v>
      </c>
      <c r="K1835" s="4">
        <v>83.6</v>
      </c>
      <c r="L1835" s="4">
        <v>69.099999999999994</v>
      </c>
      <c r="M1835" s="4">
        <v>76.900000000000006</v>
      </c>
      <c r="N1835">
        <v>0</v>
      </c>
      <c r="O1835" t="s">
        <v>58</v>
      </c>
      <c r="P1835" t="s">
        <v>92</v>
      </c>
      <c r="Q1835" t="s">
        <v>93</v>
      </c>
      <c r="R1835" t="s">
        <v>72</v>
      </c>
      <c r="S1835" s="3">
        <v>11.22</v>
      </c>
      <c r="T1835" s="5">
        <v>44840</v>
      </c>
      <c r="U1835">
        <v>2</v>
      </c>
      <c r="V1835">
        <v>2022</v>
      </c>
      <c r="X1835">
        <f t="shared" si="84"/>
        <v>8.8598164999999991</v>
      </c>
      <c r="Y1835">
        <f t="shared" si="85"/>
        <v>11.2198165</v>
      </c>
      <c r="Z1835">
        <f t="shared" si="86"/>
        <v>69.099816499999989</v>
      </c>
    </row>
    <row r="1836" spans="1:26" x14ac:dyDescent="0.3">
      <c r="A1836" t="s">
        <v>1926</v>
      </c>
      <c r="B1836" t="s">
        <v>107</v>
      </c>
      <c r="C1836" t="s">
        <v>89</v>
      </c>
      <c r="D1836" t="s">
        <v>57</v>
      </c>
      <c r="E1836">
        <v>21</v>
      </c>
      <c r="F1836" s="3">
        <v>9.36</v>
      </c>
      <c r="G1836" s="4">
        <v>87.8</v>
      </c>
      <c r="H1836">
        <v>1</v>
      </c>
      <c r="I1836">
        <v>1</v>
      </c>
      <c r="J1836">
        <v>3</v>
      </c>
      <c r="K1836" s="4">
        <v>62.1</v>
      </c>
      <c r="L1836" s="4">
        <v>75.7</v>
      </c>
      <c r="M1836" s="4">
        <v>49.9</v>
      </c>
      <c r="N1836">
        <v>0</v>
      </c>
      <c r="O1836" t="s">
        <v>58</v>
      </c>
      <c r="P1836" t="s">
        <v>75</v>
      </c>
      <c r="Q1836" t="s">
        <v>71</v>
      </c>
      <c r="R1836" t="s">
        <v>72</v>
      </c>
      <c r="S1836" s="3">
        <v>6.52</v>
      </c>
      <c r="T1836" s="5">
        <v>44436</v>
      </c>
      <c r="U1836">
        <v>1</v>
      </c>
      <c r="V1836">
        <v>2021</v>
      </c>
      <c r="X1836">
        <f t="shared" si="84"/>
        <v>9.3598163999999997</v>
      </c>
      <c r="Y1836">
        <f t="shared" si="85"/>
        <v>6.5198163999999998</v>
      </c>
      <c r="Z1836">
        <f t="shared" si="86"/>
        <v>75.699816400000003</v>
      </c>
    </row>
    <row r="1837" spans="1:26" x14ac:dyDescent="0.3">
      <c r="A1837" t="s">
        <v>1927</v>
      </c>
      <c r="B1837" t="s">
        <v>82</v>
      </c>
      <c r="C1837" t="s">
        <v>74</v>
      </c>
      <c r="D1837" t="s">
        <v>69</v>
      </c>
      <c r="E1837">
        <v>20</v>
      </c>
      <c r="F1837" s="3">
        <v>8.24</v>
      </c>
      <c r="G1837" s="4">
        <v>72.599999999999994</v>
      </c>
      <c r="H1837">
        <v>1</v>
      </c>
      <c r="I1837">
        <v>1</v>
      </c>
      <c r="J1837">
        <v>3</v>
      </c>
      <c r="K1837" s="4">
        <v>44.1</v>
      </c>
      <c r="L1837" s="4">
        <v>76.2</v>
      </c>
      <c r="M1837" s="4">
        <v>86.3</v>
      </c>
      <c r="N1837">
        <v>0</v>
      </c>
      <c r="O1837" t="s">
        <v>58</v>
      </c>
      <c r="P1837" t="s">
        <v>59</v>
      </c>
      <c r="Q1837" t="s">
        <v>60</v>
      </c>
      <c r="R1837" t="s">
        <v>130</v>
      </c>
      <c r="S1837" s="3">
        <v>20.03</v>
      </c>
      <c r="T1837" s="5">
        <v>44883</v>
      </c>
      <c r="U1837">
        <v>3</v>
      </c>
      <c r="V1837">
        <v>2022</v>
      </c>
      <c r="X1837">
        <f t="shared" si="84"/>
        <v>8.2398163000000011</v>
      </c>
      <c r="Y1837">
        <f t="shared" si="85"/>
        <v>20.0298163</v>
      </c>
      <c r="Z1837">
        <f t="shared" si="86"/>
        <v>76.199816300000009</v>
      </c>
    </row>
    <row r="1838" spans="1:26" x14ac:dyDescent="0.3">
      <c r="A1838" t="s">
        <v>1928</v>
      </c>
      <c r="B1838" t="s">
        <v>107</v>
      </c>
      <c r="C1838" t="s">
        <v>56</v>
      </c>
      <c r="D1838" t="s">
        <v>57</v>
      </c>
      <c r="E1838">
        <v>20</v>
      </c>
      <c r="F1838" s="3">
        <v>6.77</v>
      </c>
      <c r="G1838" s="4">
        <v>73.099999999999994</v>
      </c>
      <c r="H1838">
        <v>0</v>
      </c>
      <c r="I1838">
        <v>0</v>
      </c>
      <c r="J1838">
        <v>3</v>
      </c>
      <c r="K1838" s="4">
        <v>93</v>
      </c>
      <c r="L1838" s="4">
        <v>84.3</v>
      </c>
      <c r="M1838" s="4">
        <v>67.400000000000006</v>
      </c>
      <c r="N1838">
        <v>0</v>
      </c>
      <c r="O1838" t="s">
        <v>58</v>
      </c>
      <c r="P1838" t="s">
        <v>79</v>
      </c>
      <c r="Q1838" t="s">
        <v>71</v>
      </c>
      <c r="R1838" t="s">
        <v>80</v>
      </c>
      <c r="S1838" s="3">
        <v>6.42</v>
      </c>
      <c r="T1838" s="5">
        <v>44483</v>
      </c>
      <c r="U1838">
        <v>1</v>
      </c>
      <c r="V1838">
        <v>2021</v>
      </c>
      <c r="X1838">
        <f t="shared" si="84"/>
        <v>6.7698161999999993</v>
      </c>
      <c r="Y1838">
        <f t="shared" si="85"/>
        <v>6.4198161999999996</v>
      </c>
      <c r="Z1838">
        <f t="shared" si="86"/>
        <v>84.299816199999995</v>
      </c>
    </row>
    <row r="1839" spans="1:26" x14ac:dyDescent="0.3">
      <c r="A1839" t="s">
        <v>1929</v>
      </c>
      <c r="B1839" t="s">
        <v>55</v>
      </c>
      <c r="C1839" t="s">
        <v>68</v>
      </c>
      <c r="D1839" t="s">
        <v>57</v>
      </c>
      <c r="E1839">
        <v>22</v>
      </c>
      <c r="F1839" s="3">
        <v>7.49</v>
      </c>
      <c r="G1839" s="4">
        <v>78.599999999999994</v>
      </c>
      <c r="H1839">
        <v>1</v>
      </c>
      <c r="I1839">
        <v>3</v>
      </c>
      <c r="J1839">
        <v>1</v>
      </c>
      <c r="K1839" s="4">
        <v>69.2</v>
      </c>
      <c r="L1839" s="4">
        <v>68.5</v>
      </c>
      <c r="M1839" s="4">
        <v>75.900000000000006</v>
      </c>
      <c r="N1839">
        <v>0</v>
      </c>
      <c r="O1839" t="s">
        <v>58</v>
      </c>
      <c r="P1839" t="s">
        <v>70</v>
      </c>
      <c r="Q1839" t="s">
        <v>71</v>
      </c>
      <c r="R1839" t="s">
        <v>109</v>
      </c>
      <c r="S1839" s="3">
        <v>5.84</v>
      </c>
      <c r="T1839" s="5">
        <v>45541</v>
      </c>
      <c r="U1839">
        <v>1</v>
      </c>
      <c r="V1839">
        <v>2024</v>
      </c>
      <c r="X1839">
        <f t="shared" si="84"/>
        <v>7.4898161000000005</v>
      </c>
      <c r="Y1839">
        <f t="shared" si="85"/>
        <v>5.8398161000000002</v>
      </c>
      <c r="Z1839">
        <f t="shared" si="86"/>
        <v>68.499816100000004</v>
      </c>
    </row>
    <row r="1840" spans="1:26" x14ac:dyDescent="0.3">
      <c r="A1840" t="s">
        <v>1930</v>
      </c>
      <c r="B1840" t="s">
        <v>67</v>
      </c>
      <c r="C1840" t="s">
        <v>84</v>
      </c>
      <c r="D1840" t="s">
        <v>69</v>
      </c>
      <c r="E1840">
        <v>20</v>
      </c>
      <c r="F1840" s="3">
        <v>7.88</v>
      </c>
      <c r="G1840" s="4">
        <v>71.2</v>
      </c>
      <c r="H1840">
        <v>0</v>
      </c>
      <c r="I1840">
        <v>1</v>
      </c>
      <c r="J1840">
        <v>3</v>
      </c>
      <c r="K1840" s="4">
        <v>68.3</v>
      </c>
      <c r="L1840" s="4">
        <v>51.9</v>
      </c>
      <c r="M1840" s="4">
        <v>67</v>
      </c>
      <c r="N1840">
        <v>0</v>
      </c>
      <c r="O1840" t="s">
        <v>58</v>
      </c>
      <c r="P1840" t="s">
        <v>104</v>
      </c>
      <c r="Q1840" t="s">
        <v>105</v>
      </c>
      <c r="R1840" t="s">
        <v>80</v>
      </c>
      <c r="S1840" s="3">
        <v>13.28</v>
      </c>
      <c r="T1840" s="5">
        <v>45140</v>
      </c>
      <c r="U1840">
        <v>1</v>
      </c>
      <c r="V1840">
        <v>2023</v>
      </c>
      <c r="X1840">
        <f t="shared" si="84"/>
        <v>7.8798159999999999</v>
      </c>
      <c r="Y1840">
        <f t="shared" si="85"/>
        <v>13.279815999999999</v>
      </c>
      <c r="Z1840">
        <f t="shared" si="86"/>
        <v>51.899816000000001</v>
      </c>
    </row>
    <row r="1841" spans="1:26" x14ac:dyDescent="0.3">
      <c r="A1841" t="s">
        <v>1931</v>
      </c>
      <c r="B1841" t="s">
        <v>107</v>
      </c>
      <c r="C1841" t="s">
        <v>101</v>
      </c>
      <c r="D1841" t="s">
        <v>69</v>
      </c>
      <c r="E1841">
        <v>22</v>
      </c>
      <c r="F1841" s="3">
        <v>7.28</v>
      </c>
      <c r="G1841" s="4">
        <v>76.099999999999994</v>
      </c>
      <c r="H1841">
        <v>3</v>
      </c>
      <c r="I1841">
        <v>2</v>
      </c>
      <c r="J1841">
        <v>5</v>
      </c>
      <c r="K1841" s="4">
        <v>45.8</v>
      </c>
      <c r="L1841" s="4">
        <v>43.7</v>
      </c>
      <c r="M1841" s="4">
        <v>77.7</v>
      </c>
      <c r="N1841">
        <v>0</v>
      </c>
      <c r="O1841" t="s">
        <v>64</v>
      </c>
      <c r="P1841" t="s">
        <v>65</v>
      </c>
      <c r="S1841" s="3">
        <v>0</v>
      </c>
      <c r="T1841" s="5"/>
      <c r="U1841">
        <v>0</v>
      </c>
      <c r="V1841">
        <v>2021</v>
      </c>
      <c r="X1841">
        <f t="shared" si="84"/>
        <v>7.2798159</v>
      </c>
      <c r="Y1841">
        <f t="shared" si="85"/>
        <v>-1.841E-4</v>
      </c>
      <c r="Z1841">
        <f t="shared" si="86"/>
        <v>43.699815900000004</v>
      </c>
    </row>
    <row r="1842" spans="1:26" x14ac:dyDescent="0.3">
      <c r="A1842" t="s">
        <v>1932</v>
      </c>
      <c r="B1842" t="s">
        <v>55</v>
      </c>
      <c r="C1842" t="s">
        <v>101</v>
      </c>
      <c r="D1842" t="s">
        <v>57</v>
      </c>
      <c r="E1842">
        <v>23</v>
      </c>
      <c r="F1842" s="3">
        <v>7.4</v>
      </c>
      <c r="G1842" s="4">
        <v>80.2</v>
      </c>
      <c r="H1842">
        <v>2</v>
      </c>
      <c r="I1842">
        <v>1</v>
      </c>
      <c r="J1842">
        <v>2</v>
      </c>
      <c r="K1842" s="4">
        <v>76.099999999999994</v>
      </c>
      <c r="L1842" s="4">
        <v>64.8</v>
      </c>
      <c r="M1842" s="4">
        <v>59.5</v>
      </c>
      <c r="N1842">
        <v>1</v>
      </c>
      <c r="O1842" t="s">
        <v>58</v>
      </c>
      <c r="P1842" t="s">
        <v>92</v>
      </c>
      <c r="Q1842" t="s">
        <v>93</v>
      </c>
      <c r="R1842" t="s">
        <v>130</v>
      </c>
      <c r="S1842" s="3">
        <v>7.47</v>
      </c>
      <c r="T1842" s="5">
        <v>45565</v>
      </c>
      <c r="U1842">
        <v>1</v>
      </c>
      <c r="V1842">
        <v>2024</v>
      </c>
      <c r="X1842">
        <f t="shared" si="84"/>
        <v>7.3998158000000007</v>
      </c>
      <c r="Y1842">
        <f t="shared" si="85"/>
        <v>7.4698158000000001</v>
      </c>
      <c r="Z1842">
        <f t="shared" si="86"/>
        <v>64.79981579999999</v>
      </c>
    </row>
    <row r="1843" spans="1:26" x14ac:dyDescent="0.3">
      <c r="A1843" t="s">
        <v>1933</v>
      </c>
      <c r="B1843" t="s">
        <v>107</v>
      </c>
      <c r="C1843" t="s">
        <v>101</v>
      </c>
      <c r="D1843" t="s">
        <v>69</v>
      </c>
      <c r="E1843">
        <v>21</v>
      </c>
      <c r="F1843" s="3">
        <v>7.59</v>
      </c>
      <c r="G1843" s="4">
        <v>81</v>
      </c>
      <c r="H1843">
        <v>0</v>
      </c>
      <c r="I1843">
        <v>2</v>
      </c>
      <c r="J1843">
        <v>2</v>
      </c>
      <c r="K1843" s="4">
        <v>60.6</v>
      </c>
      <c r="L1843" s="4">
        <v>45.6</v>
      </c>
      <c r="M1843" s="4">
        <v>96.2</v>
      </c>
      <c r="N1843">
        <v>3</v>
      </c>
      <c r="O1843" t="s">
        <v>58</v>
      </c>
      <c r="P1843" t="s">
        <v>75</v>
      </c>
      <c r="Q1843" t="s">
        <v>71</v>
      </c>
      <c r="R1843" t="s">
        <v>85</v>
      </c>
      <c r="S1843" s="3">
        <v>4.1900000000000004</v>
      </c>
      <c r="T1843" s="5">
        <v>44489</v>
      </c>
      <c r="U1843">
        <v>3</v>
      </c>
      <c r="V1843">
        <v>2021</v>
      </c>
      <c r="X1843">
        <f t="shared" si="84"/>
        <v>7.5898156999999999</v>
      </c>
      <c r="Y1843">
        <f t="shared" si="85"/>
        <v>4.1898157000000005</v>
      </c>
      <c r="Z1843">
        <f t="shared" si="86"/>
        <v>45.599815700000001</v>
      </c>
    </row>
    <row r="1844" spans="1:26" x14ac:dyDescent="0.3">
      <c r="A1844" t="s">
        <v>1934</v>
      </c>
      <c r="B1844" t="s">
        <v>107</v>
      </c>
      <c r="C1844" t="s">
        <v>74</v>
      </c>
      <c r="D1844" t="s">
        <v>69</v>
      </c>
      <c r="E1844">
        <v>20</v>
      </c>
      <c r="F1844" s="3">
        <v>8.34</v>
      </c>
      <c r="G1844" s="4">
        <v>70.099999999999994</v>
      </c>
      <c r="H1844">
        <v>0</v>
      </c>
      <c r="I1844">
        <v>2</v>
      </c>
      <c r="J1844">
        <v>3</v>
      </c>
      <c r="K1844" s="4">
        <v>60.6</v>
      </c>
      <c r="L1844" s="4">
        <v>70.599999999999994</v>
      </c>
      <c r="M1844" s="4">
        <v>65.8</v>
      </c>
      <c r="N1844">
        <v>0</v>
      </c>
      <c r="O1844" t="s">
        <v>64</v>
      </c>
      <c r="P1844" t="s">
        <v>65</v>
      </c>
      <c r="S1844" s="3">
        <v>0</v>
      </c>
      <c r="T1844" s="5"/>
      <c r="U1844">
        <v>0</v>
      </c>
      <c r="V1844">
        <v>2021</v>
      </c>
      <c r="X1844">
        <f t="shared" si="84"/>
        <v>8.3398155999999997</v>
      </c>
      <c r="Y1844">
        <f t="shared" si="85"/>
        <v>-1.8439999999999998E-4</v>
      </c>
      <c r="Z1844">
        <f t="shared" si="86"/>
        <v>70.599815599999999</v>
      </c>
    </row>
    <row r="1845" spans="1:26" x14ac:dyDescent="0.3">
      <c r="A1845" t="s">
        <v>1935</v>
      </c>
      <c r="B1845" t="s">
        <v>67</v>
      </c>
      <c r="C1845" t="s">
        <v>78</v>
      </c>
      <c r="D1845" t="s">
        <v>69</v>
      </c>
      <c r="E1845">
        <v>20</v>
      </c>
      <c r="F1845" s="3">
        <v>8.1300000000000008</v>
      </c>
      <c r="G1845" s="4">
        <v>79.8</v>
      </c>
      <c r="H1845">
        <v>1</v>
      </c>
      <c r="I1845">
        <v>2</v>
      </c>
      <c r="J1845">
        <v>3</v>
      </c>
      <c r="K1845" s="4">
        <v>73.8</v>
      </c>
      <c r="L1845" s="4">
        <v>73.8</v>
      </c>
      <c r="M1845" s="4">
        <v>84.5</v>
      </c>
      <c r="N1845">
        <v>0</v>
      </c>
      <c r="O1845" t="s">
        <v>58</v>
      </c>
      <c r="P1845" t="s">
        <v>70</v>
      </c>
      <c r="Q1845" t="s">
        <v>71</v>
      </c>
      <c r="R1845" t="s">
        <v>61</v>
      </c>
      <c r="S1845" s="3">
        <v>5.72</v>
      </c>
      <c r="T1845" s="5">
        <v>45189</v>
      </c>
      <c r="U1845">
        <v>1</v>
      </c>
      <c r="V1845">
        <v>2023</v>
      </c>
      <c r="X1845">
        <f t="shared" si="84"/>
        <v>8.1298155000000012</v>
      </c>
      <c r="Y1845">
        <f t="shared" si="85"/>
        <v>5.7198155000000002</v>
      </c>
      <c r="Z1845">
        <f t="shared" si="86"/>
        <v>73.799815499999994</v>
      </c>
    </row>
    <row r="1846" spans="1:26" x14ac:dyDescent="0.3">
      <c r="A1846" t="s">
        <v>1936</v>
      </c>
      <c r="B1846" t="s">
        <v>63</v>
      </c>
      <c r="C1846" t="s">
        <v>56</v>
      </c>
      <c r="D1846" t="s">
        <v>57</v>
      </c>
      <c r="E1846">
        <v>23</v>
      </c>
      <c r="F1846" s="3">
        <v>7.1</v>
      </c>
      <c r="G1846" s="4">
        <v>87.2</v>
      </c>
      <c r="H1846">
        <v>1</v>
      </c>
      <c r="I1846">
        <v>4</v>
      </c>
      <c r="J1846">
        <v>4</v>
      </c>
      <c r="K1846" s="4">
        <v>69.7</v>
      </c>
      <c r="L1846" s="4">
        <v>62.1</v>
      </c>
      <c r="M1846" s="4">
        <v>60.6</v>
      </c>
      <c r="N1846">
        <v>1</v>
      </c>
      <c r="O1846" t="s">
        <v>58</v>
      </c>
      <c r="P1846" t="s">
        <v>75</v>
      </c>
      <c r="Q1846" t="s">
        <v>71</v>
      </c>
      <c r="R1846" t="s">
        <v>85</v>
      </c>
      <c r="S1846" s="3">
        <v>6</v>
      </c>
      <c r="T1846" s="5">
        <v>45900</v>
      </c>
      <c r="U1846">
        <v>1</v>
      </c>
      <c r="V1846">
        <v>2025</v>
      </c>
      <c r="X1846">
        <f t="shared" si="84"/>
        <v>7.0998153999999998</v>
      </c>
      <c r="Y1846">
        <f t="shared" si="85"/>
        <v>5.9998154000000001</v>
      </c>
      <c r="Z1846">
        <f t="shared" si="86"/>
        <v>62.099815400000004</v>
      </c>
    </row>
    <row r="1847" spans="1:26" x14ac:dyDescent="0.3">
      <c r="A1847" t="s">
        <v>1937</v>
      </c>
      <c r="B1847" t="s">
        <v>63</v>
      </c>
      <c r="C1847" t="s">
        <v>89</v>
      </c>
      <c r="D1847" t="s">
        <v>57</v>
      </c>
      <c r="E1847">
        <v>21</v>
      </c>
      <c r="F1847" s="3">
        <v>8.18</v>
      </c>
      <c r="G1847" s="4">
        <v>88.7</v>
      </c>
      <c r="H1847">
        <v>1</v>
      </c>
      <c r="I1847">
        <v>3</v>
      </c>
      <c r="J1847">
        <v>6</v>
      </c>
      <c r="K1847" s="4">
        <v>54.4</v>
      </c>
      <c r="L1847" s="4">
        <v>81.099999999999994</v>
      </c>
      <c r="M1847" s="4">
        <v>69.3</v>
      </c>
      <c r="N1847">
        <v>0</v>
      </c>
      <c r="O1847" t="s">
        <v>58</v>
      </c>
      <c r="P1847" t="s">
        <v>92</v>
      </c>
      <c r="Q1847" t="s">
        <v>93</v>
      </c>
      <c r="R1847" t="s">
        <v>109</v>
      </c>
      <c r="S1847" s="3">
        <v>9.1</v>
      </c>
      <c r="T1847" s="5">
        <v>45954</v>
      </c>
      <c r="U1847">
        <v>1</v>
      </c>
      <c r="V1847">
        <v>2025</v>
      </c>
      <c r="X1847">
        <f t="shared" si="84"/>
        <v>8.1798152999999996</v>
      </c>
      <c r="Y1847">
        <f t="shared" si="85"/>
        <v>9.0998152999999995</v>
      </c>
      <c r="Z1847">
        <f t="shared" si="86"/>
        <v>81.099815299999989</v>
      </c>
    </row>
    <row r="1848" spans="1:26" x14ac:dyDescent="0.3">
      <c r="A1848" t="s">
        <v>1938</v>
      </c>
      <c r="B1848" t="s">
        <v>107</v>
      </c>
      <c r="C1848" t="s">
        <v>89</v>
      </c>
      <c r="D1848" t="s">
        <v>69</v>
      </c>
      <c r="E1848">
        <v>21</v>
      </c>
      <c r="F1848" s="3">
        <v>9.1999999999999993</v>
      </c>
      <c r="G1848" s="4">
        <v>77.5</v>
      </c>
      <c r="H1848">
        <v>1</v>
      </c>
      <c r="I1848">
        <v>1</v>
      </c>
      <c r="J1848">
        <v>5</v>
      </c>
      <c r="K1848" s="4">
        <v>48.1</v>
      </c>
      <c r="L1848" s="4">
        <v>72.400000000000006</v>
      </c>
      <c r="M1848" s="4">
        <v>65</v>
      </c>
      <c r="N1848">
        <v>0</v>
      </c>
      <c r="O1848" t="s">
        <v>58</v>
      </c>
      <c r="P1848" t="s">
        <v>112</v>
      </c>
      <c r="Q1848" t="s">
        <v>93</v>
      </c>
      <c r="R1848" t="s">
        <v>76</v>
      </c>
      <c r="S1848" s="3">
        <v>7.88</v>
      </c>
      <c r="T1848" s="5">
        <v>44489</v>
      </c>
      <c r="U1848">
        <v>1</v>
      </c>
      <c r="V1848">
        <v>2021</v>
      </c>
      <c r="X1848">
        <f t="shared" si="84"/>
        <v>9.1998151999999997</v>
      </c>
      <c r="Y1848">
        <f t="shared" si="85"/>
        <v>7.8798151999999995</v>
      </c>
      <c r="Z1848">
        <f t="shared" si="86"/>
        <v>72.399815200000006</v>
      </c>
    </row>
    <row r="1849" spans="1:26" x14ac:dyDescent="0.3">
      <c r="A1849" t="s">
        <v>1939</v>
      </c>
      <c r="B1849" t="s">
        <v>82</v>
      </c>
      <c r="C1849" t="s">
        <v>56</v>
      </c>
      <c r="D1849" t="s">
        <v>69</v>
      </c>
      <c r="E1849">
        <v>21</v>
      </c>
      <c r="F1849" s="3">
        <v>6.29</v>
      </c>
      <c r="G1849" s="4">
        <v>80.3</v>
      </c>
      <c r="H1849">
        <v>3</v>
      </c>
      <c r="I1849">
        <v>2</v>
      </c>
      <c r="J1849">
        <v>4</v>
      </c>
      <c r="K1849" s="4">
        <v>70.3</v>
      </c>
      <c r="L1849" s="4">
        <v>60.1</v>
      </c>
      <c r="M1849" s="4">
        <v>66.8</v>
      </c>
      <c r="N1849">
        <v>0</v>
      </c>
      <c r="O1849" t="s">
        <v>64</v>
      </c>
      <c r="P1849" t="s">
        <v>65</v>
      </c>
      <c r="S1849" s="3">
        <v>0</v>
      </c>
      <c r="T1849" s="5"/>
      <c r="U1849">
        <v>0</v>
      </c>
      <c r="V1849">
        <v>2022</v>
      </c>
      <c r="X1849">
        <f t="shared" si="84"/>
        <v>6.2898151000000002</v>
      </c>
      <c r="Y1849">
        <f t="shared" si="85"/>
        <v>-1.8489999999999999E-4</v>
      </c>
      <c r="Z1849">
        <f t="shared" si="86"/>
        <v>60.099815100000001</v>
      </c>
    </row>
    <row r="1850" spans="1:26" x14ac:dyDescent="0.3">
      <c r="A1850" t="s">
        <v>1940</v>
      </c>
      <c r="B1850" t="s">
        <v>55</v>
      </c>
      <c r="C1850" t="s">
        <v>101</v>
      </c>
      <c r="D1850" t="s">
        <v>57</v>
      </c>
      <c r="E1850">
        <v>23</v>
      </c>
      <c r="F1850" s="3">
        <v>7.26</v>
      </c>
      <c r="G1850" s="4">
        <v>79.8</v>
      </c>
      <c r="H1850">
        <v>1</v>
      </c>
      <c r="I1850">
        <v>2</v>
      </c>
      <c r="J1850">
        <v>3</v>
      </c>
      <c r="K1850" s="4">
        <v>69.099999999999994</v>
      </c>
      <c r="L1850" s="4">
        <v>63.2</v>
      </c>
      <c r="M1850" s="4">
        <v>79.099999999999994</v>
      </c>
      <c r="N1850">
        <v>0</v>
      </c>
      <c r="O1850" t="s">
        <v>58</v>
      </c>
      <c r="P1850" t="s">
        <v>104</v>
      </c>
      <c r="Q1850" t="s">
        <v>105</v>
      </c>
      <c r="R1850" t="s">
        <v>109</v>
      </c>
      <c r="S1850" s="3">
        <v>14.98</v>
      </c>
      <c r="T1850" s="5">
        <v>45610</v>
      </c>
      <c r="U1850">
        <v>1</v>
      </c>
      <c r="V1850">
        <v>2024</v>
      </c>
      <c r="X1850">
        <f t="shared" si="84"/>
        <v>7.2598149999999997</v>
      </c>
      <c r="Y1850">
        <f t="shared" si="85"/>
        <v>14.979815</v>
      </c>
      <c r="Z1850">
        <f t="shared" si="86"/>
        <v>63.199815000000001</v>
      </c>
    </row>
    <row r="1851" spans="1:26" x14ac:dyDescent="0.3">
      <c r="A1851" t="s">
        <v>1941</v>
      </c>
      <c r="B1851" t="s">
        <v>82</v>
      </c>
      <c r="C1851" t="s">
        <v>84</v>
      </c>
      <c r="D1851" t="s">
        <v>69</v>
      </c>
      <c r="E1851">
        <v>20</v>
      </c>
      <c r="F1851" s="3">
        <v>7.19</v>
      </c>
      <c r="G1851" s="4">
        <v>69.5</v>
      </c>
      <c r="H1851">
        <v>1</v>
      </c>
      <c r="I1851">
        <v>3</v>
      </c>
      <c r="J1851">
        <v>3</v>
      </c>
      <c r="K1851" s="4">
        <v>100</v>
      </c>
      <c r="L1851" s="4">
        <v>90.2</v>
      </c>
      <c r="M1851" s="4">
        <v>79.599999999999994</v>
      </c>
      <c r="N1851">
        <v>0</v>
      </c>
      <c r="O1851" t="s">
        <v>64</v>
      </c>
      <c r="P1851" t="s">
        <v>65</v>
      </c>
      <c r="S1851" s="3">
        <v>0</v>
      </c>
      <c r="T1851" s="5"/>
      <c r="U1851">
        <v>0</v>
      </c>
      <c r="V1851">
        <v>2022</v>
      </c>
      <c r="X1851">
        <f t="shared" si="84"/>
        <v>7.1898149</v>
      </c>
      <c r="Y1851">
        <f t="shared" si="85"/>
        <v>-1.851E-4</v>
      </c>
      <c r="Z1851">
        <f t="shared" si="86"/>
        <v>90.199814900000007</v>
      </c>
    </row>
    <row r="1852" spans="1:26" x14ac:dyDescent="0.3">
      <c r="A1852" t="s">
        <v>1942</v>
      </c>
      <c r="B1852" t="s">
        <v>82</v>
      </c>
      <c r="C1852" t="s">
        <v>74</v>
      </c>
      <c r="D1852" t="s">
        <v>57</v>
      </c>
      <c r="E1852">
        <v>20</v>
      </c>
      <c r="F1852" s="3">
        <v>7.72</v>
      </c>
      <c r="G1852" s="4">
        <v>77.099999999999994</v>
      </c>
      <c r="H1852">
        <v>2</v>
      </c>
      <c r="I1852">
        <v>3</v>
      </c>
      <c r="J1852">
        <v>4</v>
      </c>
      <c r="K1852" s="4">
        <v>36.5</v>
      </c>
      <c r="L1852" s="4">
        <v>44.5</v>
      </c>
      <c r="M1852" s="4">
        <v>78.900000000000006</v>
      </c>
      <c r="N1852">
        <v>3</v>
      </c>
      <c r="O1852" t="s">
        <v>58</v>
      </c>
      <c r="P1852" t="s">
        <v>95</v>
      </c>
      <c r="Q1852" t="s">
        <v>93</v>
      </c>
      <c r="R1852" t="s">
        <v>85</v>
      </c>
      <c r="S1852" s="3">
        <v>5.82</v>
      </c>
      <c r="T1852" s="5">
        <v>44816</v>
      </c>
      <c r="U1852">
        <v>1</v>
      </c>
      <c r="V1852">
        <v>2022</v>
      </c>
      <c r="X1852">
        <f t="shared" si="84"/>
        <v>7.7198148</v>
      </c>
      <c r="Y1852">
        <f t="shared" si="85"/>
        <v>5.8198148000000005</v>
      </c>
      <c r="Z1852">
        <f t="shared" si="86"/>
        <v>44.499814800000003</v>
      </c>
    </row>
    <row r="1853" spans="1:26" x14ac:dyDescent="0.3">
      <c r="A1853" t="s">
        <v>1943</v>
      </c>
      <c r="B1853" t="s">
        <v>107</v>
      </c>
      <c r="C1853" t="s">
        <v>101</v>
      </c>
      <c r="D1853" t="s">
        <v>57</v>
      </c>
      <c r="E1853">
        <v>21</v>
      </c>
      <c r="F1853" s="3">
        <v>6.01</v>
      </c>
      <c r="G1853" s="4">
        <v>89.2</v>
      </c>
      <c r="H1853">
        <v>0</v>
      </c>
      <c r="I1853">
        <v>1</v>
      </c>
      <c r="J1853">
        <v>5</v>
      </c>
      <c r="K1853" s="4">
        <v>70.099999999999994</v>
      </c>
      <c r="L1853" s="4">
        <v>66.400000000000006</v>
      </c>
      <c r="M1853" s="4">
        <v>63.5</v>
      </c>
      <c r="N1853">
        <v>0</v>
      </c>
      <c r="O1853" t="s">
        <v>58</v>
      </c>
      <c r="P1853" t="s">
        <v>92</v>
      </c>
      <c r="Q1853" t="s">
        <v>93</v>
      </c>
      <c r="R1853" t="s">
        <v>80</v>
      </c>
      <c r="S1853" s="3">
        <v>7.32</v>
      </c>
      <c r="T1853" s="5">
        <v>44499</v>
      </c>
      <c r="U1853">
        <v>1</v>
      </c>
      <c r="V1853">
        <v>2021</v>
      </c>
      <c r="X1853">
        <f t="shared" si="84"/>
        <v>6.0098146999999997</v>
      </c>
      <c r="Y1853">
        <f t="shared" si="85"/>
        <v>7.3198147000000002</v>
      </c>
      <c r="Z1853">
        <f t="shared" si="86"/>
        <v>66.399814700000007</v>
      </c>
    </row>
    <row r="1854" spans="1:26" x14ac:dyDescent="0.3">
      <c r="A1854" t="s">
        <v>1944</v>
      </c>
      <c r="B1854" t="s">
        <v>107</v>
      </c>
      <c r="C1854" t="s">
        <v>56</v>
      </c>
      <c r="D1854" t="s">
        <v>57</v>
      </c>
      <c r="E1854">
        <v>23</v>
      </c>
      <c r="F1854" s="3">
        <v>8.8699999999999992</v>
      </c>
      <c r="G1854" s="4">
        <v>89.3</v>
      </c>
      <c r="H1854">
        <v>1</v>
      </c>
      <c r="I1854">
        <v>3</v>
      </c>
      <c r="J1854">
        <v>5</v>
      </c>
      <c r="K1854" s="4">
        <v>45.3</v>
      </c>
      <c r="L1854" s="4">
        <v>73</v>
      </c>
      <c r="M1854" s="4">
        <v>75.599999999999994</v>
      </c>
      <c r="N1854">
        <v>0</v>
      </c>
      <c r="O1854" t="s">
        <v>58</v>
      </c>
      <c r="P1854" t="s">
        <v>95</v>
      </c>
      <c r="Q1854" t="s">
        <v>93</v>
      </c>
      <c r="R1854" t="s">
        <v>61</v>
      </c>
      <c r="S1854" s="3">
        <v>8.4700000000000006</v>
      </c>
      <c r="T1854" s="5">
        <v>44436</v>
      </c>
      <c r="U1854">
        <v>2</v>
      </c>
      <c r="V1854">
        <v>2021</v>
      </c>
      <c r="X1854">
        <f t="shared" si="84"/>
        <v>8.8698145999999998</v>
      </c>
      <c r="Y1854">
        <f t="shared" si="85"/>
        <v>8.4698146000000012</v>
      </c>
      <c r="Z1854">
        <f t="shared" si="86"/>
        <v>72.999814599999993</v>
      </c>
    </row>
    <row r="1855" spans="1:26" x14ac:dyDescent="0.3">
      <c r="A1855" t="s">
        <v>1945</v>
      </c>
      <c r="B1855" t="s">
        <v>107</v>
      </c>
      <c r="C1855" t="s">
        <v>89</v>
      </c>
      <c r="D1855" t="s">
        <v>69</v>
      </c>
      <c r="E1855">
        <v>23</v>
      </c>
      <c r="F1855" s="3">
        <v>7.69</v>
      </c>
      <c r="G1855" s="4">
        <v>85.7</v>
      </c>
      <c r="H1855">
        <v>1</v>
      </c>
      <c r="I1855">
        <v>1</v>
      </c>
      <c r="J1855">
        <v>3</v>
      </c>
      <c r="K1855" s="4">
        <v>62.2</v>
      </c>
      <c r="L1855" s="4">
        <v>60.9</v>
      </c>
      <c r="M1855" s="4">
        <v>63.8</v>
      </c>
      <c r="N1855">
        <v>0</v>
      </c>
      <c r="O1855" t="s">
        <v>58</v>
      </c>
      <c r="P1855" t="s">
        <v>70</v>
      </c>
      <c r="Q1855" t="s">
        <v>71</v>
      </c>
      <c r="R1855" t="s">
        <v>109</v>
      </c>
      <c r="S1855" s="3">
        <v>4.7</v>
      </c>
      <c r="T1855" s="5">
        <v>44447</v>
      </c>
      <c r="U1855">
        <v>1</v>
      </c>
      <c r="V1855">
        <v>2021</v>
      </c>
      <c r="X1855">
        <f t="shared" si="84"/>
        <v>7.6898145000000007</v>
      </c>
      <c r="Y1855">
        <f t="shared" si="85"/>
        <v>4.6998145000000005</v>
      </c>
      <c r="Z1855">
        <f t="shared" si="86"/>
        <v>60.899814499999998</v>
      </c>
    </row>
    <row r="1856" spans="1:26" x14ac:dyDescent="0.3">
      <c r="A1856" t="s">
        <v>1946</v>
      </c>
      <c r="B1856" t="s">
        <v>107</v>
      </c>
      <c r="C1856" t="s">
        <v>68</v>
      </c>
      <c r="D1856" t="s">
        <v>57</v>
      </c>
      <c r="E1856">
        <v>23</v>
      </c>
      <c r="F1856" s="3">
        <v>7.92</v>
      </c>
      <c r="G1856" s="4">
        <v>58</v>
      </c>
      <c r="H1856">
        <v>2</v>
      </c>
      <c r="I1856">
        <v>3</v>
      </c>
      <c r="J1856">
        <v>3</v>
      </c>
      <c r="K1856" s="4">
        <v>62</v>
      </c>
      <c r="L1856" s="4">
        <v>59.2</v>
      </c>
      <c r="M1856" s="4">
        <v>91.6</v>
      </c>
      <c r="N1856">
        <v>1</v>
      </c>
      <c r="O1856" t="s">
        <v>58</v>
      </c>
      <c r="P1856" t="s">
        <v>112</v>
      </c>
      <c r="Q1856" t="s">
        <v>93</v>
      </c>
      <c r="R1856" t="s">
        <v>130</v>
      </c>
      <c r="S1856" s="3">
        <v>7.32</v>
      </c>
      <c r="T1856" s="5">
        <v>44473</v>
      </c>
      <c r="U1856">
        <v>3</v>
      </c>
      <c r="V1856">
        <v>2021</v>
      </c>
      <c r="X1856">
        <f t="shared" si="84"/>
        <v>7.9198143999999999</v>
      </c>
      <c r="Y1856">
        <f t="shared" si="85"/>
        <v>7.3198144000000003</v>
      </c>
      <c r="Z1856">
        <f t="shared" si="86"/>
        <v>59.199814400000001</v>
      </c>
    </row>
    <row r="1857" spans="1:26" x14ac:dyDescent="0.3">
      <c r="A1857" t="s">
        <v>1947</v>
      </c>
      <c r="B1857" t="s">
        <v>63</v>
      </c>
      <c r="C1857" t="s">
        <v>68</v>
      </c>
      <c r="D1857" t="s">
        <v>69</v>
      </c>
      <c r="E1857">
        <v>21</v>
      </c>
      <c r="F1857" s="3">
        <v>7.81</v>
      </c>
      <c r="G1857" s="4">
        <v>75</v>
      </c>
      <c r="H1857">
        <v>1</v>
      </c>
      <c r="I1857">
        <v>1</v>
      </c>
      <c r="J1857">
        <v>3</v>
      </c>
      <c r="K1857" s="4">
        <v>75.599999999999994</v>
      </c>
      <c r="L1857" s="4">
        <v>86.6</v>
      </c>
      <c r="M1857" s="4">
        <v>62.9</v>
      </c>
      <c r="N1857">
        <v>1</v>
      </c>
      <c r="O1857" t="s">
        <v>64</v>
      </c>
      <c r="P1857" t="s">
        <v>65</v>
      </c>
      <c r="S1857" s="3">
        <v>0</v>
      </c>
      <c r="T1857" s="5"/>
      <c r="U1857">
        <v>0</v>
      </c>
      <c r="V1857">
        <v>2025</v>
      </c>
      <c r="X1857">
        <f t="shared" si="84"/>
        <v>7.8098142999999993</v>
      </c>
      <c r="Y1857">
        <f t="shared" si="85"/>
        <v>-1.8569999999999999E-4</v>
      </c>
      <c r="Z1857">
        <f t="shared" si="86"/>
        <v>86.599814299999991</v>
      </c>
    </row>
    <row r="1858" spans="1:26" x14ac:dyDescent="0.3">
      <c r="A1858" t="s">
        <v>1948</v>
      </c>
      <c r="B1858" t="s">
        <v>107</v>
      </c>
      <c r="C1858" t="s">
        <v>84</v>
      </c>
      <c r="D1858" t="s">
        <v>69</v>
      </c>
      <c r="E1858">
        <v>23</v>
      </c>
      <c r="F1858" s="3">
        <v>7.19</v>
      </c>
      <c r="G1858" s="4">
        <v>86.2</v>
      </c>
      <c r="H1858">
        <v>0</v>
      </c>
      <c r="I1858">
        <v>1</v>
      </c>
      <c r="J1858">
        <v>1</v>
      </c>
      <c r="K1858" s="4">
        <v>76</v>
      </c>
      <c r="L1858" s="4">
        <v>100</v>
      </c>
      <c r="M1858" s="4">
        <v>68.3</v>
      </c>
      <c r="N1858">
        <v>0</v>
      </c>
      <c r="O1858" t="s">
        <v>58</v>
      </c>
      <c r="P1858" t="s">
        <v>104</v>
      </c>
      <c r="Q1858" t="s">
        <v>105</v>
      </c>
      <c r="R1858" t="s">
        <v>85</v>
      </c>
      <c r="S1858" s="3">
        <v>14.07</v>
      </c>
      <c r="T1858" s="5">
        <v>44475</v>
      </c>
      <c r="U1858">
        <v>1</v>
      </c>
      <c r="V1858">
        <v>2021</v>
      </c>
      <c r="X1858">
        <f t="shared" ref="X1858:X1921" si="87">F1858-ROW()*0.0000001</f>
        <v>7.1898142000000007</v>
      </c>
      <c r="Y1858">
        <f t="shared" ref="Y1858:Y1921" si="88">S1858-ROW()*0.0000001</f>
        <v>14.0698142</v>
      </c>
      <c r="Z1858">
        <f t="shared" ref="Z1858:Z1921" si="89">L1858-ROW()*0.0000001</f>
        <v>99.999814200000003</v>
      </c>
    </row>
    <row r="1859" spans="1:26" x14ac:dyDescent="0.3">
      <c r="A1859" t="s">
        <v>1949</v>
      </c>
      <c r="B1859" t="s">
        <v>63</v>
      </c>
      <c r="C1859" t="s">
        <v>101</v>
      </c>
      <c r="D1859" t="s">
        <v>69</v>
      </c>
      <c r="E1859">
        <v>21</v>
      </c>
      <c r="F1859" s="3">
        <v>8.2799999999999994</v>
      </c>
      <c r="G1859" s="4">
        <v>97.4</v>
      </c>
      <c r="H1859">
        <v>3</v>
      </c>
      <c r="I1859">
        <v>3</v>
      </c>
      <c r="J1859">
        <v>5</v>
      </c>
      <c r="K1859" s="4">
        <v>87.1</v>
      </c>
      <c r="L1859" s="4">
        <v>65</v>
      </c>
      <c r="M1859" s="4">
        <v>74.7</v>
      </c>
      <c r="N1859">
        <v>0</v>
      </c>
      <c r="O1859" t="s">
        <v>58</v>
      </c>
      <c r="P1859" t="s">
        <v>59</v>
      </c>
      <c r="Q1859" t="s">
        <v>60</v>
      </c>
      <c r="R1859" t="s">
        <v>61</v>
      </c>
      <c r="S1859" s="3">
        <v>20.67</v>
      </c>
      <c r="T1859" s="5">
        <v>45948</v>
      </c>
      <c r="U1859">
        <v>1</v>
      </c>
      <c r="V1859">
        <v>2025</v>
      </c>
      <c r="X1859">
        <f t="shared" si="87"/>
        <v>8.2798140999999994</v>
      </c>
      <c r="Y1859">
        <f t="shared" si="88"/>
        <v>20.6698141</v>
      </c>
      <c r="Z1859">
        <f t="shared" si="89"/>
        <v>64.999814099999995</v>
      </c>
    </row>
    <row r="1860" spans="1:26" x14ac:dyDescent="0.3">
      <c r="A1860" t="s">
        <v>1950</v>
      </c>
      <c r="B1860" t="s">
        <v>63</v>
      </c>
      <c r="C1860" t="s">
        <v>101</v>
      </c>
      <c r="D1860" t="s">
        <v>69</v>
      </c>
      <c r="E1860">
        <v>21</v>
      </c>
      <c r="F1860" s="3">
        <v>7.65</v>
      </c>
      <c r="G1860" s="4">
        <v>81.900000000000006</v>
      </c>
      <c r="H1860">
        <v>1</v>
      </c>
      <c r="I1860">
        <v>2</v>
      </c>
      <c r="J1860">
        <v>3</v>
      </c>
      <c r="K1860" s="4">
        <v>71.5</v>
      </c>
      <c r="L1860" s="4">
        <v>70.400000000000006</v>
      </c>
      <c r="M1860" s="4">
        <v>61.7</v>
      </c>
      <c r="N1860">
        <v>0</v>
      </c>
      <c r="O1860" t="s">
        <v>58</v>
      </c>
      <c r="P1860" t="s">
        <v>95</v>
      </c>
      <c r="Q1860" t="s">
        <v>93</v>
      </c>
      <c r="R1860" t="s">
        <v>109</v>
      </c>
      <c r="S1860" s="3">
        <v>6.59</v>
      </c>
      <c r="T1860" s="5">
        <v>45937</v>
      </c>
      <c r="U1860">
        <v>3</v>
      </c>
      <c r="V1860">
        <v>2025</v>
      </c>
      <c r="X1860">
        <f t="shared" si="87"/>
        <v>7.6498140000000001</v>
      </c>
      <c r="Y1860">
        <f t="shared" si="88"/>
        <v>6.5898139999999996</v>
      </c>
      <c r="Z1860">
        <f t="shared" si="89"/>
        <v>70.399814000000006</v>
      </c>
    </row>
    <row r="1861" spans="1:26" x14ac:dyDescent="0.3">
      <c r="A1861" t="s">
        <v>1951</v>
      </c>
      <c r="B1861" t="s">
        <v>107</v>
      </c>
      <c r="C1861" t="s">
        <v>74</v>
      </c>
      <c r="D1861" t="s">
        <v>69</v>
      </c>
      <c r="E1861">
        <v>21</v>
      </c>
      <c r="F1861" s="3">
        <v>5.77</v>
      </c>
      <c r="G1861" s="4">
        <v>82.9</v>
      </c>
      <c r="H1861">
        <v>2</v>
      </c>
      <c r="I1861">
        <v>5</v>
      </c>
      <c r="J1861">
        <v>3</v>
      </c>
      <c r="K1861" s="4">
        <v>81.8</v>
      </c>
      <c r="L1861" s="4">
        <v>78.7</v>
      </c>
      <c r="M1861" s="4">
        <v>81.599999999999994</v>
      </c>
      <c r="N1861">
        <v>0</v>
      </c>
      <c r="O1861" t="s">
        <v>58</v>
      </c>
      <c r="P1861" t="s">
        <v>70</v>
      </c>
      <c r="Q1861" t="s">
        <v>71</v>
      </c>
      <c r="R1861" t="s">
        <v>61</v>
      </c>
      <c r="S1861" s="3">
        <v>3.67</v>
      </c>
      <c r="T1861" s="5">
        <v>44444</v>
      </c>
      <c r="U1861">
        <v>3</v>
      </c>
      <c r="V1861">
        <v>2021</v>
      </c>
      <c r="X1861">
        <f t="shared" si="87"/>
        <v>5.7698138999999999</v>
      </c>
      <c r="Y1861">
        <f t="shared" si="88"/>
        <v>3.6698138999999999</v>
      </c>
      <c r="Z1861">
        <f t="shared" si="89"/>
        <v>78.699813900000009</v>
      </c>
    </row>
    <row r="1862" spans="1:26" x14ac:dyDescent="0.3">
      <c r="A1862" t="s">
        <v>1952</v>
      </c>
      <c r="B1862" t="s">
        <v>67</v>
      </c>
      <c r="C1862" t="s">
        <v>84</v>
      </c>
      <c r="D1862" t="s">
        <v>69</v>
      </c>
      <c r="E1862">
        <v>22</v>
      </c>
      <c r="F1862" s="3">
        <v>7.55</v>
      </c>
      <c r="G1862" s="4">
        <v>81</v>
      </c>
      <c r="H1862">
        <v>2</v>
      </c>
      <c r="I1862">
        <v>1</v>
      </c>
      <c r="J1862">
        <v>5</v>
      </c>
      <c r="K1862" s="4">
        <v>87.3</v>
      </c>
      <c r="L1862" s="4">
        <v>54.7</v>
      </c>
      <c r="M1862" s="4">
        <v>87.4</v>
      </c>
      <c r="N1862">
        <v>0</v>
      </c>
      <c r="O1862" t="s">
        <v>58</v>
      </c>
      <c r="P1862" t="s">
        <v>92</v>
      </c>
      <c r="Q1862" t="s">
        <v>93</v>
      </c>
      <c r="R1862" t="s">
        <v>80</v>
      </c>
      <c r="S1862" s="3">
        <v>7.88</v>
      </c>
      <c r="T1862" s="5">
        <v>45168</v>
      </c>
      <c r="U1862">
        <v>1</v>
      </c>
      <c r="V1862">
        <v>2023</v>
      </c>
      <c r="X1862">
        <f t="shared" si="87"/>
        <v>7.5498137999999999</v>
      </c>
      <c r="Y1862">
        <f t="shared" si="88"/>
        <v>7.8798138</v>
      </c>
      <c r="Z1862">
        <f t="shared" si="89"/>
        <v>54.699813800000001</v>
      </c>
    </row>
    <row r="1863" spans="1:26" x14ac:dyDescent="0.3">
      <c r="A1863" t="s">
        <v>1953</v>
      </c>
      <c r="B1863" t="s">
        <v>55</v>
      </c>
      <c r="C1863" t="s">
        <v>56</v>
      </c>
      <c r="D1863" t="s">
        <v>57</v>
      </c>
      <c r="E1863">
        <v>21</v>
      </c>
      <c r="F1863" s="3">
        <v>7.4</v>
      </c>
      <c r="G1863" s="4">
        <v>70.2</v>
      </c>
      <c r="H1863">
        <v>1</v>
      </c>
      <c r="I1863">
        <v>2</v>
      </c>
      <c r="J1863">
        <v>2</v>
      </c>
      <c r="K1863" s="4">
        <v>71.599999999999994</v>
      </c>
      <c r="L1863" s="4">
        <v>71.099999999999994</v>
      </c>
      <c r="M1863" s="4">
        <v>63.4</v>
      </c>
      <c r="N1863">
        <v>1</v>
      </c>
      <c r="O1863" t="s">
        <v>58</v>
      </c>
      <c r="P1863" t="s">
        <v>112</v>
      </c>
      <c r="Q1863" t="s">
        <v>93</v>
      </c>
      <c r="R1863" t="s">
        <v>76</v>
      </c>
      <c r="S1863" s="3">
        <v>6.17</v>
      </c>
      <c r="T1863" s="5">
        <v>45597</v>
      </c>
      <c r="U1863">
        <v>1</v>
      </c>
      <c r="V1863">
        <v>2024</v>
      </c>
      <c r="X1863">
        <f t="shared" si="87"/>
        <v>7.3998137000000002</v>
      </c>
      <c r="Y1863">
        <f t="shared" si="88"/>
        <v>6.1698136999999997</v>
      </c>
      <c r="Z1863">
        <f t="shared" si="89"/>
        <v>71.099813699999999</v>
      </c>
    </row>
    <row r="1864" spans="1:26" x14ac:dyDescent="0.3">
      <c r="A1864" t="s">
        <v>1954</v>
      </c>
      <c r="B1864" t="s">
        <v>82</v>
      </c>
      <c r="C1864" t="s">
        <v>101</v>
      </c>
      <c r="D1864" t="s">
        <v>57</v>
      </c>
      <c r="E1864">
        <v>23</v>
      </c>
      <c r="F1864" s="3">
        <v>8.2799999999999994</v>
      </c>
      <c r="G1864" s="4">
        <v>85.2</v>
      </c>
      <c r="H1864">
        <v>2</v>
      </c>
      <c r="I1864">
        <v>3</v>
      </c>
      <c r="J1864">
        <v>3</v>
      </c>
      <c r="K1864" s="4">
        <v>84.4</v>
      </c>
      <c r="L1864" s="4">
        <v>93</v>
      </c>
      <c r="M1864" s="4">
        <v>65.900000000000006</v>
      </c>
      <c r="N1864">
        <v>0</v>
      </c>
      <c r="O1864" t="s">
        <v>58</v>
      </c>
      <c r="P1864" t="s">
        <v>95</v>
      </c>
      <c r="Q1864" t="s">
        <v>93</v>
      </c>
      <c r="R1864" t="s">
        <v>72</v>
      </c>
      <c r="S1864" s="3">
        <v>8.49</v>
      </c>
      <c r="T1864" s="5">
        <v>44796</v>
      </c>
      <c r="U1864">
        <v>2</v>
      </c>
      <c r="V1864">
        <v>2022</v>
      </c>
      <c r="X1864">
        <f t="shared" si="87"/>
        <v>8.2798135999999989</v>
      </c>
      <c r="Y1864">
        <f t="shared" si="88"/>
        <v>8.4898135999999997</v>
      </c>
      <c r="Z1864">
        <f t="shared" si="89"/>
        <v>92.999813599999996</v>
      </c>
    </row>
    <row r="1865" spans="1:26" x14ac:dyDescent="0.3">
      <c r="A1865" t="s">
        <v>1955</v>
      </c>
      <c r="B1865" t="s">
        <v>63</v>
      </c>
      <c r="C1865" t="s">
        <v>74</v>
      </c>
      <c r="D1865" t="s">
        <v>57</v>
      </c>
      <c r="E1865">
        <v>22</v>
      </c>
      <c r="F1865" s="3">
        <v>10</v>
      </c>
      <c r="G1865" s="4">
        <v>68.3</v>
      </c>
      <c r="H1865">
        <v>2</v>
      </c>
      <c r="I1865">
        <v>0</v>
      </c>
      <c r="J1865">
        <v>2</v>
      </c>
      <c r="K1865" s="4">
        <v>71</v>
      </c>
      <c r="L1865" s="4">
        <v>100</v>
      </c>
      <c r="M1865" s="4">
        <v>88.3</v>
      </c>
      <c r="N1865">
        <v>2</v>
      </c>
      <c r="O1865" t="s">
        <v>58</v>
      </c>
      <c r="P1865" t="s">
        <v>90</v>
      </c>
      <c r="Q1865" t="s">
        <v>60</v>
      </c>
      <c r="R1865" t="s">
        <v>61</v>
      </c>
      <c r="S1865" s="3">
        <v>12.55</v>
      </c>
      <c r="T1865" s="5">
        <v>45932</v>
      </c>
      <c r="U1865">
        <v>3</v>
      </c>
      <c r="V1865">
        <v>2025</v>
      </c>
      <c r="X1865">
        <f t="shared" si="87"/>
        <v>9.9998135000000001</v>
      </c>
      <c r="Y1865">
        <f t="shared" si="88"/>
        <v>12.549813500000001</v>
      </c>
      <c r="Z1865">
        <f t="shared" si="89"/>
        <v>99.999813500000002</v>
      </c>
    </row>
    <row r="1866" spans="1:26" x14ac:dyDescent="0.3">
      <c r="A1866" t="s">
        <v>1956</v>
      </c>
      <c r="B1866" t="s">
        <v>55</v>
      </c>
      <c r="C1866" t="s">
        <v>56</v>
      </c>
      <c r="D1866" t="s">
        <v>57</v>
      </c>
      <c r="E1866">
        <v>20</v>
      </c>
      <c r="F1866" s="3">
        <v>7.99</v>
      </c>
      <c r="G1866" s="4">
        <v>81.2</v>
      </c>
      <c r="H1866">
        <v>3</v>
      </c>
      <c r="I1866">
        <v>1</v>
      </c>
      <c r="J1866">
        <v>3</v>
      </c>
      <c r="K1866" s="4">
        <v>67.900000000000006</v>
      </c>
      <c r="L1866" s="4">
        <v>51.3</v>
      </c>
      <c r="M1866" s="4">
        <v>75.7</v>
      </c>
      <c r="N1866">
        <v>1</v>
      </c>
      <c r="O1866" t="s">
        <v>64</v>
      </c>
      <c r="P1866" t="s">
        <v>65</v>
      </c>
      <c r="S1866" s="3">
        <v>0</v>
      </c>
      <c r="T1866" s="5"/>
      <c r="U1866">
        <v>0</v>
      </c>
      <c r="V1866">
        <v>2024</v>
      </c>
      <c r="X1866">
        <f t="shared" si="87"/>
        <v>7.9898134000000001</v>
      </c>
      <c r="Y1866">
        <f t="shared" si="88"/>
        <v>-1.8659999999999998E-4</v>
      </c>
      <c r="Z1866">
        <f t="shared" si="89"/>
        <v>51.299813399999998</v>
      </c>
    </row>
    <row r="1867" spans="1:26" x14ac:dyDescent="0.3">
      <c r="A1867" t="s">
        <v>1957</v>
      </c>
      <c r="B1867" t="s">
        <v>67</v>
      </c>
      <c r="C1867" t="s">
        <v>78</v>
      </c>
      <c r="D1867" t="s">
        <v>69</v>
      </c>
      <c r="E1867">
        <v>20</v>
      </c>
      <c r="F1867" s="3">
        <v>9.56</v>
      </c>
      <c r="G1867" s="4">
        <v>82.8</v>
      </c>
      <c r="H1867">
        <v>1</v>
      </c>
      <c r="I1867">
        <v>0</v>
      </c>
      <c r="J1867">
        <v>1</v>
      </c>
      <c r="K1867" s="4">
        <v>59</v>
      </c>
      <c r="L1867" s="4">
        <v>56.6</v>
      </c>
      <c r="M1867" s="4">
        <v>71.400000000000006</v>
      </c>
      <c r="N1867">
        <v>0</v>
      </c>
      <c r="O1867" t="s">
        <v>58</v>
      </c>
      <c r="P1867" t="s">
        <v>95</v>
      </c>
      <c r="Q1867" t="s">
        <v>93</v>
      </c>
      <c r="R1867" t="s">
        <v>61</v>
      </c>
      <c r="S1867" s="3">
        <v>7.12</v>
      </c>
      <c r="T1867" s="5">
        <v>45185</v>
      </c>
      <c r="U1867">
        <v>3</v>
      </c>
      <c r="V1867">
        <v>2023</v>
      </c>
      <c r="X1867">
        <f t="shared" si="87"/>
        <v>9.5598133000000001</v>
      </c>
      <c r="Y1867">
        <f t="shared" si="88"/>
        <v>7.1198132999999997</v>
      </c>
      <c r="Z1867">
        <f t="shared" si="89"/>
        <v>56.599813300000001</v>
      </c>
    </row>
    <row r="1868" spans="1:26" x14ac:dyDescent="0.3">
      <c r="A1868" t="s">
        <v>1958</v>
      </c>
      <c r="B1868" t="s">
        <v>82</v>
      </c>
      <c r="C1868" t="s">
        <v>56</v>
      </c>
      <c r="D1868" t="s">
        <v>57</v>
      </c>
      <c r="E1868">
        <v>23</v>
      </c>
      <c r="F1868" s="3">
        <v>7.03</v>
      </c>
      <c r="G1868" s="4">
        <v>82.4</v>
      </c>
      <c r="H1868">
        <v>3</v>
      </c>
      <c r="I1868">
        <v>5</v>
      </c>
      <c r="J1868">
        <v>4</v>
      </c>
      <c r="K1868" s="4">
        <v>73.3</v>
      </c>
      <c r="L1868" s="4">
        <v>63.5</v>
      </c>
      <c r="M1868" s="4">
        <v>64.900000000000006</v>
      </c>
      <c r="N1868">
        <v>0</v>
      </c>
      <c r="O1868" t="s">
        <v>64</v>
      </c>
      <c r="P1868" t="s">
        <v>65</v>
      </c>
      <c r="S1868" s="3">
        <v>0</v>
      </c>
      <c r="T1868" s="5"/>
      <c r="U1868">
        <v>0</v>
      </c>
      <c r="V1868">
        <v>2022</v>
      </c>
      <c r="X1868">
        <f t="shared" si="87"/>
        <v>7.0298132000000004</v>
      </c>
      <c r="Y1868">
        <f t="shared" si="88"/>
        <v>-1.8679999999999999E-4</v>
      </c>
      <c r="Z1868">
        <f t="shared" si="89"/>
        <v>63.499813199999998</v>
      </c>
    </row>
    <row r="1869" spans="1:26" x14ac:dyDescent="0.3">
      <c r="A1869" t="s">
        <v>1959</v>
      </c>
      <c r="B1869" t="s">
        <v>82</v>
      </c>
      <c r="C1869" t="s">
        <v>56</v>
      </c>
      <c r="D1869" t="s">
        <v>57</v>
      </c>
      <c r="E1869">
        <v>23</v>
      </c>
      <c r="F1869" s="3">
        <v>7.09</v>
      </c>
      <c r="G1869" s="4">
        <v>70.3</v>
      </c>
      <c r="H1869">
        <v>0</v>
      </c>
      <c r="I1869">
        <v>3</v>
      </c>
      <c r="J1869">
        <v>5</v>
      </c>
      <c r="K1869" s="4">
        <v>72.8</v>
      </c>
      <c r="L1869" s="4">
        <v>64.400000000000006</v>
      </c>
      <c r="M1869" s="4">
        <v>69.599999999999994</v>
      </c>
      <c r="N1869">
        <v>0</v>
      </c>
      <c r="O1869" t="s">
        <v>64</v>
      </c>
      <c r="P1869" t="s">
        <v>65</v>
      </c>
      <c r="S1869" s="3">
        <v>0</v>
      </c>
      <c r="T1869" s="5"/>
      <c r="U1869">
        <v>0</v>
      </c>
      <c r="V1869">
        <v>2022</v>
      </c>
      <c r="X1869">
        <f t="shared" si="87"/>
        <v>7.0898130999999998</v>
      </c>
      <c r="Y1869">
        <f t="shared" si="88"/>
        <v>-1.8689999999999999E-4</v>
      </c>
      <c r="Z1869">
        <f t="shared" si="89"/>
        <v>64.399813100000003</v>
      </c>
    </row>
    <row r="1870" spans="1:26" x14ac:dyDescent="0.3">
      <c r="A1870" t="s">
        <v>1960</v>
      </c>
      <c r="B1870" t="s">
        <v>63</v>
      </c>
      <c r="C1870" t="s">
        <v>74</v>
      </c>
      <c r="D1870" t="s">
        <v>57</v>
      </c>
      <c r="E1870">
        <v>23</v>
      </c>
      <c r="F1870" s="3">
        <v>7.43</v>
      </c>
      <c r="G1870" s="4">
        <v>75.599999999999994</v>
      </c>
      <c r="H1870">
        <v>2</v>
      </c>
      <c r="I1870">
        <v>1</v>
      </c>
      <c r="J1870">
        <v>4</v>
      </c>
      <c r="K1870" s="4">
        <v>73</v>
      </c>
      <c r="L1870" s="4">
        <v>86.3</v>
      </c>
      <c r="M1870" s="4">
        <v>72.2</v>
      </c>
      <c r="N1870">
        <v>0</v>
      </c>
      <c r="O1870" t="s">
        <v>58</v>
      </c>
      <c r="P1870" t="s">
        <v>104</v>
      </c>
      <c r="Q1870" t="s">
        <v>105</v>
      </c>
      <c r="R1870" t="s">
        <v>85</v>
      </c>
      <c r="S1870" s="3">
        <v>14.28</v>
      </c>
      <c r="T1870" s="5">
        <v>45888</v>
      </c>
      <c r="U1870">
        <v>1</v>
      </c>
      <c r="V1870">
        <v>2025</v>
      </c>
      <c r="X1870">
        <f t="shared" si="87"/>
        <v>7.4298129999999993</v>
      </c>
      <c r="Y1870">
        <f t="shared" si="88"/>
        <v>14.279812999999999</v>
      </c>
      <c r="Z1870">
        <f t="shared" si="89"/>
        <v>86.299813</v>
      </c>
    </row>
    <row r="1871" spans="1:26" x14ac:dyDescent="0.3">
      <c r="A1871" t="s">
        <v>1961</v>
      </c>
      <c r="B1871" t="s">
        <v>107</v>
      </c>
      <c r="C1871" t="s">
        <v>56</v>
      </c>
      <c r="D1871" t="s">
        <v>57</v>
      </c>
      <c r="E1871">
        <v>23</v>
      </c>
      <c r="F1871" s="3">
        <v>8.0299999999999994</v>
      </c>
      <c r="G1871" s="4">
        <v>88.2</v>
      </c>
      <c r="H1871">
        <v>1</v>
      </c>
      <c r="I1871">
        <v>1</v>
      </c>
      <c r="J1871">
        <v>4</v>
      </c>
      <c r="K1871" s="4">
        <v>84</v>
      </c>
      <c r="L1871" s="4">
        <v>70.5</v>
      </c>
      <c r="M1871" s="4">
        <v>81.7</v>
      </c>
      <c r="N1871">
        <v>0</v>
      </c>
      <c r="O1871" t="s">
        <v>58</v>
      </c>
      <c r="P1871" t="s">
        <v>104</v>
      </c>
      <c r="Q1871" t="s">
        <v>105</v>
      </c>
      <c r="R1871" t="s">
        <v>130</v>
      </c>
      <c r="S1871" s="3">
        <v>15.25</v>
      </c>
      <c r="T1871" s="5">
        <v>44470</v>
      </c>
      <c r="U1871">
        <v>1</v>
      </c>
      <c r="V1871">
        <v>2021</v>
      </c>
      <c r="X1871">
        <f t="shared" si="87"/>
        <v>8.0298128999999996</v>
      </c>
      <c r="Y1871">
        <f t="shared" si="88"/>
        <v>15.2498129</v>
      </c>
      <c r="Z1871">
        <f t="shared" si="89"/>
        <v>70.499812899999995</v>
      </c>
    </row>
    <row r="1872" spans="1:26" x14ac:dyDescent="0.3">
      <c r="A1872" t="s">
        <v>1962</v>
      </c>
      <c r="B1872" t="s">
        <v>67</v>
      </c>
      <c r="C1872" t="s">
        <v>56</v>
      </c>
      <c r="D1872" t="s">
        <v>57</v>
      </c>
      <c r="E1872">
        <v>22</v>
      </c>
      <c r="F1872" s="3">
        <v>7.07</v>
      </c>
      <c r="G1872" s="4">
        <v>82.7</v>
      </c>
      <c r="H1872">
        <v>0</v>
      </c>
      <c r="I1872">
        <v>0</v>
      </c>
      <c r="J1872">
        <v>5</v>
      </c>
      <c r="K1872" s="4">
        <v>80.7</v>
      </c>
      <c r="L1872" s="4">
        <v>85</v>
      </c>
      <c r="M1872" s="4">
        <v>74</v>
      </c>
      <c r="N1872">
        <v>0</v>
      </c>
      <c r="O1872" t="s">
        <v>58</v>
      </c>
      <c r="P1872" t="s">
        <v>70</v>
      </c>
      <c r="Q1872" t="s">
        <v>71</v>
      </c>
      <c r="R1872" t="s">
        <v>85</v>
      </c>
      <c r="S1872" s="3">
        <v>5.75</v>
      </c>
      <c r="T1872" s="5">
        <v>45210</v>
      </c>
      <c r="U1872">
        <v>1</v>
      </c>
      <c r="V1872">
        <v>2023</v>
      </c>
      <c r="X1872">
        <f t="shared" si="87"/>
        <v>7.0698128000000002</v>
      </c>
      <c r="Y1872">
        <f t="shared" si="88"/>
        <v>5.7498127999999999</v>
      </c>
      <c r="Z1872">
        <f t="shared" si="89"/>
        <v>84.999812800000001</v>
      </c>
    </row>
    <row r="1873" spans="1:26" x14ac:dyDescent="0.3">
      <c r="A1873" t="s">
        <v>1963</v>
      </c>
      <c r="B1873" t="s">
        <v>63</v>
      </c>
      <c r="C1873" t="s">
        <v>56</v>
      </c>
      <c r="D1873" t="s">
        <v>69</v>
      </c>
      <c r="E1873">
        <v>23</v>
      </c>
      <c r="F1873" s="3">
        <v>6.2</v>
      </c>
      <c r="G1873" s="4">
        <v>75.7</v>
      </c>
      <c r="H1873">
        <v>0</v>
      </c>
      <c r="I1873">
        <v>2</v>
      </c>
      <c r="J1873">
        <v>3</v>
      </c>
      <c r="K1873" s="4">
        <v>47.4</v>
      </c>
      <c r="L1873" s="4">
        <v>73.599999999999994</v>
      </c>
      <c r="M1873" s="4">
        <v>63.1</v>
      </c>
      <c r="N1873">
        <v>0</v>
      </c>
      <c r="O1873" t="s">
        <v>64</v>
      </c>
      <c r="P1873" t="s">
        <v>65</v>
      </c>
      <c r="S1873" s="3">
        <v>0</v>
      </c>
      <c r="T1873" s="5"/>
      <c r="U1873">
        <v>0</v>
      </c>
      <c r="V1873">
        <v>2025</v>
      </c>
      <c r="X1873">
        <f t="shared" si="87"/>
        <v>6.1998126999999998</v>
      </c>
      <c r="Y1873">
        <f t="shared" si="88"/>
        <v>-1.873E-4</v>
      </c>
      <c r="Z1873">
        <f t="shared" si="89"/>
        <v>73.599812700000001</v>
      </c>
    </row>
    <row r="1874" spans="1:26" x14ac:dyDescent="0.3">
      <c r="A1874" t="s">
        <v>1964</v>
      </c>
      <c r="B1874" t="s">
        <v>67</v>
      </c>
      <c r="C1874" t="s">
        <v>68</v>
      </c>
      <c r="D1874" t="s">
        <v>57</v>
      </c>
      <c r="E1874">
        <v>21</v>
      </c>
      <c r="F1874" s="3">
        <v>7.67</v>
      </c>
      <c r="G1874" s="4">
        <v>72.400000000000006</v>
      </c>
      <c r="H1874">
        <v>1</v>
      </c>
      <c r="I1874">
        <v>5</v>
      </c>
      <c r="J1874">
        <v>5</v>
      </c>
      <c r="K1874" s="4">
        <v>47.6</v>
      </c>
      <c r="L1874" s="4">
        <v>68.3</v>
      </c>
      <c r="M1874" s="4">
        <v>67.7</v>
      </c>
      <c r="N1874">
        <v>0</v>
      </c>
      <c r="O1874" t="s">
        <v>58</v>
      </c>
      <c r="P1874" t="s">
        <v>90</v>
      </c>
      <c r="Q1874" t="s">
        <v>60</v>
      </c>
      <c r="R1874" t="s">
        <v>80</v>
      </c>
      <c r="S1874" s="3">
        <v>9.11</v>
      </c>
      <c r="T1874" s="5">
        <v>45213</v>
      </c>
      <c r="U1874">
        <v>1</v>
      </c>
      <c r="V1874">
        <v>2023</v>
      </c>
      <c r="X1874">
        <f t="shared" si="87"/>
        <v>7.6698126000000002</v>
      </c>
      <c r="Y1874">
        <f t="shared" si="88"/>
        <v>9.1098125999999997</v>
      </c>
      <c r="Z1874">
        <f t="shared" si="89"/>
        <v>68.299812599999996</v>
      </c>
    </row>
    <row r="1875" spans="1:26" x14ac:dyDescent="0.3">
      <c r="A1875" t="s">
        <v>1965</v>
      </c>
      <c r="B1875" t="s">
        <v>107</v>
      </c>
      <c r="C1875" t="s">
        <v>56</v>
      </c>
      <c r="D1875" t="s">
        <v>57</v>
      </c>
      <c r="E1875">
        <v>20</v>
      </c>
      <c r="F1875" s="3">
        <v>6.62</v>
      </c>
      <c r="G1875" s="4">
        <v>89.2</v>
      </c>
      <c r="H1875">
        <v>1</v>
      </c>
      <c r="I1875">
        <v>2</v>
      </c>
      <c r="J1875">
        <v>3</v>
      </c>
      <c r="K1875" s="4">
        <v>69.7</v>
      </c>
      <c r="L1875" s="4">
        <v>76.7</v>
      </c>
      <c r="M1875" s="4">
        <v>60.6</v>
      </c>
      <c r="N1875">
        <v>1</v>
      </c>
      <c r="O1875" t="s">
        <v>58</v>
      </c>
      <c r="P1875" t="s">
        <v>75</v>
      </c>
      <c r="Q1875" t="s">
        <v>71</v>
      </c>
      <c r="R1875" t="s">
        <v>61</v>
      </c>
      <c r="S1875" s="3">
        <v>3.98</v>
      </c>
      <c r="T1875" s="5">
        <v>44417</v>
      </c>
      <c r="U1875">
        <v>1</v>
      </c>
      <c r="V1875">
        <v>2021</v>
      </c>
      <c r="X1875">
        <f t="shared" si="87"/>
        <v>6.6198125000000001</v>
      </c>
      <c r="Y1875">
        <f t="shared" si="88"/>
        <v>3.9798125</v>
      </c>
      <c r="Z1875">
        <f t="shared" si="89"/>
        <v>76.699812500000007</v>
      </c>
    </row>
    <row r="1876" spans="1:26" x14ac:dyDescent="0.3">
      <c r="A1876" t="s">
        <v>1966</v>
      </c>
      <c r="B1876" t="s">
        <v>107</v>
      </c>
      <c r="C1876" t="s">
        <v>78</v>
      </c>
      <c r="D1876" t="s">
        <v>69</v>
      </c>
      <c r="E1876">
        <v>23</v>
      </c>
      <c r="F1876" s="3">
        <v>8.65</v>
      </c>
      <c r="G1876" s="4">
        <v>82.3</v>
      </c>
      <c r="H1876">
        <v>1</v>
      </c>
      <c r="I1876">
        <v>1</v>
      </c>
      <c r="J1876">
        <v>3</v>
      </c>
      <c r="K1876" s="4">
        <v>54.3</v>
      </c>
      <c r="L1876" s="4">
        <v>35.799999999999997</v>
      </c>
      <c r="M1876" s="4">
        <v>72.400000000000006</v>
      </c>
      <c r="N1876">
        <v>1</v>
      </c>
      <c r="O1876" t="s">
        <v>64</v>
      </c>
      <c r="P1876" t="s">
        <v>65</v>
      </c>
      <c r="S1876" s="3">
        <v>0</v>
      </c>
      <c r="T1876" s="5"/>
      <c r="U1876">
        <v>0</v>
      </c>
      <c r="V1876">
        <v>2021</v>
      </c>
      <c r="X1876">
        <f t="shared" si="87"/>
        <v>8.6498124000000001</v>
      </c>
      <c r="Y1876">
        <f t="shared" si="88"/>
        <v>-1.8759999999999998E-4</v>
      </c>
      <c r="Z1876">
        <f t="shared" si="89"/>
        <v>35.7998124</v>
      </c>
    </row>
    <row r="1877" spans="1:26" x14ac:dyDescent="0.3">
      <c r="A1877" t="s">
        <v>1967</v>
      </c>
      <c r="B1877" t="s">
        <v>63</v>
      </c>
      <c r="C1877" t="s">
        <v>56</v>
      </c>
      <c r="D1877" t="s">
        <v>69</v>
      </c>
      <c r="E1877">
        <v>21</v>
      </c>
      <c r="F1877" s="3">
        <v>8.23</v>
      </c>
      <c r="G1877" s="4">
        <v>71.8</v>
      </c>
      <c r="H1877">
        <v>1</v>
      </c>
      <c r="I1877">
        <v>2</v>
      </c>
      <c r="J1877">
        <v>2</v>
      </c>
      <c r="K1877" s="4">
        <v>66.7</v>
      </c>
      <c r="L1877" s="4">
        <v>65.099999999999994</v>
      </c>
      <c r="M1877" s="4">
        <v>100</v>
      </c>
      <c r="N1877">
        <v>2</v>
      </c>
      <c r="O1877" t="s">
        <v>64</v>
      </c>
      <c r="P1877" t="s">
        <v>65</v>
      </c>
      <c r="S1877" s="3">
        <v>0</v>
      </c>
      <c r="T1877" s="5"/>
      <c r="U1877">
        <v>0</v>
      </c>
      <c r="V1877">
        <v>2025</v>
      </c>
      <c r="X1877">
        <f t="shared" si="87"/>
        <v>8.2298123000000007</v>
      </c>
      <c r="Y1877">
        <f t="shared" si="88"/>
        <v>-1.8769999999999998E-4</v>
      </c>
      <c r="Z1877">
        <f t="shared" si="89"/>
        <v>65.099812299999996</v>
      </c>
    </row>
    <row r="1878" spans="1:26" x14ac:dyDescent="0.3">
      <c r="A1878" t="s">
        <v>1968</v>
      </c>
      <c r="B1878" t="s">
        <v>107</v>
      </c>
      <c r="C1878" t="s">
        <v>84</v>
      </c>
      <c r="D1878" t="s">
        <v>57</v>
      </c>
      <c r="E1878">
        <v>23</v>
      </c>
      <c r="F1878" s="3">
        <v>6.97</v>
      </c>
      <c r="G1878" s="4">
        <v>80.3</v>
      </c>
      <c r="H1878">
        <v>1</v>
      </c>
      <c r="I1878">
        <v>5</v>
      </c>
      <c r="J1878">
        <v>2</v>
      </c>
      <c r="K1878" s="4">
        <v>55.2</v>
      </c>
      <c r="L1878" s="4">
        <v>65.599999999999994</v>
      </c>
      <c r="M1878" s="4">
        <v>100</v>
      </c>
      <c r="N1878">
        <v>2</v>
      </c>
      <c r="O1878" t="s">
        <v>64</v>
      </c>
      <c r="P1878" t="s">
        <v>65</v>
      </c>
      <c r="S1878" s="3">
        <v>0</v>
      </c>
      <c r="T1878" s="5"/>
      <c r="U1878">
        <v>0</v>
      </c>
      <c r="V1878">
        <v>2021</v>
      </c>
      <c r="X1878">
        <f t="shared" si="87"/>
        <v>6.9698121999999998</v>
      </c>
      <c r="Y1878">
        <f t="shared" si="88"/>
        <v>-1.8779999999999998E-4</v>
      </c>
      <c r="Z1878">
        <f t="shared" si="89"/>
        <v>65.599812199999988</v>
      </c>
    </row>
    <row r="1879" spans="1:26" x14ac:dyDescent="0.3">
      <c r="A1879" t="s">
        <v>1969</v>
      </c>
      <c r="B1879" t="s">
        <v>55</v>
      </c>
      <c r="C1879" t="s">
        <v>101</v>
      </c>
      <c r="D1879" t="s">
        <v>69</v>
      </c>
      <c r="E1879">
        <v>21</v>
      </c>
      <c r="F1879" s="3">
        <v>8.06</v>
      </c>
      <c r="G1879" s="4">
        <v>74.7</v>
      </c>
      <c r="H1879">
        <v>1</v>
      </c>
      <c r="I1879">
        <v>2</v>
      </c>
      <c r="J1879">
        <v>6</v>
      </c>
      <c r="K1879" s="4">
        <v>69.400000000000006</v>
      </c>
      <c r="L1879" s="4">
        <v>49.1</v>
      </c>
      <c r="M1879" s="4">
        <v>77.900000000000006</v>
      </c>
      <c r="N1879">
        <v>0</v>
      </c>
      <c r="O1879" t="s">
        <v>58</v>
      </c>
      <c r="P1879" t="s">
        <v>104</v>
      </c>
      <c r="Q1879" t="s">
        <v>105</v>
      </c>
      <c r="R1879" t="s">
        <v>76</v>
      </c>
      <c r="S1879" s="3">
        <v>15.21</v>
      </c>
      <c r="T1879" s="5">
        <v>45582</v>
      </c>
      <c r="U1879">
        <v>2</v>
      </c>
      <c r="V1879">
        <v>2024</v>
      </c>
      <c r="X1879">
        <f t="shared" si="87"/>
        <v>8.0598121000000003</v>
      </c>
      <c r="Y1879">
        <f t="shared" si="88"/>
        <v>15.209812100000001</v>
      </c>
      <c r="Z1879">
        <f t="shared" si="89"/>
        <v>49.099812100000001</v>
      </c>
    </row>
    <row r="1880" spans="1:26" x14ac:dyDescent="0.3">
      <c r="A1880" t="s">
        <v>1970</v>
      </c>
      <c r="B1880" t="s">
        <v>82</v>
      </c>
      <c r="C1880" t="s">
        <v>74</v>
      </c>
      <c r="D1880" t="s">
        <v>57</v>
      </c>
      <c r="E1880">
        <v>22</v>
      </c>
      <c r="F1880" s="3">
        <v>7.16</v>
      </c>
      <c r="G1880" s="4">
        <v>84.7</v>
      </c>
      <c r="H1880">
        <v>1</v>
      </c>
      <c r="I1880">
        <v>5</v>
      </c>
      <c r="J1880">
        <v>2</v>
      </c>
      <c r="K1880" s="4">
        <v>53.7</v>
      </c>
      <c r="L1880" s="4">
        <v>90.2</v>
      </c>
      <c r="M1880" s="4">
        <v>54.2</v>
      </c>
      <c r="N1880">
        <v>0</v>
      </c>
      <c r="O1880" t="s">
        <v>58</v>
      </c>
      <c r="P1880" t="s">
        <v>112</v>
      </c>
      <c r="Q1880" t="s">
        <v>93</v>
      </c>
      <c r="R1880" t="s">
        <v>61</v>
      </c>
      <c r="S1880" s="3">
        <v>7.5</v>
      </c>
      <c r="T1880" s="5">
        <v>44804</v>
      </c>
      <c r="U1880">
        <v>1</v>
      </c>
      <c r="V1880">
        <v>2022</v>
      </c>
      <c r="X1880">
        <f t="shared" si="87"/>
        <v>7.1598120000000005</v>
      </c>
      <c r="Y1880">
        <f t="shared" si="88"/>
        <v>7.4998120000000004</v>
      </c>
      <c r="Z1880">
        <f t="shared" si="89"/>
        <v>90.199812000000009</v>
      </c>
    </row>
    <row r="1881" spans="1:26" x14ac:dyDescent="0.3">
      <c r="A1881" t="s">
        <v>1971</v>
      </c>
      <c r="B1881" t="s">
        <v>63</v>
      </c>
      <c r="C1881" t="s">
        <v>101</v>
      </c>
      <c r="D1881" t="s">
        <v>57</v>
      </c>
      <c r="E1881">
        <v>20</v>
      </c>
      <c r="F1881" s="3">
        <v>7.6</v>
      </c>
      <c r="G1881" s="4">
        <v>93.3</v>
      </c>
      <c r="H1881">
        <v>2</v>
      </c>
      <c r="I1881">
        <v>0</v>
      </c>
      <c r="J1881">
        <v>3</v>
      </c>
      <c r="K1881" s="4">
        <v>73.599999999999994</v>
      </c>
      <c r="L1881" s="4">
        <v>66.3</v>
      </c>
      <c r="M1881" s="4">
        <v>85.1</v>
      </c>
      <c r="N1881">
        <v>1</v>
      </c>
      <c r="O1881" t="s">
        <v>58</v>
      </c>
      <c r="P1881" t="s">
        <v>70</v>
      </c>
      <c r="Q1881" t="s">
        <v>71</v>
      </c>
      <c r="R1881" t="s">
        <v>76</v>
      </c>
      <c r="S1881" s="3">
        <v>6.34</v>
      </c>
      <c r="T1881" s="5">
        <v>45882</v>
      </c>
      <c r="U1881">
        <v>3</v>
      </c>
      <c r="V1881">
        <v>2025</v>
      </c>
      <c r="X1881">
        <f t="shared" si="87"/>
        <v>7.5998118999999997</v>
      </c>
      <c r="Y1881">
        <f t="shared" si="88"/>
        <v>6.3398118999999999</v>
      </c>
      <c r="Z1881">
        <f t="shared" si="89"/>
        <v>66.299811899999995</v>
      </c>
    </row>
    <row r="1882" spans="1:26" x14ac:dyDescent="0.3">
      <c r="A1882" t="s">
        <v>1972</v>
      </c>
      <c r="B1882" t="s">
        <v>67</v>
      </c>
      <c r="C1882" t="s">
        <v>101</v>
      </c>
      <c r="D1882" t="s">
        <v>57</v>
      </c>
      <c r="E1882">
        <v>20</v>
      </c>
      <c r="F1882" s="3">
        <v>7.61</v>
      </c>
      <c r="G1882" s="4">
        <v>72.3</v>
      </c>
      <c r="H1882">
        <v>2</v>
      </c>
      <c r="I1882">
        <v>3</v>
      </c>
      <c r="J1882">
        <v>4</v>
      </c>
      <c r="K1882" s="4">
        <v>53</v>
      </c>
      <c r="L1882" s="4">
        <v>75.5</v>
      </c>
      <c r="M1882" s="4">
        <v>82</v>
      </c>
      <c r="N1882">
        <v>2</v>
      </c>
      <c r="O1882" t="s">
        <v>58</v>
      </c>
      <c r="P1882" t="s">
        <v>104</v>
      </c>
      <c r="Q1882" t="s">
        <v>105</v>
      </c>
      <c r="R1882" t="s">
        <v>72</v>
      </c>
      <c r="S1882" s="3">
        <v>15.87</v>
      </c>
      <c r="T1882" s="5">
        <v>45203</v>
      </c>
      <c r="U1882">
        <v>1</v>
      </c>
      <c r="V1882">
        <v>2023</v>
      </c>
      <c r="X1882">
        <f t="shared" si="87"/>
        <v>7.6098118000000001</v>
      </c>
      <c r="Y1882">
        <f t="shared" si="88"/>
        <v>15.869811799999999</v>
      </c>
      <c r="Z1882">
        <f t="shared" si="89"/>
        <v>75.499811800000003</v>
      </c>
    </row>
    <row r="1883" spans="1:26" x14ac:dyDescent="0.3">
      <c r="A1883" t="s">
        <v>1973</v>
      </c>
      <c r="B1883" t="s">
        <v>55</v>
      </c>
      <c r="C1883" t="s">
        <v>84</v>
      </c>
      <c r="D1883" t="s">
        <v>57</v>
      </c>
      <c r="E1883">
        <v>22</v>
      </c>
      <c r="F1883" s="3">
        <v>7.35</v>
      </c>
      <c r="G1883" s="4">
        <v>83.4</v>
      </c>
      <c r="H1883">
        <v>0</v>
      </c>
      <c r="I1883">
        <v>2</v>
      </c>
      <c r="J1883">
        <v>3</v>
      </c>
      <c r="K1883" s="4">
        <v>69.900000000000006</v>
      </c>
      <c r="L1883" s="4">
        <v>83</v>
      </c>
      <c r="M1883" s="4">
        <v>100</v>
      </c>
      <c r="N1883">
        <v>0</v>
      </c>
      <c r="O1883" t="s">
        <v>58</v>
      </c>
      <c r="P1883" t="s">
        <v>92</v>
      </c>
      <c r="Q1883" t="s">
        <v>93</v>
      </c>
      <c r="R1883" t="s">
        <v>76</v>
      </c>
      <c r="S1883" s="3">
        <v>9.5</v>
      </c>
      <c r="T1883" s="5">
        <v>45534</v>
      </c>
      <c r="U1883">
        <v>1</v>
      </c>
      <c r="V1883">
        <v>2024</v>
      </c>
      <c r="X1883">
        <f t="shared" si="87"/>
        <v>7.3498117000000001</v>
      </c>
      <c r="Y1883">
        <f t="shared" si="88"/>
        <v>9.4998117000000004</v>
      </c>
      <c r="Z1883">
        <f t="shared" si="89"/>
        <v>82.999811699999995</v>
      </c>
    </row>
    <row r="1884" spans="1:26" x14ac:dyDescent="0.3">
      <c r="A1884" t="s">
        <v>1974</v>
      </c>
      <c r="B1884" t="s">
        <v>63</v>
      </c>
      <c r="C1884" t="s">
        <v>89</v>
      </c>
      <c r="D1884" t="s">
        <v>69</v>
      </c>
      <c r="E1884">
        <v>21</v>
      </c>
      <c r="F1884" s="3">
        <v>8.4</v>
      </c>
      <c r="G1884" s="4">
        <v>83.3</v>
      </c>
      <c r="H1884">
        <v>1</v>
      </c>
      <c r="I1884">
        <v>3</v>
      </c>
      <c r="J1884">
        <v>5</v>
      </c>
      <c r="K1884" s="4">
        <v>44.4</v>
      </c>
      <c r="L1884" s="4">
        <v>57.5</v>
      </c>
      <c r="M1884" s="4">
        <v>74.900000000000006</v>
      </c>
      <c r="N1884">
        <v>0</v>
      </c>
      <c r="O1884" t="s">
        <v>58</v>
      </c>
      <c r="P1884" t="s">
        <v>79</v>
      </c>
      <c r="Q1884" t="s">
        <v>71</v>
      </c>
      <c r="R1884" t="s">
        <v>72</v>
      </c>
      <c r="S1884" s="3">
        <v>5.35</v>
      </c>
      <c r="T1884" s="5">
        <v>45942</v>
      </c>
      <c r="U1884">
        <v>2</v>
      </c>
      <c r="V1884">
        <v>2025</v>
      </c>
      <c r="X1884">
        <f t="shared" si="87"/>
        <v>8.3998115999999996</v>
      </c>
      <c r="Y1884">
        <f t="shared" si="88"/>
        <v>5.3498115999999998</v>
      </c>
      <c r="Z1884">
        <f t="shared" si="89"/>
        <v>57.499811600000001</v>
      </c>
    </row>
    <row r="1885" spans="1:26" x14ac:dyDescent="0.3">
      <c r="A1885" t="s">
        <v>1975</v>
      </c>
      <c r="B1885" t="s">
        <v>107</v>
      </c>
      <c r="C1885" t="s">
        <v>56</v>
      </c>
      <c r="D1885" t="s">
        <v>57</v>
      </c>
      <c r="E1885">
        <v>23</v>
      </c>
      <c r="F1885" s="3">
        <v>6.64</v>
      </c>
      <c r="G1885" s="4">
        <v>62.7</v>
      </c>
      <c r="H1885">
        <v>2</v>
      </c>
      <c r="I1885">
        <v>2</v>
      </c>
      <c r="J1885">
        <v>6</v>
      </c>
      <c r="K1885" s="4">
        <v>52.2</v>
      </c>
      <c r="L1885" s="4">
        <v>74.3</v>
      </c>
      <c r="M1885" s="4">
        <v>68.900000000000006</v>
      </c>
      <c r="N1885">
        <v>0</v>
      </c>
      <c r="O1885" t="s">
        <v>58</v>
      </c>
      <c r="P1885" t="s">
        <v>75</v>
      </c>
      <c r="Q1885" t="s">
        <v>71</v>
      </c>
      <c r="R1885" t="s">
        <v>109</v>
      </c>
      <c r="S1885" s="3">
        <v>6.74</v>
      </c>
      <c r="T1885" s="5">
        <v>44512</v>
      </c>
      <c r="U1885">
        <v>1</v>
      </c>
      <c r="V1885">
        <v>2021</v>
      </c>
      <c r="X1885">
        <f t="shared" si="87"/>
        <v>6.6398114999999995</v>
      </c>
      <c r="Y1885">
        <f t="shared" si="88"/>
        <v>6.7398115000000001</v>
      </c>
      <c r="Z1885">
        <f t="shared" si="89"/>
        <v>74.299811500000004</v>
      </c>
    </row>
    <row r="1886" spans="1:26" x14ac:dyDescent="0.3">
      <c r="A1886" t="s">
        <v>1976</v>
      </c>
      <c r="B1886" t="s">
        <v>107</v>
      </c>
      <c r="C1886" t="s">
        <v>89</v>
      </c>
      <c r="D1886" t="s">
        <v>57</v>
      </c>
      <c r="E1886">
        <v>21</v>
      </c>
      <c r="F1886" s="3">
        <v>8.1300000000000008</v>
      </c>
      <c r="G1886" s="4">
        <v>89.5</v>
      </c>
      <c r="H1886">
        <v>0</v>
      </c>
      <c r="I1886">
        <v>0</v>
      </c>
      <c r="J1886">
        <v>3</v>
      </c>
      <c r="K1886" s="4">
        <v>77.900000000000006</v>
      </c>
      <c r="L1886" s="4">
        <v>45.5</v>
      </c>
      <c r="M1886" s="4">
        <v>62</v>
      </c>
      <c r="N1886">
        <v>1</v>
      </c>
      <c r="O1886" t="s">
        <v>58</v>
      </c>
      <c r="P1886" t="s">
        <v>95</v>
      </c>
      <c r="Q1886" t="s">
        <v>93</v>
      </c>
      <c r="R1886" t="s">
        <v>109</v>
      </c>
      <c r="S1886" s="3">
        <v>5.33</v>
      </c>
      <c r="T1886" s="5">
        <v>44437</v>
      </c>
      <c r="U1886">
        <v>1</v>
      </c>
      <c r="V1886">
        <v>2021</v>
      </c>
      <c r="X1886">
        <f t="shared" si="87"/>
        <v>8.1298114000000012</v>
      </c>
      <c r="Y1886">
        <f t="shared" si="88"/>
        <v>5.3298113999999996</v>
      </c>
      <c r="Z1886">
        <f t="shared" si="89"/>
        <v>45.499811399999999</v>
      </c>
    </row>
    <row r="1887" spans="1:26" x14ac:dyDescent="0.3">
      <c r="A1887" t="s">
        <v>1977</v>
      </c>
      <c r="B1887" t="s">
        <v>107</v>
      </c>
      <c r="C1887" t="s">
        <v>89</v>
      </c>
      <c r="D1887" t="s">
        <v>69</v>
      </c>
      <c r="E1887">
        <v>20</v>
      </c>
      <c r="F1887" s="3">
        <v>7.92</v>
      </c>
      <c r="G1887" s="4">
        <v>100</v>
      </c>
      <c r="H1887">
        <v>1</v>
      </c>
      <c r="I1887">
        <v>0</v>
      </c>
      <c r="J1887">
        <v>2</v>
      </c>
      <c r="K1887" s="4">
        <v>85.9</v>
      </c>
      <c r="L1887" s="4">
        <v>78.2</v>
      </c>
      <c r="M1887" s="4">
        <v>83.9</v>
      </c>
      <c r="N1887">
        <v>1</v>
      </c>
      <c r="O1887" t="s">
        <v>58</v>
      </c>
      <c r="P1887" t="s">
        <v>79</v>
      </c>
      <c r="Q1887" t="s">
        <v>71</v>
      </c>
      <c r="R1887" t="s">
        <v>72</v>
      </c>
      <c r="S1887" s="3">
        <v>6.1</v>
      </c>
      <c r="T1887" s="5">
        <v>44503</v>
      </c>
      <c r="U1887">
        <v>1</v>
      </c>
      <c r="V1887">
        <v>2021</v>
      </c>
      <c r="X1887">
        <f t="shared" si="87"/>
        <v>7.9198113000000001</v>
      </c>
      <c r="Y1887">
        <f t="shared" si="88"/>
        <v>6.0998112999999998</v>
      </c>
      <c r="Z1887">
        <f t="shared" si="89"/>
        <v>78.199811300000007</v>
      </c>
    </row>
    <row r="1888" spans="1:26" x14ac:dyDescent="0.3">
      <c r="A1888" t="s">
        <v>1978</v>
      </c>
      <c r="B1888" t="s">
        <v>107</v>
      </c>
      <c r="C1888" t="s">
        <v>89</v>
      </c>
      <c r="D1888" t="s">
        <v>57</v>
      </c>
      <c r="E1888">
        <v>22</v>
      </c>
      <c r="F1888" s="3">
        <v>6.39</v>
      </c>
      <c r="G1888" s="4">
        <v>83.2</v>
      </c>
      <c r="H1888">
        <v>1</v>
      </c>
      <c r="I1888">
        <v>4</v>
      </c>
      <c r="J1888">
        <v>3</v>
      </c>
      <c r="K1888" s="4">
        <v>80.8</v>
      </c>
      <c r="L1888" s="4">
        <v>61.7</v>
      </c>
      <c r="M1888" s="4">
        <v>71.7</v>
      </c>
      <c r="N1888">
        <v>1</v>
      </c>
      <c r="O1888" t="s">
        <v>58</v>
      </c>
      <c r="P1888" t="s">
        <v>112</v>
      </c>
      <c r="Q1888" t="s">
        <v>93</v>
      </c>
      <c r="R1888" t="s">
        <v>76</v>
      </c>
      <c r="S1888" s="3">
        <v>5.42</v>
      </c>
      <c r="T1888" s="5">
        <v>44426</v>
      </c>
      <c r="U1888">
        <v>1</v>
      </c>
      <c r="V1888">
        <v>2021</v>
      </c>
      <c r="X1888">
        <f t="shared" si="87"/>
        <v>6.3898111999999996</v>
      </c>
      <c r="Y1888">
        <f t="shared" si="88"/>
        <v>5.4198111999999998</v>
      </c>
      <c r="Z1888">
        <f t="shared" si="89"/>
        <v>61.699811200000006</v>
      </c>
    </row>
    <row r="1889" spans="1:26" x14ac:dyDescent="0.3">
      <c r="A1889" t="s">
        <v>1979</v>
      </c>
      <c r="B1889" t="s">
        <v>67</v>
      </c>
      <c r="C1889" t="s">
        <v>74</v>
      </c>
      <c r="D1889" t="s">
        <v>57</v>
      </c>
      <c r="E1889">
        <v>22</v>
      </c>
      <c r="F1889" s="3">
        <v>6.94</v>
      </c>
      <c r="G1889" s="4">
        <v>94.2</v>
      </c>
      <c r="H1889">
        <v>3</v>
      </c>
      <c r="I1889">
        <v>1</v>
      </c>
      <c r="J1889">
        <v>3</v>
      </c>
      <c r="K1889" s="4">
        <v>78.599999999999994</v>
      </c>
      <c r="L1889" s="4">
        <v>65.8</v>
      </c>
      <c r="M1889" s="4">
        <v>70.900000000000006</v>
      </c>
      <c r="N1889">
        <v>0</v>
      </c>
      <c r="O1889" t="s">
        <v>58</v>
      </c>
      <c r="P1889" t="s">
        <v>95</v>
      </c>
      <c r="Q1889" t="s">
        <v>93</v>
      </c>
      <c r="R1889" t="s">
        <v>130</v>
      </c>
      <c r="S1889" s="3">
        <v>6.56</v>
      </c>
      <c r="T1889" s="5">
        <v>45141</v>
      </c>
      <c r="U1889">
        <v>2</v>
      </c>
      <c r="V1889">
        <v>2023</v>
      </c>
      <c r="X1889">
        <f t="shared" si="87"/>
        <v>6.9398111</v>
      </c>
      <c r="Y1889">
        <f t="shared" si="88"/>
        <v>6.5598110999999992</v>
      </c>
      <c r="Z1889">
        <f t="shared" si="89"/>
        <v>65.799811099999999</v>
      </c>
    </row>
    <row r="1890" spans="1:26" x14ac:dyDescent="0.3">
      <c r="A1890" t="s">
        <v>1980</v>
      </c>
      <c r="B1890" t="s">
        <v>55</v>
      </c>
      <c r="C1890" t="s">
        <v>101</v>
      </c>
      <c r="D1890" t="s">
        <v>69</v>
      </c>
      <c r="E1890">
        <v>21</v>
      </c>
      <c r="F1890" s="3">
        <v>6.67</v>
      </c>
      <c r="G1890" s="4">
        <v>70.7</v>
      </c>
      <c r="H1890">
        <v>1</v>
      </c>
      <c r="I1890">
        <v>5</v>
      </c>
      <c r="J1890">
        <v>3</v>
      </c>
      <c r="K1890" s="4">
        <v>88.7</v>
      </c>
      <c r="L1890" s="4">
        <v>86.8</v>
      </c>
      <c r="M1890" s="4">
        <v>68</v>
      </c>
      <c r="N1890">
        <v>0</v>
      </c>
      <c r="O1890" t="s">
        <v>64</v>
      </c>
      <c r="P1890" t="s">
        <v>65</v>
      </c>
      <c r="S1890" s="3">
        <v>0</v>
      </c>
      <c r="T1890" s="5"/>
      <c r="U1890">
        <v>0</v>
      </c>
      <c r="V1890">
        <v>2024</v>
      </c>
      <c r="X1890">
        <f t="shared" si="87"/>
        <v>6.6698110000000002</v>
      </c>
      <c r="Y1890">
        <f t="shared" si="88"/>
        <v>-1.8899999999999999E-4</v>
      </c>
      <c r="Z1890">
        <f t="shared" si="89"/>
        <v>86.799810999999991</v>
      </c>
    </row>
    <row r="1891" spans="1:26" x14ac:dyDescent="0.3">
      <c r="A1891" t="s">
        <v>1981</v>
      </c>
      <c r="B1891" t="s">
        <v>82</v>
      </c>
      <c r="C1891" t="s">
        <v>84</v>
      </c>
      <c r="D1891" t="s">
        <v>57</v>
      </c>
      <c r="E1891">
        <v>21</v>
      </c>
      <c r="F1891" s="3">
        <v>7.32</v>
      </c>
      <c r="G1891" s="4">
        <v>75.5</v>
      </c>
      <c r="H1891">
        <v>2</v>
      </c>
      <c r="I1891">
        <v>2</v>
      </c>
      <c r="J1891">
        <v>3</v>
      </c>
      <c r="K1891" s="4">
        <v>81.5</v>
      </c>
      <c r="L1891" s="4">
        <v>97.3</v>
      </c>
      <c r="M1891" s="4">
        <v>100</v>
      </c>
      <c r="N1891">
        <v>0</v>
      </c>
      <c r="O1891" t="s">
        <v>58</v>
      </c>
      <c r="P1891" t="s">
        <v>75</v>
      </c>
      <c r="Q1891" t="s">
        <v>71</v>
      </c>
      <c r="R1891" t="s">
        <v>85</v>
      </c>
      <c r="S1891" s="3">
        <v>6.05</v>
      </c>
      <c r="T1891" s="5">
        <v>44808</v>
      </c>
      <c r="U1891">
        <v>2</v>
      </c>
      <c r="V1891">
        <v>2022</v>
      </c>
      <c r="X1891">
        <f t="shared" si="87"/>
        <v>7.3198109000000002</v>
      </c>
      <c r="Y1891">
        <f t="shared" si="88"/>
        <v>6.0498108999999998</v>
      </c>
      <c r="Z1891">
        <f t="shared" si="89"/>
        <v>97.299810899999997</v>
      </c>
    </row>
    <row r="1892" spans="1:26" x14ac:dyDescent="0.3">
      <c r="A1892" t="s">
        <v>1982</v>
      </c>
      <c r="B1892" t="s">
        <v>67</v>
      </c>
      <c r="C1892" t="s">
        <v>56</v>
      </c>
      <c r="D1892" t="s">
        <v>69</v>
      </c>
      <c r="E1892">
        <v>22</v>
      </c>
      <c r="F1892" s="3">
        <v>7.69</v>
      </c>
      <c r="G1892" s="4">
        <v>82.6</v>
      </c>
      <c r="H1892">
        <v>1</v>
      </c>
      <c r="I1892">
        <v>2</v>
      </c>
      <c r="J1892">
        <v>5</v>
      </c>
      <c r="K1892" s="4">
        <v>46.6</v>
      </c>
      <c r="L1892" s="4">
        <v>59.2</v>
      </c>
      <c r="M1892" s="4">
        <v>69.099999999999994</v>
      </c>
      <c r="N1892">
        <v>0</v>
      </c>
      <c r="O1892" t="s">
        <v>58</v>
      </c>
      <c r="P1892" t="s">
        <v>79</v>
      </c>
      <c r="Q1892" t="s">
        <v>71</v>
      </c>
      <c r="R1892" t="s">
        <v>72</v>
      </c>
      <c r="S1892" s="3">
        <v>4.66</v>
      </c>
      <c r="T1892" s="5">
        <v>45204</v>
      </c>
      <c r="U1892">
        <v>1</v>
      </c>
      <c r="V1892">
        <v>2023</v>
      </c>
      <c r="X1892">
        <f t="shared" si="87"/>
        <v>7.6898108000000001</v>
      </c>
      <c r="Y1892">
        <f t="shared" si="88"/>
        <v>4.6598107999999998</v>
      </c>
      <c r="Z1892">
        <f t="shared" si="89"/>
        <v>59.199810800000002</v>
      </c>
    </row>
    <row r="1893" spans="1:26" x14ac:dyDescent="0.3">
      <c r="A1893" t="s">
        <v>1983</v>
      </c>
      <c r="B1893" t="s">
        <v>67</v>
      </c>
      <c r="C1893" t="s">
        <v>56</v>
      </c>
      <c r="D1893" t="s">
        <v>57</v>
      </c>
      <c r="E1893">
        <v>20</v>
      </c>
      <c r="F1893" s="3">
        <v>6.81</v>
      </c>
      <c r="G1893" s="4">
        <v>74.3</v>
      </c>
      <c r="H1893">
        <v>2</v>
      </c>
      <c r="I1893">
        <v>4</v>
      </c>
      <c r="J1893">
        <v>3</v>
      </c>
      <c r="K1893" s="4">
        <v>81.3</v>
      </c>
      <c r="L1893" s="4">
        <v>57.2</v>
      </c>
      <c r="M1893" s="4">
        <v>82.4</v>
      </c>
      <c r="N1893">
        <v>3</v>
      </c>
      <c r="O1893" t="s">
        <v>58</v>
      </c>
      <c r="P1893" t="s">
        <v>92</v>
      </c>
      <c r="Q1893" t="s">
        <v>93</v>
      </c>
      <c r="R1893" t="s">
        <v>109</v>
      </c>
      <c r="S1893" s="3">
        <v>7.32</v>
      </c>
      <c r="T1893" s="5">
        <v>45142</v>
      </c>
      <c r="U1893">
        <v>1</v>
      </c>
      <c r="V1893">
        <v>2023</v>
      </c>
      <c r="X1893">
        <f t="shared" si="87"/>
        <v>6.8098106999999999</v>
      </c>
      <c r="Y1893">
        <f t="shared" si="88"/>
        <v>7.3198107000000006</v>
      </c>
      <c r="Z1893">
        <f t="shared" si="89"/>
        <v>57.1998107</v>
      </c>
    </row>
    <row r="1894" spans="1:26" x14ac:dyDescent="0.3">
      <c r="A1894" t="s">
        <v>1984</v>
      </c>
      <c r="B1894" t="s">
        <v>82</v>
      </c>
      <c r="C1894" t="s">
        <v>56</v>
      </c>
      <c r="D1894" t="s">
        <v>69</v>
      </c>
      <c r="E1894">
        <v>23</v>
      </c>
      <c r="F1894" s="3">
        <v>8.52</v>
      </c>
      <c r="G1894" s="4">
        <v>82.3</v>
      </c>
      <c r="H1894">
        <v>1</v>
      </c>
      <c r="I1894">
        <v>3</v>
      </c>
      <c r="J1894">
        <v>2</v>
      </c>
      <c r="K1894" s="4">
        <v>81.099999999999994</v>
      </c>
      <c r="L1894" s="4">
        <v>80.3</v>
      </c>
      <c r="M1894" s="4">
        <v>79.5</v>
      </c>
      <c r="N1894">
        <v>0</v>
      </c>
      <c r="O1894" t="s">
        <v>58</v>
      </c>
      <c r="P1894" t="s">
        <v>79</v>
      </c>
      <c r="Q1894" t="s">
        <v>71</v>
      </c>
      <c r="R1894" t="s">
        <v>72</v>
      </c>
      <c r="S1894" s="3">
        <v>6.84</v>
      </c>
      <c r="T1894" s="5">
        <v>44814</v>
      </c>
      <c r="U1894">
        <v>1</v>
      </c>
      <c r="V1894">
        <v>2022</v>
      </c>
      <c r="X1894">
        <f t="shared" si="87"/>
        <v>8.5198105999999996</v>
      </c>
      <c r="Y1894">
        <f t="shared" si="88"/>
        <v>6.8398105999999999</v>
      </c>
      <c r="Z1894">
        <f t="shared" si="89"/>
        <v>80.299810600000001</v>
      </c>
    </row>
    <row r="1895" spans="1:26" x14ac:dyDescent="0.3">
      <c r="A1895" t="s">
        <v>1985</v>
      </c>
      <c r="B1895" t="s">
        <v>82</v>
      </c>
      <c r="C1895" t="s">
        <v>101</v>
      </c>
      <c r="D1895" t="s">
        <v>57</v>
      </c>
      <c r="E1895">
        <v>23</v>
      </c>
      <c r="F1895" s="3">
        <v>8.6</v>
      </c>
      <c r="G1895" s="4">
        <v>91</v>
      </c>
      <c r="H1895">
        <v>1</v>
      </c>
      <c r="I1895">
        <v>2</v>
      </c>
      <c r="J1895">
        <v>3</v>
      </c>
      <c r="K1895" s="4">
        <v>41.8</v>
      </c>
      <c r="L1895" s="4">
        <v>79.599999999999994</v>
      </c>
      <c r="M1895" s="4">
        <v>47.3</v>
      </c>
      <c r="N1895">
        <v>0</v>
      </c>
      <c r="O1895" t="s">
        <v>64</v>
      </c>
      <c r="P1895" t="s">
        <v>65</v>
      </c>
      <c r="S1895" s="3">
        <v>0</v>
      </c>
      <c r="T1895" s="5"/>
      <c r="U1895">
        <v>0</v>
      </c>
      <c r="V1895">
        <v>2022</v>
      </c>
      <c r="X1895">
        <f t="shared" si="87"/>
        <v>8.5998105000000002</v>
      </c>
      <c r="Y1895">
        <f t="shared" si="88"/>
        <v>-1.895E-4</v>
      </c>
      <c r="Z1895">
        <f t="shared" si="89"/>
        <v>79.59981049999999</v>
      </c>
    </row>
    <row r="1896" spans="1:26" x14ac:dyDescent="0.3">
      <c r="A1896" t="s">
        <v>1986</v>
      </c>
      <c r="B1896" t="s">
        <v>107</v>
      </c>
      <c r="C1896" t="s">
        <v>78</v>
      </c>
      <c r="D1896" t="s">
        <v>69</v>
      </c>
      <c r="E1896">
        <v>21</v>
      </c>
      <c r="F1896" s="3">
        <v>8.76</v>
      </c>
      <c r="G1896" s="4">
        <v>74.099999999999994</v>
      </c>
      <c r="H1896">
        <v>1</v>
      </c>
      <c r="I1896">
        <v>0</v>
      </c>
      <c r="J1896">
        <v>5</v>
      </c>
      <c r="K1896" s="4">
        <v>58.6</v>
      </c>
      <c r="L1896" s="4">
        <v>52.2</v>
      </c>
      <c r="M1896" s="4">
        <v>100</v>
      </c>
      <c r="N1896">
        <v>1</v>
      </c>
      <c r="O1896" t="s">
        <v>58</v>
      </c>
      <c r="P1896" t="s">
        <v>104</v>
      </c>
      <c r="Q1896" t="s">
        <v>105</v>
      </c>
      <c r="R1896" t="s">
        <v>80</v>
      </c>
      <c r="S1896" s="3">
        <v>13.49</v>
      </c>
      <c r="T1896" s="5">
        <v>44522</v>
      </c>
      <c r="U1896">
        <v>2</v>
      </c>
      <c r="V1896">
        <v>2021</v>
      </c>
      <c r="X1896">
        <f t="shared" si="87"/>
        <v>8.7598103999999992</v>
      </c>
      <c r="Y1896">
        <f t="shared" si="88"/>
        <v>13.4898104</v>
      </c>
      <c r="Z1896">
        <f t="shared" si="89"/>
        <v>52.199810400000004</v>
      </c>
    </row>
    <row r="1897" spans="1:26" x14ac:dyDescent="0.3">
      <c r="A1897" t="s">
        <v>1987</v>
      </c>
      <c r="B1897" t="s">
        <v>67</v>
      </c>
      <c r="C1897" t="s">
        <v>89</v>
      </c>
      <c r="D1897" t="s">
        <v>57</v>
      </c>
      <c r="E1897">
        <v>22</v>
      </c>
      <c r="F1897" s="3">
        <v>5.2</v>
      </c>
      <c r="G1897" s="4">
        <v>91.4</v>
      </c>
      <c r="H1897">
        <v>3</v>
      </c>
      <c r="I1897">
        <v>4</v>
      </c>
      <c r="J1897">
        <v>3</v>
      </c>
      <c r="K1897" s="4">
        <v>90.1</v>
      </c>
      <c r="L1897" s="4">
        <v>69.599999999999994</v>
      </c>
      <c r="M1897" s="4">
        <v>51.8</v>
      </c>
      <c r="N1897">
        <v>0</v>
      </c>
      <c r="O1897" t="s">
        <v>64</v>
      </c>
      <c r="P1897" t="s">
        <v>65</v>
      </c>
      <c r="S1897" s="3">
        <v>0</v>
      </c>
      <c r="T1897" s="5"/>
      <c r="U1897">
        <v>0</v>
      </c>
      <c r="V1897">
        <v>2023</v>
      </c>
      <c r="X1897">
        <f t="shared" si="87"/>
        <v>5.1998103000000002</v>
      </c>
      <c r="Y1897">
        <f t="shared" si="88"/>
        <v>-1.897E-4</v>
      </c>
      <c r="Z1897">
        <f t="shared" si="89"/>
        <v>69.599810299999987</v>
      </c>
    </row>
    <row r="1898" spans="1:26" x14ac:dyDescent="0.3">
      <c r="A1898" t="s">
        <v>1988</v>
      </c>
      <c r="B1898" t="s">
        <v>63</v>
      </c>
      <c r="C1898" t="s">
        <v>74</v>
      </c>
      <c r="D1898" t="s">
        <v>69</v>
      </c>
      <c r="E1898">
        <v>22</v>
      </c>
      <c r="F1898" s="3">
        <v>9.4</v>
      </c>
      <c r="G1898" s="4">
        <v>64.7</v>
      </c>
      <c r="H1898">
        <v>0</v>
      </c>
      <c r="I1898">
        <v>3</v>
      </c>
      <c r="J1898">
        <v>3</v>
      </c>
      <c r="K1898" s="4">
        <v>66.2</v>
      </c>
      <c r="L1898" s="4">
        <v>69.7</v>
      </c>
      <c r="M1898" s="4">
        <v>63.2</v>
      </c>
      <c r="N1898">
        <v>2</v>
      </c>
      <c r="O1898" t="s">
        <v>58</v>
      </c>
      <c r="P1898" t="s">
        <v>95</v>
      </c>
      <c r="Q1898" t="s">
        <v>93</v>
      </c>
      <c r="R1898" t="s">
        <v>109</v>
      </c>
      <c r="S1898" s="3">
        <v>6.29</v>
      </c>
      <c r="T1898" s="5">
        <v>45959</v>
      </c>
      <c r="U1898">
        <v>3</v>
      </c>
      <c r="V1898">
        <v>2025</v>
      </c>
      <c r="X1898">
        <f t="shared" si="87"/>
        <v>9.399810200000001</v>
      </c>
      <c r="Y1898">
        <f t="shared" si="88"/>
        <v>6.2898101999999998</v>
      </c>
      <c r="Z1898">
        <f t="shared" si="89"/>
        <v>69.699810200000002</v>
      </c>
    </row>
    <row r="1899" spans="1:26" x14ac:dyDescent="0.3">
      <c r="A1899" t="s">
        <v>1989</v>
      </c>
      <c r="B1899" t="s">
        <v>82</v>
      </c>
      <c r="C1899" t="s">
        <v>89</v>
      </c>
      <c r="D1899" t="s">
        <v>57</v>
      </c>
      <c r="E1899">
        <v>22</v>
      </c>
      <c r="F1899" s="3">
        <v>7.8</v>
      </c>
      <c r="G1899" s="4">
        <v>76.900000000000006</v>
      </c>
      <c r="H1899">
        <v>1</v>
      </c>
      <c r="I1899">
        <v>3</v>
      </c>
      <c r="J1899">
        <v>3</v>
      </c>
      <c r="K1899" s="4">
        <v>52</v>
      </c>
      <c r="L1899" s="4">
        <v>69.400000000000006</v>
      </c>
      <c r="M1899" s="4">
        <v>67.900000000000006</v>
      </c>
      <c r="N1899">
        <v>0</v>
      </c>
      <c r="O1899" t="s">
        <v>58</v>
      </c>
      <c r="P1899" t="s">
        <v>75</v>
      </c>
      <c r="Q1899" t="s">
        <v>71</v>
      </c>
      <c r="R1899" t="s">
        <v>130</v>
      </c>
      <c r="S1899" s="3">
        <v>6.73</v>
      </c>
      <c r="T1899" s="5">
        <v>44868</v>
      </c>
      <c r="U1899">
        <v>3</v>
      </c>
      <c r="V1899">
        <v>2022</v>
      </c>
      <c r="X1899">
        <f t="shared" si="87"/>
        <v>7.7998101000000002</v>
      </c>
      <c r="Y1899">
        <f t="shared" si="88"/>
        <v>6.7298101000000008</v>
      </c>
      <c r="Z1899">
        <f t="shared" si="89"/>
        <v>69.39981010000001</v>
      </c>
    </row>
    <row r="1900" spans="1:26" x14ac:dyDescent="0.3">
      <c r="A1900" t="s">
        <v>1990</v>
      </c>
      <c r="B1900" t="s">
        <v>82</v>
      </c>
      <c r="C1900" t="s">
        <v>74</v>
      </c>
      <c r="D1900" t="s">
        <v>57</v>
      </c>
      <c r="E1900">
        <v>20</v>
      </c>
      <c r="F1900" s="3">
        <v>7.69</v>
      </c>
      <c r="G1900" s="4">
        <v>80.2</v>
      </c>
      <c r="H1900">
        <v>2</v>
      </c>
      <c r="I1900">
        <v>3</v>
      </c>
      <c r="J1900">
        <v>3</v>
      </c>
      <c r="K1900" s="4">
        <v>80.099999999999994</v>
      </c>
      <c r="L1900" s="4">
        <v>79.900000000000006</v>
      </c>
      <c r="M1900" s="4">
        <v>65.3</v>
      </c>
      <c r="N1900">
        <v>1</v>
      </c>
      <c r="O1900" t="s">
        <v>58</v>
      </c>
      <c r="P1900" t="s">
        <v>112</v>
      </c>
      <c r="Q1900" t="s">
        <v>93</v>
      </c>
      <c r="R1900" t="s">
        <v>130</v>
      </c>
      <c r="S1900" s="3">
        <v>8.08</v>
      </c>
      <c r="T1900" s="5">
        <v>44803</v>
      </c>
      <c r="U1900">
        <v>1</v>
      </c>
      <c r="V1900">
        <v>2022</v>
      </c>
      <c r="X1900">
        <f t="shared" si="87"/>
        <v>7.6898100000000005</v>
      </c>
      <c r="Y1900">
        <f t="shared" si="88"/>
        <v>8.0798100000000002</v>
      </c>
      <c r="Z1900">
        <f t="shared" si="89"/>
        <v>79.899810000000002</v>
      </c>
    </row>
    <row r="1901" spans="1:26" x14ac:dyDescent="0.3">
      <c r="A1901" t="s">
        <v>1991</v>
      </c>
      <c r="B1901" t="s">
        <v>55</v>
      </c>
      <c r="C1901" t="s">
        <v>68</v>
      </c>
      <c r="D1901" t="s">
        <v>57</v>
      </c>
      <c r="E1901">
        <v>21</v>
      </c>
      <c r="F1901" s="3">
        <v>7.56</v>
      </c>
      <c r="G1901" s="4">
        <v>73.7</v>
      </c>
      <c r="H1901">
        <v>1</v>
      </c>
      <c r="I1901">
        <v>1</v>
      </c>
      <c r="J1901">
        <v>3</v>
      </c>
      <c r="K1901" s="4">
        <v>64.099999999999994</v>
      </c>
      <c r="L1901" s="4">
        <v>92.7</v>
      </c>
      <c r="M1901" s="4">
        <v>71.3</v>
      </c>
      <c r="N1901">
        <v>1</v>
      </c>
      <c r="O1901" t="s">
        <v>58</v>
      </c>
      <c r="P1901" t="s">
        <v>90</v>
      </c>
      <c r="Q1901" t="s">
        <v>60</v>
      </c>
      <c r="R1901" t="s">
        <v>76</v>
      </c>
      <c r="S1901" s="3">
        <v>9.27</v>
      </c>
      <c r="T1901" s="5">
        <v>45591</v>
      </c>
      <c r="U1901">
        <v>1</v>
      </c>
      <c r="V1901">
        <v>2024</v>
      </c>
      <c r="X1901">
        <f t="shared" si="87"/>
        <v>7.5598098999999994</v>
      </c>
      <c r="Y1901">
        <f t="shared" si="88"/>
        <v>9.2698099000000003</v>
      </c>
      <c r="Z1901">
        <f t="shared" si="89"/>
        <v>92.699809900000005</v>
      </c>
    </row>
    <row r="1902" spans="1:26" x14ac:dyDescent="0.3">
      <c r="A1902" t="s">
        <v>1992</v>
      </c>
      <c r="B1902" t="s">
        <v>63</v>
      </c>
      <c r="C1902" t="s">
        <v>101</v>
      </c>
      <c r="D1902" t="s">
        <v>69</v>
      </c>
      <c r="E1902">
        <v>21</v>
      </c>
      <c r="F1902" s="3">
        <v>6.46</v>
      </c>
      <c r="G1902" s="4">
        <v>77</v>
      </c>
      <c r="H1902">
        <v>1</v>
      </c>
      <c r="I1902">
        <v>3</v>
      </c>
      <c r="J1902">
        <v>6</v>
      </c>
      <c r="K1902" s="4">
        <v>62.6</v>
      </c>
      <c r="L1902" s="4">
        <v>66.5</v>
      </c>
      <c r="M1902" s="4">
        <v>64.7</v>
      </c>
      <c r="N1902">
        <v>0</v>
      </c>
      <c r="O1902" t="s">
        <v>58</v>
      </c>
      <c r="P1902" t="s">
        <v>75</v>
      </c>
      <c r="Q1902" t="s">
        <v>71</v>
      </c>
      <c r="R1902" t="s">
        <v>130</v>
      </c>
      <c r="S1902" s="3">
        <v>3.52</v>
      </c>
      <c r="T1902" s="5">
        <v>45963</v>
      </c>
      <c r="U1902">
        <v>2</v>
      </c>
      <c r="V1902">
        <v>2025</v>
      </c>
      <c r="X1902">
        <f t="shared" si="87"/>
        <v>6.4598098000000004</v>
      </c>
      <c r="Y1902">
        <f t="shared" si="88"/>
        <v>3.5198098</v>
      </c>
      <c r="Z1902">
        <f t="shared" si="89"/>
        <v>66.499809799999994</v>
      </c>
    </row>
    <row r="1903" spans="1:26" x14ac:dyDescent="0.3">
      <c r="A1903" t="s">
        <v>1993</v>
      </c>
      <c r="B1903" t="s">
        <v>63</v>
      </c>
      <c r="C1903" t="s">
        <v>84</v>
      </c>
      <c r="D1903" t="s">
        <v>69</v>
      </c>
      <c r="E1903">
        <v>21</v>
      </c>
      <c r="F1903" s="3">
        <v>7.97</v>
      </c>
      <c r="G1903" s="4">
        <v>94.6</v>
      </c>
      <c r="H1903">
        <v>1</v>
      </c>
      <c r="I1903">
        <v>0</v>
      </c>
      <c r="J1903">
        <v>5</v>
      </c>
      <c r="K1903" s="4">
        <v>80.2</v>
      </c>
      <c r="L1903" s="4">
        <v>97</v>
      </c>
      <c r="M1903" s="4">
        <v>90.3</v>
      </c>
      <c r="N1903">
        <v>0</v>
      </c>
      <c r="O1903" t="s">
        <v>58</v>
      </c>
      <c r="P1903" t="s">
        <v>70</v>
      </c>
      <c r="Q1903" t="s">
        <v>71</v>
      </c>
      <c r="R1903" t="s">
        <v>80</v>
      </c>
      <c r="S1903" s="3">
        <v>8.06</v>
      </c>
      <c r="T1903" s="5">
        <v>45880</v>
      </c>
      <c r="U1903">
        <v>2</v>
      </c>
      <c r="V1903">
        <v>2025</v>
      </c>
      <c r="X1903">
        <f t="shared" si="87"/>
        <v>7.9698096999999999</v>
      </c>
      <c r="Y1903">
        <f t="shared" si="88"/>
        <v>8.0598097000000006</v>
      </c>
      <c r="Z1903">
        <f t="shared" si="89"/>
        <v>96.9998097</v>
      </c>
    </row>
    <row r="1904" spans="1:26" x14ac:dyDescent="0.3">
      <c r="A1904" t="s">
        <v>1994</v>
      </c>
      <c r="B1904" t="s">
        <v>82</v>
      </c>
      <c r="C1904" t="s">
        <v>84</v>
      </c>
      <c r="D1904" t="s">
        <v>57</v>
      </c>
      <c r="E1904">
        <v>20</v>
      </c>
      <c r="F1904" s="3">
        <v>9.1</v>
      </c>
      <c r="G1904" s="4">
        <v>93.2</v>
      </c>
      <c r="H1904">
        <v>1</v>
      </c>
      <c r="I1904">
        <v>1</v>
      </c>
      <c r="J1904">
        <v>4</v>
      </c>
      <c r="K1904" s="4">
        <v>73.7</v>
      </c>
      <c r="L1904" s="4">
        <v>68.2</v>
      </c>
      <c r="M1904" s="4">
        <v>81.099999999999994</v>
      </c>
      <c r="N1904">
        <v>0</v>
      </c>
      <c r="O1904" t="s">
        <v>58</v>
      </c>
      <c r="P1904" t="s">
        <v>92</v>
      </c>
      <c r="Q1904" t="s">
        <v>93</v>
      </c>
      <c r="R1904" t="s">
        <v>80</v>
      </c>
      <c r="S1904" s="3">
        <v>9.0500000000000007</v>
      </c>
      <c r="T1904" s="5">
        <v>44806</v>
      </c>
      <c r="U1904">
        <v>1</v>
      </c>
      <c r="V1904">
        <v>2022</v>
      </c>
      <c r="X1904">
        <f t="shared" si="87"/>
        <v>9.0998096000000004</v>
      </c>
      <c r="Y1904">
        <f t="shared" si="88"/>
        <v>9.0498096000000015</v>
      </c>
      <c r="Z1904">
        <f t="shared" si="89"/>
        <v>68.199809600000009</v>
      </c>
    </row>
    <row r="1905" spans="1:26" x14ac:dyDescent="0.3">
      <c r="A1905" t="s">
        <v>1995</v>
      </c>
      <c r="B1905" t="s">
        <v>107</v>
      </c>
      <c r="C1905" t="s">
        <v>84</v>
      </c>
      <c r="D1905" t="s">
        <v>57</v>
      </c>
      <c r="E1905">
        <v>21</v>
      </c>
      <c r="F1905" s="3">
        <v>7.79</v>
      </c>
      <c r="G1905" s="4">
        <v>88.5</v>
      </c>
      <c r="H1905">
        <v>1</v>
      </c>
      <c r="I1905">
        <v>0</v>
      </c>
      <c r="J1905">
        <v>5</v>
      </c>
      <c r="K1905" s="4">
        <v>66.3</v>
      </c>
      <c r="L1905" s="4">
        <v>94.5</v>
      </c>
      <c r="M1905" s="4">
        <v>66.599999999999994</v>
      </c>
      <c r="N1905">
        <v>0</v>
      </c>
      <c r="O1905" t="s">
        <v>58</v>
      </c>
      <c r="P1905" t="s">
        <v>112</v>
      </c>
      <c r="Q1905" t="s">
        <v>93</v>
      </c>
      <c r="R1905" t="s">
        <v>72</v>
      </c>
      <c r="S1905" s="3">
        <v>8.36</v>
      </c>
      <c r="T1905" s="5">
        <v>44446</v>
      </c>
      <c r="U1905">
        <v>2</v>
      </c>
      <c r="V1905">
        <v>2021</v>
      </c>
      <c r="X1905">
        <f t="shared" si="87"/>
        <v>7.7898094999999996</v>
      </c>
      <c r="Y1905">
        <f t="shared" si="88"/>
        <v>8.359809499999999</v>
      </c>
      <c r="Z1905">
        <f t="shared" si="89"/>
        <v>94.499809499999998</v>
      </c>
    </row>
    <row r="1906" spans="1:26" x14ac:dyDescent="0.3">
      <c r="A1906" t="s">
        <v>1996</v>
      </c>
      <c r="B1906" t="s">
        <v>55</v>
      </c>
      <c r="C1906" t="s">
        <v>74</v>
      </c>
      <c r="D1906" t="s">
        <v>69</v>
      </c>
      <c r="E1906">
        <v>23</v>
      </c>
      <c r="F1906" s="3">
        <v>6.65</v>
      </c>
      <c r="G1906" s="4">
        <v>91.4</v>
      </c>
      <c r="H1906">
        <v>2</v>
      </c>
      <c r="I1906">
        <v>0</v>
      </c>
      <c r="J1906">
        <v>4</v>
      </c>
      <c r="K1906" s="4">
        <v>72.599999999999994</v>
      </c>
      <c r="L1906" s="4">
        <v>76.400000000000006</v>
      </c>
      <c r="M1906" s="4">
        <v>64</v>
      </c>
      <c r="N1906">
        <v>0</v>
      </c>
      <c r="O1906" t="s">
        <v>58</v>
      </c>
      <c r="P1906" t="s">
        <v>70</v>
      </c>
      <c r="Q1906" t="s">
        <v>71</v>
      </c>
      <c r="R1906" t="s">
        <v>61</v>
      </c>
      <c r="S1906" s="3">
        <v>6.22</v>
      </c>
      <c r="T1906" s="5">
        <v>45614</v>
      </c>
      <c r="U1906">
        <v>1</v>
      </c>
      <c r="V1906">
        <v>2024</v>
      </c>
      <c r="X1906">
        <f t="shared" si="87"/>
        <v>6.6498094000000005</v>
      </c>
      <c r="Y1906">
        <f t="shared" si="88"/>
        <v>6.2198093999999999</v>
      </c>
      <c r="Z1906">
        <f t="shared" si="89"/>
        <v>76.399809400000009</v>
      </c>
    </row>
    <row r="1907" spans="1:26" x14ac:dyDescent="0.3">
      <c r="A1907" t="s">
        <v>1997</v>
      </c>
      <c r="B1907" t="s">
        <v>63</v>
      </c>
      <c r="C1907" t="s">
        <v>68</v>
      </c>
      <c r="D1907" t="s">
        <v>57</v>
      </c>
      <c r="E1907">
        <v>21</v>
      </c>
      <c r="F1907" s="3">
        <v>6.28</v>
      </c>
      <c r="G1907" s="4">
        <v>76.400000000000006</v>
      </c>
      <c r="H1907">
        <v>0</v>
      </c>
      <c r="I1907">
        <v>2</v>
      </c>
      <c r="J1907">
        <v>5</v>
      </c>
      <c r="K1907" s="4">
        <v>65.599999999999994</v>
      </c>
      <c r="L1907" s="4">
        <v>86.3</v>
      </c>
      <c r="M1907" s="4">
        <v>67.2</v>
      </c>
      <c r="N1907">
        <v>2</v>
      </c>
      <c r="O1907" t="s">
        <v>64</v>
      </c>
      <c r="P1907" t="s">
        <v>65</v>
      </c>
      <c r="S1907" s="3">
        <v>0</v>
      </c>
      <c r="T1907" s="5"/>
      <c r="U1907">
        <v>0</v>
      </c>
      <c r="V1907">
        <v>2025</v>
      </c>
      <c r="X1907">
        <f t="shared" si="87"/>
        <v>6.2798093000000001</v>
      </c>
      <c r="Y1907">
        <f t="shared" si="88"/>
        <v>-1.907E-4</v>
      </c>
      <c r="Z1907">
        <f t="shared" si="89"/>
        <v>86.299809299999993</v>
      </c>
    </row>
    <row r="1908" spans="1:26" x14ac:dyDescent="0.3">
      <c r="A1908" t="s">
        <v>1998</v>
      </c>
      <c r="B1908" t="s">
        <v>82</v>
      </c>
      <c r="C1908" t="s">
        <v>78</v>
      </c>
      <c r="D1908" t="s">
        <v>69</v>
      </c>
      <c r="E1908">
        <v>21</v>
      </c>
      <c r="F1908" s="3">
        <v>7.39</v>
      </c>
      <c r="G1908" s="4">
        <v>71</v>
      </c>
      <c r="H1908">
        <v>2</v>
      </c>
      <c r="I1908">
        <v>0</v>
      </c>
      <c r="J1908">
        <v>3</v>
      </c>
      <c r="K1908" s="4">
        <v>80.8</v>
      </c>
      <c r="L1908" s="4">
        <v>84.2</v>
      </c>
      <c r="M1908" s="4">
        <v>63.1</v>
      </c>
      <c r="N1908">
        <v>0</v>
      </c>
      <c r="O1908" t="s">
        <v>58</v>
      </c>
      <c r="P1908" t="s">
        <v>79</v>
      </c>
      <c r="Q1908" t="s">
        <v>71</v>
      </c>
      <c r="R1908" t="s">
        <v>130</v>
      </c>
      <c r="S1908" s="3">
        <v>7.09</v>
      </c>
      <c r="T1908" s="5">
        <v>44832</v>
      </c>
      <c r="U1908">
        <v>3</v>
      </c>
      <c r="V1908">
        <v>2022</v>
      </c>
      <c r="X1908">
        <f t="shared" si="87"/>
        <v>7.3898091999999993</v>
      </c>
      <c r="Y1908">
        <f t="shared" si="88"/>
        <v>7.0898091999999995</v>
      </c>
      <c r="Z1908">
        <f t="shared" si="89"/>
        <v>84.199809200000004</v>
      </c>
    </row>
    <row r="1909" spans="1:26" x14ac:dyDescent="0.3">
      <c r="A1909" t="s">
        <v>1999</v>
      </c>
      <c r="B1909" t="s">
        <v>63</v>
      </c>
      <c r="C1909" t="s">
        <v>84</v>
      </c>
      <c r="D1909" t="s">
        <v>69</v>
      </c>
      <c r="E1909">
        <v>21</v>
      </c>
      <c r="F1909" s="3">
        <v>6.98</v>
      </c>
      <c r="G1909" s="4">
        <v>74.7</v>
      </c>
      <c r="H1909">
        <v>1</v>
      </c>
      <c r="I1909">
        <v>1</v>
      </c>
      <c r="J1909">
        <v>4</v>
      </c>
      <c r="K1909" s="4">
        <v>48.2</v>
      </c>
      <c r="L1909" s="4">
        <v>57.8</v>
      </c>
      <c r="M1909" s="4">
        <v>59.6</v>
      </c>
      <c r="N1909">
        <v>0</v>
      </c>
      <c r="O1909" t="s">
        <v>58</v>
      </c>
      <c r="P1909" t="s">
        <v>90</v>
      </c>
      <c r="Q1909" t="s">
        <v>60</v>
      </c>
      <c r="R1909" t="s">
        <v>109</v>
      </c>
      <c r="S1909" s="3">
        <v>7.43</v>
      </c>
      <c r="T1909" s="5">
        <v>45989</v>
      </c>
      <c r="U1909">
        <v>3</v>
      </c>
      <c r="V1909">
        <v>2025</v>
      </c>
      <c r="X1909">
        <f t="shared" si="87"/>
        <v>6.9798091000000007</v>
      </c>
      <c r="Y1909">
        <f t="shared" si="88"/>
        <v>7.4298090999999999</v>
      </c>
      <c r="Z1909">
        <f t="shared" si="89"/>
        <v>57.799809099999997</v>
      </c>
    </row>
    <row r="1910" spans="1:26" x14ac:dyDescent="0.3">
      <c r="A1910" t="s">
        <v>2000</v>
      </c>
      <c r="B1910" t="s">
        <v>55</v>
      </c>
      <c r="C1910" t="s">
        <v>56</v>
      </c>
      <c r="D1910" t="s">
        <v>69</v>
      </c>
      <c r="E1910">
        <v>20</v>
      </c>
      <c r="F1910" s="3">
        <v>8.2799999999999994</v>
      </c>
      <c r="G1910" s="4">
        <v>76.099999999999994</v>
      </c>
      <c r="H1910">
        <v>1</v>
      </c>
      <c r="I1910">
        <v>1</v>
      </c>
      <c r="J1910">
        <v>1</v>
      </c>
      <c r="K1910" s="4">
        <v>65.3</v>
      </c>
      <c r="L1910" s="4">
        <v>75.5</v>
      </c>
      <c r="M1910" s="4">
        <v>85.2</v>
      </c>
      <c r="N1910">
        <v>0</v>
      </c>
      <c r="O1910" t="s">
        <v>58</v>
      </c>
      <c r="P1910" t="s">
        <v>70</v>
      </c>
      <c r="Q1910" t="s">
        <v>71</v>
      </c>
      <c r="R1910" t="s">
        <v>61</v>
      </c>
      <c r="S1910" s="3">
        <v>7.24</v>
      </c>
      <c r="T1910" s="5">
        <v>45603</v>
      </c>
      <c r="U1910">
        <v>2</v>
      </c>
      <c r="V1910">
        <v>2024</v>
      </c>
      <c r="X1910">
        <f t="shared" si="87"/>
        <v>8.2798090000000002</v>
      </c>
      <c r="Y1910">
        <f t="shared" si="88"/>
        <v>7.2398090000000002</v>
      </c>
      <c r="Z1910">
        <f t="shared" si="89"/>
        <v>75.499808999999999</v>
      </c>
    </row>
    <row r="1911" spans="1:26" x14ac:dyDescent="0.3">
      <c r="A1911" t="s">
        <v>2001</v>
      </c>
      <c r="B1911" t="s">
        <v>55</v>
      </c>
      <c r="C1911" t="s">
        <v>74</v>
      </c>
      <c r="D1911" t="s">
        <v>57</v>
      </c>
      <c r="E1911">
        <v>23</v>
      </c>
      <c r="F1911" s="3">
        <v>8.8800000000000008</v>
      </c>
      <c r="G1911" s="4">
        <v>76.5</v>
      </c>
      <c r="H1911">
        <v>1</v>
      </c>
      <c r="I1911">
        <v>2</v>
      </c>
      <c r="J1911">
        <v>3</v>
      </c>
      <c r="K1911" s="4">
        <v>62.2</v>
      </c>
      <c r="L1911" s="4">
        <v>56.3</v>
      </c>
      <c r="M1911" s="4">
        <v>69.3</v>
      </c>
      <c r="N1911">
        <v>1</v>
      </c>
      <c r="O1911" t="s">
        <v>58</v>
      </c>
      <c r="P1911" t="s">
        <v>59</v>
      </c>
      <c r="Q1911" t="s">
        <v>60</v>
      </c>
      <c r="R1911" t="s">
        <v>109</v>
      </c>
      <c r="S1911" s="3">
        <v>19.11</v>
      </c>
      <c r="T1911" s="5">
        <v>45555</v>
      </c>
      <c r="U1911">
        <v>1</v>
      </c>
      <c r="V1911">
        <v>2024</v>
      </c>
      <c r="X1911">
        <f t="shared" si="87"/>
        <v>8.8798089000000004</v>
      </c>
      <c r="Y1911">
        <f t="shared" si="88"/>
        <v>19.109808900000001</v>
      </c>
      <c r="Z1911">
        <f t="shared" si="89"/>
        <v>56.299808899999995</v>
      </c>
    </row>
    <row r="1912" spans="1:26" x14ac:dyDescent="0.3">
      <c r="A1912" t="s">
        <v>2002</v>
      </c>
      <c r="B1912" t="s">
        <v>67</v>
      </c>
      <c r="C1912" t="s">
        <v>56</v>
      </c>
      <c r="D1912" t="s">
        <v>57</v>
      </c>
      <c r="E1912">
        <v>23</v>
      </c>
      <c r="F1912" s="3">
        <v>8.07</v>
      </c>
      <c r="G1912" s="4">
        <v>86.8</v>
      </c>
      <c r="H1912">
        <v>2</v>
      </c>
      <c r="I1912">
        <v>2</v>
      </c>
      <c r="J1912">
        <v>3</v>
      </c>
      <c r="K1912" s="4">
        <v>72.3</v>
      </c>
      <c r="L1912" s="4">
        <v>68.5</v>
      </c>
      <c r="M1912" s="4">
        <v>78.7</v>
      </c>
      <c r="N1912">
        <v>2</v>
      </c>
      <c r="O1912" t="s">
        <v>58</v>
      </c>
      <c r="P1912" t="s">
        <v>95</v>
      </c>
      <c r="Q1912" t="s">
        <v>93</v>
      </c>
      <c r="R1912" t="s">
        <v>80</v>
      </c>
      <c r="S1912" s="3">
        <v>7.28</v>
      </c>
      <c r="T1912" s="5">
        <v>45203</v>
      </c>
      <c r="U1912">
        <v>1</v>
      </c>
      <c r="V1912">
        <v>2023</v>
      </c>
      <c r="X1912">
        <f t="shared" si="87"/>
        <v>8.0698088000000006</v>
      </c>
      <c r="Y1912">
        <f t="shared" si="88"/>
        <v>7.2798088000000005</v>
      </c>
      <c r="Z1912">
        <f t="shared" si="89"/>
        <v>68.499808799999997</v>
      </c>
    </row>
    <row r="1913" spans="1:26" x14ac:dyDescent="0.3">
      <c r="A1913" t="s">
        <v>2003</v>
      </c>
      <c r="B1913" t="s">
        <v>82</v>
      </c>
      <c r="C1913" t="s">
        <v>89</v>
      </c>
      <c r="D1913" t="s">
        <v>69</v>
      </c>
      <c r="E1913">
        <v>22</v>
      </c>
      <c r="F1913" s="3">
        <v>7.57</v>
      </c>
      <c r="G1913" s="4">
        <v>84.9</v>
      </c>
      <c r="H1913">
        <v>0</v>
      </c>
      <c r="I1913">
        <v>2</v>
      </c>
      <c r="J1913">
        <v>4</v>
      </c>
      <c r="K1913" s="4">
        <v>52.2</v>
      </c>
      <c r="L1913" s="4">
        <v>52.8</v>
      </c>
      <c r="M1913" s="4">
        <v>74.8</v>
      </c>
      <c r="N1913">
        <v>0</v>
      </c>
      <c r="O1913" t="s">
        <v>58</v>
      </c>
      <c r="P1913" t="s">
        <v>92</v>
      </c>
      <c r="Q1913" t="s">
        <v>93</v>
      </c>
      <c r="R1913" t="s">
        <v>72</v>
      </c>
      <c r="S1913" s="3">
        <v>6.84</v>
      </c>
      <c r="T1913" s="5">
        <v>44841</v>
      </c>
      <c r="U1913">
        <v>1</v>
      </c>
      <c r="V1913">
        <v>2022</v>
      </c>
      <c r="X1913">
        <f t="shared" si="87"/>
        <v>7.5698087000000003</v>
      </c>
      <c r="Y1913">
        <f t="shared" si="88"/>
        <v>6.8398086999999999</v>
      </c>
      <c r="Z1913">
        <f t="shared" si="89"/>
        <v>52.7998087</v>
      </c>
    </row>
    <row r="1914" spans="1:26" x14ac:dyDescent="0.3">
      <c r="A1914" t="s">
        <v>2004</v>
      </c>
      <c r="B1914" t="s">
        <v>55</v>
      </c>
      <c r="C1914" t="s">
        <v>74</v>
      </c>
      <c r="D1914" t="s">
        <v>69</v>
      </c>
      <c r="E1914">
        <v>22</v>
      </c>
      <c r="F1914" s="3">
        <v>7.53</v>
      </c>
      <c r="G1914" s="4">
        <v>80.400000000000006</v>
      </c>
      <c r="H1914">
        <v>2</v>
      </c>
      <c r="I1914">
        <v>3</v>
      </c>
      <c r="J1914">
        <v>3</v>
      </c>
      <c r="K1914" s="4">
        <v>89</v>
      </c>
      <c r="L1914" s="4">
        <v>67</v>
      </c>
      <c r="M1914" s="4">
        <v>91.4</v>
      </c>
      <c r="N1914">
        <v>0</v>
      </c>
      <c r="O1914" t="s">
        <v>64</v>
      </c>
      <c r="P1914" t="s">
        <v>65</v>
      </c>
      <c r="S1914" s="3">
        <v>0</v>
      </c>
      <c r="T1914" s="5"/>
      <c r="U1914">
        <v>0</v>
      </c>
      <c r="V1914">
        <v>2024</v>
      </c>
      <c r="X1914">
        <f t="shared" si="87"/>
        <v>7.5298086</v>
      </c>
      <c r="Y1914">
        <f t="shared" si="88"/>
        <v>-1.9139999999999999E-4</v>
      </c>
      <c r="Z1914">
        <f t="shared" si="89"/>
        <v>66.999808599999994</v>
      </c>
    </row>
    <row r="1915" spans="1:26" x14ac:dyDescent="0.3">
      <c r="A1915" t="s">
        <v>2005</v>
      </c>
      <c r="B1915" t="s">
        <v>67</v>
      </c>
      <c r="C1915" t="s">
        <v>74</v>
      </c>
      <c r="D1915" t="s">
        <v>69</v>
      </c>
      <c r="E1915">
        <v>23</v>
      </c>
      <c r="F1915" s="3">
        <v>7.71</v>
      </c>
      <c r="G1915" s="4">
        <v>81</v>
      </c>
      <c r="H1915">
        <v>2</v>
      </c>
      <c r="I1915">
        <v>2</v>
      </c>
      <c r="J1915">
        <v>4</v>
      </c>
      <c r="K1915" s="4">
        <v>57.6</v>
      </c>
      <c r="L1915" s="4">
        <v>70.900000000000006</v>
      </c>
      <c r="M1915" s="4">
        <v>84.7</v>
      </c>
      <c r="N1915">
        <v>0</v>
      </c>
      <c r="O1915" t="s">
        <v>64</v>
      </c>
      <c r="P1915" t="s">
        <v>65</v>
      </c>
      <c r="S1915" s="3">
        <v>0</v>
      </c>
      <c r="T1915" s="5"/>
      <c r="U1915">
        <v>0</v>
      </c>
      <c r="V1915">
        <v>2023</v>
      </c>
      <c r="X1915">
        <f t="shared" si="87"/>
        <v>7.7098085000000003</v>
      </c>
      <c r="Y1915">
        <f t="shared" si="88"/>
        <v>-1.9149999999999999E-4</v>
      </c>
      <c r="Z1915">
        <f t="shared" si="89"/>
        <v>70.899808500000006</v>
      </c>
    </row>
    <row r="1916" spans="1:26" x14ac:dyDescent="0.3">
      <c r="A1916" t="s">
        <v>2006</v>
      </c>
      <c r="B1916" t="s">
        <v>67</v>
      </c>
      <c r="C1916" t="s">
        <v>56</v>
      </c>
      <c r="D1916" t="s">
        <v>57</v>
      </c>
      <c r="E1916">
        <v>21</v>
      </c>
      <c r="F1916" s="3">
        <v>6.61</v>
      </c>
      <c r="G1916" s="4">
        <v>91.9</v>
      </c>
      <c r="H1916">
        <v>0</v>
      </c>
      <c r="I1916">
        <v>1</v>
      </c>
      <c r="J1916">
        <v>4</v>
      </c>
      <c r="K1916" s="4">
        <v>82.8</v>
      </c>
      <c r="L1916" s="4">
        <v>57.2</v>
      </c>
      <c r="M1916" s="4">
        <v>78.3</v>
      </c>
      <c r="N1916">
        <v>0</v>
      </c>
      <c r="O1916" t="s">
        <v>64</v>
      </c>
      <c r="P1916" t="s">
        <v>65</v>
      </c>
      <c r="S1916" s="3">
        <v>0</v>
      </c>
      <c r="T1916" s="5"/>
      <c r="U1916">
        <v>0</v>
      </c>
      <c r="V1916">
        <v>2023</v>
      </c>
      <c r="X1916">
        <f t="shared" si="87"/>
        <v>6.6098084000000004</v>
      </c>
      <c r="Y1916">
        <f t="shared" si="88"/>
        <v>-1.916E-4</v>
      </c>
      <c r="Z1916">
        <f t="shared" si="89"/>
        <v>57.199808400000002</v>
      </c>
    </row>
    <row r="1917" spans="1:26" x14ac:dyDescent="0.3">
      <c r="A1917" t="s">
        <v>2007</v>
      </c>
      <c r="B1917" t="s">
        <v>63</v>
      </c>
      <c r="C1917" t="s">
        <v>74</v>
      </c>
      <c r="D1917" t="s">
        <v>57</v>
      </c>
      <c r="E1917">
        <v>21</v>
      </c>
      <c r="F1917" s="3">
        <v>8.19</v>
      </c>
      <c r="G1917" s="4">
        <v>70.400000000000006</v>
      </c>
      <c r="H1917">
        <v>0</v>
      </c>
      <c r="I1917">
        <v>5</v>
      </c>
      <c r="J1917">
        <v>1</v>
      </c>
      <c r="K1917" s="4">
        <v>76.5</v>
      </c>
      <c r="L1917" s="4">
        <v>70</v>
      </c>
      <c r="M1917" s="4">
        <v>100</v>
      </c>
      <c r="N1917">
        <v>0</v>
      </c>
      <c r="O1917" t="s">
        <v>58</v>
      </c>
      <c r="P1917" t="s">
        <v>92</v>
      </c>
      <c r="Q1917" t="s">
        <v>93</v>
      </c>
      <c r="R1917" t="s">
        <v>72</v>
      </c>
      <c r="S1917" s="3">
        <v>9.17</v>
      </c>
      <c r="T1917" s="5">
        <v>45971</v>
      </c>
      <c r="U1917">
        <v>1</v>
      </c>
      <c r="V1917">
        <v>2025</v>
      </c>
      <c r="X1917">
        <f t="shared" si="87"/>
        <v>8.1898082999999993</v>
      </c>
      <c r="Y1917">
        <f t="shared" si="88"/>
        <v>9.1698082999999997</v>
      </c>
      <c r="Z1917">
        <f t="shared" si="89"/>
        <v>69.999808299999998</v>
      </c>
    </row>
    <row r="1918" spans="1:26" x14ac:dyDescent="0.3">
      <c r="A1918" t="s">
        <v>2008</v>
      </c>
      <c r="B1918" t="s">
        <v>63</v>
      </c>
      <c r="C1918" t="s">
        <v>101</v>
      </c>
      <c r="D1918" t="s">
        <v>57</v>
      </c>
      <c r="E1918">
        <v>21</v>
      </c>
      <c r="F1918" s="3">
        <v>6.68</v>
      </c>
      <c r="G1918" s="4">
        <v>89.1</v>
      </c>
      <c r="H1918">
        <v>1</v>
      </c>
      <c r="I1918">
        <v>0</v>
      </c>
      <c r="J1918">
        <v>3</v>
      </c>
      <c r="K1918" s="4">
        <v>71</v>
      </c>
      <c r="L1918" s="4">
        <v>82.1</v>
      </c>
      <c r="M1918" s="4">
        <v>65.5</v>
      </c>
      <c r="N1918">
        <v>0</v>
      </c>
      <c r="O1918" t="s">
        <v>58</v>
      </c>
      <c r="P1918" t="s">
        <v>90</v>
      </c>
      <c r="Q1918" t="s">
        <v>60</v>
      </c>
      <c r="R1918" t="s">
        <v>130</v>
      </c>
      <c r="S1918" s="3">
        <v>8.85</v>
      </c>
      <c r="T1918" s="5">
        <v>45906</v>
      </c>
      <c r="U1918">
        <v>1</v>
      </c>
      <c r="V1918">
        <v>2025</v>
      </c>
      <c r="X1918">
        <f t="shared" si="87"/>
        <v>6.6798082000000001</v>
      </c>
      <c r="Y1918">
        <f t="shared" si="88"/>
        <v>8.8498082</v>
      </c>
      <c r="Z1918">
        <f t="shared" si="89"/>
        <v>82.099808199999998</v>
      </c>
    </row>
    <row r="1919" spans="1:26" x14ac:dyDescent="0.3">
      <c r="A1919" t="s">
        <v>2009</v>
      </c>
      <c r="B1919" t="s">
        <v>67</v>
      </c>
      <c r="C1919" t="s">
        <v>56</v>
      </c>
      <c r="D1919" t="s">
        <v>69</v>
      </c>
      <c r="E1919">
        <v>20</v>
      </c>
      <c r="F1919" s="3">
        <v>8.65</v>
      </c>
      <c r="G1919" s="4">
        <v>63</v>
      </c>
      <c r="H1919">
        <v>2</v>
      </c>
      <c r="I1919">
        <v>1</v>
      </c>
      <c r="J1919">
        <v>2</v>
      </c>
      <c r="K1919" s="4">
        <v>71.400000000000006</v>
      </c>
      <c r="L1919" s="4">
        <v>55.3</v>
      </c>
      <c r="M1919" s="4">
        <v>71.7</v>
      </c>
      <c r="N1919">
        <v>1</v>
      </c>
      <c r="O1919" t="s">
        <v>58</v>
      </c>
      <c r="P1919" t="s">
        <v>92</v>
      </c>
      <c r="Q1919" t="s">
        <v>93</v>
      </c>
      <c r="R1919" t="s">
        <v>76</v>
      </c>
      <c r="S1919" s="3">
        <v>9.01</v>
      </c>
      <c r="T1919" s="5">
        <v>45145</v>
      </c>
      <c r="U1919">
        <v>3</v>
      </c>
      <c r="V1919">
        <v>2023</v>
      </c>
      <c r="X1919">
        <f t="shared" si="87"/>
        <v>8.6498080999999996</v>
      </c>
      <c r="Y1919">
        <f t="shared" si="88"/>
        <v>9.009808099999999</v>
      </c>
      <c r="Z1919">
        <f t="shared" si="89"/>
        <v>55.2998081</v>
      </c>
    </row>
    <row r="1920" spans="1:26" x14ac:dyDescent="0.3">
      <c r="A1920" t="s">
        <v>2010</v>
      </c>
      <c r="B1920" t="s">
        <v>63</v>
      </c>
      <c r="C1920" t="s">
        <v>78</v>
      </c>
      <c r="D1920" t="s">
        <v>57</v>
      </c>
      <c r="E1920">
        <v>21</v>
      </c>
      <c r="F1920" s="3">
        <v>7.32</v>
      </c>
      <c r="G1920" s="4">
        <v>76.900000000000006</v>
      </c>
      <c r="H1920">
        <v>1</v>
      </c>
      <c r="I1920">
        <v>2</v>
      </c>
      <c r="J1920">
        <v>2</v>
      </c>
      <c r="K1920" s="4">
        <v>42</v>
      </c>
      <c r="L1920" s="4">
        <v>83.3</v>
      </c>
      <c r="M1920" s="4">
        <v>81.8</v>
      </c>
      <c r="N1920">
        <v>0</v>
      </c>
      <c r="O1920" t="s">
        <v>58</v>
      </c>
      <c r="P1920" t="s">
        <v>95</v>
      </c>
      <c r="Q1920" t="s">
        <v>93</v>
      </c>
      <c r="R1920" t="s">
        <v>76</v>
      </c>
      <c r="S1920" s="3">
        <v>8.35</v>
      </c>
      <c r="T1920" s="5">
        <v>45929</v>
      </c>
      <c r="U1920">
        <v>1</v>
      </c>
      <c r="V1920">
        <v>2025</v>
      </c>
      <c r="X1920">
        <f t="shared" si="87"/>
        <v>7.3198080000000001</v>
      </c>
      <c r="Y1920">
        <f t="shared" si="88"/>
        <v>8.3498079999999995</v>
      </c>
      <c r="Z1920">
        <f t="shared" si="89"/>
        <v>83.299807999999999</v>
      </c>
    </row>
    <row r="1921" spans="1:26" x14ac:dyDescent="0.3">
      <c r="A1921" t="s">
        <v>2011</v>
      </c>
      <c r="B1921" t="s">
        <v>55</v>
      </c>
      <c r="C1921" t="s">
        <v>89</v>
      </c>
      <c r="D1921" t="s">
        <v>57</v>
      </c>
      <c r="E1921">
        <v>20</v>
      </c>
      <c r="F1921" s="3">
        <v>8.4</v>
      </c>
      <c r="G1921" s="4">
        <v>95.6</v>
      </c>
      <c r="H1921">
        <v>2</v>
      </c>
      <c r="I1921">
        <v>3</v>
      </c>
      <c r="J1921">
        <v>4</v>
      </c>
      <c r="K1921" s="4">
        <v>60.9</v>
      </c>
      <c r="L1921" s="4">
        <v>83.9</v>
      </c>
      <c r="M1921" s="4">
        <v>84.1</v>
      </c>
      <c r="N1921">
        <v>2</v>
      </c>
      <c r="O1921" t="s">
        <v>58</v>
      </c>
      <c r="P1921" t="s">
        <v>70</v>
      </c>
      <c r="Q1921" t="s">
        <v>71</v>
      </c>
      <c r="R1921" t="s">
        <v>130</v>
      </c>
      <c r="S1921" s="3">
        <v>8.43</v>
      </c>
      <c r="T1921" s="5">
        <v>45563</v>
      </c>
      <c r="U1921">
        <v>3</v>
      </c>
      <c r="V1921">
        <v>2024</v>
      </c>
      <c r="X1921">
        <f t="shared" si="87"/>
        <v>8.3998079000000008</v>
      </c>
      <c r="Y1921">
        <f t="shared" si="88"/>
        <v>8.4298079000000001</v>
      </c>
      <c r="Z1921">
        <f t="shared" si="89"/>
        <v>83.899807899999999</v>
      </c>
    </row>
    <row r="1922" spans="1:26" x14ac:dyDescent="0.3">
      <c r="A1922" t="s">
        <v>2012</v>
      </c>
      <c r="B1922" t="s">
        <v>107</v>
      </c>
      <c r="C1922" t="s">
        <v>101</v>
      </c>
      <c r="D1922" t="s">
        <v>57</v>
      </c>
      <c r="E1922">
        <v>23</v>
      </c>
      <c r="F1922" s="3">
        <v>6.32</v>
      </c>
      <c r="G1922" s="4">
        <v>84.7</v>
      </c>
      <c r="H1922">
        <v>1</v>
      </c>
      <c r="I1922">
        <v>3</v>
      </c>
      <c r="J1922">
        <v>5</v>
      </c>
      <c r="K1922" s="4">
        <v>100</v>
      </c>
      <c r="L1922" s="4">
        <v>55.7</v>
      </c>
      <c r="M1922" s="4">
        <v>63.5</v>
      </c>
      <c r="N1922">
        <v>0</v>
      </c>
      <c r="O1922" t="s">
        <v>64</v>
      </c>
      <c r="P1922" t="s">
        <v>65</v>
      </c>
      <c r="S1922" s="3">
        <v>0</v>
      </c>
      <c r="T1922" s="5"/>
      <c r="U1922">
        <v>0</v>
      </c>
      <c r="V1922">
        <v>2021</v>
      </c>
      <c r="X1922">
        <f t="shared" ref="X1922:X1985" si="90">F1922-ROW()*0.0000001</f>
        <v>6.3198078000000004</v>
      </c>
      <c r="Y1922">
        <f t="shared" ref="Y1922:Y1985" si="91">S1922-ROW()*0.0000001</f>
        <v>-1.9219999999999998E-4</v>
      </c>
      <c r="Z1922">
        <f t="shared" ref="Z1922:Z1985" si="92">L1922-ROW()*0.0000001</f>
        <v>55.699807800000002</v>
      </c>
    </row>
    <row r="1923" spans="1:26" x14ac:dyDescent="0.3">
      <c r="A1923" t="s">
        <v>2013</v>
      </c>
      <c r="B1923" t="s">
        <v>55</v>
      </c>
      <c r="C1923" t="s">
        <v>56</v>
      </c>
      <c r="D1923" t="s">
        <v>57</v>
      </c>
      <c r="E1923">
        <v>21</v>
      </c>
      <c r="F1923" s="3">
        <v>8.39</v>
      </c>
      <c r="G1923" s="4">
        <v>77.8</v>
      </c>
      <c r="H1923">
        <v>2</v>
      </c>
      <c r="I1923">
        <v>0</v>
      </c>
      <c r="J1923">
        <v>3</v>
      </c>
      <c r="K1923" s="4">
        <v>71</v>
      </c>
      <c r="L1923" s="4">
        <v>30.8</v>
      </c>
      <c r="M1923" s="4">
        <v>73.599999999999994</v>
      </c>
      <c r="N1923">
        <v>1</v>
      </c>
      <c r="O1923" t="s">
        <v>64</v>
      </c>
      <c r="P1923" t="s">
        <v>65</v>
      </c>
      <c r="S1923" s="3">
        <v>0</v>
      </c>
      <c r="T1923" s="5"/>
      <c r="U1923">
        <v>0</v>
      </c>
      <c r="V1923">
        <v>2024</v>
      </c>
      <c r="X1923">
        <f t="shared" si="90"/>
        <v>8.3898077000000004</v>
      </c>
      <c r="Y1923">
        <f t="shared" si="91"/>
        <v>-1.9229999999999999E-4</v>
      </c>
      <c r="Z1923">
        <f t="shared" si="92"/>
        <v>30.799807700000002</v>
      </c>
    </row>
    <row r="1924" spans="1:26" x14ac:dyDescent="0.3">
      <c r="A1924" t="s">
        <v>2014</v>
      </c>
      <c r="B1924" t="s">
        <v>67</v>
      </c>
      <c r="C1924" t="s">
        <v>84</v>
      </c>
      <c r="D1924" t="s">
        <v>69</v>
      </c>
      <c r="E1924">
        <v>21</v>
      </c>
      <c r="F1924" s="3">
        <v>8.8800000000000008</v>
      </c>
      <c r="G1924" s="4">
        <v>90.2</v>
      </c>
      <c r="H1924">
        <v>1</v>
      </c>
      <c r="I1924">
        <v>3</v>
      </c>
      <c r="J1924">
        <v>5</v>
      </c>
      <c r="K1924" s="4">
        <v>73.8</v>
      </c>
      <c r="L1924" s="4">
        <v>86.4</v>
      </c>
      <c r="M1924" s="4">
        <v>74.3</v>
      </c>
      <c r="N1924">
        <v>2</v>
      </c>
      <c r="O1924" t="s">
        <v>64</v>
      </c>
      <c r="P1924" t="s">
        <v>65</v>
      </c>
      <c r="S1924" s="3">
        <v>0</v>
      </c>
      <c r="T1924" s="5"/>
      <c r="U1924">
        <v>0</v>
      </c>
      <c r="V1924">
        <v>2023</v>
      </c>
      <c r="X1924">
        <f t="shared" si="90"/>
        <v>8.8798076000000012</v>
      </c>
      <c r="Y1924">
        <f t="shared" si="91"/>
        <v>-1.9239999999999999E-4</v>
      </c>
      <c r="Z1924">
        <f t="shared" si="92"/>
        <v>86.399807600000003</v>
      </c>
    </row>
    <row r="1925" spans="1:26" x14ac:dyDescent="0.3">
      <c r="A1925" t="s">
        <v>2015</v>
      </c>
      <c r="B1925" t="s">
        <v>67</v>
      </c>
      <c r="C1925" t="s">
        <v>89</v>
      </c>
      <c r="D1925" t="s">
        <v>57</v>
      </c>
      <c r="E1925">
        <v>22</v>
      </c>
      <c r="F1925" s="3">
        <v>6.5</v>
      </c>
      <c r="G1925" s="4">
        <v>87.4</v>
      </c>
      <c r="H1925">
        <v>1</v>
      </c>
      <c r="I1925">
        <v>3</v>
      </c>
      <c r="J1925">
        <v>5</v>
      </c>
      <c r="K1925" s="4">
        <v>41.1</v>
      </c>
      <c r="L1925" s="4">
        <v>66.3</v>
      </c>
      <c r="M1925" s="4">
        <v>100</v>
      </c>
      <c r="N1925">
        <v>3</v>
      </c>
      <c r="O1925" t="s">
        <v>64</v>
      </c>
      <c r="P1925" t="s">
        <v>65</v>
      </c>
      <c r="S1925" s="3">
        <v>0</v>
      </c>
      <c r="T1925" s="5"/>
      <c r="U1925">
        <v>0</v>
      </c>
      <c r="V1925">
        <v>2023</v>
      </c>
      <c r="X1925">
        <f t="shared" si="90"/>
        <v>6.4998075000000002</v>
      </c>
      <c r="Y1925">
        <f t="shared" si="91"/>
        <v>-1.9249999999999999E-4</v>
      </c>
      <c r="Z1925">
        <f t="shared" si="92"/>
        <v>66.2998075</v>
      </c>
    </row>
    <row r="1926" spans="1:26" x14ac:dyDescent="0.3">
      <c r="A1926" t="s">
        <v>2016</v>
      </c>
      <c r="B1926" t="s">
        <v>55</v>
      </c>
      <c r="C1926" t="s">
        <v>84</v>
      </c>
      <c r="D1926" t="s">
        <v>57</v>
      </c>
      <c r="E1926">
        <v>23</v>
      </c>
      <c r="F1926" s="3">
        <v>7.55</v>
      </c>
      <c r="G1926" s="4">
        <v>87</v>
      </c>
      <c r="H1926">
        <v>3</v>
      </c>
      <c r="I1926">
        <v>1</v>
      </c>
      <c r="J1926">
        <v>3</v>
      </c>
      <c r="K1926" s="4">
        <v>64.599999999999994</v>
      </c>
      <c r="L1926" s="4">
        <v>70</v>
      </c>
      <c r="M1926" s="4">
        <v>81.900000000000006</v>
      </c>
      <c r="N1926">
        <v>1</v>
      </c>
      <c r="O1926" t="s">
        <v>58</v>
      </c>
      <c r="P1926" t="s">
        <v>75</v>
      </c>
      <c r="Q1926" t="s">
        <v>71</v>
      </c>
      <c r="R1926" t="s">
        <v>109</v>
      </c>
      <c r="S1926" s="3">
        <v>5.18</v>
      </c>
      <c r="T1926" s="5">
        <v>45540</v>
      </c>
      <c r="U1926">
        <v>1</v>
      </c>
      <c r="V1926">
        <v>2024</v>
      </c>
      <c r="X1926">
        <f t="shared" si="90"/>
        <v>7.5498073999999997</v>
      </c>
      <c r="Y1926">
        <f t="shared" si="91"/>
        <v>5.1798073999999996</v>
      </c>
      <c r="Z1926">
        <f t="shared" si="92"/>
        <v>69.999807399999995</v>
      </c>
    </row>
    <row r="1927" spans="1:26" x14ac:dyDescent="0.3">
      <c r="A1927" t="s">
        <v>2017</v>
      </c>
      <c r="B1927" t="s">
        <v>63</v>
      </c>
      <c r="C1927" t="s">
        <v>84</v>
      </c>
      <c r="D1927" t="s">
        <v>57</v>
      </c>
      <c r="E1927">
        <v>21</v>
      </c>
      <c r="F1927" s="3">
        <v>7.95</v>
      </c>
      <c r="G1927" s="4">
        <v>80.2</v>
      </c>
      <c r="H1927">
        <v>2</v>
      </c>
      <c r="I1927">
        <v>0</v>
      </c>
      <c r="J1927">
        <v>4</v>
      </c>
      <c r="K1927" s="4">
        <v>63</v>
      </c>
      <c r="L1927" s="4">
        <v>100</v>
      </c>
      <c r="M1927" s="4">
        <v>87</v>
      </c>
      <c r="N1927">
        <v>0</v>
      </c>
      <c r="O1927" t="s">
        <v>58</v>
      </c>
      <c r="P1927" t="s">
        <v>59</v>
      </c>
      <c r="Q1927" t="s">
        <v>60</v>
      </c>
      <c r="R1927" t="s">
        <v>61</v>
      </c>
      <c r="S1927" s="3">
        <v>21.44</v>
      </c>
      <c r="T1927" s="5">
        <v>45980</v>
      </c>
      <c r="U1927">
        <v>2</v>
      </c>
      <c r="V1927">
        <v>2025</v>
      </c>
      <c r="X1927">
        <f t="shared" si="90"/>
        <v>7.9498072999999998</v>
      </c>
      <c r="Y1927">
        <f t="shared" si="91"/>
        <v>21.439807300000002</v>
      </c>
      <c r="Z1927">
        <f t="shared" si="92"/>
        <v>99.999807300000001</v>
      </c>
    </row>
    <row r="1928" spans="1:26" x14ac:dyDescent="0.3">
      <c r="A1928" t="s">
        <v>2018</v>
      </c>
      <c r="B1928" t="s">
        <v>63</v>
      </c>
      <c r="C1928" t="s">
        <v>56</v>
      </c>
      <c r="D1928" t="s">
        <v>57</v>
      </c>
      <c r="E1928">
        <v>20</v>
      </c>
      <c r="F1928" s="3">
        <v>8</v>
      </c>
      <c r="G1928" s="4">
        <v>90.6</v>
      </c>
      <c r="H1928">
        <v>1</v>
      </c>
      <c r="I1928">
        <v>3</v>
      </c>
      <c r="J1928">
        <v>2</v>
      </c>
      <c r="K1928" s="4">
        <v>57.6</v>
      </c>
      <c r="L1928" s="4">
        <v>76.400000000000006</v>
      </c>
      <c r="M1928" s="4">
        <v>69.3</v>
      </c>
      <c r="N1928">
        <v>0</v>
      </c>
      <c r="O1928" t="s">
        <v>58</v>
      </c>
      <c r="P1928" t="s">
        <v>92</v>
      </c>
      <c r="Q1928" t="s">
        <v>93</v>
      </c>
      <c r="R1928" t="s">
        <v>61</v>
      </c>
      <c r="S1928" s="3">
        <v>9.16</v>
      </c>
      <c r="T1928" s="5">
        <v>45907</v>
      </c>
      <c r="U1928">
        <v>1</v>
      </c>
      <c r="V1928">
        <v>2025</v>
      </c>
      <c r="X1928">
        <f t="shared" si="90"/>
        <v>7.9998072000000002</v>
      </c>
      <c r="Y1928">
        <f t="shared" si="91"/>
        <v>9.1598071999999995</v>
      </c>
      <c r="Z1928">
        <f t="shared" si="92"/>
        <v>76.399807200000012</v>
      </c>
    </row>
    <row r="1929" spans="1:26" x14ac:dyDescent="0.3">
      <c r="A1929" t="s">
        <v>2019</v>
      </c>
      <c r="B1929" t="s">
        <v>67</v>
      </c>
      <c r="C1929" t="s">
        <v>56</v>
      </c>
      <c r="D1929" t="s">
        <v>57</v>
      </c>
      <c r="E1929">
        <v>23</v>
      </c>
      <c r="F1929" s="3">
        <v>7.34</v>
      </c>
      <c r="G1929" s="4">
        <v>76.2</v>
      </c>
      <c r="H1929">
        <v>2</v>
      </c>
      <c r="I1929">
        <v>1</v>
      </c>
      <c r="J1929">
        <v>5</v>
      </c>
      <c r="K1929" s="4">
        <v>76</v>
      </c>
      <c r="L1929" s="4">
        <v>77</v>
      </c>
      <c r="M1929" s="4">
        <v>65</v>
      </c>
      <c r="N1929">
        <v>1</v>
      </c>
      <c r="O1929" t="s">
        <v>58</v>
      </c>
      <c r="P1929" t="s">
        <v>87</v>
      </c>
      <c r="Q1929" t="s">
        <v>71</v>
      </c>
      <c r="R1929" t="s">
        <v>72</v>
      </c>
      <c r="S1929" s="3">
        <v>6.3</v>
      </c>
      <c r="T1929" s="5">
        <v>45254</v>
      </c>
      <c r="U1929">
        <v>1</v>
      </c>
      <c r="V1929">
        <v>2023</v>
      </c>
      <c r="X1929">
        <f t="shared" si="90"/>
        <v>7.3398070999999998</v>
      </c>
      <c r="Y1929">
        <f t="shared" si="91"/>
        <v>6.2998070999999998</v>
      </c>
      <c r="Z1929">
        <f t="shared" si="92"/>
        <v>76.999807099999998</v>
      </c>
    </row>
    <row r="1930" spans="1:26" x14ac:dyDescent="0.3">
      <c r="A1930" t="s">
        <v>2020</v>
      </c>
      <c r="B1930" t="s">
        <v>82</v>
      </c>
      <c r="C1930" t="s">
        <v>74</v>
      </c>
      <c r="D1930" t="s">
        <v>57</v>
      </c>
      <c r="E1930">
        <v>22</v>
      </c>
      <c r="F1930" s="3">
        <v>7.19</v>
      </c>
      <c r="G1930" s="4">
        <v>75.8</v>
      </c>
      <c r="H1930">
        <v>2</v>
      </c>
      <c r="I1930">
        <v>0</v>
      </c>
      <c r="J1930">
        <v>2</v>
      </c>
      <c r="K1930" s="4">
        <v>62</v>
      </c>
      <c r="L1930" s="4">
        <v>69.900000000000006</v>
      </c>
      <c r="M1930" s="4">
        <v>68.900000000000006</v>
      </c>
      <c r="N1930">
        <v>1</v>
      </c>
      <c r="O1930" t="s">
        <v>58</v>
      </c>
      <c r="P1930" t="s">
        <v>70</v>
      </c>
      <c r="Q1930" t="s">
        <v>71</v>
      </c>
      <c r="R1930" t="s">
        <v>76</v>
      </c>
      <c r="S1930" s="3">
        <v>3.6</v>
      </c>
      <c r="T1930" s="5">
        <v>44828</v>
      </c>
      <c r="U1930">
        <v>1</v>
      </c>
      <c r="V1930">
        <v>2022</v>
      </c>
      <c r="X1930">
        <f t="shared" si="90"/>
        <v>7.1898070000000001</v>
      </c>
      <c r="Y1930">
        <f t="shared" si="91"/>
        <v>3.5998070000000002</v>
      </c>
      <c r="Z1930">
        <f t="shared" si="92"/>
        <v>69.89980700000001</v>
      </c>
    </row>
    <row r="1931" spans="1:26" x14ac:dyDescent="0.3">
      <c r="A1931" t="s">
        <v>2021</v>
      </c>
      <c r="B1931" t="s">
        <v>63</v>
      </c>
      <c r="C1931" t="s">
        <v>68</v>
      </c>
      <c r="D1931" t="s">
        <v>69</v>
      </c>
      <c r="E1931">
        <v>23</v>
      </c>
      <c r="F1931" s="3">
        <v>7.88</v>
      </c>
      <c r="G1931" s="4">
        <v>98.9</v>
      </c>
      <c r="H1931">
        <v>1</v>
      </c>
      <c r="I1931">
        <v>1</v>
      </c>
      <c r="J1931">
        <v>4</v>
      </c>
      <c r="K1931" s="4">
        <v>57.9</v>
      </c>
      <c r="L1931" s="4">
        <v>67.099999999999994</v>
      </c>
      <c r="M1931" s="4">
        <v>80.599999999999994</v>
      </c>
      <c r="N1931">
        <v>0</v>
      </c>
      <c r="O1931" t="s">
        <v>58</v>
      </c>
      <c r="P1931" t="s">
        <v>79</v>
      </c>
      <c r="Q1931" t="s">
        <v>71</v>
      </c>
      <c r="R1931" t="s">
        <v>61</v>
      </c>
      <c r="S1931" s="3">
        <v>6.54</v>
      </c>
      <c r="T1931" s="5">
        <v>45899</v>
      </c>
      <c r="U1931">
        <v>1</v>
      </c>
      <c r="V1931">
        <v>2025</v>
      </c>
      <c r="X1931">
        <f t="shared" si="90"/>
        <v>7.8798069000000002</v>
      </c>
      <c r="Y1931">
        <f t="shared" si="91"/>
        <v>6.5398069000000003</v>
      </c>
      <c r="Z1931">
        <f t="shared" si="92"/>
        <v>67.09980689999999</v>
      </c>
    </row>
    <row r="1932" spans="1:26" x14ac:dyDescent="0.3">
      <c r="A1932" t="s">
        <v>2022</v>
      </c>
      <c r="B1932" t="s">
        <v>55</v>
      </c>
      <c r="C1932" t="s">
        <v>56</v>
      </c>
      <c r="D1932" t="s">
        <v>57</v>
      </c>
      <c r="E1932">
        <v>20</v>
      </c>
      <c r="F1932" s="3">
        <v>7.97</v>
      </c>
      <c r="G1932" s="4">
        <v>77.5</v>
      </c>
      <c r="H1932">
        <v>1</v>
      </c>
      <c r="I1932">
        <v>0</v>
      </c>
      <c r="J1932">
        <v>3</v>
      </c>
      <c r="K1932" s="4">
        <v>47.4</v>
      </c>
      <c r="L1932" s="4">
        <v>69.099999999999994</v>
      </c>
      <c r="M1932" s="4">
        <v>91.7</v>
      </c>
      <c r="N1932">
        <v>2</v>
      </c>
      <c r="O1932" t="s">
        <v>58</v>
      </c>
      <c r="P1932" t="s">
        <v>104</v>
      </c>
      <c r="Q1932" t="s">
        <v>105</v>
      </c>
      <c r="R1932" t="s">
        <v>76</v>
      </c>
      <c r="S1932" s="3">
        <v>15.41</v>
      </c>
      <c r="T1932" s="5">
        <v>45530</v>
      </c>
      <c r="U1932">
        <v>1</v>
      </c>
      <c r="V1932">
        <v>2024</v>
      </c>
      <c r="X1932">
        <f t="shared" si="90"/>
        <v>7.9698067999999997</v>
      </c>
      <c r="Y1932">
        <f t="shared" si="91"/>
        <v>15.4098068</v>
      </c>
      <c r="Z1932">
        <f t="shared" si="92"/>
        <v>69.099806799999996</v>
      </c>
    </row>
    <row r="1933" spans="1:26" x14ac:dyDescent="0.3">
      <c r="A1933" t="s">
        <v>2023</v>
      </c>
      <c r="B1933" t="s">
        <v>63</v>
      </c>
      <c r="C1933" t="s">
        <v>56</v>
      </c>
      <c r="D1933" t="s">
        <v>57</v>
      </c>
      <c r="E1933">
        <v>22</v>
      </c>
      <c r="F1933" s="3">
        <v>7.09</v>
      </c>
      <c r="G1933" s="4">
        <v>63.7</v>
      </c>
      <c r="H1933">
        <v>1</v>
      </c>
      <c r="I1933">
        <v>1</v>
      </c>
      <c r="J1933">
        <v>6</v>
      </c>
      <c r="K1933" s="4">
        <v>52.5</v>
      </c>
      <c r="L1933" s="4">
        <v>67.8</v>
      </c>
      <c r="M1933" s="4">
        <v>56.9</v>
      </c>
      <c r="N1933">
        <v>0</v>
      </c>
      <c r="O1933" t="s">
        <v>58</v>
      </c>
      <c r="P1933" t="s">
        <v>104</v>
      </c>
      <c r="Q1933" t="s">
        <v>105</v>
      </c>
      <c r="R1933" t="s">
        <v>85</v>
      </c>
      <c r="S1933" s="3">
        <v>14.8</v>
      </c>
      <c r="T1933" s="5">
        <v>45964</v>
      </c>
      <c r="U1933">
        <v>2</v>
      </c>
      <c r="V1933">
        <v>2025</v>
      </c>
      <c r="X1933">
        <f t="shared" si="90"/>
        <v>7.0898066999999996</v>
      </c>
      <c r="Y1933">
        <f t="shared" si="91"/>
        <v>14.799806700000001</v>
      </c>
      <c r="Z1933">
        <f t="shared" si="92"/>
        <v>67.799806699999991</v>
      </c>
    </row>
    <row r="1934" spans="1:26" x14ac:dyDescent="0.3">
      <c r="A1934" t="s">
        <v>2024</v>
      </c>
      <c r="B1934" t="s">
        <v>55</v>
      </c>
      <c r="C1934" t="s">
        <v>68</v>
      </c>
      <c r="D1934" t="s">
        <v>57</v>
      </c>
      <c r="E1934">
        <v>20</v>
      </c>
      <c r="F1934" s="3">
        <v>6.91</v>
      </c>
      <c r="G1934" s="4">
        <v>91.6</v>
      </c>
      <c r="H1934">
        <v>3</v>
      </c>
      <c r="I1934">
        <v>1</v>
      </c>
      <c r="J1934">
        <v>3</v>
      </c>
      <c r="K1934" s="4">
        <v>54.2</v>
      </c>
      <c r="L1934" s="4">
        <v>44.7</v>
      </c>
      <c r="M1934" s="4">
        <v>97.8</v>
      </c>
      <c r="N1934">
        <v>0</v>
      </c>
      <c r="O1934" t="s">
        <v>58</v>
      </c>
      <c r="P1934" t="s">
        <v>59</v>
      </c>
      <c r="Q1934" t="s">
        <v>60</v>
      </c>
      <c r="R1934" t="s">
        <v>76</v>
      </c>
      <c r="S1934" s="3">
        <v>18.75</v>
      </c>
      <c r="T1934" s="5">
        <v>45546</v>
      </c>
      <c r="U1934">
        <v>1</v>
      </c>
      <c r="V1934">
        <v>2024</v>
      </c>
      <c r="X1934">
        <f t="shared" si="90"/>
        <v>6.9098066000000005</v>
      </c>
      <c r="Y1934">
        <f t="shared" si="91"/>
        <v>18.749806599999999</v>
      </c>
      <c r="Z1934">
        <f t="shared" si="92"/>
        <v>44.699806600000002</v>
      </c>
    </row>
    <row r="1935" spans="1:26" x14ac:dyDescent="0.3">
      <c r="A1935" t="s">
        <v>2025</v>
      </c>
      <c r="B1935" t="s">
        <v>67</v>
      </c>
      <c r="C1935" t="s">
        <v>56</v>
      </c>
      <c r="D1935" t="s">
        <v>69</v>
      </c>
      <c r="E1935">
        <v>23</v>
      </c>
      <c r="F1935" s="3">
        <v>8.74</v>
      </c>
      <c r="G1935" s="4">
        <v>94.3</v>
      </c>
      <c r="H1935">
        <v>1</v>
      </c>
      <c r="I1935">
        <v>1</v>
      </c>
      <c r="J1935">
        <v>1</v>
      </c>
      <c r="K1935" s="4">
        <v>63.2</v>
      </c>
      <c r="L1935" s="4">
        <v>55</v>
      </c>
      <c r="M1935" s="4">
        <v>84.6</v>
      </c>
      <c r="N1935">
        <v>0</v>
      </c>
      <c r="O1935" t="s">
        <v>58</v>
      </c>
      <c r="P1935" t="s">
        <v>104</v>
      </c>
      <c r="Q1935" t="s">
        <v>105</v>
      </c>
      <c r="R1935" t="s">
        <v>72</v>
      </c>
      <c r="S1935" s="3">
        <v>16.309999999999999</v>
      </c>
      <c r="T1935" s="5">
        <v>45185</v>
      </c>
      <c r="U1935">
        <v>1</v>
      </c>
      <c r="V1935">
        <v>2023</v>
      </c>
      <c r="X1935">
        <f t="shared" si="90"/>
        <v>8.7398065000000003</v>
      </c>
      <c r="Y1935">
        <f t="shared" si="91"/>
        <v>16.309806499999997</v>
      </c>
      <c r="Z1935">
        <f t="shared" si="92"/>
        <v>54.999806499999998</v>
      </c>
    </row>
    <row r="1936" spans="1:26" x14ac:dyDescent="0.3">
      <c r="A1936" t="s">
        <v>2026</v>
      </c>
      <c r="B1936" t="s">
        <v>63</v>
      </c>
      <c r="C1936" t="s">
        <v>56</v>
      </c>
      <c r="D1936" t="s">
        <v>69</v>
      </c>
      <c r="E1936">
        <v>22</v>
      </c>
      <c r="F1936" s="3">
        <v>7.75</v>
      </c>
      <c r="G1936" s="4">
        <v>79.900000000000006</v>
      </c>
      <c r="H1936">
        <v>0</v>
      </c>
      <c r="I1936">
        <v>4</v>
      </c>
      <c r="J1936">
        <v>4</v>
      </c>
      <c r="K1936" s="4">
        <v>61.1</v>
      </c>
      <c r="L1936" s="4">
        <v>69.099999999999994</v>
      </c>
      <c r="M1936" s="4">
        <v>86</v>
      </c>
      <c r="N1936">
        <v>0</v>
      </c>
      <c r="O1936" t="s">
        <v>58</v>
      </c>
      <c r="P1936" t="s">
        <v>92</v>
      </c>
      <c r="Q1936" t="s">
        <v>93</v>
      </c>
      <c r="R1936" t="s">
        <v>85</v>
      </c>
      <c r="S1936" s="3">
        <v>7.04</v>
      </c>
      <c r="T1936" s="5">
        <v>45888</v>
      </c>
      <c r="U1936">
        <v>2</v>
      </c>
      <c r="V1936">
        <v>2025</v>
      </c>
      <c r="X1936">
        <f t="shared" si="90"/>
        <v>7.7498063999999998</v>
      </c>
      <c r="Y1936">
        <f t="shared" si="91"/>
        <v>7.0398063999999998</v>
      </c>
      <c r="Z1936">
        <f t="shared" si="92"/>
        <v>69.099806399999991</v>
      </c>
    </row>
    <row r="1937" spans="1:26" x14ac:dyDescent="0.3">
      <c r="A1937" t="s">
        <v>2027</v>
      </c>
      <c r="B1937" t="s">
        <v>55</v>
      </c>
      <c r="C1937" t="s">
        <v>68</v>
      </c>
      <c r="D1937" t="s">
        <v>69</v>
      </c>
      <c r="E1937">
        <v>20</v>
      </c>
      <c r="F1937" s="3">
        <v>5.61</v>
      </c>
      <c r="G1937" s="4">
        <v>63.2</v>
      </c>
      <c r="H1937">
        <v>1</v>
      </c>
      <c r="I1937">
        <v>1</v>
      </c>
      <c r="J1937">
        <v>5</v>
      </c>
      <c r="K1937" s="4">
        <v>59.2</v>
      </c>
      <c r="L1937" s="4">
        <v>100</v>
      </c>
      <c r="M1937" s="4">
        <v>85.2</v>
      </c>
      <c r="N1937">
        <v>0</v>
      </c>
      <c r="O1937" t="s">
        <v>58</v>
      </c>
      <c r="P1937" t="s">
        <v>59</v>
      </c>
      <c r="Q1937" t="s">
        <v>60</v>
      </c>
      <c r="R1937" t="s">
        <v>130</v>
      </c>
      <c r="S1937" s="3">
        <v>20.75</v>
      </c>
      <c r="T1937" s="5">
        <v>45608</v>
      </c>
      <c r="U1937">
        <v>1</v>
      </c>
      <c r="V1937">
        <v>2024</v>
      </c>
      <c r="X1937">
        <f t="shared" si="90"/>
        <v>5.6098063000000007</v>
      </c>
      <c r="Y1937">
        <f t="shared" si="91"/>
        <v>20.749806299999999</v>
      </c>
      <c r="Z1937">
        <f t="shared" si="92"/>
        <v>99.999806300000003</v>
      </c>
    </row>
    <row r="1938" spans="1:26" x14ac:dyDescent="0.3">
      <c r="A1938" t="s">
        <v>2028</v>
      </c>
      <c r="B1938" t="s">
        <v>67</v>
      </c>
      <c r="C1938" t="s">
        <v>56</v>
      </c>
      <c r="D1938" t="s">
        <v>57</v>
      </c>
      <c r="E1938">
        <v>23</v>
      </c>
      <c r="F1938" s="3">
        <v>8.75</v>
      </c>
      <c r="G1938" s="4">
        <v>81.5</v>
      </c>
      <c r="H1938">
        <v>0</v>
      </c>
      <c r="I1938">
        <v>2</v>
      </c>
      <c r="J1938">
        <v>4</v>
      </c>
      <c r="K1938" s="4">
        <v>44.4</v>
      </c>
      <c r="L1938" s="4">
        <v>49.2</v>
      </c>
      <c r="M1938" s="4">
        <v>69.099999999999994</v>
      </c>
      <c r="N1938">
        <v>1</v>
      </c>
      <c r="O1938" t="s">
        <v>58</v>
      </c>
      <c r="P1938" t="s">
        <v>79</v>
      </c>
      <c r="Q1938" t="s">
        <v>71</v>
      </c>
      <c r="R1938" t="s">
        <v>85</v>
      </c>
      <c r="S1938" s="3">
        <v>4.59</v>
      </c>
      <c r="T1938" s="5">
        <v>45215</v>
      </c>
      <c r="U1938">
        <v>3</v>
      </c>
      <c r="V1938">
        <v>2023</v>
      </c>
      <c r="X1938">
        <f t="shared" si="90"/>
        <v>8.7498062000000001</v>
      </c>
      <c r="Y1938">
        <f t="shared" si="91"/>
        <v>4.5898061999999999</v>
      </c>
      <c r="Z1938">
        <f t="shared" si="92"/>
        <v>49.199806200000005</v>
      </c>
    </row>
    <row r="1939" spans="1:26" x14ac:dyDescent="0.3">
      <c r="A1939" t="s">
        <v>2029</v>
      </c>
      <c r="B1939" t="s">
        <v>82</v>
      </c>
      <c r="C1939" t="s">
        <v>74</v>
      </c>
      <c r="D1939" t="s">
        <v>69</v>
      </c>
      <c r="E1939">
        <v>20</v>
      </c>
      <c r="F1939" s="3">
        <v>7.11</v>
      </c>
      <c r="G1939" s="4">
        <v>100</v>
      </c>
      <c r="H1939">
        <v>1</v>
      </c>
      <c r="I1939">
        <v>4</v>
      </c>
      <c r="J1939">
        <v>6</v>
      </c>
      <c r="K1939" s="4">
        <v>53.9</v>
      </c>
      <c r="L1939" s="4">
        <v>62.2</v>
      </c>
      <c r="M1939" s="4">
        <v>72.5</v>
      </c>
      <c r="N1939">
        <v>0</v>
      </c>
      <c r="O1939" t="s">
        <v>58</v>
      </c>
      <c r="P1939" t="s">
        <v>75</v>
      </c>
      <c r="Q1939" t="s">
        <v>71</v>
      </c>
      <c r="R1939" t="s">
        <v>80</v>
      </c>
      <c r="S1939" s="3">
        <v>5.0199999999999996</v>
      </c>
      <c r="T1939" s="5">
        <v>44860</v>
      </c>
      <c r="U1939">
        <v>2</v>
      </c>
      <c r="V1939">
        <v>2022</v>
      </c>
      <c r="X1939">
        <f t="shared" si="90"/>
        <v>7.1098061000000001</v>
      </c>
      <c r="Y1939">
        <f t="shared" si="91"/>
        <v>5.0198060999999994</v>
      </c>
      <c r="Z1939">
        <f t="shared" si="92"/>
        <v>62.199806100000004</v>
      </c>
    </row>
    <row r="1940" spans="1:26" x14ac:dyDescent="0.3">
      <c r="A1940" t="s">
        <v>2030</v>
      </c>
      <c r="B1940" t="s">
        <v>55</v>
      </c>
      <c r="C1940" t="s">
        <v>68</v>
      </c>
      <c r="D1940" t="s">
        <v>57</v>
      </c>
      <c r="E1940">
        <v>21</v>
      </c>
      <c r="F1940" s="3">
        <v>7.71</v>
      </c>
      <c r="G1940" s="4">
        <v>83.8</v>
      </c>
      <c r="H1940">
        <v>1</v>
      </c>
      <c r="I1940">
        <v>4</v>
      </c>
      <c r="J1940">
        <v>5</v>
      </c>
      <c r="K1940" s="4">
        <v>69.8</v>
      </c>
      <c r="L1940" s="4">
        <v>62.1</v>
      </c>
      <c r="M1940" s="4">
        <v>82.2</v>
      </c>
      <c r="N1940">
        <v>0</v>
      </c>
      <c r="O1940" t="s">
        <v>58</v>
      </c>
      <c r="P1940" t="s">
        <v>75</v>
      </c>
      <c r="Q1940" t="s">
        <v>71</v>
      </c>
      <c r="R1940" t="s">
        <v>109</v>
      </c>
      <c r="S1940" s="3">
        <v>3.45</v>
      </c>
      <c r="T1940" s="5">
        <v>45587</v>
      </c>
      <c r="U1940">
        <v>2</v>
      </c>
      <c r="V1940">
        <v>2024</v>
      </c>
      <c r="X1940">
        <f t="shared" si="90"/>
        <v>7.7098060000000004</v>
      </c>
      <c r="Y1940">
        <f t="shared" si="91"/>
        <v>3.4498060000000002</v>
      </c>
      <c r="Z1940">
        <f t="shared" si="92"/>
        <v>62.099806000000001</v>
      </c>
    </row>
    <row r="1941" spans="1:26" x14ac:dyDescent="0.3">
      <c r="A1941" t="s">
        <v>2031</v>
      </c>
      <c r="B1941" t="s">
        <v>82</v>
      </c>
      <c r="C1941" t="s">
        <v>68</v>
      </c>
      <c r="D1941" t="s">
        <v>69</v>
      </c>
      <c r="E1941">
        <v>23</v>
      </c>
      <c r="F1941" s="3">
        <v>7.99</v>
      </c>
      <c r="G1941" s="4">
        <v>88.9</v>
      </c>
      <c r="H1941">
        <v>1</v>
      </c>
      <c r="I1941">
        <v>1</v>
      </c>
      <c r="J1941">
        <v>4</v>
      </c>
      <c r="K1941" s="4">
        <v>88.4</v>
      </c>
      <c r="L1941" s="4">
        <v>80.400000000000006</v>
      </c>
      <c r="M1941" s="4">
        <v>71</v>
      </c>
      <c r="N1941">
        <v>1</v>
      </c>
      <c r="O1941" t="s">
        <v>64</v>
      </c>
      <c r="P1941" t="s">
        <v>65</v>
      </c>
      <c r="S1941" s="3">
        <v>0</v>
      </c>
      <c r="T1941" s="5"/>
      <c r="U1941">
        <v>0</v>
      </c>
      <c r="V1941">
        <v>2022</v>
      </c>
      <c r="X1941">
        <f t="shared" si="90"/>
        <v>7.9898059000000003</v>
      </c>
      <c r="Y1941">
        <f t="shared" si="91"/>
        <v>-1.941E-4</v>
      </c>
      <c r="Z1941">
        <f t="shared" si="92"/>
        <v>80.399805900000004</v>
      </c>
    </row>
    <row r="1942" spans="1:26" x14ac:dyDescent="0.3">
      <c r="A1942" t="s">
        <v>2032</v>
      </c>
      <c r="B1942" t="s">
        <v>82</v>
      </c>
      <c r="C1942" t="s">
        <v>101</v>
      </c>
      <c r="D1942" t="s">
        <v>57</v>
      </c>
      <c r="E1942">
        <v>22</v>
      </c>
      <c r="F1942" s="3">
        <v>6.31</v>
      </c>
      <c r="G1942" s="4">
        <v>89.4</v>
      </c>
      <c r="H1942">
        <v>3</v>
      </c>
      <c r="I1942">
        <v>1</v>
      </c>
      <c r="J1942">
        <v>3</v>
      </c>
      <c r="K1942" s="4">
        <v>90.4</v>
      </c>
      <c r="L1942" s="4">
        <v>71.400000000000006</v>
      </c>
      <c r="M1942" s="4">
        <v>76.8</v>
      </c>
      <c r="N1942">
        <v>1</v>
      </c>
      <c r="O1942" t="s">
        <v>64</v>
      </c>
      <c r="P1942" t="s">
        <v>65</v>
      </c>
      <c r="S1942" s="3">
        <v>0</v>
      </c>
      <c r="T1942" s="5"/>
      <c r="U1942">
        <v>0</v>
      </c>
      <c r="V1942">
        <v>2022</v>
      </c>
      <c r="X1942">
        <f t="shared" si="90"/>
        <v>6.3098057999999995</v>
      </c>
      <c r="Y1942">
        <f t="shared" si="91"/>
        <v>-1.942E-4</v>
      </c>
      <c r="Z1942">
        <f t="shared" si="92"/>
        <v>71.39980580000001</v>
      </c>
    </row>
    <row r="1943" spans="1:26" x14ac:dyDescent="0.3">
      <c r="A1943" t="s">
        <v>2033</v>
      </c>
      <c r="B1943" t="s">
        <v>107</v>
      </c>
      <c r="C1943" t="s">
        <v>68</v>
      </c>
      <c r="D1943" t="s">
        <v>57</v>
      </c>
      <c r="E1943">
        <v>22</v>
      </c>
      <c r="F1943" s="3">
        <v>7.39</v>
      </c>
      <c r="G1943" s="4">
        <v>90.7</v>
      </c>
      <c r="H1943">
        <v>3</v>
      </c>
      <c r="I1943">
        <v>2</v>
      </c>
      <c r="J1943">
        <v>1</v>
      </c>
      <c r="K1943" s="4">
        <v>96</v>
      </c>
      <c r="L1943" s="4">
        <v>60.4</v>
      </c>
      <c r="M1943" s="4">
        <v>66</v>
      </c>
      <c r="N1943">
        <v>0</v>
      </c>
      <c r="O1943" t="s">
        <v>58</v>
      </c>
      <c r="P1943" t="s">
        <v>70</v>
      </c>
      <c r="Q1943" t="s">
        <v>71</v>
      </c>
      <c r="R1943" t="s">
        <v>61</v>
      </c>
      <c r="S1943" s="3">
        <v>6.12</v>
      </c>
      <c r="T1943" s="5">
        <v>44498</v>
      </c>
      <c r="U1943">
        <v>1</v>
      </c>
      <c r="V1943">
        <v>2021</v>
      </c>
      <c r="X1943">
        <f t="shared" si="90"/>
        <v>7.3898056999999993</v>
      </c>
      <c r="Y1943">
        <f t="shared" si="91"/>
        <v>6.1198056999999997</v>
      </c>
      <c r="Z1943">
        <f t="shared" si="92"/>
        <v>60.399805700000002</v>
      </c>
    </row>
    <row r="1944" spans="1:26" x14ac:dyDescent="0.3">
      <c r="A1944" t="s">
        <v>2034</v>
      </c>
      <c r="B1944" t="s">
        <v>63</v>
      </c>
      <c r="C1944" t="s">
        <v>68</v>
      </c>
      <c r="D1944" t="s">
        <v>69</v>
      </c>
      <c r="E1944">
        <v>21</v>
      </c>
      <c r="F1944" s="3">
        <v>8.84</v>
      </c>
      <c r="G1944" s="4">
        <v>98.8</v>
      </c>
      <c r="H1944">
        <v>0</v>
      </c>
      <c r="I1944">
        <v>4</v>
      </c>
      <c r="J1944">
        <v>6</v>
      </c>
      <c r="K1944" s="4">
        <v>71.7</v>
      </c>
      <c r="L1944" s="4">
        <v>87.3</v>
      </c>
      <c r="M1944" s="4">
        <v>83.3</v>
      </c>
      <c r="N1944">
        <v>0</v>
      </c>
      <c r="O1944" t="s">
        <v>58</v>
      </c>
      <c r="P1944" t="s">
        <v>79</v>
      </c>
      <c r="Q1944" t="s">
        <v>71</v>
      </c>
      <c r="R1944" t="s">
        <v>85</v>
      </c>
      <c r="S1944" s="3">
        <v>7.33</v>
      </c>
      <c r="T1944" s="5">
        <v>45954</v>
      </c>
      <c r="U1944">
        <v>1</v>
      </c>
      <c r="V1944">
        <v>2025</v>
      </c>
      <c r="X1944">
        <f t="shared" si="90"/>
        <v>8.8398056</v>
      </c>
      <c r="Y1944">
        <f t="shared" si="91"/>
        <v>7.3298056000000003</v>
      </c>
      <c r="Z1944">
        <f t="shared" si="92"/>
        <v>87.299805599999999</v>
      </c>
    </row>
    <row r="1945" spans="1:26" x14ac:dyDescent="0.3">
      <c r="A1945" t="s">
        <v>2035</v>
      </c>
      <c r="B1945" t="s">
        <v>55</v>
      </c>
      <c r="C1945" t="s">
        <v>68</v>
      </c>
      <c r="D1945" t="s">
        <v>57</v>
      </c>
      <c r="E1945">
        <v>20</v>
      </c>
      <c r="F1945" s="3">
        <v>8.6300000000000008</v>
      </c>
      <c r="G1945" s="4">
        <v>91.7</v>
      </c>
      <c r="H1945">
        <v>1</v>
      </c>
      <c r="I1945">
        <v>0</v>
      </c>
      <c r="J1945">
        <v>6</v>
      </c>
      <c r="K1945" s="4">
        <v>67.2</v>
      </c>
      <c r="L1945" s="4">
        <v>55.1</v>
      </c>
      <c r="M1945" s="4">
        <v>72.3</v>
      </c>
      <c r="N1945">
        <v>2</v>
      </c>
      <c r="O1945" t="s">
        <v>64</v>
      </c>
      <c r="P1945" t="s">
        <v>65</v>
      </c>
      <c r="S1945" s="3">
        <v>0</v>
      </c>
      <c r="T1945" s="5"/>
      <c r="U1945">
        <v>0</v>
      </c>
      <c r="V1945">
        <v>2024</v>
      </c>
      <c r="X1945">
        <f t="shared" si="90"/>
        <v>8.6298055000000016</v>
      </c>
      <c r="Y1945">
        <f t="shared" si="91"/>
        <v>-1.9449999999999998E-4</v>
      </c>
      <c r="Z1945">
        <f t="shared" si="92"/>
        <v>55.099805500000002</v>
      </c>
    </row>
    <row r="1946" spans="1:26" x14ac:dyDescent="0.3">
      <c r="A1946" t="s">
        <v>2036</v>
      </c>
      <c r="B1946" t="s">
        <v>82</v>
      </c>
      <c r="C1946" t="s">
        <v>101</v>
      </c>
      <c r="D1946" t="s">
        <v>69</v>
      </c>
      <c r="E1946">
        <v>20</v>
      </c>
      <c r="F1946" s="3">
        <v>7.39</v>
      </c>
      <c r="G1946" s="4">
        <v>81.3</v>
      </c>
      <c r="H1946">
        <v>2</v>
      </c>
      <c r="I1946">
        <v>1</v>
      </c>
      <c r="J1946">
        <v>3</v>
      </c>
      <c r="K1946" s="4">
        <v>76.900000000000006</v>
      </c>
      <c r="L1946" s="4">
        <v>62.4</v>
      </c>
      <c r="M1946" s="4">
        <v>69.099999999999994</v>
      </c>
      <c r="N1946">
        <v>0</v>
      </c>
      <c r="O1946" t="s">
        <v>64</v>
      </c>
      <c r="P1946" t="s">
        <v>65</v>
      </c>
      <c r="S1946" s="3">
        <v>0</v>
      </c>
      <c r="T1946" s="5"/>
      <c r="U1946">
        <v>0</v>
      </c>
      <c r="V1946">
        <v>2022</v>
      </c>
      <c r="X1946">
        <f t="shared" si="90"/>
        <v>7.3898053999999993</v>
      </c>
      <c r="Y1946">
        <f t="shared" si="91"/>
        <v>-1.9459999999999999E-4</v>
      </c>
      <c r="Z1946">
        <f t="shared" si="92"/>
        <v>62.399805399999998</v>
      </c>
    </row>
    <row r="1947" spans="1:26" x14ac:dyDescent="0.3">
      <c r="A1947" t="s">
        <v>2037</v>
      </c>
      <c r="B1947" t="s">
        <v>107</v>
      </c>
      <c r="C1947" t="s">
        <v>84</v>
      </c>
      <c r="D1947" t="s">
        <v>57</v>
      </c>
      <c r="E1947">
        <v>22</v>
      </c>
      <c r="F1947" s="3">
        <v>8.2899999999999991</v>
      </c>
      <c r="G1947" s="4">
        <v>72</v>
      </c>
      <c r="H1947">
        <v>1</v>
      </c>
      <c r="I1947">
        <v>3</v>
      </c>
      <c r="J1947">
        <v>4</v>
      </c>
      <c r="K1947" s="4">
        <v>63</v>
      </c>
      <c r="L1947" s="4">
        <v>53.3</v>
      </c>
      <c r="M1947" s="4">
        <v>64.099999999999994</v>
      </c>
      <c r="N1947">
        <v>0</v>
      </c>
      <c r="O1947" t="s">
        <v>58</v>
      </c>
      <c r="P1947" t="s">
        <v>104</v>
      </c>
      <c r="Q1947" t="s">
        <v>105</v>
      </c>
      <c r="R1947" t="s">
        <v>80</v>
      </c>
      <c r="S1947" s="3">
        <v>14.7</v>
      </c>
      <c r="T1947" s="5">
        <v>44496</v>
      </c>
      <c r="U1947">
        <v>2</v>
      </c>
      <c r="V1947">
        <v>2021</v>
      </c>
      <c r="X1947">
        <f t="shared" si="90"/>
        <v>8.2898052999999994</v>
      </c>
      <c r="Y1947">
        <f t="shared" si="91"/>
        <v>14.6998053</v>
      </c>
      <c r="Z1947">
        <f t="shared" si="92"/>
        <v>53.299805299999996</v>
      </c>
    </row>
    <row r="1948" spans="1:26" x14ac:dyDescent="0.3">
      <c r="A1948" t="s">
        <v>2038</v>
      </c>
      <c r="B1948" t="s">
        <v>67</v>
      </c>
      <c r="C1948" t="s">
        <v>101</v>
      </c>
      <c r="D1948" t="s">
        <v>69</v>
      </c>
      <c r="E1948">
        <v>20</v>
      </c>
      <c r="F1948" s="3">
        <v>8.41</v>
      </c>
      <c r="G1948" s="4">
        <v>85.9</v>
      </c>
      <c r="H1948">
        <v>2</v>
      </c>
      <c r="I1948">
        <v>2</v>
      </c>
      <c r="J1948">
        <v>4</v>
      </c>
      <c r="K1948" s="4">
        <v>79.2</v>
      </c>
      <c r="L1948" s="4">
        <v>84.9</v>
      </c>
      <c r="M1948" s="4">
        <v>66</v>
      </c>
      <c r="N1948">
        <v>1</v>
      </c>
      <c r="O1948" t="s">
        <v>58</v>
      </c>
      <c r="P1948" t="s">
        <v>87</v>
      </c>
      <c r="Q1948" t="s">
        <v>71</v>
      </c>
      <c r="R1948" t="s">
        <v>72</v>
      </c>
      <c r="S1948" s="3">
        <v>8.18</v>
      </c>
      <c r="T1948" s="5">
        <v>45249</v>
      </c>
      <c r="U1948">
        <v>1</v>
      </c>
      <c r="V1948">
        <v>2023</v>
      </c>
      <c r="X1948">
        <f t="shared" si="90"/>
        <v>8.409805200000001</v>
      </c>
      <c r="Y1948">
        <f t="shared" si="91"/>
        <v>8.1798052000000006</v>
      </c>
      <c r="Z1948">
        <f t="shared" si="92"/>
        <v>84.899805200000003</v>
      </c>
    </row>
    <row r="1949" spans="1:26" x14ac:dyDescent="0.3">
      <c r="A1949" t="s">
        <v>2039</v>
      </c>
      <c r="B1949" t="s">
        <v>55</v>
      </c>
      <c r="C1949" t="s">
        <v>78</v>
      </c>
      <c r="D1949" t="s">
        <v>69</v>
      </c>
      <c r="E1949">
        <v>23</v>
      </c>
      <c r="F1949" s="3">
        <v>8.3699999999999992</v>
      </c>
      <c r="G1949" s="4">
        <v>80.3</v>
      </c>
      <c r="H1949">
        <v>2</v>
      </c>
      <c r="I1949">
        <v>3</v>
      </c>
      <c r="J1949">
        <v>4</v>
      </c>
      <c r="K1949" s="4">
        <v>65.7</v>
      </c>
      <c r="L1949" s="4">
        <v>69.3</v>
      </c>
      <c r="M1949" s="4">
        <v>58.2</v>
      </c>
      <c r="N1949">
        <v>0</v>
      </c>
      <c r="O1949" t="s">
        <v>58</v>
      </c>
      <c r="P1949" t="s">
        <v>95</v>
      </c>
      <c r="Q1949" t="s">
        <v>93</v>
      </c>
      <c r="R1949" t="s">
        <v>80</v>
      </c>
      <c r="S1949" s="3">
        <v>6.68</v>
      </c>
      <c r="T1949" s="5">
        <v>45608</v>
      </c>
      <c r="U1949">
        <v>1</v>
      </c>
      <c r="V1949">
        <v>2024</v>
      </c>
      <c r="X1949">
        <f t="shared" si="90"/>
        <v>8.3698050999999989</v>
      </c>
      <c r="Y1949">
        <f t="shared" si="91"/>
        <v>6.6798050999999994</v>
      </c>
      <c r="Z1949">
        <f t="shared" si="92"/>
        <v>69.2998051</v>
      </c>
    </row>
    <row r="1950" spans="1:26" x14ac:dyDescent="0.3">
      <c r="A1950" t="s">
        <v>2040</v>
      </c>
      <c r="B1950" t="s">
        <v>82</v>
      </c>
      <c r="C1950" t="s">
        <v>56</v>
      </c>
      <c r="D1950" t="s">
        <v>69</v>
      </c>
      <c r="E1950">
        <v>23</v>
      </c>
      <c r="F1950" s="3">
        <v>6.62</v>
      </c>
      <c r="G1950" s="4">
        <v>88.5</v>
      </c>
      <c r="H1950">
        <v>2</v>
      </c>
      <c r="I1950">
        <v>3</v>
      </c>
      <c r="J1950">
        <v>5</v>
      </c>
      <c r="K1950" s="4">
        <v>71.900000000000006</v>
      </c>
      <c r="L1950" s="4">
        <v>59.3</v>
      </c>
      <c r="M1950" s="4">
        <v>79.099999999999994</v>
      </c>
      <c r="N1950">
        <v>0</v>
      </c>
      <c r="O1950" t="s">
        <v>58</v>
      </c>
      <c r="P1950" t="s">
        <v>90</v>
      </c>
      <c r="Q1950" t="s">
        <v>60</v>
      </c>
      <c r="R1950" t="s">
        <v>61</v>
      </c>
      <c r="S1950" s="3">
        <v>8.42</v>
      </c>
      <c r="T1950" s="5">
        <v>44790</v>
      </c>
      <c r="U1950">
        <v>1</v>
      </c>
      <c r="V1950">
        <v>2022</v>
      </c>
      <c r="X1950">
        <f t="shared" si="90"/>
        <v>6.6198050000000004</v>
      </c>
      <c r="Y1950">
        <f t="shared" si="91"/>
        <v>8.4198050000000002</v>
      </c>
      <c r="Z1950">
        <f t="shared" si="92"/>
        <v>59.299804999999999</v>
      </c>
    </row>
    <row r="1951" spans="1:26" x14ac:dyDescent="0.3">
      <c r="A1951" t="s">
        <v>2041</v>
      </c>
      <c r="B1951" t="s">
        <v>63</v>
      </c>
      <c r="C1951" t="s">
        <v>74</v>
      </c>
      <c r="D1951" t="s">
        <v>69</v>
      </c>
      <c r="E1951">
        <v>22</v>
      </c>
      <c r="F1951" s="3">
        <v>9.1300000000000008</v>
      </c>
      <c r="G1951" s="4">
        <v>74.2</v>
      </c>
      <c r="H1951">
        <v>1</v>
      </c>
      <c r="I1951">
        <v>1</v>
      </c>
      <c r="J1951">
        <v>2</v>
      </c>
      <c r="K1951" s="4">
        <v>57.8</v>
      </c>
      <c r="L1951" s="4">
        <v>76.7</v>
      </c>
      <c r="M1951" s="4">
        <v>66.8</v>
      </c>
      <c r="N1951">
        <v>0</v>
      </c>
      <c r="O1951" t="s">
        <v>58</v>
      </c>
      <c r="P1951" t="s">
        <v>79</v>
      </c>
      <c r="Q1951" t="s">
        <v>71</v>
      </c>
      <c r="R1951" t="s">
        <v>76</v>
      </c>
      <c r="S1951" s="3">
        <v>6.49</v>
      </c>
      <c r="T1951" s="5">
        <v>45963</v>
      </c>
      <c r="U1951">
        <v>1</v>
      </c>
      <c r="V1951">
        <v>2025</v>
      </c>
      <c r="X1951">
        <f t="shared" si="90"/>
        <v>9.1298049000000017</v>
      </c>
      <c r="Y1951">
        <f t="shared" si="91"/>
        <v>6.4898049000000002</v>
      </c>
      <c r="Z1951">
        <f t="shared" si="92"/>
        <v>76.699804900000004</v>
      </c>
    </row>
    <row r="1952" spans="1:26" x14ac:dyDescent="0.3">
      <c r="A1952" t="s">
        <v>2042</v>
      </c>
      <c r="B1952" t="s">
        <v>107</v>
      </c>
      <c r="C1952" t="s">
        <v>56</v>
      </c>
      <c r="D1952" t="s">
        <v>69</v>
      </c>
      <c r="E1952">
        <v>23</v>
      </c>
      <c r="F1952" s="3">
        <v>7.23</v>
      </c>
      <c r="G1952" s="4">
        <v>79.3</v>
      </c>
      <c r="H1952">
        <v>3</v>
      </c>
      <c r="I1952">
        <v>2</v>
      </c>
      <c r="J1952">
        <v>5</v>
      </c>
      <c r="K1952" s="4">
        <v>81.5</v>
      </c>
      <c r="L1952" s="4">
        <v>93.7</v>
      </c>
      <c r="M1952" s="4">
        <v>73.5</v>
      </c>
      <c r="N1952">
        <v>0</v>
      </c>
      <c r="O1952" t="s">
        <v>58</v>
      </c>
      <c r="P1952" t="s">
        <v>92</v>
      </c>
      <c r="Q1952" t="s">
        <v>93</v>
      </c>
      <c r="R1952" t="s">
        <v>80</v>
      </c>
      <c r="S1952" s="3">
        <v>9.99</v>
      </c>
      <c r="T1952" s="5">
        <v>44412</v>
      </c>
      <c r="U1952">
        <v>2</v>
      </c>
      <c r="V1952">
        <v>2021</v>
      </c>
      <c r="X1952">
        <f t="shared" si="90"/>
        <v>7.2298048000000001</v>
      </c>
      <c r="Y1952">
        <f t="shared" si="91"/>
        <v>9.9898047999999999</v>
      </c>
      <c r="Z1952">
        <f t="shared" si="92"/>
        <v>93.69980480000001</v>
      </c>
    </row>
    <row r="1953" spans="1:26" x14ac:dyDescent="0.3">
      <c r="A1953" t="s">
        <v>2043</v>
      </c>
      <c r="B1953" t="s">
        <v>82</v>
      </c>
      <c r="C1953" t="s">
        <v>84</v>
      </c>
      <c r="D1953" t="s">
        <v>69</v>
      </c>
      <c r="E1953">
        <v>22</v>
      </c>
      <c r="F1953" s="3">
        <v>7.75</v>
      </c>
      <c r="G1953" s="4">
        <v>82.1</v>
      </c>
      <c r="H1953">
        <v>2</v>
      </c>
      <c r="I1953">
        <v>2</v>
      </c>
      <c r="J1953">
        <v>3</v>
      </c>
      <c r="K1953" s="4">
        <v>54.2</v>
      </c>
      <c r="L1953" s="4">
        <v>36.1</v>
      </c>
      <c r="M1953" s="4">
        <v>88.6</v>
      </c>
      <c r="N1953">
        <v>0</v>
      </c>
      <c r="O1953" t="s">
        <v>58</v>
      </c>
      <c r="P1953" t="s">
        <v>112</v>
      </c>
      <c r="Q1953" t="s">
        <v>93</v>
      </c>
      <c r="R1953" t="s">
        <v>109</v>
      </c>
      <c r="S1953" s="3">
        <v>5.58</v>
      </c>
      <c r="T1953" s="5">
        <v>44828</v>
      </c>
      <c r="U1953">
        <v>3</v>
      </c>
      <c r="V1953">
        <v>2022</v>
      </c>
      <c r="X1953">
        <f t="shared" si="90"/>
        <v>7.7498047000000003</v>
      </c>
      <c r="Y1953">
        <f t="shared" si="91"/>
        <v>5.5798047000000004</v>
      </c>
      <c r="Z1953">
        <f t="shared" si="92"/>
        <v>36.0998047</v>
      </c>
    </row>
    <row r="1954" spans="1:26" x14ac:dyDescent="0.3">
      <c r="A1954" t="s">
        <v>2044</v>
      </c>
      <c r="B1954" t="s">
        <v>63</v>
      </c>
      <c r="C1954" t="s">
        <v>78</v>
      </c>
      <c r="D1954" t="s">
        <v>57</v>
      </c>
      <c r="E1954">
        <v>20</v>
      </c>
      <c r="F1954" s="3">
        <v>7.33</v>
      </c>
      <c r="G1954" s="4">
        <v>73.5</v>
      </c>
      <c r="H1954">
        <v>2</v>
      </c>
      <c r="I1954">
        <v>3</v>
      </c>
      <c r="J1954">
        <v>4</v>
      </c>
      <c r="K1954" s="4">
        <v>59.1</v>
      </c>
      <c r="L1954" s="4">
        <v>79.2</v>
      </c>
      <c r="M1954" s="4">
        <v>72.599999999999994</v>
      </c>
      <c r="N1954">
        <v>0</v>
      </c>
      <c r="O1954" t="s">
        <v>58</v>
      </c>
      <c r="P1954" t="s">
        <v>79</v>
      </c>
      <c r="Q1954" t="s">
        <v>71</v>
      </c>
      <c r="R1954" t="s">
        <v>85</v>
      </c>
      <c r="S1954" s="3">
        <v>6.84</v>
      </c>
      <c r="T1954" s="5">
        <v>45923</v>
      </c>
      <c r="U1954">
        <v>2</v>
      </c>
      <c r="V1954">
        <v>2025</v>
      </c>
      <c r="X1954">
        <f t="shared" si="90"/>
        <v>7.3298046000000001</v>
      </c>
      <c r="Y1954">
        <f t="shared" si="91"/>
        <v>6.8398045999999999</v>
      </c>
      <c r="Z1954">
        <f t="shared" si="92"/>
        <v>79.199804600000007</v>
      </c>
    </row>
    <row r="1955" spans="1:26" x14ac:dyDescent="0.3">
      <c r="A1955" t="s">
        <v>2045</v>
      </c>
      <c r="B1955" t="s">
        <v>82</v>
      </c>
      <c r="C1955" t="s">
        <v>78</v>
      </c>
      <c r="D1955" t="s">
        <v>57</v>
      </c>
      <c r="E1955">
        <v>20</v>
      </c>
      <c r="F1955" s="3">
        <v>7.86</v>
      </c>
      <c r="G1955" s="4">
        <v>82.4</v>
      </c>
      <c r="H1955">
        <v>1</v>
      </c>
      <c r="I1955">
        <v>3</v>
      </c>
      <c r="J1955">
        <v>3</v>
      </c>
      <c r="K1955" s="4">
        <v>63.3</v>
      </c>
      <c r="L1955" s="4">
        <v>96</v>
      </c>
      <c r="M1955" s="4">
        <v>72.099999999999994</v>
      </c>
      <c r="N1955">
        <v>0</v>
      </c>
      <c r="O1955" t="s">
        <v>58</v>
      </c>
      <c r="P1955" t="s">
        <v>112</v>
      </c>
      <c r="Q1955" t="s">
        <v>93</v>
      </c>
      <c r="R1955" t="s">
        <v>61</v>
      </c>
      <c r="S1955" s="3">
        <v>7.11</v>
      </c>
      <c r="T1955" s="5">
        <v>44801</v>
      </c>
      <c r="U1955">
        <v>3</v>
      </c>
      <c r="V1955">
        <v>2022</v>
      </c>
      <c r="X1955">
        <f t="shared" si="90"/>
        <v>7.8598045000000001</v>
      </c>
      <c r="Y1955">
        <f t="shared" si="91"/>
        <v>7.1098045000000001</v>
      </c>
      <c r="Z1955">
        <f t="shared" si="92"/>
        <v>95.999804499999996</v>
      </c>
    </row>
    <row r="1956" spans="1:26" x14ac:dyDescent="0.3">
      <c r="A1956" t="s">
        <v>2046</v>
      </c>
      <c r="B1956" t="s">
        <v>55</v>
      </c>
      <c r="C1956" t="s">
        <v>74</v>
      </c>
      <c r="D1956" t="s">
        <v>69</v>
      </c>
      <c r="E1956">
        <v>20</v>
      </c>
      <c r="F1956" s="3">
        <v>6.87</v>
      </c>
      <c r="G1956" s="4">
        <v>89.1</v>
      </c>
      <c r="H1956">
        <v>2</v>
      </c>
      <c r="I1956">
        <v>3</v>
      </c>
      <c r="J1956">
        <v>4</v>
      </c>
      <c r="K1956" s="4">
        <v>56.3</v>
      </c>
      <c r="L1956" s="4">
        <v>93.3</v>
      </c>
      <c r="M1956" s="4">
        <v>73.400000000000006</v>
      </c>
      <c r="N1956">
        <v>1</v>
      </c>
      <c r="O1956" t="s">
        <v>58</v>
      </c>
      <c r="P1956" t="s">
        <v>92</v>
      </c>
      <c r="Q1956" t="s">
        <v>93</v>
      </c>
      <c r="R1956" t="s">
        <v>85</v>
      </c>
      <c r="S1956" s="3">
        <v>8.92</v>
      </c>
      <c r="T1956" s="5">
        <v>45609</v>
      </c>
      <c r="U1956">
        <v>1</v>
      </c>
      <c r="V1956">
        <v>2024</v>
      </c>
      <c r="X1956">
        <f t="shared" si="90"/>
        <v>6.8698044000000005</v>
      </c>
      <c r="Y1956">
        <f t="shared" si="91"/>
        <v>8.9198044000000003</v>
      </c>
      <c r="Z1956">
        <f t="shared" si="92"/>
        <v>93.299804399999999</v>
      </c>
    </row>
    <row r="1957" spans="1:26" x14ac:dyDescent="0.3">
      <c r="A1957" t="s">
        <v>2047</v>
      </c>
      <c r="B1957" t="s">
        <v>55</v>
      </c>
      <c r="C1957" t="s">
        <v>101</v>
      </c>
      <c r="D1957" t="s">
        <v>69</v>
      </c>
      <c r="E1957">
        <v>21</v>
      </c>
      <c r="F1957" s="3">
        <v>7.45</v>
      </c>
      <c r="G1957" s="4">
        <v>99.2</v>
      </c>
      <c r="H1957">
        <v>1</v>
      </c>
      <c r="I1957">
        <v>0</v>
      </c>
      <c r="J1957">
        <v>4</v>
      </c>
      <c r="K1957" s="4">
        <v>75.900000000000006</v>
      </c>
      <c r="L1957" s="4">
        <v>66.3</v>
      </c>
      <c r="M1957" s="4">
        <v>77.5</v>
      </c>
      <c r="N1957">
        <v>0</v>
      </c>
      <c r="O1957" t="s">
        <v>58</v>
      </c>
      <c r="P1957" t="s">
        <v>70</v>
      </c>
      <c r="Q1957" t="s">
        <v>71</v>
      </c>
      <c r="R1957" t="s">
        <v>76</v>
      </c>
      <c r="S1957" s="3">
        <v>5.34</v>
      </c>
      <c r="T1957" s="5">
        <v>45544</v>
      </c>
      <c r="U1957">
        <v>1</v>
      </c>
      <c r="V1957">
        <v>2024</v>
      </c>
      <c r="X1957">
        <f t="shared" si="90"/>
        <v>7.4498043000000003</v>
      </c>
      <c r="Y1957">
        <f t="shared" si="91"/>
        <v>5.3398042999999999</v>
      </c>
      <c r="Z1957">
        <f t="shared" si="92"/>
        <v>66.299804299999991</v>
      </c>
    </row>
    <row r="1958" spans="1:26" x14ac:dyDescent="0.3">
      <c r="A1958" t="s">
        <v>2048</v>
      </c>
      <c r="B1958" t="s">
        <v>55</v>
      </c>
      <c r="C1958" t="s">
        <v>74</v>
      </c>
      <c r="D1958" t="s">
        <v>69</v>
      </c>
      <c r="E1958">
        <v>22</v>
      </c>
      <c r="F1958" s="3">
        <v>7.81</v>
      </c>
      <c r="G1958" s="4">
        <v>75.400000000000006</v>
      </c>
      <c r="H1958">
        <v>1</v>
      </c>
      <c r="I1958">
        <v>2</v>
      </c>
      <c r="J1958">
        <v>4</v>
      </c>
      <c r="K1958" s="4">
        <v>69.8</v>
      </c>
      <c r="L1958" s="4">
        <v>71.400000000000006</v>
      </c>
      <c r="M1958" s="4">
        <v>68.400000000000006</v>
      </c>
      <c r="N1958">
        <v>0</v>
      </c>
      <c r="O1958" t="s">
        <v>58</v>
      </c>
      <c r="P1958" t="s">
        <v>59</v>
      </c>
      <c r="Q1958" t="s">
        <v>60</v>
      </c>
      <c r="R1958" t="s">
        <v>61</v>
      </c>
      <c r="S1958" s="3">
        <v>19.059999999999999</v>
      </c>
      <c r="T1958" s="5">
        <v>45513</v>
      </c>
      <c r="U1958">
        <v>2</v>
      </c>
      <c r="V1958">
        <v>2024</v>
      </c>
      <c r="X1958">
        <f t="shared" si="90"/>
        <v>7.8098041999999994</v>
      </c>
      <c r="Y1958">
        <f t="shared" si="91"/>
        <v>19.059804199999999</v>
      </c>
      <c r="Z1958">
        <f t="shared" si="92"/>
        <v>71.399804200000005</v>
      </c>
    </row>
    <row r="1959" spans="1:26" x14ac:dyDescent="0.3">
      <c r="A1959" t="s">
        <v>2049</v>
      </c>
      <c r="B1959" t="s">
        <v>107</v>
      </c>
      <c r="C1959" t="s">
        <v>56</v>
      </c>
      <c r="D1959" t="s">
        <v>69</v>
      </c>
      <c r="E1959">
        <v>23</v>
      </c>
      <c r="F1959" s="3">
        <v>8.75</v>
      </c>
      <c r="G1959" s="4">
        <v>90.2</v>
      </c>
      <c r="H1959">
        <v>1</v>
      </c>
      <c r="I1959">
        <v>2</v>
      </c>
      <c r="J1959">
        <v>4</v>
      </c>
      <c r="K1959" s="4">
        <v>54.3</v>
      </c>
      <c r="L1959" s="4">
        <v>73.099999999999994</v>
      </c>
      <c r="M1959" s="4">
        <v>84.2</v>
      </c>
      <c r="N1959">
        <v>0</v>
      </c>
      <c r="O1959" t="s">
        <v>58</v>
      </c>
      <c r="P1959" t="s">
        <v>92</v>
      </c>
      <c r="Q1959" t="s">
        <v>93</v>
      </c>
      <c r="R1959" t="s">
        <v>80</v>
      </c>
      <c r="S1959" s="3">
        <v>9.65</v>
      </c>
      <c r="T1959" s="5">
        <v>44444</v>
      </c>
      <c r="U1959">
        <v>1</v>
      </c>
      <c r="V1959">
        <v>2021</v>
      </c>
      <c r="X1959">
        <f t="shared" si="90"/>
        <v>8.7498041000000004</v>
      </c>
      <c r="Y1959">
        <f t="shared" si="91"/>
        <v>9.6498041000000008</v>
      </c>
      <c r="Z1959">
        <f t="shared" si="92"/>
        <v>73.0998041</v>
      </c>
    </row>
    <row r="1960" spans="1:26" x14ac:dyDescent="0.3">
      <c r="A1960" t="s">
        <v>2050</v>
      </c>
      <c r="B1960" t="s">
        <v>55</v>
      </c>
      <c r="C1960" t="s">
        <v>74</v>
      </c>
      <c r="D1960" t="s">
        <v>69</v>
      </c>
      <c r="E1960">
        <v>20</v>
      </c>
      <c r="F1960" s="3">
        <v>8.64</v>
      </c>
      <c r="G1960" s="4">
        <v>64.2</v>
      </c>
      <c r="H1960">
        <v>3</v>
      </c>
      <c r="I1960">
        <v>2</v>
      </c>
      <c r="J1960">
        <v>4</v>
      </c>
      <c r="K1960" s="4">
        <v>60.7</v>
      </c>
      <c r="L1960" s="4">
        <v>66.099999999999994</v>
      </c>
      <c r="M1960" s="4">
        <v>75.599999999999994</v>
      </c>
      <c r="N1960">
        <v>0</v>
      </c>
      <c r="O1960" t="s">
        <v>58</v>
      </c>
      <c r="P1960" t="s">
        <v>92</v>
      </c>
      <c r="Q1960" t="s">
        <v>93</v>
      </c>
      <c r="R1960" t="s">
        <v>85</v>
      </c>
      <c r="S1960" s="3">
        <v>9.57</v>
      </c>
      <c r="T1960" s="5">
        <v>45512</v>
      </c>
      <c r="U1960">
        <v>2</v>
      </c>
      <c r="V1960">
        <v>2024</v>
      </c>
      <c r="X1960">
        <f t="shared" si="90"/>
        <v>8.6398039999999998</v>
      </c>
      <c r="Y1960">
        <f t="shared" si="91"/>
        <v>9.5698039999999995</v>
      </c>
      <c r="Z1960">
        <f t="shared" si="92"/>
        <v>66.099803999999992</v>
      </c>
    </row>
    <row r="1961" spans="1:26" x14ac:dyDescent="0.3">
      <c r="A1961" t="s">
        <v>2051</v>
      </c>
      <c r="B1961" t="s">
        <v>63</v>
      </c>
      <c r="C1961" t="s">
        <v>89</v>
      </c>
      <c r="D1961" t="s">
        <v>57</v>
      </c>
      <c r="E1961">
        <v>21</v>
      </c>
      <c r="F1961" s="3">
        <v>8.69</v>
      </c>
      <c r="G1961" s="4">
        <v>81.900000000000006</v>
      </c>
      <c r="H1961">
        <v>2</v>
      </c>
      <c r="I1961">
        <v>1</v>
      </c>
      <c r="J1961">
        <v>3</v>
      </c>
      <c r="K1961" s="4">
        <v>70</v>
      </c>
      <c r="L1961" s="4">
        <v>83.9</v>
      </c>
      <c r="M1961" s="4">
        <v>67.5</v>
      </c>
      <c r="N1961">
        <v>0</v>
      </c>
      <c r="O1961" t="s">
        <v>58</v>
      </c>
      <c r="P1961" t="s">
        <v>104</v>
      </c>
      <c r="Q1961" t="s">
        <v>105</v>
      </c>
      <c r="R1961" t="s">
        <v>109</v>
      </c>
      <c r="S1961" s="3">
        <v>16.32</v>
      </c>
      <c r="T1961" s="5">
        <v>45931</v>
      </c>
      <c r="U1961">
        <v>3</v>
      </c>
      <c r="V1961">
        <v>2025</v>
      </c>
      <c r="X1961">
        <f t="shared" si="90"/>
        <v>8.6898038999999994</v>
      </c>
      <c r="Y1961">
        <f t="shared" si="91"/>
        <v>16.3198039</v>
      </c>
      <c r="Z1961">
        <f t="shared" si="92"/>
        <v>83.899803900000009</v>
      </c>
    </row>
    <row r="1962" spans="1:26" x14ac:dyDescent="0.3">
      <c r="A1962" t="s">
        <v>2052</v>
      </c>
      <c r="B1962" t="s">
        <v>82</v>
      </c>
      <c r="C1962" t="s">
        <v>68</v>
      </c>
      <c r="D1962" t="s">
        <v>57</v>
      </c>
      <c r="E1962">
        <v>23</v>
      </c>
      <c r="F1962" s="3">
        <v>8.43</v>
      </c>
      <c r="G1962" s="4">
        <v>82.6</v>
      </c>
      <c r="H1962">
        <v>2</v>
      </c>
      <c r="I1962">
        <v>3</v>
      </c>
      <c r="J1962">
        <v>6</v>
      </c>
      <c r="K1962" s="4">
        <v>70.900000000000006</v>
      </c>
      <c r="L1962" s="4">
        <v>45.9</v>
      </c>
      <c r="M1962" s="4">
        <v>69.900000000000006</v>
      </c>
      <c r="N1962">
        <v>0</v>
      </c>
      <c r="O1962" t="s">
        <v>58</v>
      </c>
      <c r="P1962" t="s">
        <v>59</v>
      </c>
      <c r="Q1962" t="s">
        <v>60</v>
      </c>
      <c r="R1962" t="s">
        <v>72</v>
      </c>
      <c r="S1962" s="3">
        <v>19.38</v>
      </c>
      <c r="T1962" s="5">
        <v>44859</v>
      </c>
      <c r="U1962">
        <v>2</v>
      </c>
      <c r="V1962">
        <v>2022</v>
      </c>
      <c r="X1962">
        <f t="shared" si="90"/>
        <v>8.4298038000000002</v>
      </c>
      <c r="Y1962">
        <f t="shared" si="91"/>
        <v>19.379803799999998</v>
      </c>
      <c r="Z1962">
        <f t="shared" si="92"/>
        <v>45.899803800000001</v>
      </c>
    </row>
    <row r="1963" spans="1:26" x14ac:dyDescent="0.3">
      <c r="A1963" t="s">
        <v>2053</v>
      </c>
      <c r="B1963" t="s">
        <v>67</v>
      </c>
      <c r="C1963" t="s">
        <v>101</v>
      </c>
      <c r="D1963" t="s">
        <v>57</v>
      </c>
      <c r="E1963">
        <v>23</v>
      </c>
      <c r="F1963" s="3">
        <v>9.31</v>
      </c>
      <c r="G1963" s="4">
        <v>89.3</v>
      </c>
      <c r="H1963">
        <v>1</v>
      </c>
      <c r="I1963">
        <v>2</v>
      </c>
      <c r="J1963">
        <v>2</v>
      </c>
      <c r="K1963" s="4">
        <v>54.6</v>
      </c>
      <c r="L1963" s="4">
        <v>78.599999999999994</v>
      </c>
      <c r="M1963" s="4">
        <v>87.7</v>
      </c>
      <c r="N1963">
        <v>0</v>
      </c>
      <c r="O1963" t="s">
        <v>58</v>
      </c>
      <c r="P1963" t="s">
        <v>95</v>
      </c>
      <c r="Q1963" t="s">
        <v>93</v>
      </c>
      <c r="R1963" t="s">
        <v>85</v>
      </c>
      <c r="S1963" s="3">
        <v>9.0299999999999994</v>
      </c>
      <c r="T1963" s="5">
        <v>45227</v>
      </c>
      <c r="U1963">
        <v>1</v>
      </c>
      <c r="V1963">
        <v>2023</v>
      </c>
      <c r="X1963">
        <f t="shared" si="90"/>
        <v>9.3098036999999998</v>
      </c>
      <c r="Y1963">
        <f t="shared" si="91"/>
        <v>9.0298036999999987</v>
      </c>
      <c r="Z1963">
        <f t="shared" si="92"/>
        <v>78.599803699999995</v>
      </c>
    </row>
    <row r="1964" spans="1:26" x14ac:dyDescent="0.3">
      <c r="A1964" t="s">
        <v>2054</v>
      </c>
      <c r="B1964" t="s">
        <v>63</v>
      </c>
      <c r="C1964" t="s">
        <v>56</v>
      </c>
      <c r="D1964" t="s">
        <v>57</v>
      </c>
      <c r="E1964">
        <v>23</v>
      </c>
      <c r="F1964" s="3">
        <v>7.39</v>
      </c>
      <c r="G1964" s="4">
        <v>77.3</v>
      </c>
      <c r="H1964">
        <v>1</v>
      </c>
      <c r="I1964">
        <v>2</v>
      </c>
      <c r="J1964">
        <v>4</v>
      </c>
      <c r="K1964" s="4">
        <v>68.2</v>
      </c>
      <c r="L1964" s="4">
        <v>68.900000000000006</v>
      </c>
      <c r="M1964" s="4">
        <v>66.099999999999994</v>
      </c>
      <c r="N1964">
        <v>0</v>
      </c>
      <c r="O1964" t="s">
        <v>64</v>
      </c>
      <c r="P1964" t="s">
        <v>65</v>
      </c>
      <c r="S1964" s="3">
        <v>0</v>
      </c>
      <c r="T1964" s="5"/>
      <c r="U1964">
        <v>0</v>
      </c>
      <c r="V1964">
        <v>2025</v>
      </c>
      <c r="X1964">
        <f t="shared" si="90"/>
        <v>7.3898035999999996</v>
      </c>
      <c r="Y1964">
        <f t="shared" si="91"/>
        <v>-1.964E-4</v>
      </c>
      <c r="Z1964">
        <f t="shared" si="92"/>
        <v>68.899803600000013</v>
      </c>
    </row>
    <row r="1965" spans="1:26" x14ac:dyDescent="0.3">
      <c r="A1965" t="s">
        <v>2055</v>
      </c>
      <c r="B1965" t="s">
        <v>63</v>
      </c>
      <c r="C1965" t="s">
        <v>68</v>
      </c>
      <c r="D1965" t="s">
        <v>69</v>
      </c>
      <c r="E1965">
        <v>20</v>
      </c>
      <c r="F1965" s="3">
        <v>7.51</v>
      </c>
      <c r="G1965" s="4">
        <v>84.2</v>
      </c>
      <c r="H1965">
        <v>2</v>
      </c>
      <c r="I1965">
        <v>4</v>
      </c>
      <c r="J1965">
        <v>2</v>
      </c>
      <c r="K1965" s="4">
        <v>76.7</v>
      </c>
      <c r="L1965" s="4">
        <v>85.2</v>
      </c>
      <c r="M1965" s="4">
        <v>79</v>
      </c>
      <c r="N1965">
        <v>1</v>
      </c>
      <c r="O1965" t="s">
        <v>58</v>
      </c>
      <c r="P1965" t="s">
        <v>59</v>
      </c>
      <c r="Q1965" t="s">
        <v>60</v>
      </c>
      <c r="R1965" t="s">
        <v>109</v>
      </c>
      <c r="S1965" s="3">
        <v>20.71</v>
      </c>
      <c r="T1965" s="5">
        <v>45939</v>
      </c>
      <c r="U1965">
        <v>1</v>
      </c>
      <c r="V1965">
        <v>2025</v>
      </c>
      <c r="X1965">
        <f t="shared" si="90"/>
        <v>7.5098034999999994</v>
      </c>
      <c r="Y1965">
        <f t="shared" si="91"/>
        <v>20.7098035</v>
      </c>
      <c r="Z1965">
        <f t="shared" si="92"/>
        <v>85.199803500000002</v>
      </c>
    </row>
    <row r="1966" spans="1:26" x14ac:dyDescent="0.3">
      <c r="A1966" t="s">
        <v>2056</v>
      </c>
      <c r="B1966" t="s">
        <v>55</v>
      </c>
      <c r="C1966" t="s">
        <v>68</v>
      </c>
      <c r="D1966" t="s">
        <v>69</v>
      </c>
      <c r="E1966">
        <v>23</v>
      </c>
      <c r="F1966" s="3">
        <v>7.47</v>
      </c>
      <c r="G1966" s="4">
        <v>92</v>
      </c>
      <c r="H1966">
        <v>1</v>
      </c>
      <c r="I1966">
        <v>0</v>
      </c>
      <c r="J1966">
        <v>3</v>
      </c>
      <c r="K1966" s="4">
        <v>63.8</v>
      </c>
      <c r="L1966" s="4">
        <v>86.6</v>
      </c>
      <c r="M1966" s="4">
        <v>79.7</v>
      </c>
      <c r="N1966">
        <v>0</v>
      </c>
      <c r="O1966" t="s">
        <v>58</v>
      </c>
      <c r="P1966" t="s">
        <v>70</v>
      </c>
      <c r="Q1966" t="s">
        <v>71</v>
      </c>
      <c r="R1966" t="s">
        <v>80</v>
      </c>
      <c r="S1966" s="3">
        <v>6.52</v>
      </c>
      <c r="T1966" s="5">
        <v>45594</v>
      </c>
      <c r="U1966">
        <v>2</v>
      </c>
      <c r="V1966">
        <v>2024</v>
      </c>
      <c r="X1966">
        <f t="shared" si="90"/>
        <v>7.4698034</v>
      </c>
      <c r="Y1966">
        <f t="shared" si="91"/>
        <v>6.5198033999999998</v>
      </c>
      <c r="Z1966">
        <f t="shared" si="92"/>
        <v>86.599803399999999</v>
      </c>
    </row>
    <row r="1967" spans="1:26" x14ac:dyDescent="0.3">
      <c r="A1967" t="s">
        <v>2057</v>
      </c>
      <c r="B1967" t="s">
        <v>107</v>
      </c>
      <c r="C1967" t="s">
        <v>74</v>
      </c>
      <c r="D1967" t="s">
        <v>69</v>
      </c>
      <c r="E1967">
        <v>22</v>
      </c>
      <c r="F1967" s="3">
        <v>7.59</v>
      </c>
      <c r="G1967" s="4">
        <v>71.900000000000006</v>
      </c>
      <c r="H1967">
        <v>2</v>
      </c>
      <c r="I1967">
        <v>1</v>
      </c>
      <c r="J1967">
        <v>3</v>
      </c>
      <c r="K1967" s="4">
        <v>53.6</v>
      </c>
      <c r="L1967" s="4">
        <v>71.7</v>
      </c>
      <c r="M1967" s="4">
        <v>61.1</v>
      </c>
      <c r="N1967">
        <v>0</v>
      </c>
      <c r="O1967" t="s">
        <v>58</v>
      </c>
      <c r="P1967" t="s">
        <v>70</v>
      </c>
      <c r="Q1967" t="s">
        <v>71</v>
      </c>
      <c r="R1967" t="s">
        <v>72</v>
      </c>
      <c r="S1967" s="3">
        <v>5.57</v>
      </c>
      <c r="T1967" s="5">
        <v>44450</v>
      </c>
      <c r="U1967">
        <v>3</v>
      </c>
      <c r="V1967">
        <v>2021</v>
      </c>
      <c r="X1967">
        <f t="shared" si="90"/>
        <v>7.5898032999999998</v>
      </c>
      <c r="Y1967">
        <f t="shared" si="91"/>
        <v>5.5698033000000002</v>
      </c>
      <c r="Z1967">
        <f t="shared" si="92"/>
        <v>71.699803299999999</v>
      </c>
    </row>
    <row r="1968" spans="1:26" x14ac:dyDescent="0.3">
      <c r="A1968" t="s">
        <v>2058</v>
      </c>
      <c r="B1968" t="s">
        <v>82</v>
      </c>
      <c r="C1968" t="s">
        <v>101</v>
      </c>
      <c r="D1968" t="s">
        <v>57</v>
      </c>
      <c r="E1968">
        <v>21</v>
      </c>
      <c r="F1968" s="3">
        <v>6.36</v>
      </c>
      <c r="G1968" s="4">
        <v>64.400000000000006</v>
      </c>
      <c r="H1968">
        <v>1</v>
      </c>
      <c r="I1968">
        <v>2</v>
      </c>
      <c r="J1968">
        <v>6</v>
      </c>
      <c r="K1968" s="4">
        <v>86.7</v>
      </c>
      <c r="L1968" s="4">
        <v>60.7</v>
      </c>
      <c r="M1968" s="4">
        <v>56.6</v>
      </c>
      <c r="N1968">
        <v>0</v>
      </c>
      <c r="O1968" t="s">
        <v>58</v>
      </c>
      <c r="P1968" t="s">
        <v>112</v>
      </c>
      <c r="Q1968" t="s">
        <v>93</v>
      </c>
      <c r="R1968" t="s">
        <v>80</v>
      </c>
      <c r="S1968" s="3">
        <v>6.1</v>
      </c>
      <c r="T1968" s="5">
        <v>44775</v>
      </c>
      <c r="U1968">
        <v>2</v>
      </c>
      <c r="V1968">
        <v>2022</v>
      </c>
      <c r="X1968">
        <f t="shared" si="90"/>
        <v>6.3598032</v>
      </c>
      <c r="Y1968">
        <f t="shared" si="91"/>
        <v>6.0998031999999993</v>
      </c>
      <c r="Z1968">
        <f t="shared" si="92"/>
        <v>60.699803200000005</v>
      </c>
    </row>
    <row r="1969" spans="1:26" x14ac:dyDescent="0.3">
      <c r="A1969" t="s">
        <v>2059</v>
      </c>
      <c r="B1969" t="s">
        <v>107</v>
      </c>
      <c r="C1969" t="s">
        <v>78</v>
      </c>
      <c r="D1969" t="s">
        <v>57</v>
      </c>
      <c r="E1969">
        <v>23</v>
      </c>
      <c r="F1969" s="3">
        <v>7.89</v>
      </c>
      <c r="G1969" s="4">
        <v>91.7</v>
      </c>
      <c r="H1969">
        <v>2</v>
      </c>
      <c r="I1969">
        <v>4</v>
      </c>
      <c r="J1969">
        <v>1</v>
      </c>
      <c r="K1969" s="4">
        <v>76.8</v>
      </c>
      <c r="L1969" s="4">
        <v>85.6</v>
      </c>
      <c r="M1969" s="4">
        <v>70.099999999999994</v>
      </c>
      <c r="N1969">
        <v>0</v>
      </c>
      <c r="O1969" t="s">
        <v>58</v>
      </c>
      <c r="P1969" t="s">
        <v>79</v>
      </c>
      <c r="Q1969" t="s">
        <v>71</v>
      </c>
      <c r="R1969" t="s">
        <v>76</v>
      </c>
      <c r="S1969" s="3">
        <v>7.14</v>
      </c>
      <c r="T1969" s="5">
        <v>44439</v>
      </c>
      <c r="U1969">
        <v>1</v>
      </c>
      <c r="V1969">
        <v>2021</v>
      </c>
      <c r="X1969">
        <f t="shared" si="90"/>
        <v>7.8898031</v>
      </c>
      <c r="Y1969">
        <f t="shared" si="91"/>
        <v>7.1398031</v>
      </c>
      <c r="Z1969">
        <f t="shared" si="92"/>
        <v>85.599803099999988</v>
      </c>
    </row>
    <row r="1970" spans="1:26" x14ac:dyDescent="0.3">
      <c r="A1970" t="s">
        <v>2060</v>
      </c>
      <c r="B1970" t="s">
        <v>82</v>
      </c>
      <c r="C1970" t="s">
        <v>78</v>
      </c>
      <c r="D1970" t="s">
        <v>57</v>
      </c>
      <c r="E1970">
        <v>23</v>
      </c>
      <c r="F1970" s="3">
        <v>8.1</v>
      </c>
      <c r="G1970" s="4">
        <v>73</v>
      </c>
      <c r="H1970">
        <v>2</v>
      </c>
      <c r="I1970">
        <v>0</v>
      </c>
      <c r="J1970">
        <v>3</v>
      </c>
      <c r="K1970" s="4">
        <v>62.2</v>
      </c>
      <c r="L1970" s="4">
        <v>50.9</v>
      </c>
      <c r="M1970" s="4">
        <v>83.7</v>
      </c>
      <c r="N1970">
        <v>0</v>
      </c>
      <c r="O1970" t="s">
        <v>64</v>
      </c>
      <c r="P1970" t="s">
        <v>65</v>
      </c>
      <c r="S1970" s="3">
        <v>0</v>
      </c>
      <c r="T1970" s="5"/>
      <c r="U1970">
        <v>0</v>
      </c>
      <c r="V1970">
        <v>2022</v>
      </c>
      <c r="X1970">
        <f t="shared" si="90"/>
        <v>8.0998029999999996</v>
      </c>
      <c r="Y1970">
        <f t="shared" si="91"/>
        <v>-1.9699999999999999E-4</v>
      </c>
      <c r="Z1970">
        <f t="shared" si="92"/>
        <v>50.899802999999999</v>
      </c>
    </row>
    <row r="1971" spans="1:26" x14ac:dyDescent="0.3">
      <c r="A1971" t="s">
        <v>2061</v>
      </c>
      <c r="B1971" t="s">
        <v>82</v>
      </c>
      <c r="C1971" t="s">
        <v>101</v>
      </c>
      <c r="D1971" t="s">
        <v>57</v>
      </c>
      <c r="E1971">
        <v>22</v>
      </c>
      <c r="F1971" s="3">
        <v>7.42</v>
      </c>
      <c r="G1971" s="4">
        <v>86.1</v>
      </c>
      <c r="H1971">
        <v>1</v>
      </c>
      <c r="I1971">
        <v>1</v>
      </c>
      <c r="J1971">
        <v>5</v>
      </c>
      <c r="K1971" s="4">
        <v>69.3</v>
      </c>
      <c r="L1971" s="4">
        <v>54.2</v>
      </c>
      <c r="M1971" s="4">
        <v>56.4</v>
      </c>
      <c r="N1971">
        <v>0</v>
      </c>
      <c r="O1971" t="s">
        <v>58</v>
      </c>
      <c r="P1971" t="s">
        <v>92</v>
      </c>
      <c r="Q1971" t="s">
        <v>93</v>
      </c>
      <c r="R1971" t="s">
        <v>76</v>
      </c>
      <c r="S1971" s="3">
        <v>10.11</v>
      </c>
      <c r="T1971" s="5">
        <v>44792</v>
      </c>
      <c r="U1971">
        <v>2</v>
      </c>
      <c r="V1971">
        <v>2022</v>
      </c>
      <c r="X1971">
        <f t="shared" si="90"/>
        <v>7.4198028999999996</v>
      </c>
      <c r="Y1971">
        <f t="shared" si="91"/>
        <v>10.1098029</v>
      </c>
      <c r="Z1971">
        <f t="shared" si="92"/>
        <v>54.199802900000002</v>
      </c>
    </row>
    <row r="1972" spans="1:26" x14ac:dyDescent="0.3">
      <c r="A1972" t="s">
        <v>2062</v>
      </c>
      <c r="B1972" t="s">
        <v>107</v>
      </c>
      <c r="C1972" t="s">
        <v>78</v>
      </c>
      <c r="D1972" t="s">
        <v>57</v>
      </c>
      <c r="E1972">
        <v>23</v>
      </c>
      <c r="F1972" s="3">
        <v>6.07</v>
      </c>
      <c r="G1972" s="4">
        <v>99.6</v>
      </c>
      <c r="H1972">
        <v>0</v>
      </c>
      <c r="I1972">
        <v>4</v>
      </c>
      <c r="J1972">
        <v>2</v>
      </c>
      <c r="K1972" s="4">
        <v>63</v>
      </c>
      <c r="L1972" s="4">
        <v>68.900000000000006</v>
      </c>
      <c r="M1972" s="4">
        <v>63.5</v>
      </c>
      <c r="N1972">
        <v>1</v>
      </c>
      <c r="O1972" t="s">
        <v>64</v>
      </c>
      <c r="P1972" t="s">
        <v>65</v>
      </c>
      <c r="S1972" s="3">
        <v>0</v>
      </c>
      <c r="T1972" s="5"/>
      <c r="U1972">
        <v>0</v>
      </c>
      <c r="V1972">
        <v>2021</v>
      </c>
      <c r="X1972">
        <f t="shared" si="90"/>
        <v>6.0698028000000006</v>
      </c>
      <c r="Y1972">
        <f t="shared" si="91"/>
        <v>-1.972E-4</v>
      </c>
      <c r="Z1972">
        <f t="shared" si="92"/>
        <v>68.899802800000003</v>
      </c>
    </row>
    <row r="1973" spans="1:26" x14ac:dyDescent="0.3">
      <c r="A1973" t="s">
        <v>2063</v>
      </c>
      <c r="B1973" t="s">
        <v>63</v>
      </c>
      <c r="C1973" t="s">
        <v>56</v>
      </c>
      <c r="D1973" t="s">
        <v>57</v>
      </c>
      <c r="E1973">
        <v>20</v>
      </c>
      <c r="F1973" s="3">
        <v>7.67</v>
      </c>
      <c r="G1973" s="4">
        <v>89.5</v>
      </c>
      <c r="H1973">
        <v>1</v>
      </c>
      <c r="I1973">
        <v>4</v>
      </c>
      <c r="J1973">
        <v>5</v>
      </c>
      <c r="K1973" s="4">
        <v>54.1</v>
      </c>
      <c r="L1973" s="4">
        <v>62.2</v>
      </c>
      <c r="M1973" s="4">
        <v>82.1</v>
      </c>
      <c r="N1973">
        <v>0</v>
      </c>
      <c r="O1973" t="s">
        <v>58</v>
      </c>
      <c r="P1973" t="s">
        <v>70</v>
      </c>
      <c r="Q1973" t="s">
        <v>71</v>
      </c>
      <c r="R1973" t="s">
        <v>72</v>
      </c>
      <c r="S1973" s="3">
        <v>6.46</v>
      </c>
      <c r="T1973" s="5">
        <v>45981</v>
      </c>
      <c r="U1973">
        <v>1</v>
      </c>
      <c r="V1973">
        <v>2025</v>
      </c>
      <c r="X1973">
        <f t="shared" si="90"/>
        <v>7.6698027</v>
      </c>
      <c r="Y1973">
        <f t="shared" si="91"/>
        <v>6.4598027</v>
      </c>
      <c r="Z1973">
        <f t="shared" si="92"/>
        <v>62.199802699999999</v>
      </c>
    </row>
    <row r="1974" spans="1:26" x14ac:dyDescent="0.3">
      <c r="A1974" t="s">
        <v>2064</v>
      </c>
      <c r="B1974" t="s">
        <v>82</v>
      </c>
      <c r="C1974" t="s">
        <v>78</v>
      </c>
      <c r="D1974" t="s">
        <v>57</v>
      </c>
      <c r="E1974">
        <v>20</v>
      </c>
      <c r="F1974" s="3">
        <v>6.48</v>
      </c>
      <c r="G1974" s="4">
        <v>73.3</v>
      </c>
      <c r="H1974">
        <v>3</v>
      </c>
      <c r="I1974">
        <v>4</v>
      </c>
      <c r="J1974">
        <v>5</v>
      </c>
      <c r="K1974" s="4">
        <v>77.599999999999994</v>
      </c>
      <c r="L1974" s="4">
        <v>66.8</v>
      </c>
      <c r="M1974" s="4">
        <v>61.2</v>
      </c>
      <c r="N1974">
        <v>0</v>
      </c>
      <c r="O1974" t="s">
        <v>58</v>
      </c>
      <c r="P1974" t="s">
        <v>112</v>
      </c>
      <c r="Q1974" t="s">
        <v>93</v>
      </c>
      <c r="R1974" t="s">
        <v>80</v>
      </c>
      <c r="S1974" s="3">
        <v>7.56</v>
      </c>
      <c r="T1974" s="5">
        <v>44874</v>
      </c>
      <c r="U1974">
        <v>2</v>
      </c>
      <c r="V1974">
        <v>2022</v>
      </c>
      <c r="X1974">
        <f t="shared" si="90"/>
        <v>6.4798026000000002</v>
      </c>
      <c r="Y1974">
        <f t="shared" si="91"/>
        <v>7.5598025999999994</v>
      </c>
      <c r="Z1974">
        <f t="shared" si="92"/>
        <v>66.799802599999992</v>
      </c>
    </row>
    <row r="1975" spans="1:26" x14ac:dyDescent="0.3">
      <c r="A1975" t="s">
        <v>2065</v>
      </c>
      <c r="B1975" t="s">
        <v>107</v>
      </c>
      <c r="C1975" t="s">
        <v>74</v>
      </c>
      <c r="D1975" t="s">
        <v>57</v>
      </c>
      <c r="E1975">
        <v>20</v>
      </c>
      <c r="F1975" s="3">
        <v>8.0299999999999994</v>
      </c>
      <c r="G1975" s="4">
        <v>68.8</v>
      </c>
      <c r="H1975">
        <v>2</v>
      </c>
      <c r="I1975">
        <v>1</v>
      </c>
      <c r="J1975">
        <v>4</v>
      </c>
      <c r="K1975" s="4">
        <v>91.3</v>
      </c>
      <c r="L1975" s="4">
        <v>65.400000000000006</v>
      </c>
      <c r="M1975" s="4">
        <v>86.3</v>
      </c>
      <c r="N1975">
        <v>2</v>
      </c>
      <c r="O1975" t="s">
        <v>58</v>
      </c>
      <c r="P1975" t="s">
        <v>59</v>
      </c>
      <c r="Q1975" t="s">
        <v>60</v>
      </c>
      <c r="R1975" t="s">
        <v>72</v>
      </c>
      <c r="S1975" s="3">
        <v>19.46</v>
      </c>
      <c r="T1975" s="5">
        <v>44473</v>
      </c>
      <c r="U1975">
        <v>2</v>
      </c>
      <c r="V1975">
        <v>2021</v>
      </c>
      <c r="X1975">
        <f t="shared" si="90"/>
        <v>8.0298024999999988</v>
      </c>
      <c r="Y1975">
        <f t="shared" si="91"/>
        <v>19.459802500000002</v>
      </c>
      <c r="Z1975">
        <f t="shared" si="92"/>
        <v>65.399802500000007</v>
      </c>
    </row>
    <row r="1976" spans="1:26" x14ac:dyDescent="0.3">
      <c r="A1976" t="s">
        <v>2066</v>
      </c>
      <c r="B1976" t="s">
        <v>82</v>
      </c>
      <c r="C1976" t="s">
        <v>56</v>
      </c>
      <c r="D1976" t="s">
        <v>69</v>
      </c>
      <c r="E1976">
        <v>23</v>
      </c>
      <c r="F1976" s="3">
        <v>7.76</v>
      </c>
      <c r="G1976" s="4">
        <v>75</v>
      </c>
      <c r="H1976">
        <v>2</v>
      </c>
      <c r="I1976">
        <v>3</v>
      </c>
      <c r="J1976">
        <v>3</v>
      </c>
      <c r="K1976" s="4">
        <v>80.7</v>
      </c>
      <c r="L1976" s="4">
        <v>69.599999999999994</v>
      </c>
      <c r="M1976" s="4">
        <v>100</v>
      </c>
      <c r="N1976">
        <v>0</v>
      </c>
      <c r="O1976" t="s">
        <v>58</v>
      </c>
      <c r="P1976" t="s">
        <v>79</v>
      </c>
      <c r="Q1976" t="s">
        <v>71</v>
      </c>
      <c r="R1976" t="s">
        <v>61</v>
      </c>
      <c r="S1976" s="3">
        <v>6.2</v>
      </c>
      <c r="T1976" s="5">
        <v>44847</v>
      </c>
      <c r="U1976">
        <v>1</v>
      </c>
      <c r="V1976">
        <v>2022</v>
      </c>
      <c r="X1976">
        <f t="shared" si="90"/>
        <v>7.7598023999999999</v>
      </c>
      <c r="Y1976">
        <f t="shared" si="91"/>
        <v>6.1998024000000003</v>
      </c>
      <c r="Z1976">
        <f t="shared" si="92"/>
        <v>69.599802399999987</v>
      </c>
    </row>
    <row r="1977" spans="1:26" x14ac:dyDescent="0.3">
      <c r="A1977" t="s">
        <v>2067</v>
      </c>
      <c r="B1977" t="s">
        <v>67</v>
      </c>
      <c r="C1977" t="s">
        <v>56</v>
      </c>
      <c r="D1977" t="s">
        <v>57</v>
      </c>
      <c r="E1977">
        <v>21</v>
      </c>
      <c r="F1977" s="3">
        <v>7.85</v>
      </c>
      <c r="G1977" s="4">
        <v>83.6</v>
      </c>
      <c r="H1977">
        <v>1</v>
      </c>
      <c r="I1977">
        <v>2</v>
      </c>
      <c r="J1977">
        <v>3</v>
      </c>
      <c r="K1977" s="4">
        <v>71.400000000000006</v>
      </c>
      <c r="L1977" s="4">
        <v>92.3</v>
      </c>
      <c r="M1977" s="4">
        <v>64.2</v>
      </c>
      <c r="N1977">
        <v>2</v>
      </c>
      <c r="O1977" t="s">
        <v>58</v>
      </c>
      <c r="P1977" t="s">
        <v>90</v>
      </c>
      <c r="Q1977" t="s">
        <v>60</v>
      </c>
      <c r="R1977" t="s">
        <v>80</v>
      </c>
      <c r="S1977" s="3">
        <v>8.1199999999999992</v>
      </c>
      <c r="T1977" s="5">
        <v>45198</v>
      </c>
      <c r="U1977">
        <v>2</v>
      </c>
      <c r="V1977">
        <v>2023</v>
      </c>
      <c r="X1977">
        <f t="shared" si="90"/>
        <v>7.8498022999999995</v>
      </c>
      <c r="Y1977">
        <f t="shared" si="91"/>
        <v>8.1198022999999999</v>
      </c>
      <c r="Z1977">
        <f t="shared" si="92"/>
        <v>92.299802299999996</v>
      </c>
    </row>
    <row r="1978" spans="1:26" x14ac:dyDescent="0.3">
      <c r="A1978" t="s">
        <v>2068</v>
      </c>
      <c r="B1978" t="s">
        <v>63</v>
      </c>
      <c r="C1978" t="s">
        <v>78</v>
      </c>
      <c r="D1978" t="s">
        <v>57</v>
      </c>
      <c r="E1978">
        <v>21</v>
      </c>
      <c r="F1978" s="3">
        <v>6.7</v>
      </c>
      <c r="G1978" s="4">
        <v>79.8</v>
      </c>
      <c r="H1978">
        <v>2</v>
      </c>
      <c r="I1978">
        <v>2</v>
      </c>
      <c r="J1978">
        <v>2</v>
      </c>
      <c r="K1978" s="4">
        <v>63.6</v>
      </c>
      <c r="L1978" s="4">
        <v>52.7</v>
      </c>
      <c r="M1978" s="4">
        <v>91.7</v>
      </c>
      <c r="N1978">
        <v>0</v>
      </c>
      <c r="O1978" t="s">
        <v>58</v>
      </c>
      <c r="P1978" t="s">
        <v>112</v>
      </c>
      <c r="Q1978" t="s">
        <v>93</v>
      </c>
      <c r="R1978" t="s">
        <v>80</v>
      </c>
      <c r="S1978" s="3">
        <v>6.85</v>
      </c>
      <c r="T1978" s="5">
        <v>45931</v>
      </c>
      <c r="U1978">
        <v>2</v>
      </c>
      <c r="V1978">
        <v>2025</v>
      </c>
      <c r="X1978">
        <f t="shared" si="90"/>
        <v>6.6998022000000006</v>
      </c>
      <c r="Y1978">
        <f t="shared" si="91"/>
        <v>6.8498022000000001</v>
      </c>
      <c r="Z1978">
        <f t="shared" si="92"/>
        <v>52.699802200000001</v>
      </c>
    </row>
    <row r="1979" spans="1:26" x14ac:dyDescent="0.3">
      <c r="A1979" t="s">
        <v>2069</v>
      </c>
      <c r="B1979" t="s">
        <v>55</v>
      </c>
      <c r="C1979" t="s">
        <v>78</v>
      </c>
      <c r="D1979" t="s">
        <v>57</v>
      </c>
      <c r="E1979">
        <v>23</v>
      </c>
      <c r="F1979" s="3">
        <v>8.7899999999999991</v>
      </c>
      <c r="G1979" s="4">
        <v>94.3</v>
      </c>
      <c r="H1979">
        <v>2</v>
      </c>
      <c r="I1979">
        <v>1</v>
      </c>
      <c r="J1979">
        <v>2</v>
      </c>
      <c r="K1979" s="4">
        <v>30.7</v>
      </c>
      <c r="L1979" s="4">
        <v>63</v>
      </c>
      <c r="M1979" s="4">
        <v>77.900000000000006</v>
      </c>
      <c r="N1979">
        <v>0</v>
      </c>
      <c r="O1979" t="s">
        <v>58</v>
      </c>
      <c r="P1979" t="s">
        <v>112</v>
      </c>
      <c r="Q1979" t="s">
        <v>93</v>
      </c>
      <c r="R1979" t="s">
        <v>72</v>
      </c>
      <c r="S1979" s="3">
        <v>7.04</v>
      </c>
      <c r="T1979" s="5">
        <v>45564</v>
      </c>
      <c r="U1979">
        <v>2</v>
      </c>
      <c r="V1979">
        <v>2024</v>
      </c>
      <c r="X1979">
        <f t="shared" si="90"/>
        <v>8.7898020999999993</v>
      </c>
      <c r="Y1979">
        <f t="shared" si="91"/>
        <v>7.0398021000000002</v>
      </c>
      <c r="Z1979">
        <f t="shared" si="92"/>
        <v>62.999802099999997</v>
      </c>
    </row>
    <row r="1980" spans="1:26" x14ac:dyDescent="0.3">
      <c r="A1980" t="s">
        <v>2070</v>
      </c>
      <c r="B1980" t="s">
        <v>82</v>
      </c>
      <c r="C1980" t="s">
        <v>56</v>
      </c>
      <c r="D1980" t="s">
        <v>57</v>
      </c>
      <c r="E1980">
        <v>21</v>
      </c>
      <c r="F1980" s="3">
        <v>7.8</v>
      </c>
      <c r="G1980" s="4">
        <v>88</v>
      </c>
      <c r="H1980">
        <v>0</v>
      </c>
      <c r="I1980">
        <v>3</v>
      </c>
      <c r="J1980">
        <v>1</v>
      </c>
      <c r="K1980" s="4">
        <v>90</v>
      </c>
      <c r="L1980" s="4">
        <v>82.4</v>
      </c>
      <c r="M1980" s="4">
        <v>64.5</v>
      </c>
      <c r="N1980">
        <v>0</v>
      </c>
      <c r="O1980" t="s">
        <v>58</v>
      </c>
      <c r="P1980" t="s">
        <v>90</v>
      </c>
      <c r="Q1980" t="s">
        <v>60</v>
      </c>
      <c r="R1980" t="s">
        <v>130</v>
      </c>
      <c r="S1980" s="3">
        <v>7.87</v>
      </c>
      <c r="T1980" s="5">
        <v>44871</v>
      </c>
      <c r="U1980">
        <v>3</v>
      </c>
      <c r="V1980">
        <v>2022</v>
      </c>
      <c r="X1980">
        <f t="shared" si="90"/>
        <v>7.7998019999999997</v>
      </c>
      <c r="Y1980">
        <f t="shared" si="91"/>
        <v>7.869802</v>
      </c>
      <c r="Z1980">
        <f t="shared" si="92"/>
        <v>82.399802000000008</v>
      </c>
    </row>
    <row r="1981" spans="1:26" x14ac:dyDescent="0.3">
      <c r="A1981" t="s">
        <v>2071</v>
      </c>
      <c r="B1981" t="s">
        <v>67</v>
      </c>
      <c r="C1981" t="s">
        <v>78</v>
      </c>
      <c r="D1981" t="s">
        <v>69</v>
      </c>
      <c r="E1981">
        <v>21</v>
      </c>
      <c r="F1981" s="3">
        <v>6.83</v>
      </c>
      <c r="G1981" s="4">
        <v>75.400000000000006</v>
      </c>
      <c r="H1981">
        <v>3</v>
      </c>
      <c r="I1981">
        <v>1</v>
      </c>
      <c r="J1981">
        <v>5</v>
      </c>
      <c r="K1981" s="4">
        <v>58.7</v>
      </c>
      <c r="L1981" s="4">
        <v>70.5</v>
      </c>
      <c r="M1981" s="4">
        <v>93.1</v>
      </c>
      <c r="N1981">
        <v>0</v>
      </c>
      <c r="O1981" t="s">
        <v>58</v>
      </c>
      <c r="P1981" t="s">
        <v>104</v>
      </c>
      <c r="Q1981" t="s">
        <v>105</v>
      </c>
      <c r="R1981" t="s">
        <v>72</v>
      </c>
      <c r="S1981" s="3">
        <v>17.12</v>
      </c>
      <c r="T1981" s="5">
        <v>45154</v>
      </c>
      <c r="U1981">
        <v>1</v>
      </c>
      <c r="V1981">
        <v>2023</v>
      </c>
      <c r="X1981">
        <f t="shared" si="90"/>
        <v>6.8298018999999996</v>
      </c>
      <c r="Y1981">
        <f t="shared" si="91"/>
        <v>17.119801900000002</v>
      </c>
      <c r="Z1981">
        <f t="shared" si="92"/>
        <v>70.499801899999994</v>
      </c>
    </row>
    <row r="1982" spans="1:26" x14ac:dyDescent="0.3">
      <c r="A1982" t="s">
        <v>2072</v>
      </c>
      <c r="B1982" t="s">
        <v>55</v>
      </c>
      <c r="C1982" t="s">
        <v>84</v>
      </c>
      <c r="D1982" t="s">
        <v>69</v>
      </c>
      <c r="E1982">
        <v>23</v>
      </c>
      <c r="F1982" s="3">
        <v>8.17</v>
      </c>
      <c r="G1982" s="4">
        <v>89.6</v>
      </c>
      <c r="H1982">
        <v>1</v>
      </c>
      <c r="I1982">
        <v>1</v>
      </c>
      <c r="J1982">
        <v>4</v>
      </c>
      <c r="K1982" s="4">
        <v>79.7</v>
      </c>
      <c r="L1982" s="4">
        <v>55.4</v>
      </c>
      <c r="M1982" s="4">
        <v>78.900000000000006</v>
      </c>
      <c r="N1982">
        <v>0</v>
      </c>
      <c r="O1982" t="s">
        <v>58</v>
      </c>
      <c r="P1982" t="s">
        <v>112</v>
      </c>
      <c r="Q1982" t="s">
        <v>93</v>
      </c>
      <c r="R1982" t="s">
        <v>61</v>
      </c>
      <c r="S1982" s="3">
        <v>6.2</v>
      </c>
      <c r="T1982" s="5">
        <v>45609</v>
      </c>
      <c r="U1982">
        <v>2</v>
      </c>
      <c r="V1982">
        <v>2024</v>
      </c>
      <c r="X1982">
        <f t="shared" si="90"/>
        <v>8.1698018000000001</v>
      </c>
      <c r="Y1982">
        <f t="shared" si="91"/>
        <v>6.1998018000000004</v>
      </c>
      <c r="Z1982">
        <f t="shared" si="92"/>
        <v>55.399801799999999</v>
      </c>
    </row>
    <row r="1983" spans="1:26" x14ac:dyDescent="0.3">
      <c r="A1983" t="s">
        <v>2073</v>
      </c>
      <c r="B1983" t="s">
        <v>55</v>
      </c>
      <c r="C1983" t="s">
        <v>56</v>
      </c>
      <c r="D1983" t="s">
        <v>57</v>
      </c>
      <c r="E1983">
        <v>20</v>
      </c>
      <c r="F1983" s="3">
        <v>7.74</v>
      </c>
      <c r="G1983" s="4">
        <v>95.6</v>
      </c>
      <c r="H1983">
        <v>1</v>
      </c>
      <c r="I1983">
        <v>2</v>
      </c>
      <c r="J1983">
        <v>3</v>
      </c>
      <c r="K1983" s="4">
        <v>81.2</v>
      </c>
      <c r="L1983" s="4">
        <v>68.7</v>
      </c>
      <c r="M1983" s="4">
        <v>88.3</v>
      </c>
      <c r="N1983">
        <v>0</v>
      </c>
      <c r="O1983" t="s">
        <v>64</v>
      </c>
      <c r="P1983" t="s">
        <v>65</v>
      </c>
      <c r="S1983" s="3">
        <v>0</v>
      </c>
      <c r="T1983" s="5"/>
      <c r="U1983">
        <v>0</v>
      </c>
      <c r="V1983">
        <v>2024</v>
      </c>
      <c r="X1983">
        <f t="shared" si="90"/>
        <v>7.7398017000000001</v>
      </c>
      <c r="Y1983">
        <f t="shared" si="91"/>
        <v>-1.983E-4</v>
      </c>
      <c r="Z1983">
        <f t="shared" si="92"/>
        <v>68.699801700000009</v>
      </c>
    </row>
    <row r="1984" spans="1:26" x14ac:dyDescent="0.3">
      <c r="A1984" t="s">
        <v>2074</v>
      </c>
      <c r="B1984" t="s">
        <v>82</v>
      </c>
      <c r="C1984" t="s">
        <v>56</v>
      </c>
      <c r="D1984" t="s">
        <v>69</v>
      </c>
      <c r="E1984">
        <v>23</v>
      </c>
      <c r="F1984" s="3">
        <v>9.3000000000000007</v>
      </c>
      <c r="G1984" s="4">
        <v>79.2</v>
      </c>
      <c r="H1984">
        <v>1</v>
      </c>
      <c r="I1984">
        <v>1</v>
      </c>
      <c r="J1984">
        <v>3</v>
      </c>
      <c r="K1984" s="4">
        <v>80.8</v>
      </c>
      <c r="L1984" s="4">
        <v>47.4</v>
      </c>
      <c r="M1984" s="4">
        <v>100</v>
      </c>
      <c r="N1984">
        <v>0</v>
      </c>
      <c r="O1984" t="s">
        <v>58</v>
      </c>
      <c r="P1984" t="s">
        <v>59</v>
      </c>
      <c r="Q1984" t="s">
        <v>60</v>
      </c>
      <c r="R1984" t="s">
        <v>61</v>
      </c>
      <c r="S1984" s="3">
        <v>21.18</v>
      </c>
      <c r="T1984" s="5">
        <v>44850</v>
      </c>
      <c r="U1984">
        <v>2</v>
      </c>
      <c r="V1984">
        <v>2022</v>
      </c>
      <c r="X1984">
        <f t="shared" si="90"/>
        <v>9.2998016000000003</v>
      </c>
      <c r="Y1984">
        <f t="shared" si="91"/>
        <v>21.179801600000001</v>
      </c>
      <c r="Z1984">
        <f t="shared" si="92"/>
        <v>47.399801599999996</v>
      </c>
    </row>
    <row r="1985" spans="1:26" x14ac:dyDescent="0.3">
      <c r="A1985" t="s">
        <v>2075</v>
      </c>
      <c r="B1985" t="s">
        <v>107</v>
      </c>
      <c r="C1985" t="s">
        <v>78</v>
      </c>
      <c r="D1985" t="s">
        <v>57</v>
      </c>
      <c r="E1985">
        <v>20</v>
      </c>
      <c r="F1985" s="3">
        <v>7.15</v>
      </c>
      <c r="G1985" s="4">
        <v>86.3</v>
      </c>
      <c r="H1985">
        <v>0</v>
      </c>
      <c r="I1985">
        <v>1</v>
      </c>
      <c r="J1985">
        <v>4</v>
      </c>
      <c r="K1985" s="4">
        <v>48.4</v>
      </c>
      <c r="L1985" s="4">
        <v>85.5</v>
      </c>
      <c r="M1985" s="4">
        <v>72.7</v>
      </c>
      <c r="N1985">
        <v>0</v>
      </c>
      <c r="O1985" t="s">
        <v>64</v>
      </c>
      <c r="P1985" t="s">
        <v>65</v>
      </c>
      <c r="S1985" s="3">
        <v>0</v>
      </c>
      <c r="T1985" s="5"/>
      <c r="U1985">
        <v>0</v>
      </c>
      <c r="V1985">
        <v>2021</v>
      </c>
      <c r="X1985">
        <f t="shared" si="90"/>
        <v>7.1498015000000006</v>
      </c>
      <c r="Y1985">
        <f t="shared" si="91"/>
        <v>-1.985E-4</v>
      </c>
      <c r="Z1985">
        <f t="shared" si="92"/>
        <v>85.499801500000004</v>
      </c>
    </row>
    <row r="1986" spans="1:26" x14ac:dyDescent="0.3">
      <c r="A1986" t="s">
        <v>2076</v>
      </c>
      <c r="B1986" t="s">
        <v>82</v>
      </c>
      <c r="C1986" t="s">
        <v>74</v>
      </c>
      <c r="D1986" t="s">
        <v>69</v>
      </c>
      <c r="E1986">
        <v>20</v>
      </c>
      <c r="F1986" s="3">
        <v>6.53</v>
      </c>
      <c r="G1986" s="4">
        <v>74.099999999999994</v>
      </c>
      <c r="H1986">
        <v>2</v>
      </c>
      <c r="I1986">
        <v>1</v>
      </c>
      <c r="J1986">
        <v>3</v>
      </c>
      <c r="K1986" s="4">
        <v>81.8</v>
      </c>
      <c r="L1986" s="4">
        <v>71.8</v>
      </c>
      <c r="M1986" s="4">
        <v>80.599999999999994</v>
      </c>
      <c r="N1986">
        <v>0</v>
      </c>
      <c r="O1986" t="s">
        <v>58</v>
      </c>
      <c r="P1986" t="s">
        <v>92</v>
      </c>
      <c r="Q1986" t="s">
        <v>93</v>
      </c>
      <c r="R1986" t="s">
        <v>109</v>
      </c>
      <c r="S1986" s="3">
        <v>9.08</v>
      </c>
      <c r="T1986" s="5">
        <v>44876</v>
      </c>
      <c r="U1986">
        <v>2</v>
      </c>
      <c r="V1986">
        <v>2022</v>
      </c>
      <c r="X1986">
        <f t="shared" ref="X1986:X2049" si="93">F1986-ROW()*0.0000001</f>
        <v>6.5298014000000002</v>
      </c>
      <c r="Y1986">
        <f t="shared" ref="Y1986:Y2049" si="94">S1986-ROW()*0.0000001</f>
        <v>9.0798014000000009</v>
      </c>
      <c r="Z1986">
        <f t="shared" ref="Z1986:Z2049" si="95">L1986-ROW()*0.0000001</f>
        <v>71.799801399999993</v>
      </c>
    </row>
    <row r="1987" spans="1:26" x14ac:dyDescent="0.3">
      <c r="A1987" t="s">
        <v>2077</v>
      </c>
      <c r="B1987" t="s">
        <v>67</v>
      </c>
      <c r="C1987" t="s">
        <v>89</v>
      </c>
      <c r="D1987" t="s">
        <v>57</v>
      </c>
      <c r="E1987">
        <v>21</v>
      </c>
      <c r="F1987" s="3">
        <v>7.91</v>
      </c>
      <c r="G1987" s="4">
        <v>80.7</v>
      </c>
      <c r="H1987">
        <v>1</v>
      </c>
      <c r="I1987">
        <v>3</v>
      </c>
      <c r="J1987">
        <v>5</v>
      </c>
      <c r="K1987" s="4">
        <v>61.4</v>
      </c>
      <c r="L1987" s="4">
        <v>100</v>
      </c>
      <c r="M1987" s="4">
        <v>60.6</v>
      </c>
      <c r="N1987">
        <v>0</v>
      </c>
      <c r="O1987" t="s">
        <v>58</v>
      </c>
      <c r="P1987" t="s">
        <v>92</v>
      </c>
      <c r="Q1987" t="s">
        <v>93</v>
      </c>
      <c r="R1987" t="s">
        <v>76</v>
      </c>
      <c r="S1987" s="3">
        <v>10.37</v>
      </c>
      <c r="T1987" s="5">
        <v>45233</v>
      </c>
      <c r="U1987">
        <v>1</v>
      </c>
      <c r="V1987">
        <v>2023</v>
      </c>
      <c r="X1987">
        <f t="shared" si="93"/>
        <v>7.9098012999999998</v>
      </c>
      <c r="Y1987">
        <f t="shared" si="94"/>
        <v>10.369801299999999</v>
      </c>
      <c r="Z1987">
        <f t="shared" si="95"/>
        <v>99.999801300000001</v>
      </c>
    </row>
    <row r="1988" spans="1:26" x14ac:dyDescent="0.3">
      <c r="A1988" t="s">
        <v>2078</v>
      </c>
      <c r="B1988" t="s">
        <v>55</v>
      </c>
      <c r="C1988" t="s">
        <v>56</v>
      </c>
      <c r="D1988" t="s">
        <v>57</v>
      </c>
      <c r="E1988">
        <v>21</v>
      </c>
      <c r="F1988" s="3">
        <v>8.56</v>
      </c>
      <c r="G1988" s="4">
        <v>74</v>
      </c>
      <c r="H1988">
        <v>2</v>
      </c>
      <c r="I1988">
        <v>1</v>
      </c>
      <c r="J1988">
        <v>3</v>
      </c>
      <c r="K1988" s="4">
        <v>66.7</v>
      </c>
      <c r="L1988" s="4">
        <v>53.2</v>
      </c>
      <c r="M1988" s="4">
        <v>68.400000000000006</v>
      </c>
      <c r="N1988">
        <v>0</v>
      </c>
      <c r="O1988" t="s">
        <v>58</v>
      </c>
      <c r="P1988" t="s">
        <v>87</v>
      </c>
      <c r="Q1988" t="s">
        <v>71</v>
      </c>
      <c r="R1988" t="s">
        <v>76</v>
      </c>
      <c r="S1988" s="3">
        <v>7.39</v>
      </c>
      <c r="T1988" s="5">
        <v>45578</v>
      </c>
      <c r="U1988">
        <v>1</v>
      </c>
      <c r="V1988">
        <v>2024</v>
      </c>
      <c r="X1988">
        <f t="shared" si="93"/>
        <v>8.5598012000000008</v>
      </c>
      <c r="Y1988">
        <f t="shared" si="94"/>
        <v>7.3898012</v>
      </c>
      <c r="Z1988">
        <f t="shared" si="95"/>
        <v>53.199801200000003</v>
      </c>
    </row>
    <row r="1989" spans="1:26" x14ac:dyDescent="0.3">
      <c r="A1989" t="s">
        <v>2079</v>
      </c>
      <c r="B1989" t="s">
        <v>82</v>
      </c>
      <c r="C1989" t="s">
        <v>68</v>
      </c>
      <c r="D1989" t="s">
        <v>69</v>
      </c>
      <c r="E1989">
        <v>20</v>
      </c>
      <c r="F1989" s="3">
        <v>9.74</v>
      </c>
      <c r="G1989" s="4">
        <v>93.2</v>
      </c>
      <c r="H1989">
        <v>1</v>
      </c>
      <c r="I1989">
        <v>3</v>
      </c>
      <c r="J1989">
        <v>5</v>
      </c>
      <c r="K1989" s="4">
        <v>66.3</v>
      </c>
      <c r="L1989" s="4">
        <v>60</v>
      </c>
      <c r="M1989" s="4">
        <v>73</v>
      </c>
      <c r="N1989">
        <v>0</v>
      </c>
      <c r="O1989" t="s">
        <v>58</v>
      </c>
      <c r="P1989" t="s">
        <v>90</v>
      </c>
      <c r="Q1989" t="s">
        <v>60</v>
      </c>
      <c r="R1989" t="s">
        <v>76</v>
      </c>
      <c r="S1989" s="3">
        <v>10.3</v>
      </c>
      <c r="T1989" s="5">
        <v>44785</v>
      </c>
      <c r="U1989">
        <v>3</v>
      </c>
      <c r="V1989">
        <v>2022</v>
      </c>
      <c r="X1989">
        <f t="shared" si="93"/>
        <v>9.7398011000000011</v>
      </c>
      <c r="Y1989">
        <f t="shared" si="94"/>
        <v>10.299801100000002</v>
      </c>
      <c r="Z1989">
        <f t="shared" si="95"/>
        <v>59.999801099999999</v>
      </c>
    </row>
    <row r="1990" spans="1:26" x14ac:dyDescent="0.3">
      <c r="A1990" t="s">
        <v>2080</v>
      </c>
      <c r="B1990" t="s">
        <v>107</v>
      </c>
      <c r="C1990" t="s">
        <v>78</v>
      </c>
      <c r="D1990" t="s">
        <v>69</v>
      </c>
      <c r="E1990">
        <v>20</v>
      </c>
      <c r="F1990" s="3">
        <v>10</v>
      </c>
      <c r="G1990" s="4">
        <v>77.5</v>
      </c>
      <c r="H1990">
        <v>1</v>
      </c>
      <c r="I1990">
        <v>3</v>
      </c>
      <c r="J1990">
        <v>4</v>
      </c>
      <c r="K1990" s="4">
        <v>59.4</v>
      </c>
      <c r="L1990" s="4">
        <v>72.599999999999994</v>
      </c>
      <c r="M1990" s="4">
        <v>76.5</v>
      </c>
      <c r="N1990">
        <v>0</v>
      </c>
      <c r="O1990" t="s">
        <v>58</v>
      </c>
      <c r="P1990" t="s">
        <v>70</v>
      </c>
      <c r="Q1990" t="s">
        <v>71</v>
      </c>
      <c r="R1990" t="s">
        <v>85</v>
      </c>
      <c r="S1990" s="3">
        <v>6.04</v>
      </c>
      <c r="T1990" s="5">
        <v>44506</v>
      </c>
      <c r="U1990">
        <v>1</v>
      </c>
      <c r="V1990">
        <v>2021</v>
      </c>
      <c r="X1990">
        <f t="shared" si="93"/>
        <v>9.9998009999999997</v>
      </c>
      <c r="Y1990">
        <f t="shared" si="94"/>
        <v>6.0398009999999998</v>
      </c>
      <c r="Z1990">
        <f t="shared" si="95"/>
        <v>72.599800999999999</v>
      </c>
    </row>
    <row r="1991" spans="1:26" x14ac:dyDescent="0.3">
      <c r="A1991" t="s">
        <v>2081</v>
      </c>
      <c r="B1991" t="s">
        <v>82</v>
      </c>
      <c r="C1991" t="s">
        <v>78</v>
      </c>
      <c r="D1991" t="s">
        <v>69</v>
      </c>
      <c r="E1991">
        <v>21</v>
      </c>
      <c r="F1991" s="3">
        <v>6.25</v>
      </c>
      <c r="G1991" s="4">
        <v>86</v>
      </c>
      <c r="H1991">
        <v>2</v>
      </c>
      <c r="I1991">
        <v>2</v>
      </c>
      <c r="J1991">
        <v>6</v>
      </c>
      <c r="K1991" s="4">
        <v>63.8</v>
      </c>
      <c r="L1991" s="4">
        <v>89.8</v>
      </c>
      <c r="M1991" s="4">
        <v>48.5</v>
      </c>
      <c r="N1991">
        <v>0</v>
      </c>
      <c r="O1991" t="s">
        <v>64</v>
      </c>
      <c r="P1991" t="s">
        <v>65</v>
      </c>
      <c r="S1991" s="3">
        <v>0</v>
      </c>
      <c r="T1991" s="5"/>
      <c r="U1991">
        <v>0</v>
      </c>
      <c r="V1991">
        <v>2022</v>
      </c>
      <c r="X1991">
        <f t="shared" si="93"/>
        <v>6.2498009000000003</v>
      </c>
      <c r="Y1991">
        <f t="shared" si="94"/>
        <v>-1.9909999999999999E-4</v>
      </c>
      <c r="Z1991">
        <f t="shared" si="95"/>
        <v>89.799800899999994</v>
      </c>
    </row>
    <row r="1992" spans="1:26" x14ac:dyDescent="0.3">
      <c r="A1992" t="s">
        <v>2082</v>
      </c>
      <c r="B1992" t="s">
        <v>63</v>
      </c>
      <c r="C1992" t="s">
        <v>101</v>
      </c>
      <c r="D1992" t="s">
        <v>57</v>
      </c>
      <c r="E1992">
        <v>22</v>
      </c>
      <c r="F1992" s="3">
        <v>7.53</v>
      </c>
      <c r="G1992" s="4">
        <v>87.7</v>
      </c>
      <c r="H1992">
        <v>2</v>
      </c>
      <c r="I1992">
        <v>2</v>
      </c>
      <c r="J1992">
        <v>1</v>
      </c>
      <c r="K1992" s="4">
        <v>70</v>
      </c>
      <c r="L1992" s="4">
        <v>62.7</v>
      </c>
      <c r="M1992" s="4">
        <v>92.6</v>
      </c>
      <c r="N1992">
        <v>0</v>
      </c>
      <c r="O1992" t="s">
        <v>64</v>
      </c>
      <c r="P1992" t="s">
        <v>65</v>
      </c>
      <c r="S1992" s="3">
        <v>0</v>
      </c>
      <c r="T1992" s="5"/>
      <c r="U1992">
        <v>0</v>
      </c>
      <c r="V1992">
        <v>2025</v>
      </c>
      <c r="X1992">
        <f t="shared" si="93"/>
        <v>7.5298008000000003</v>
      </c>
      <c r="Y1992">
        <f t="shared" si="94"/>
        <v>-1.9919999999999999E-4</v>
      </c>
      <c r="Z1992">
        <f t="shared" si="95"/>
        <v>62.699800800000006</v>
      </c>
    </row>
    <row r="1993" spans="1:26" x14ac:dyDescent="0.3">
      <c r="A1993" t="s">
        <v>2083</v>
      </c>
      <c r="B1993" t="s">
        <v>107</v>
      </c>
      <c r="C1993" t="s">
        <v>101</v>
      </c>
      <c r="D1993" t="s">
        <v>57</v>
      </c>
      <c r="E1993">
        <v>20</v>
      </c>
      <c r="F1993" s="3">
        <v>6.53</v>
      </c>
      <c r="G1993" s="4">
        <v>100</v>
      </c>
      <c r="H1993">
        <v>1</v>
      </c>
      <c r="I1993">
        <v>3</v>
      </c>
      <c r="J1993">
        <v>2</v>
      </c>
      <c r="K1993" s="4">
        <v>54.8</v>
      </c>
      <c r="L1993" s="4">
        <v>59.4</v>
      </c>
      <c r="M1993" s="4">
        <v>81.599999999999994</v>
      </c>
      <c r="N1993">
        <v>0</v>
      </c>
      <c r="O1993" t="s">
        <v>58</v>
      </c>
      <c r="P1993" t="s">
        <v>70</v>
      </c>
      <c r="Q1993" t="s">
        <v>71</v>
      </c>
      <c r="R1993" t="s">
        <v>61</v>
      </c>
      <c r="S1993" s="3">
        <v>4.21</v>
      </c>
      <c r="T1993" s="5">
        <v>44500</v>
      </c>
      <c r="U1993">
        <v>1</v>
      </c>
      <c r="V1993">
        <v>2021</v>
      </c>
      <c r="X1993">
        <f t="shared" si="93"/>
        <v>6.5298007</v>
      </c>
      <c r="Y1993">
        <f t="shared" si="94"/>
        <v>4.2098006999999997</v>
      </c>
      <c r="Z1993">
        <f t="shared" si="95"/>
        <v>59.3998007</v>
      </c>
    </row>
    <row r="1994" spans="1:26" x14ac:dyDescent="0.3">
      <c r="A1994" t="s">
        <v>2084</v>
      </c>
      <c r="B1994" t="s">
        <v>67</v>
      </c>
      <c r="C1994" t="s">
        <v>78</v>
      </c>
      <c r="D1994" t="s">
        <v>69</v>
      </c>
      <c r="E1994">
        <v>20</v>
      </c>
      <c r="F1994" s="3">
        <v>7.43</v>
      </c>
      <c r="G1994" s="4">
        <v>79.599999999999994</v>
      </c>
      <c r="H1994">
        <v>3</v>
      </c>
      <c r="I1994">
        <v>0</v>
      </c>
      <c r="J1994">
        <v>4</v>
      </c>
      <c r="K1994" s="4">
        <v>45.1</v>
      </c>
      <c r="L1994" s="4">
        <v>71.099999999999994</v>
      </c>
      <c r="M1994" s="4">
        <v>80.2</v>
      </c>
      <c r="N1994">
        <v>0</v>
      </c>
      <c r="O1994" t="s">
        <v>58</v>
      </c>
      <c r="P1994" t="s">
        <v>59</v>
      </c>
      <c r="Q1994" t="s">
        <v>60</v>
      </c>
      <c r="R1994" t="s">
        <v>130</v>
      </c>
      <c r="S1994" s="3">
        <v>20.79</v>
      </c>
      <c r="T1994" s="5">
        <v>45185</v>
      </c>
      <c r="U1994">
        <v>2</v>
      </c>
      <c r="V1994">
        <v>2023</v>
      </c>
      <c r="X1994">
        <f t="shared" si="93"/>
        <v>7.4298006000000001</v>
      </c>
      <c r="Y1994">
        <f t="shared" si="94"/>
        <v>20.7898006</v>
      </c>
      <c r="Z1994">
        <f t="shared" si="95"/>
        <v>71.099800599999995</v>
      </c>
    </row>
    <row r="1995" spans="1:26" x14ac:dyDescent="0.3">
      <c r="A1995" t="s">
        <v>2085</v>
      </c>
      <c r="B1995" t="s">
        <v>55</v>
      </c>
      <c r="C1995" t="s">
        <v>78</v>
      </c>
      <c r="D1995" t="s">
        <v>57</v>
      </c>
      <c r="E1995">
        <v>20</v>
      </c>
      <c r="F1995" s="3">
        <v>9.8800000000000008</v>
      </c>
      <c r="G1995" s="4">
        <v>75</v>
      </c>
      <c r="H1995">
        <v>2</v>
      </c>
      <c r="I1995">
        <v>1</v>
      </c>
      <c r="J1995">
        <v>6</v>
      </c>
      <c r="K1995" s="4">
        <v>80.5</v>
      </c>
      <c r="L1995" s="4">
        <v>59.9</v>
      </c>
      <c r="M1995" s="4">
        <v>98.6</v>
      </c>
      <c r="N1995">
        <v>2</v>
      </c>
      <c r="O1995" t="s">
        <v>58</v>
      </c>
      <c r="P1995" t="s">
        <v>112</v>
      </c>
      <c r="Q1995" t="s">
        <v>93</v>
      </c>
      <c r="R1995" t="s">
        <v>76</v>
      </c>
      <c r="S1995" s="3">
        <v>9.4</v>
      </c>
      <c r="T1995" s="5">
        <v>45515</v>
      </c>
      <c r="U1995">
        <v>1</v>
      </c>
      <c r="V1995">
        <v>2024</v>
      </c>
      <c r="X1995">
        <f t="shared" si="93"/>
        <v>9.8798005</v>
      </c>
      <c r="Y1995">
        <f t="shared" si="94"/>
        <v>9.3998004999999996</v>
      </c>
      <c r="Z1995">
        <f t="shared" si="95"/>
        <v>59.899800499999998</v>
      </c>
    </row>
    <row r="1996" spans="1:26" x14ac:dyDescent="0.3">
      <c r="A1996" t="s">
        <v>2086</v>
      </c>
      <c r="B1996" t="s">
        <v>82</v>
      </c>
      <c r="C1996" t="s">
        <v>56</v>
      </c>
      <c r="D1996" t="s">
        <v>57</v>
      </c>
      <c r="E1996">
        <v>21</v>
      </c>
      <c r="F1996" s="3">
        <v>6.91</v>
      </c>
      <c r="G1996" s="4">
        <v>81.400000000000006</v>
      </c>
      <c r="H1996">
        <v>0</v>
      </c>
      <c r="I1996">
        <v>2</v>
      </c>
      <c r="J1996">
        <v>5</v>
      </c>
      <c r="K1996" s="4">
        <v>72</v>
      </c>
      <c r="L1996" s="4">
        <v>77.099999999999994</v>
      </c>
      <c r="M1996" s="4">
        <v>93.5</v>
      </c>
      <c r="N1996">
        <v>0</v>
      </c>
      <c r="O1996" t="s">
        <v>58</v>
      </c>
      <c r="P1996" t="s">
        <v>75</v>
      </c>
      <c r="Q1996" t="s">
        <v>71</v>
      </c>
      <c r="R1996" t="s">
        <v>76</v>
      </c>
      <c r="S1996" s="3">
        <v>4.75</v>
      </c>
      <c r="T1996" s="5">
        <v>44807</v>
      </c>
      <c r="U1996">
        <v>1</v>
      </c>
      <c r="V1996">
        <v>2022</v>
      </c>
      <c r="X1996">
        <f t="shared" si="93"/>
        <v>6.9098004</v>
      </c>
      <c r="Y1996">
        <f t="shared" si="94"/>
        <v>4.7498003999999998</v>
      </c>
      <c r="Z1996">
        <f t="shared" si="95"/>
        <v>77.099800399999992</v>
      </c>
    </row>
    <row r="1997" spans="1:26" x14ac:dyDescent="0.3">
      <c r="A1997" t="s">
        <v>2087</v>
      </c>
      <c r="B1997" t="s">
        <v>107</v>
      </c>
      <c r="C1997" t="s">
        <v>68</v>
      </c>
      <c r="D1997" t="s">
        <v>57</v>
      </c>
      <c r="E1997">
        <v>23</v>
      </c>
      <c r="F1997" s="3">
        <v>7.63</v>
      </c>
      <c r="G1997" s="4">
        <v>74.3</v>
      </c>
      <c r="H1997">
        <v>1</v>
      </c>
      <c r="I1997">
        <v>5</v>
      </c>
      <c r="J1997">
        <v>4</v>
      </c>
      <c r="K1997" s="4">
        <v>41.9</v>
      </c>
      <c r="L1997" s="4">
        <v>71.099999999999994</v>
      </c>
      <c r="M1997" s="4">
        <v>72.2</v>
      </c>
      <c r="N1997">
        <v>1</v>
      </c>
      <c r="O1997" t="s">
        <v>58</v>
      </c>
      <c r="P1997" t="s">
        <v>87</v>
      </c>
      <c r="Q1997" t="s">
        <v>71</v>
      </c>
      <c r="R1997" t="s">
        <v>76</v>
      </c>
      <c r="S1997" s="3">
        <v>5.24</v>
      </c>
      <c r="T1997" s="5">
        <v>44487</v>
      </c>
      <c r="U1997">
        <v>3</v>
      </c>
      <c r="V1997">
        <v>2021</v>
      </c>
      <c r="X1997">
        <f t="shared" si="93"/>
        <v>7.6298003000000003</v>
      </c>
      <c r="Y1997">
        <f t="shared" si="94"/>
        <v>5.2398003000000006</v>
      </c>
      <c r="Z1997">
        <f t="shared" si="95"/>
        <v>71.099800299999998</v>
      </c>
    </row>
    <row r="1998" spans="1:26" x14ac:dyDescent="0.3">
      <c r="A1998" t="s">
        <v>2088</v>
      </c>
      <c r="B1998" t="s">
        <v>63</v>
      </c>
      <c r="C1998" t="s">
        <v>56</v>
      </c>
      <c r="D1998" t="s">
        <v>57</v>
      </c>
      <c r="E1998">
        <v>20</v>
      </c>
      <c r="F1998" s="3">
        <v>7.13</v>
      </c>
      <c r="G1998" s="4">
        <v>77.599999999999994</v>
      </c>
      <c r="H1998">
        <v>1</v>
      </c>
      <c r="I1998">
        <v>0</v>
      </c>
      <c r="J1998">
        <v>1</v>
      </c>
      <c r="K1998" s="4">
        <v>73.7</v>
      </c>
      <c r="L1998" s="4">
        <v>80.5</v>
      </c>
      <c r="M1998" s="4">
        <v>67.2</v>
      </c>
      <c r="N1998">
        <v>0</v>
      </c>
      <c r="O1998" t="s">
        <v>64</v>
      </c>
      <c r="P1998" t="s">
        <v>65</v>
      </c>
      <c r="S1998" s="3">
        <v>0</v>
      </c>
      <c r="T1998" s="5"/>
      <c r="U1998">
        <v>0</v>
      </c>
      <c r="V1998">
        <v>2025</v>
      </c>
      <c r="X1998">
        <f t="shared" si="93"/>
        <v>7.1298002</v>
      </c>
      <c r="Y1998">
        <f t="shared" si="94"/>
        <v>-1.9979999999999998E-4</v>
      </c>
      <c r="Z1998">
        <f t="shared" si="95"/>
        <v>80.499800199999996</v>
      </c>
    </row>
    <row r="1999" spans="1:26" x14ac:dyDescent="0.3">
      <c r="A1999" t="s">
        <v>2089</v>
      </c>
      <c r="B1999" t="s">
        <v>107</v>
      </c>
      <c r="C1999" t="s">
        <v>101</v>
      </c>
      <c r="D1999" t="s">
        <v>57</v>
      </c>
      <c r="E1999">
        <v>20</v>
      </c>
      <c r="F1999" s="3">
        <v>6.75</v>
      </c>
      <c r="G1999" s="4">
        <v>88.5</v>
      </c>
      <c r="H1999">
        <v>2</v>
      </c>
      <c r="I1999">
        <v>2</v>
      </c>
      <c r="J1999">
        <v>3</v>
      </c>
      <c r="K1999" s="4">
        <v>65.5</v>
      </c>
      <c r="L1999" s="4">
        <v>83.4</v>
      </c>
      <c r="M1999" s="4">
        <v>81.5</v>
      </c>
      <c r="N1999">
        <v>0</v>
      </c>
      <c r="O1999" t="s">
        <v>58</v>
      </c>
      <c r="P1999" t="s">
        <v>59</v>
      </c>
      <c r="Q1999" t="s">
        <v>60</v>
      </c>
      <c r="R1999" t="s">
        <v>76</v>
      </c>
      <c r="S1999" s="3">
        <v>18.89</v>
      </c>
      <c r="T1999" s="5">
        <v>44413</v>
      </c>
      <c r="U1999">
        <v>1</v>
      </c>
      <c r="V1999">
        <v>2021</v>
      </c>
      <c r="X1999">
        <f t="shared" si="93"/>
        <v>6.7498000999999999</v>
      </c>
      <c r="Y1999">
        <f t="shared" si="94"/>
        <v>18.889800100000002</v>
      </c>
      <c r="Z1999">
        <f t="shared" si="95"/>
        <v>83.399800100000007</v>
      </c>
    </row>
    <row r="2000" spans="1:26" x14ac:dyDescent="0.3">
      <c r="A2000" t="s">
        <v>2090</v>
      </c>
      <c r="B2000" t="s">
        <v>63</v>
      </c>
      <c r="C2000" t="s">
        <v>74</v>
      </c>
      <c r="D2000" t="s">
        <v>57</v>
      </c>
      <c r="E2000">
        <v>20</v>
      </c>
      <c r="F2000" s="3">
        <v>9.26</v>
      </c>
      <c r="G2000" s="4">
        <v>76</v>
      </c>
      <c r="H2000">
        <v>1</v>
      </c>
      <c r="I2000">
        <v>4</v>
      </c>
      <c r="J2000">
        <v>3</v>
      </c>
      <c r="K2000" s="4">
        <v>49.8</v>
      </c>
      <c r="L2000" s="4">
        <v>75.5</v>
      </c>
      <c r="M2000" s="4">
        <v>92.6</v>
      </c>
      <c r="N2000">
        <v>0</v>
      </c>
      <c r="O2000" t="s">
        <v>58</v>
      </c>
      <c r="P2000" t="s">
        <v>59</v>
      </c>
      <c r="Q2000" t="s">
        <v>60</v>
      </c>
      <c r="R2000" t="s">
        <v>76</v>
      </c>
      <c r="S2000" s="3">
        <v>19.510000000000002</v>
      </c>
      <c r="T2000" s="5">
        <v>45917</v>
      </c>
      <c r="U2000">
        <v>1</v>
      </c>
      <c r="V2000">
        <v>2025</v>
      </c>
      <c r="X2000">
        <f t="shared" si="93"/>
        <v>9.2598000000000003</v>
      </c>
      <c r="Y2000">
        <f t="shared" si="94"/>
        <v>19.509800000000002</v>
      </c>
      <c r="Z2000">
        <f t="shared" si="95"/>
        <v>75.499799999999993</v>
      </c>
    </row>
    <row r="2001" spans="1:26" x14ac:dyDescent="0.3">
      <c r="A2001" t="s">
        <v>2091</v>
      </c>
      <c r="B2001" t="s">
        <v>67</v>
      </c>
      <c r="C2001" t="s">
        <v>89</v>
      </c>
      <c r="D2001" t="s">
        <v>57</v>
      </c>
      <c r="E2001">
        <v>23</v>
      </c>
      <c r="F2001" s="3">
        <v>6.26</v>
      </c>
      <c r="G2001" s="4">
        <v>87.1</v>
      </c>
      <c r="H2001">
        <v>1</v>
      </c>
      <c r="I2001">
        <v>4</v>
      </c>
      <c r="J2001">
        <v>4</v>
      </c>
      <c r="K2001" s="4">
        <v>60.4</v>
      </c>
      <c r="L2001" s="4">
        <v>87.3</v>
      </c>
      <c r="M2001" s="4">
        <v>72.2</v>
      </c>
      <c r="N2001">
        <v>0</v>
      </c>
      <c r="O2001" t="s">
        <v>58</v>
      </c>
      <c r="P2001" t="s">
        <v>75</v>
      </c>
      <c r="Q2001" t="s">
        <v>71</v>
      </c>
      <c r="R2001" t="s">
        <v>85</v>
      </c>
      <c r="S2001" s="3">
        <v>5.65</v>
      </c>
      <c r="T2001" s="5">
        <v>45223</v>
      </c>
      <c r="U2001">
        <v>1</v>
      </c>
      <c r="V2001">
        <v>2023</v>
      </c>
      <c r="X2001">
        <f t="shared" si="93"/>
        <v>6.2597999</v>
      </c>
      <c r="Y2001">
        <f t="shared" si="94"/>
        <v>5.6497999000000005</v>
      </c>
      <c r="Z2001">
        <f t="shared" si="95"/>
        <v>87.299799899999996</v>
      </c>
    </row>
    <row r="2002" spans="1:26" x14ac:dyDescent="0.3">
      <c r="A2002" t="s">
        <v>2092</v>
      </c>
      <c r="B2002" t="s">
        <v>55</v>
      </c>
      <c r="C2002" t="s">
        <v>74</v>
      </c>
      <c r="D2002" t="s">
        <v>69</v>
      </c>
      <c r="E2002">
        <v>23</v>
      </c>
      <c r="F2002" s="3">
        <v>7.58</v>
      </c>
      <c r="G2002" s="4">
        <v>87.4</v>
      </c>
      <c r="H2002">
        <v>0</v>
      </c>
      <c r="I2002">
        <v>0</v>
      </c>
      <c r="J2002">
        <v>3</v>
      </c>
      <c r="K2002" s="4">
        <v>73.2</v>
      </c>
      <c r="L2002" s="4">
        <v>64.900000000000006</v>
      </c>
      <c r="M2002" s="4">
        <v>84.7</v>
      </c>
      <c r="N2002">
        <v>0</v>
      </c>
      <c r="O2002" t="s">
        <v>64</v>
      </c>
      <c r="P2002" t="s">
        <v>65</v>
      </c>
      <c r="S2002" s="3">
        <v>0</v>
      </c>
      <c r="T2002" s="5"/>
      <c r="U2002">
        <v>0</v>
      </c>
      <c r="V2002">
        <v>2024</v>
      </c>
      <c r="X2002">
        <f t="shared" si="93"/>
        <v>7.5797998</v>
      </c>
      <c r="Y2002">
        <f t="shared" si="94"/>
        <v>-2.0019999999999999E-4</v>
      </c>
      <c r="Z2002">
        <f t="shared" si="95"/>
        <v>64.899799800000011</v>
      </c>
    </row>
    <row r="2003" spans="1:26" x14ac:dyDescent="0.3">
      <c r="A2003" t="s">
        <v>2093</v>
      </c>
      <c r="B2003" t="s">
        <v>67</v>
      </c>
      <c r="C2003" t="s">
        <v>101</v>
      </c>
      <c r="D2003" t="s">
        <v>57</v>
      </c>
      <c r="E2003">
        <v>20</v>
      </c>
      <c r="F2003" s="3">
        <v>7.73</v>
      </c>
      <c r="G2003" s="4">
        <v>84.2</v>
      </c>
      <c r="H2003">
        <v>1</v>
      </c>
      <c r="I2003">
        <v>2</v>
      </c>
      <c r="J2003">
        <v>3</v>
      </c>
      <c r="K2003" s="4">
        <v>54.1</v>
      </c>
      <c r="L2003" s="4">
        <v>48.3</v>
      </c>
      <c r="M2003" s="4">
        <v>94.5</v>
      </c>
      <c r="N2003">
        <v>3</v>
      </c>
      <c r="O2003" t="s">
        <v>58</v>
      </c>
      <c r="P2003" t="s">
        <v>95</v>
      </c>
      <c r="Q2003" t="s">
        <v>93</v>
      </c>
      <c r="R2003" t="s">
        <v>130</v>
      </c>
      <c r="S2003" s="3">
        <v>5.82</v>
      </c>
      <c r="T2003" s="5">
        <v>45178</v>
      </c>
      <c r="U2003">
        <v>1</v>
      </c>
      <c r="V2003">
        <v>2023</v>
      </c>
      <c r="X2003">
        <f t="shared" si="93"/>
        <v>7.7297997000000001</v>
      </c>
      <c r="Y2003">
        <f t="shared" si="94"/>
        <v>5.8197996999999999</v>
      </c>
      <c r="Z2003">
        <f t="shared" si="95"/>
        <v>48.299799699999994</v>
      </c>
    </row>
    <row r="2004" spans="1:26" x14ac:dyDescent="0.3">
      <c r="A2004" t="s">
        <v>2094</v>
      </c>
      <c r="B2004" t="s">
        <v>82</v>
      </c>
      <c r="C2004" t="s">
        <v>84</v>
      </c>
      <c r="D2004" t="s">
        <v>57</v>
      </c>
      <c r="E2004">
        <v>20</v>
      </c>
      <c r="F2004" s="3">
        <v>7.62</v>
      </c>
      <c r="G2004" s="4">
        <v>88</v>
      </c>
      <c r="H2004">
        <v>2</v>
      </c>
      <c r="I2004">
        <v>0</v>
      </c>
      <c r="J2004">
        <v>4</v>
      </c>
      <c r="K2004" s="4">
        <v>53.8</v>
      </c>
      <c r="L2004" s="4">
        <v>53.8</v>
      </c>
      <c r="M2004" s="4">
        <v>85.9</v>
      </c>
      <c r="N2004">
        <v>0</v>
      </c>
      <c r="O2004" t="s">
        <v>58</v>
      </c>
      <c r="P2004" t="s">
        <v>75</v>
      </c>
      <c r="Q2004" t="s">
        <v>71</v>
      </c>
      <c r="R2004" t="s">
        <v>61</v>
      </c>
      <c r="S2004" s="3">
        <v>6.39</v>
      </c>
      <c r="T2004" s="5">
        <v>44780</v>
      </c>
      <c r="U2004">
        <v>1</v>
      </c>
      <c r="V2004">
        <v>2022</v>
      </c>
      <c r="X2004">
        <f t="shared" si="93"/>
        <v>7.6197996000000003</v>
      </c>
      <c r="Y2004">
        <f t="shared" si="94"/>
        <v>6.3897995999999999</v>
      </c>
      <c r="Z2004">
        <f t="shared" si="95"/>
        <v>53.7997996</v>
      </c>
    </row>
    <row r="2005" spans="1:26" x14ac:dyDescent="0.3">
      <c r="A2005" t="s">
        <v>2095</v>
      </c>
      <c r="B2005" t="s">
        <v>107</v>
      </c>
      <c r="C2005" t="s">
        <v>74</v>
      </c>
      <c r="D2005" t="s">
        <v>69</v>
      </c>
      <c r="E2005">
        <v>22</v>
      </c>
      <c r="F2005" s="3">
        <v>7.37</v>
      </c>
      <c r="G2005" s="4">
        <v>79.400000000000006</v>
      </c>
      <c r="H2005">
        <v>2</v>
      </c>
      <c r="I2005">
        <v>3</v>
      </c>
      <c r="J2005">
        <v>6</v>
      </c>
      <c r="K2005" s="4">
        <v>60.1</v>
      </c>
      <c r="L2005" s="4">
        <v>68.7</v>
      </c>
      <c r="M2005" s="4">
        <v>54.9</v>
      </c>
      <c r="N2005">
        <v>0</v>
      </c>
      <c r="O2005" t="s">
        <v>58</v>
      </c>
      <c r="P2005" t="s">
        <v>75</v>
      </c>
      <c r="Q2005" t="s">
        <v>71</v>
      </c>
      <c r="R2005" t="s">
        <v>130</v>
      </c>
      <c r="S2005" s="3">
        <v>5.62</v>
      </c>
      <c r="T2005" s="5">
        <v>44507</v>
      </c>
      <c r="U2005">
        <v>1</v>
      </c>
      <c r="V2005">
        <v>2021</v>
      </c>
      <c r="X2005">
        <f t="shared" si="93"/>
        <v>7.3697995000000001</v>
      </c>
      <c r="Y2005">
        <f t="shared" si="94"/>
        <v>5.6197995000000001</v>
      </c>
      <c r="Z2005">
        <f t="shared" si="95"/>
        <v>68.699799499999997</v>
      </c>
    </row>
    <row r="2006" spans="1:26" x14ac:dyDescent="0.3">
      <c r="A2006" t="s">
        <v>2096</v>
      </c>
      <c r="B2006" t="s">
        <v>63</v>
      </c>
      <c r="C2006" t="s">
        <v>101</v>
      </c>
      <c r="D2006" t="s">
        <v>69</v>
      </c>
      <c r="E2006">
        <v>23</v>
      </c>
      <c r="F2006" s="3">
        <v>9.1</v>
      </c>
      <c r="G2006" s="4">
        <v>64</v>
      </c>
      <c r="H2006">
        <v>0</v>
      </c>
      <c r="I2006">
        <v>1</v>
      </c>
      <c r="J2006">
        <v>4</v>
      </c>
      <c r="K2006" s="4">
        <v>54.8</v>
      </c>
      <c r="L2006" s="4">
        <v>76.3</v>
      </c>
      <c r="M2006" s="4">
        <v>59.7</v>
      </c>
      <c r="N2006">
        <v>0</v>
      </c>
      <c r="O2006" t="s">
        <v>58</v>
      </c>
      <c r="P2006" t="s">
        <v>112</v>
      </c>
      <c r="Q2006" t="s">
        <v>93</v>
      </c>
      <c r="R2006" t="s">
        <v>80</v>
      </c>
      <c r="S2006" s="3">
        <v>7.96</v>
      </c>
      <c r="T2006" s="5">
        <v>45954</v>
      </c>
      <c r="U2006">
        <v>1</v>
      </c>
      <c r="V2006">
        <v>2025</v>
      </c>
      <c r="X2006">
        <f t="shared" si="93"/>
        <v>9.0997994000000002</v>
      </c>
      <c r="Y2006">
        <f t="shared" si="94"/>
        <v>7.9597993999999996</v>
      </c>
      <c r="Z2006">
        <f t="shared" si="95"/>
        <v>76.299799399999998</v>
      </c>
    </row>
    <row r="2007" spans="1:26" x14ac:dyDescent="0.3">
      <c r="A2007" t="s">
        <v>2097</v>
      </c>
      <c r="B2007" t="s">
        <v>63</v>
      </c>
      <c r="C2007" t="s">
        <v>74</v>
      </c>
      <c r="D2007" t="s">
        <v>57</v>
      </c>
      <c r="E2007">
        <v>22</v>
      </c>
      <c r="F2007" s="3">
        <v>5.75</v>
      </c>
      <c r="G2007" s="4">
        <v>82.5</v>
      </c>
      <c r="H2007">
        <v>0</v>
      </c>
      <c r="I2007">
        <v>3</v>
      </c>
      <c r="J2007">
        <v>4</v>
      </c>
      <c r="K2007" s="4">
        <v>52.6</v>
      </c>
      <c r="L2007" s="4">
        <v>78.8</v>
      </c>
      <c r="M2007" s="4">
        <v>97.8</v>
      </c>
      <c r="N2007">
        <v>0</v>
      </c>
      <c r="O2007" t="s">
        <v>64</v>
      </c>
      <c r="P2007" t="s">
        <v>65</v>
      </c>
      <c r="S2007" s="3">
        <v>0</v>
      </c>
      <c r="T2007" s="5"/>
      <c r="U2007">
        <v>0</v>
      </c>
      <c r="V2007">
        <v>2025</v>
      </c>
      <c r="X2007">
        <f t="shared" si="93"/>
        <v>5.7497993000000003</v>
      </c>
      <c r="Y2007">
        <f t="shared" si="94"/>
        <v>-2.007E-4</v>
      </c>
      <c r="Z2007">
        <f t="shared" si="95"/>
        <v>78.799799300000004</v>
      </c>
    </row>
    <row r="2008" spans="1:26" x14ac:dyDescent="0.3">
      <c r="A2008" t="s">
        <v>2098</v>
      </c>
      <c r="B2008" t="s">
        <v>107</v>
      </c>
      <c r="C2008" t="s">
        <v>68</v>
      </c>
      <c r="D2008" t="s">
        <v>69</v>
      </c>
      <c r="E2008">
        <v>20</v>
      </c>
      <c r="F2008" s="3">
        <v>8.0399999999999991</v>
      </c>
      <c r="G2008" s="4">
        <v>82.7</v>
      </c>
      <c r="H2008">
        <v>1</v>
      </c>
      <c r="I2008">
        <v>4</v>
      </c>
      <c r="J2008">
        <v>6</v>
      </c>
      <c r="K2008" s="4">
        <v>52.3</v>
      </c>
      <c r="L2008" s="4">
        <v>60.3</v>
      </c>
      <c r="M2008" s="4">
        <v>75.3</v>
      </c>
      <c r="N2008">
        <v>0</v>
      </c>
      <c r="O2008" t="s">
        <v>64</v>
      </c>
      <c r="P2008" t="s">
        <v>65</v>
      </c>
      <c r="S2008" s="3">
        <v>0</v>
      </c>
      <c r="T2008" s="5"/>
      <c r="U2008">
        <v>0</v>
      </c>
      <c r="V2008">
        <v>2021</v>
      </c>
      <c r="X2008">
        <f t="shared" si="93"/>
        <v>8.0397991999999991</v>
      </c>
      <c r="Y2008">
        <f t="shared" si="94"/>
        <v>-2.008E-4</v>
      </c>
      <c r="Z2008">
        <f t="shared" si="95"/>
        <v>60.299799199999995</v>
      </c>
    </row>
    <row r="2009" spans="1:26" x14ac:dyDescent="0.3">
      <c r="A2009" t="s">
        <v>2099</v>
      </c>
      <c r="B2009" t="s">
        <v>107</v>
      </c>
      <c r="C2009" t="s">
        <v>101</v>
      </c>
      <c r="D2009" t="s">
        <v>57</v>
      </c>
      <c r="E2009">
        <v>20</v>
      </c>
      <c r="F2009" s="3">
        <v>8.08</v>
      </c>
      <c r="G2009" s="4">
        <v>78.7</v>
      </c>
      <c r="H2009">
        <v>2</v>
      </c>
      <c r="I2009">
        <v>5</v>
      </c>
      <c r="J2009">
        <v>2</v>
      </c>
      <c r="K2009" s="4">
        <v>74.099999999999994</v>
      </c>
      <c r="L2009" s="4">
        <v>83</v>
      </c>
      <c r="M2009" s="4">
        <v>78</v>
      </c>
      <c r="N2009">
        <v>0</v>
      </c>
      <c r="O2009" t="s">
        <v>58</v>
      </c>
      <c r="P2009" t="s">
        <v>79</v>
      </c>
      <c r="Q2009" t="s">
        <v>71</v>
      </c>
      <c r="R2009" t="s">
        <v>109</v>
      </c>
      <c r="S2009" s="3">
        <v>6.94</v>
      </c>
      <c r="T2009" s="5">
        <v>44422</v>
      </c>
      <c r="U2009">
        <v>1</v>
      </c>
      <c r="V2009">
        <v>2021</v>
      </c>
      <c r="X2009">
        <f t="shared" si="93"/>
        <v>8.0797991000000007</v>
      </c>
      <c r="Y2009">
        <f t="shared" si="94"/>
        <v>6.9397991000000001</v>
      </c>
      <c r="Z2009">
        <f t="shared" si="95"/>
        <v>82.999799100000004</v>
      </c>
    </row>
    <row r="2010" spans="1:26" x14ac:dyDescent="0.3">
      <c r="A2010" t="s">
        <v>2100</v>
      </c>
      <c r="B2010" t="s">
        <v>82</v>
      </c>
      <c r="C2010" t="s">
        <v>74</v>
      </c>
      <c r="D2010" t="s">
        <v>69</v>
      </c>
      <c r="E2010">
        <v>20</v>
      </c>
      <c r="F2010" s="3">
        <v>7.91</v>
      </c>
      <c r="G2010" s="4">
        <v>87.8</v>
      </c>
      <c r="H2010">
        <v>2</v>
      </c>
      <c r="I2010">
        <v>4</v>
      </c>
      <c r="J2010">
        <v>1</v>
      </c>
      <c r="K2010" s="4">
        <v>55.3</v>
      </c>
      <c r="L2010" s="4">
        <v>35.200000000000003</v>
      </c>
      <c r="M2010" s="4">
        <v>80.8</v>
      </c>
      <c r="N2010">
        <v>0</v>
      </c>
      <c r="O2010" t="s">
        <v>58</v>
      </c>
      <c r="P2010" t="s">
        <v>90</v>
      </c>
      <c r="Q2010" t="s">
        <v>60</v>
      </c>
      <c r="R2010" t="s">
        <v>61</v>
      </c>
      <c r="S2010" s="3">
        <v>7.7</v>
      </c>
      <c r="T2010" s="5">
        <v>44871</v>
      </c>
      <c r="U2010">
        <v>2</v>
      </c>
      <c r="V2010">
        <v>2022</v>
      </c>
      <c r="X2010">
        <f t="shared" si="93"/>
        <v>7.9097990000000005</v>
      </c>
      <c r="Y2010">
        <f t="shared" si="94"/>
        <v>7.6997990000000005</v>
      </c>
      <c r="Z2010">
        <f t="shared" si="95"/>
        <v>35.199799000000006</v>
      </c>
    </row>
    <row r="2011" spans="1:26" x14ac:dyDescent="0.3">
      <c r="A2011" t="s">
        <v>2101</v>
      </c>
      <c r="B2011" t="s">
        <v>67</v>
      </c>
      <c r="C2011" t="s">
        <v>84</v>
      </c>
      <c r="D2011" t="s">
        <v>57</v>
      </c>
      <c r="E2011">
        <v>20</v>
      </c>
      <c r="F2011" s="3">
        <v>6.9</v>
      </c>
      <c r="G2011" s="4">
        <v>88.9</v>
      </c>
      <c r="H2011">
        <v>0</v>
      </c>
      <c r="I2011">
        <v>1</v>
      </c>
      <c r="J2011">
        <v>5</v>
      </c>
      <c r="K2011" s="4">
        <v>83.1</v>
      </c>
      <c r="L2011" s="4">
        <v>61.8</v>
      </c>
      <c r="M2011" s="4">
        <v>91.2</v>
      </c>
      <c r="N2011">
        <v>0</v>
      </c>
      <c r="O2011" t="s">
        <v>58</v>
      </c>
      <c r="P2011" t="s">
        <v>87</v>
      </c>
      <c r="Q2011" t="s">
        <v>71</v>
      </c>
      <c r="R2011" t="s">
        <v>76</v>
      </c>
      <c r="S2011" s="3">
        <v>5.14</v>
      </c>
      <c r="T2011" s="5">
        <v>45148</v>
      </c>
      <c r="U2011">
        <v>1</v>
      </c>
      <c r="V2011">
        <v>2023</v>
      </c>
      <c r="X2011">
        <f t="shared" si="93"/>
        <v>6.8997989000000004</v>
      </c>
      <c r="Y2011">
        <f t="shared" si="94"/>
        <v>5.1397988999999997</v>
      </c>
      <c r="Z2011">
        <f t="shared" si="95"/>
        <v>61.799798899999999</v>
      </c>
    </row>
    <row r="2012" spans="1:26" x14ac:dyDescent="0.3">
      <c r="A2012" t="s">
        <v>2102</v>
      </c>
      <c r="B2012" t="s">
        <v>63</v>
      </c>
      <c r="C2012" t="s">
        <v>56</v>
      </c>
      <c r="D2012" t="s">
        <v>57</v>
      </c>
      <c r="E2012">
        <v>21</v>
      </c>
      <c r="F2012" s="3">
        <v>8.73</v>
      </c>
      <c r="G2012" s="4">
        <v>84</v>
      </c>
      <c r="H2012">
        <v>1</v>
      </c>
      <c r="I2012">
        <v>1</v>
      </c>
      <c r="J2012">
        <v>3</v>
      </c>
      <c r="K2012" s="4">
        <v>98.2</v>
      </c>
      <c r="L2012" s="4">
        <v>77.400000000000006</v>
      </c>
      <c r="M2012" s="4">
        <v>64.599999999999994</v>
      </c>
      <c r="N2012">
        <v>0</v>
      </c>
      <c r="O2012" t="s">
        <v>58</v>
      </c>
      <c r="P2012" t="s">
        <v>104</v>
      </c>
      <c r="Q2012" t="s">
        <v>105</v>
      </c>
      <c r="R2012" t="s">
        <v>80</v>
      </c>
      <c r="S2012" s="3">
        <v>16.329999999999998</v>
      </c>
      <c r="T2012" s="5">
        <v>45951</v>
      </c>
      <c r="U2012">
        <v>3</v>
      </c>
      <c r="V2012">
        <v>2025</v>
      </c>
      <c r="X2012">
        <f t="shared" si="93"/>
        <v>8.7297988000000011</v>
      </c>
      <c r="Y2012">
        <f t="shared" si="94"/>
        <v>16.329798799999999</v>
      </c>
      <c r="Z2012">
        <f t="shared" si="95"/>
        <v>77.399798799999999</v>
      </c>
    </row>
    <row r="2013" spans="1:26" x14ac:dyDescent="0.3">
      <c r="A2013" t="s">
        <v>2103</v>
      </c>
      <c r="B2013" t="s">
        <v>82</v>
      </c>
      <c r="C2013" t="s">
        <v>56</v>
      </c>
      <c r="D2013" t="s">
        <v>69</v>
      </c>
      <c r="E2013">
        <v>21</v>
      </c>
      <c r="F2013" s="3">
        <v>8.69</v>
      </c>
      <c r="G2013" s="4">
        <v>82.9</v>
      </c>
      <c r="H2013">
        <v>1</v>
      </c>
      <c r="I2013">
        <v>2</v>
      </c>
      <c r="J2013">
        <v>3</v>
      </c>
      <c r="K2013" s="4">
        <v>65.7</v>
      </c>
      <c r="L2013" s="4">
        <v>83.7</v>
      </c>
      <c r="M2013" s="4">
        <v>69</v>
      </c>
      <c r="N2013">
        <v>0</v>
      </c>
      <c r="O2013" t="s">
        <v>58</v>
      </c>
      <c r="P2013" t="s">
        <v>104</v>
      </c>
      <c r="Q2013" t="s">
        <v>105</v>
      </c>
      <c r="R2013" t="s">
        <v>109</v>
      </c>
      <c r="S2013" s="3">
        <v>16.329999999999998</v>
      </c>
      <c r="T2013" s="5">
        <v>44854</v>
      </c>
      <c r="U2013">
        <v>2</v>
      </c>
      <c r="V2013">
        <v>2022</v>
      </c>
      <c r="X2013">
        <f t="shared" si="93"/>
        <v>8.689798699999999</v>
      </c>
      <c r="Y2013">
        <f t="shared" si="94"/>
        <v>16.329798699999998</v>
      </c>
      <c r="Z2013">
        <f t="shared" si="95"/>
        <v>83.699798700000002</v>
      </c>
    </row>
    <row r="2014" spans="1:26" x14ac:dyDescent="0.3">
      <c r="A2014" t="s">
        <v>2104</v>
      </c>
      <c r="B2014" t="s">
        <v>67</v>
      </c>
      <c r="C2014" t="s">
        <v>84</v>
      </c>
      <c r="D2014" t="s">
        <v>69</v>
      </c>
      <c r="E2014">
        <v>21</v>
      </c>
      <c r="F2014" s="3">
        <v>6.87</v>
      </c>
      <c r="G2014" s="4">
        <v>93</v>
      </c>
      <c r="H2014">
        <v>3</v>
      </c>
      <c r="I2014">
        <v>2</v>
      </c>
      <c r="J2014">
        <v>3</v>
      </c>
      <c r="K2014" s="4">
        <v>96.2</v>
      </c>
      <c r="L2014" s="4">
        <v>81.400000000000006</v>
      </c>
      <c r="M2014" s="4">
        <v>61.9</v>
      </c>
      <c r="N2014">
        <v>0</v>
      </c>
      <c r="O2014" t="s">
        <v>58</v>
      </c>
      <c r="P2014" t="s">
        <v>79</v>
      </c>
      <c r="Q2014" t="s">
        <v>71</v>
      </c>
      <c r="R2014" t="s">
        <v>80</v>
      </c>
      <c r="S2014" s="3">
        <v>8.25</v>
      </c>
      <c r="T2014" s="5">
        <v>45240</v>
      </c>
      <c r="U2014">
        <v>2</v>
      </c>
      <c r="V2014">
        <v>2023</v>
      </c>
      <c r="X2014">
        <f t="shared" si="93"/>
        <v>6.8697986000000002</v>
      </c>
      <c r="Y2014">
        <f t="shared" si="94"/>
        <v>8.2497986000000001</v>
      </c>
      <c r="Z2014">
        <f t="shared" si="95"/>
        <v>81.399798600000011</v>
      </c>
    </row>
    <row r="2015" spans="1:26" x14ac:dyDescent="0.3">
      <c r="A2015" t="s">
        <v>2105</v>
      </c>
      <c r="B2015" t="s">
        <v>82</v>
      </c>
      <c r="C2015" t="s">
        <v>56</v>
      </c>
      <c r="D2015" t="s">
        <v>57</v>
      </c>
      <c r="E2015">
        <v>22</v>
      </c>
      <c r="F2015" s="3">
        <v>6.57</v>
      </c>
      <c r="G2015" s="4">
        <v>72.3</v>
      </c>
      <c r="H2015">
        <v>1</v>
      </c>
      <c r="I2015">
        <v>0</v>
      </c>
      <c r="J2015">
        <v>4</v>
      </c>
      <c r="K2015" s="4">
        <v>75.599999999999994</v>
      </c>
      <c r="L2015" s="4">
        <v>84</v>
      </c>
      <c r="M2015" s="4">
        <v>49.2</v>
      </c>
      <c r="N2015">
        <v>0</v>
      </c>
      <c r="O2015" t="s">
        <v>64</v>
      </c>
      <c r="P2015" t="s">
        <v>65</v>
      </c>
      <c r="S2015" s="3">
        <v>0</v>
      </c>
      <c r="T2015" s="5"/>
      <c r="U2015">
        <v>0</v>
      </c>
      <c r="V2015">
        <v>2022</v>
      </c>
      <c r="X2015">
        <f t="shared" si="93"/>
        <v>6.5697985000000001</v>
      </c>
      <c r="Y2015">
        <f t="shared" si="94"/>
        <v>-2.0149999999999999E-4</v>
      </c>
      <c r="Z2015">
        <f t="shared" si="95"/>
        <v>83.999798499999997</v>
      </c>
    </row>
    <row r="2016" spans="1:26" x14ac:dyDescent="0.3">
      <c r="A2016" t="s">
        <v>2106</v>
      </c>
      <c r="B2016" t="s">
        <v>63</v>
      </c>
      <c r="C2016" t="s">
        <v>84</v>
      </c>
      <c r="D2016" t="s">
        <v>57</v>
      </c>
      <c r="E2016">
        <v>23</v>
      </c>
      <c r="F2016" s="3">
        <v>6.4</v>
      </c>
      <c r="G2016" s="4">
        <v>79</v>
      </c>
      <c r="H2016">
        <v>1</v>
      </c>
      <c r="I2016">
        <v>1</v>
      </c>
      <c r="J2016">
        <v>3</v>
      </c>
      <c r="K2016" s="4">
        <v>70.3</v>
      </c>
      <c r="L2016" s="4">
        <v>72.599999999999994</v>
      </c>
      <c r="M2016" s="4">
        <v>78.900000000000006</v>
      </c>
      <c r="N2016">
        <v>0</v>
      </c>
      <c r="O2016" t="s">
        <v>58</v>
      </c>
      <c r="P2016" t="s">
        <v>104</v>
      </c>
      <c r="Q2016" t="s">
        <v>105</v>
      </c>
      <c r="R2016" t="s">
        <v>72</v>
      </c>
      <c r="S2016" s="3">
        <v>14.8</v>
      </c>
      <c r="T2016" s="5">
        <v>45989</v>
      </c>
      <c r="U2016">
        <v>1</v>
      </c>
      <c r="V2016">
        <v>2025</v>
      </c>
      <c r="X2016">
        <f t="shared" si="93"/>
        <v>6.3997984000000008</v>
      </c>
      <c r="Y2016">
        <f t="shared" si="94"/>
        <v>14.7997984</v>
      </c>
      <c r="Z2016">
        <f t="shared" si="95"/>
        <v>72.599798399999997</v>
      </c>
    </row>
    <row r="2017" spans="1:26" x14ac:dyDescent="0.3">
      <c r="A2017" t="s">
        <v>2107</v>
      </c>
      <c r="B2017" t="s">
        <v>107</v>
      </c>
      <c r="C2017" t="s">
        <v>84</v>
      </c>
      <c r="D2017" t="s">
        <v>57</v>
      </c>
      <c r="E2017">
        <v>20</v>
      </c>
      <c r="F2017" s="3">
        <v>7.85</v>
      </c>
      <c r="G2017" s="4">
        <v>91</v>
      </c>
      <c r="H2017">
        <v>1</v>
      </c>
      <c r="I2017">
        <v>4</v>
      </c>
      <c r="J2017">
        <v>3</v>
      </c>
      <c r="K2017" s="4">
        <v>67.099999999999994</v>
      </c>
      <c r="L2017" s="4">
        <v>68.2</v>
      </c>
      <c r="M2017" s="4">
        <v>63.6</v>
      </c>
      <c r="N2017">
        <v>0</v>
      </c>
      <c r="O2017" t="s">
        <v>58</v>
      </c>
      <c r="P2017" t="s">
        <v>79</v>
      </c>
      <c r="Q2017" t="s">
        <v>71</v>
      </c>
      <c r="R2017" t="s">
        <v>80</v>
      </c>
      <c r="S2017" s="3">
        <v>5.15</v>
      </c>
      <c r="T2017" s="5">
        <v>44504</v>
      </c>
      <c r="U2017">
        <v>1</v>
      </c>
      <c r="V2017">
        <v>2021</v>
      </c>
      <c r="X2017">
        <f t="shared" si="93"/>
        <v>7.8497982999999998</v>
      </c>
      <c r="Y2017">
        <f t="shared" si="94"/>
        <v>5.1497983000000005</v>
      </c>
      <c r="Z2017">
        <f t="shared" si="95"/>
        <v>68.199798299999998</v>
      </c>
    </row>
    <row r="2018" spans="1:26" x14ac:dyDescent="0.3">
      <c r="A2018" t="s">
        <v>2108</v>
      </c>
      <c r="B2018" t="s">
        <v>107</v>
      </c>
      <c r="C2018" t="s">
        <v>56</v>
      </c>
      <c r="D2018" t="s">
        <v>69</v>
      </c>
      <c r="E2018">
        <v>23</v>
      </c>
      <c r="F2018" s="3">
        <v>7.69</v>
      </c>
      <c r="G2018" s="4">
        <v>86.8</v>
      </c>
      <c r="H2018">
        <v>1</v>
      </c>
      <c r="I2018">
        <v>4</v>
      </c>
      <c r="J2018">
        <v>3</v>
      </c>
      <c r="K2018" s="4">
        <v>40.6</v>
      </c>
      <c r="L2018" s="4">
        <v>41.8</v>
      </c>
      <c r="M2018" s="4">
        <v>85.6</v>
      </c>
      <c r="N2018">
        <v>0</v>
      </c>
      <c r="O2018" t="s">
        <v>58</v>
      </c>
      <c r="P2018" t="s">
        <v>79</v>
      </c>
      <c r="Q2018" t="s">
        <v>71</v>
      </c>
      <c r="R2018" t="s">
        <v>80</v>
      </c>
      <c r="S2018" s="3">
        <v>6.94</v>
      </c>
      <c r="T2018" s="5">
        <v>44425</v>
      </c>
      <c r="U2018">
        <v>3</v>
      </c>
      <c r="V2018">
        <v>2021</v>
      </c>
      <c r="X2018">
        <f t="shared" si="93"/>
        <v>7.6897982000000003</v>
      </c>
      <c r="Y2018">
        <f t="shared" si="94"/>
        <v>6.9397982000000003</v>
      </c>
      <c r="Z2018">
        <f t="shared" si="95"/>
        <v>41.799798199999998</v>
      </c>
    </row>
    <row r="2019" spans="1:26" x14ac:dyDescent="0.3">
      <c r="A2019" t="s">
        <v>2109</v>
      </c>
      <c r="B2019" t="s">
        <v>67</v>
      </c>
      <c r="C2019" t="s">
        <v>68</v>
      </c>
      <c r="D2019" t="s">
        <v>57</v>
      </c>
      <c r="E2019">
        <v>21</v>
      </c>
      <c r="F2019" s="3">
        <v>7.33</v>
      </c>
      <c r="G2019" s="4">
        <v>79.900000000000006</v>
      </c>
      <c r="H2019">
        <v>2</v>
      </c>
      <c r="I2019">
        <v>1</v>
      </c>
      <c r="J2019">
        <v>3</v>
      </c>
      <c r="K2019" s="4">
        <v>61.7</v>
      </c>
      <c r="L2019" s="4">
        <v>66.400000000000006</v>
      </c>
      <c r="M2019" s="4">
        <v>66.7</v>
      </c>
      <c r="N2019">
        <v>0</v>
      </c>
      <c r="O2019" t="s">
        <v>58</v>
      </c>
      <c r="P2019" t="s">
        <v>112</v>
      </c>
      <c r="Q2019" t="s">
        <v>93</v>
      </c>
      <c r="R2019" t="s">
        <v>76</v>
      </c>
      <c r="S2019" s="3">
        <v>7.56</v>
      </c>
      <c r="T2019" s="5">
        <v>45258</v>
      </c>
      <c r="U2019">
        <v>1</v>
      </c>
      <c r="V2019">
        <v>2023</v>
      </c>
      <c r="X2019">
        <f t="shared" si="93"/>
        <v>7.3297980999999996</v>
      </c>
      <c r="Y2019">
        <f t="shared" si="94"/>
        <v>7.5597980999999992</v>
      </c>
      <c r="Z2019">
        <f t="shared" si="95"/>
        <v>66.399798100000012</v>
      </c>
    </row>
    <row r="2020" spans="1:26" x14ac:dyDescent="0.3">
      <c r="A2020" t="s">
        <v>2110</v>
      </c>
      <c r="B2020" t="s">
        <v>55</v>
      </c>
      <c r="C2020" t="s">
        <v>56</v>
      </c>
      <c r="D2020" t="s">
        <v>57</v>
      </c>
      <c r="E2020">
        <v>20</v>
      </c>
      <c r="F2020" s="3">
        <v>9.52</v>
      </c>
      <c r="G2020" s="4">
        <v>85.5</v>
      </c>
      <c r="H2020">
        <v>0</v>
      </c>
      <c r="I2020">
        <v>1</v>
      </c>
      <c r="J2020">
        <v>6</v>
      </c>
      <c r="K2020" s="4">
        <v>52.3</v>
      </c>
      <c r="L2020" s="4">
        <v>52.8</v>
      </c>
      <c r="M2020" s="4">
        <v>57.8</v>
      </c>
      <c r="N2020">
        <v>0</v>
      </c>
      <c r="O2020" t="s">
        <v>58</v>
      </c>
      <c r="P2020" t="s">
        <v>75</v>
      </c>
      <c r="Q2020" t="s">
        <v>71</v>
      </c>
      <c r="R2020" t="s">
        <v>72</v>
      </c>
      <c r="S2020" s="3">
        <v>6.38</v>
      </c>
      <c r="T2020" s="5">
        <v>45590</v>
      </c>
      <c r="U2020">
        <v>1</v>
      </c>
      <c r="V2020">
        <v>2024</v>
      </c>
      <c r="X2020">
        <f t="shared" si="93"/>
        <v>9.5197979999999998</v>
      </c>
      <c r="Y2020">
        <f t="shared" si="94"/>
        <v>6.3797980000000001</v>
      </c>
      <c r="Z2020">
        <f t="shared" si="95"/>
        <v>52.799797999999996</v>
      </c>
    </row>
    <row r="2021" spans="1:26" x14ac:dyDescent="0.3">
      <c r="A2021" t="s">
        <v>2111</v>
      </c>
      <c r="B2021" t="s">
        <v>67</v>
      </c>
      <c r="C2021" t="s">
        <v>68</v>
      </c>
      <c r="D2021" t="s">
        <v>57</v>
      </c>
      <c r="E2021">
        <v>20</v>
      </c>
      <c r="F2021" s="3">
        <v>7.24</v>
      </c>
      <c r="G2021" s="4">
        <v>77.099999999999994</v>
      </c>
      <c r="H2021">
        <v>1</v>
      </c>
      <c r="I2021">
        <v>2</v>
      </c>
      <c r="J2021">
        <v>6</v>
      </c>
      <c r="K2021" s="4">
        <v>80.3</v>
      </c>
      <c r="L2021" s="4">
        <v>79.2</v>
      </c>
      <c r="M2021" s="4">
        <v>86.7</v>
      </c>
      <c r="N2021">
        <v>0</v>
      </c>
      <c r="O2021" t="s">
        <v>58</v>
      </c>
      <c r="P2021" t="s">
        <v>59</v>
      </c>
      <c r="Q2021" t="s">
        <v>60</v>
      </c>
      <c r="R2021" t="s">
        <v>109</v>
      </c>
      <c r="S2021" s="3">
        <v>20.67</v>
      </c>
      <c r="T2021" s="5">
        <v>45227</v>
      </c>
      <c r="U2021">
        <v>1</v>
      </c>
      <c r="V2021">
        <v>2023</v>
      </c>
      <c r="X2021">
        <f t="shared" si="93"/>
        <v>7.2397979000000001</v>
      </c>
      <c r="Y2021">
        <f t="shared" si="94"/>
        <v>20.669797900000002</v>
      </c>
      <c r="Z2021">
        <f t="shared" si="95"/>
        <v>79.199797900000007</v>
      </c>
    </row>
    <row r="2022" spans="1:26" x14ac:dyDescent="0.3">
      <c r="A2022" t="s">
        <v>2112</v>
      </c>
      <c r="B2022" t="s">
        <v>55</v>
      </c>
      <c r="C2022" t="s">
        <v>56</v>
      </c>
      <c r="D2022" t="s">
        <v>69</v>
      </c>
      <c r="E2022">
        <v>22</v>
      </c>
      <c r="F2022" s="3">
        <v>7.82</v>
      </c>
      <c r="G2022" s="4">
        <v>83.5</v>
      </c>
      <c r="H2022">
        <v>2</v>
      </c>
      <c r="I2022">
        <v>3</v>
      </c>
      <c r="J2022">
        <v>5</v>
      </c>
      <c r="K2022" s="4">
        <v>92</v>
      </c>
      <c r="L2022" s="4">
        <v>49.5</v>
      </c>
      <c r="M2022" s="4">
        <v>80.3</v>
      </c>
      <c r="N2022">
        <v>1</v>
      </c>
      <c r="O2022" t="s">
        <v>58</v>
      </c>
      <c r="P2022" t="s">
        <v>87</v>
      </c>
      <c r="Q2022" t="s">
        <v>71</v>
      </c>
      <c r="R2022" t="s">
        <v>80</v>
      </c>
      <c r="S2022" s="3">
        <v>5.16</v>
      </c>
      <c r="T2022" s="5">
        <v>45555</v>
      </c>
      <c r="U2022">
        <v>1</v>
      </c>
      <c r="V2022">
        <v>2024</v>
      </c>
      <c r="X2022">
        <f t="shared" si="93"/>
        <v>7.8197977999999999</v>
      </c>
      <c r="Y2022">
        <f t="shared" si="94"/>
        <v>5.1597977999999998</v>
      </c>
      <c r="Z2022">
        <f t="shared" si="95"/>
        <v>49.499797800000003</v>
      </c>
    </row>
    <row r="2023" spans="1:26" x14ac:dyDescent="0.3">
      <c r="A2023" t="s">
        <v>2113</v>
      </c>
      <c r="B2023" t="s">
        <v>82</v>
      </c>
      <c r="C2023" t="s">
        <v>56</v>
      </c>
      <c r="D2023" t="s">
        <v>69</v>
      </c>
      <c r="E2023">
        <v>23</v>
      </c>
      <c r="F2023" s="3">
        <v>7.48</v>
      </c>
      <c r="G2023" s="4">
        <v>88.2</v>
      </c>
      <c r="H2023">
        <v>1</v>
      </c>
      <c r="I2023">
        <v>2</v>
      </c>
      <c r="J2023">
        <v>6</v>
      </c>
      <c r="K2023" s="4">
        <v>71</v>
      </c>
      <c r="L2023" s="4">
        <v>67.7</v>
      </c>
      <c r="M2023" s="4">
        <v>72</v>
      </c>
      <c r="N2023">
        <v>0</v>
      </c>
      <c r="O2023" t="s">
        <v>64</v>
      </c>
      <c r="P2023" t="s">
        <v>65</v>
      </c>
      <c r="S2023" s="3">
        <v>0</v>
      </c>
      <c r="T2023" s="5"/>
      <c r="U2023">
        <v>0</v>
      </c>
      <c r="V2023">
        <v>2022</v>
      </c>
      <c r="X2023">
        <f t="shared" si="93"/>
        <v>7.4797977000000007</v>
      </c>
      <c r="Y2023">
        <f t="shared" si="94"/>
        <v>-2.0229999999999998E-4</v>
      </c>
      <c r="Z2023">
        <f t="shared" si="95"/>
        <v>67.699797700000005</v>
      </c>
    </row>
    <row r="2024" spans="1:26" x14ac:dyDescent="0.3">
      <c r="A2024" t="s">
        <v>2114</v>
      </c>
      <c r="B2024" t="s">
        <v>82</v>
      </c>
      <c r="C2024" t="s">
        <v>74</v>
      </c>
      <c r="D2024" t="s">
        <v>69</v>
      </c>
      <c r="E2024">
        <v>22</v>
      </c>
      <c r="F2024" s="3">
        <v>9.42</v>
      </c>
      <c r="G2024" s="4">
        <v>93.6</v>
      </c>
      <c r="H2024">
        <v>1</v>
      </c>
      <c r="I2024">
        <v>5</v>
      </c>
      <c r="J2024">
        <v>3</v>
      </c>
      <c r="K2024" s="4">
        <v>71.5</v>
      </c>
      <c r="L2024" s="4">
        <v>52.1</v>
      </c>
      <c r="M2024" s="4">
        <v>72.7</v>
      </c>
      <c r="N2024">
        <v>2</v>
      </c>
      <c r="O2024" t="s">
        <v>58</v>
      </c>
      <c r="P2024" t="s">
        <v>70</v>
      </c>
      <c r="Q2024" t="s">
        <v>71</v>
      </c>
      <c r="R2024" t="s">
        <v>130</v>
      </c>
      <c r="S2024" s="3">
        <v>7.21</v>
      </c>
      <c r="T2024" s="5">
        <v>44835</v>
      </c>
      <c r="U2024">
        <v>2</v>
      </c>
      <c r="V2024">
        <v>2022</v>
      </c>
      <c r="X2024">
        <f t="shared" si="93"/>
        <v>9.4197976000000008</v>
      </c>
      <c r="Y2024">
        <f t="shared" si="94"/>
        <v>7.2097975999999999</v>
      </c>
      <c r="Z2024">
        <f t="shared" si="95"/>
        <v>52.099797600000002</v>
      </c>
    </row>
    <row r="2025" spans="1:26" x14ac:dyDescent="0.3">
      <c r="A2025" t="s">
        <v>2115</v>
      </c>
      <c r="B2025" t="s">
        <v>63</v>
      </c>
      <c r="C2025" t="s">
        <v>68</v>
      </c>
      <c r="D2025" t="s">
        <v>57</v>
      </c>
      <c r="E2025">
        <v>21</v>
      </c>
      <c r="F2025" s="3">
        <v>5.86</v>
      </c>
      <c r="G2025" s="4">
        <v>87.9</v>
      </c>
      <c r="H2025">
        <v>1</v>
      </c>
      <c r="I2025">
        <v>3</v>
      </c>
      <c r="J2025">
        <v>5</v>
      </c>
      <c r="K2025" s="4">
        <v>81.5</v>
      </c>
      <c r="L2025" s="4">
        <v>69.8</v>
      </c>
      <c r="M2025" s="4">
        <v>81.2</v>
      </c>
      <c r="N2025">
        <v>2</v>
      </c>
      <c r="O2025" t="s">
        <v>64</v>
      </c>
      <c r="P2025" t="s">
        <v>65</v>
      </c>
      <c r="S2025" s="3">
        <v>0</v>
      </c>
      <c r="T2025" s="5"/>
      <c r="U2025">
        <v>0</v>
      </c>
      <c r="V2025">
        <v>2025</v>
      </c>
      <c r="X2025">
        <f t="shared" si="93"/>
        <v>5.8597975</v>
      </c>
      <c r="Y2025">
        <f t="shared" si="94"/>
        <v>-2.0249999999999999E-4</v>
      </c>
      <c r="Z2025">
        <f t="shared" si="95"/>
        <v>69.799797499999997</v>
      </c>
    </row>
    <row r="2026" spans="1:26" x14ac:dyDescent="0.3">
      <c r="A2026" t="s">
        <v>2116</v>
      </c>
      <c r="B2026" t="s">
        <v>55</v>
      </c>
      <c r="C2026" t="s">
        <v>84</v>
      </c>
      <c r="D2026" t="s">
        <v>69</v>
      </c>
      <c r="E2026">
        <v>23</v>
      </c>
      <c r="F2026" s="3">
        <v>7.37</v>
      </c>
      <c r="G2026" s="4">
        <v>94.3</v>
      </c>
      <c r="H2026">
        <v>2</v>
      </c>
      <c r="I2026">
        <v>4</v>
      </c>
      <c r="J2026">
        <v>3</v>
      </c>
      <c r="K2026" s="4">
        <v>69.7</v>
      </c>
      <c r="L2026" s="4">
        <v>68</v>
      </c>
      <c r="M2026" s="4">
        <v>94.4</v>
      </c>
      <c r="N2026">
        <v>0</v>
      </c>
      <c r="O2026" t="s">
        <v>58</v>
      </c>
      <c r="P2026" t="s">
        <v>79</v>
      </c>
      <c r="Q2026" t="s">
        <v>71</v>
      </c>
      <c r="R2026" t="s">
        <v>76</v>
      </c>
      <c r="S2026" s="3">
        <v>4.76</v>
      </c>
      <c r="T2026" s="5">
        <v>45559</v>
      </c>
      <c r="U2026">
        <v>1</v>
      </c>
      <c r="V2026">
        <v>2024</v>
      </c>
      <c r="X2026">
        <f t="shared" si="93"/>
        <v>7.3697974000000004</v>
      </c>
      <c r="Y2026">
        <f t="shared" si="94"/>
        <v>4.7597974000000001</v>
      </c>
      <c r="Z2026">
        <f t="shared" si="95"/>
        <v>67.999797400000006</v>
      </c>
    </row>
    <row r="2027" spans="1:26" x14ac:dyDescent="0.3">
      <c r="A2027" t="s">
        <v>2117</v>
      </c>
      <c r="B2027" t="s">
        <v>63</v>
      </c>
      <c r="C2027" t="s">
        <v>101</v>
      </c>
      <c r="D2027" t="s">
        <v>69</v>
      </c>
      <c r="E2027">
        <v>21</v>
      </c>
      <c r="F2027" s="3">
        <v>8.1999999999999993</v>
      </c>
      <c r="G2027" s="4">
        <v>69</v>
      </c>
      <c r="H2027">
        <v>0</v>
      </c>
      <c r="I2027">
        <v>3</v>
      </c>
      <c r="J2027">
        <v>5</v>
      </c>
      <c r="K2027" s="4">
        <v>84.8</v>
      </c>
      <c r="L2027" s="4">
        <v>43.7</v>
      </c>
      <c r="M2027" s="4">
        <v>78.8</v>
      </c>
      <c r="N2027">
        <v>0</v>
      </c>
      <c r="O2027" t="s">
        <v>58</v>
      </c>
      <c r="P2027" t="s">
        <v>95</v>
      </c>
      <c r="Q2027" t="s">
        <v>93</v>
      </c>
      <c r="R2027" t="s">
        <v>80</v>
      </c>
      <c r="S2027" s="3">
        <v>4.68</v>
      </c>
      <c r="T2027" s="5">
        <v>45903</v>
      </c>
      <c r="U2027">
        <v>1</v>
      </c>
      <c r="V2027">
        <v>2025</v>
      </c>
      <c r="X2027">
        <f t="shared" si="93"/>
        <v>8.1997973000000002</v>
      </c>
      <c r="Y2027">
        <f t="shared" si="94"/>
        <v>4.6797972999999997</v>
      </c>
      <c r="Z2027">
        <f t="shared" si="95"/>
        <v>43.6997973</v>
      </c>
    </row>
    <row r="2028" spans="1:26" x14ac:dyDescent="0.3">
      <c r="A2028" t="s">
        <v>2118</v>
      </c>
      <c r="B2028" t="s">
        <v>107</v>
      </c>
      <c r="C2028" t="s">
        <v>78</v>
      </c>
      <c r="D2028" t="s">
        <v>69</v>
      </c>
      <c r="E2028">
        <v>22</v>
      </c>
      <c r="F2028" s="3">
        <v>7.45</v>
      </c>
      <c r="G2028" s="4">
        <v>62.1</v>
      </c>
      <c r="H2028">
        <v>3</v>
      </c>
      <c r="I2028">
        <v>4</v>
      </c>
      <c r="J2028">
        <v>3</v>
      </c>
      <c r="K2028" s="4">
        <v>100</v>
      </c>
      <c r="L2028" s="4">
        <v>75.2</v>
      </c>
      <c r="M2028" s="4">
        <v>79.599999999999994</v>
      </c>
      <c r="N2028">
        <v>0</v>
      </c>
      <c r="O2028" t="s">
        <v>58</v>
      </c>
      <c r="P2028" t="s">
        <v>92</v>
      </c>
      <c r="Q2028" t="s">
        <v>93</v>
      </c>
      <c r="R2028" t="s">
        <v>80</v>
      </c>
      <c r="S2028" s="3">
        <v>8.49</v>
      </c>
      <c r="T2028" s="5">
        <v>44477</v>
      </c>
      <c r="U2028">
        <v>1</v>
      </c>
      <c r="V2028">
        <v>2021</v>
      </c>
      <c r="X2028">
        <f t="shared" si="93"/>
        <v>7.4497971999999999</v>
      </c>
      <c r="Y2028">
        <f t="shared" si="94"/>
        <v>8.4897971999999999</v>
      </c>
      <c r="Z2028">
        <f t="shared" si="95"/>
        <v>75.199797200000006</v>
      </c>
    </row>
    <row r="2029" spans="1:26" x14ac:dyDescent="0.3">
      <c r="A2029" t="s">
        <v>2119</v>
      </c>
      <c r="B2029" t="s">
        <v>55</v>
      </c>
      <c r="C2029" t="s">
        <v>68</v>
      </c>
      <c r="D2029" t="s">
        <v>57</v>
      </c>
      <c r="E2029">
        <v>22</v>
      </c>
      <c r="F2029" s="3">
        <v>6.48</v>
      </c>
      <c r="G2029" s="4">
        <v>62.4</v>
      </c>
      <c r="H2029">
        <v>0</v>
      </c>
      <c r="I2029">
        <v>3</v>
      </c>
      <c r="J2029">
        <v>5</v>
      </c>
      <c r="K2029" s="4">
        <v>88.2</v>
      </c>
      <c r="L2029" s="4">
        <v>65.7</v>
      </c>
      <c r="M2029" s="4">
        <v>68.5</v>
      </c>
      <c r="N2029">
        <v>0</v>
      </c>
      <c r="O2029" t="s">
        <v>58</v>
      </c>
      <c r="P2029" t="s">
        <v>90</v>
      </c>
      <c r="Q2029" t="s">
        <v>60</v>
      </c>
      <c r="R2029" t="s">
        <v>72</v>
      </c>
      <c r="S2029" s="3">
        <v>7.61</v>
      </c>
      <c r="T2029" s="5">
        <v>45612</v>
      </c>
      <c r="U2029">
        <v>1</v>
      </c>
      <c r="V2029">
        <v>2024</v>
      </c>
      <c r="X2029">
        <f t="shared" si="93"/>
        <v>6.4797971000000008</v>
      </c>
      <c r="Y2029">
        <f t="shared" si="94"/>
        <v>7.6097971000000006</v>
      </c>
      <c r="Z2029">
        <f t="shared" si="95"/>
        <v>65.699797099999998</v>
      </c>
    </row>
    <row r="2030" spans="1:26" x14ac:dyDescent="0.3">
      <c r="A2030" t="s">
        <v>2120</v>
      </c>
      <c r="B2030" t="s">
        <v>67</v>
      </c>
      <c r="C2030" t="s">
        <v>101</v>
      </c>
      <c r="D2030" t="s">
        <v>57</v>
      </c>
      <c r="E2030">
        <v>20</v>
      </c>
      <c r="F2030" s="3">
        <v>7.81</v>
      </c>
      <c r="G2030" s="4">
        <v>92</v>
      </c>
      <c r="H2030">
        <v>0</v>
      </c>
      <c r="I2030">
        <v>1</v>
      </c>
      <c r="J2030">
        <v>2</v>
      </c>
      <c r="K2030" s="4">
        <v>59.3</v>
      </c>
      <c r="L2030" s="4">
        <v>70.400000000000006</v>
      </c>
      <c r="M2030" s="4">
        <v>71.2</v>
      </c>
      <c r="N2030">
        <v>0</v>
      </c>
      <c r="O2030" t="s">
        <v>58</v>
      </c>
      <c r="P2030" t="s">
        <v>95</v>
      </c>
      <c r="Q2030" t="s">
        <v>93</v>
      </c>
      <c r="R2030" t="s">
        <v>130</v>
      </c>
      <c r="S2030" s="3">
        <v>6.21</v>
      </c>
      <c r="T2030" s="5">
        <v>45171</v>
      </c>
      <c r="U2030">
        <v>1</v>
      </c>
      <c r="V2030">
        <v>2023</v>
      </c>
      <c r="X2030">
        <f t="shared" si="93"/>
        <v>7.8097969999999997</v>
      </c>
      <c r="Y2030">
        <f t="shared" si="94"/>
        <v>6.209797</v>
      </c>
      <c r="Z2030">
        <f t="shared" si="95"/>
        <v>70.399797000000007</v>
      </c>
    </row>
    <row r="2031" spans="1:26" x14ac:dyDescent="0.3">
      <c r="A2031" t="s">
        <v>2121</v>
      </c>
      <c r="B2031" t="s">
        <v>107</v>
      </c>
      <c r="C2031" t="s">
        <v>74</v>
      </c>
      <c r="D2031" t="s">
        <v>69</v>
      </c>
      <c r="E2031">
        <v>23</v>
      </c>
      <c r="F2031" s="3">
        <v>6.19</v>
      </c>
      <c r="G2031" s="4">
        <v>87.4</v>
      </c>
      <c r="H2031">
        <v>2</v>
      </c>
      <c r="I2031">
        <v>1</v>
      </c>
      <c r="J2031">
        <v>3</v>
      </c>
      <c r="K2031" s="4">
        <v>79.8</v>
      </c>
      <c r="L2031" s="4">
        <v>63.8</v>
      </c>
      <c r="M2031" s="4">
        <v>34.200000000000003</v>
      </c>
      <c r="N2031">
        <v>1</v>
      </c>
      <c r="O2031" t="s">
        <v>58</v>
      </c>
      <c r="P2031" t="s">
        <v>79</v>
      </c>
      <c r="Q2031" t="s">
        <v>71</v>
      </c>
      <c r="R2031" t="s">
        <v>109</v>
      </c>
      <c r="S2031" s="3">
        <v>5.63</v>
      </c>
      <c r="T2031" s="5">
        <v>44413</v>
      </c>
      <c r="U2031">
        <v>1</v>
      </c>
      <c r="V2031">
        <v>2021</v>
      </c>
      <c r="X2031">
        <f t="shared" si="93"/>
        <v>6.1897969000000002</v>
      </c>
      <c r="Y2031">
        <f t="shared" si="94"/>
        <v>5.6297968999999997</v>
      </c>
      <c r="Z2031">
        <f t="shared" si="95"/>
        <v>63.799796899999997</v>
      </c>
    </row>
    <row r="2032" spans="1:26" x14ac:dyDescent="0.3">
      <c r="A2032" t="s">
        <v>2122</v>
      </c>
      <c r="B2032" t="s">
        <v>107</v>
      </c>
      <c r="C2032" t="s">
        <v>78</v>
      </c>
      <c r="D2032" t="s">
        <v>57</v>
      </c>
      <c r="E2032">
        <v>23</v>
      </c>
      <c r="F2032" s="3">
        <v>8.25</v>
      </c>
      <c r="G2032" s="4">
        <v>75.5</v>
      </c>
      <c r="H2032">
        <v>2</v>
      </c>
      <c r="I2032">
        <v>4</v>
      </c>
      <c r="J2032">
        <v>5</v>
      </c>
      <c r="K2032" s="4">
        <v>58.7</v>
      </c>
      <c r="L2032" s="4">
        <v>59.2</v>
      </c>
      <c r="M2032" s="4">
        <v>62.7</v>
      </c>
      <c r="N2032">
        <v>1</v>
      </c>
      <c r="O2032" t="s">
        <v>58</v>
      </c>
      <c r="P2032" t="s">
        <v>90</v>
      </c>
      <c r="Q2032" t="s">
        <v>60</v>
      </c>
      <c r="R2032" t="s">
        <v>85</v>
      </c>
      <c r="S2032" s="3">
        <v>7.92</v>
      </c>
      <c r="T2032" s="5">
        <v>44512</v>
      </c>
      <c r="U2032">
        <v>2</v>
      </c>
      <c r="V2032">
        <v>2021</v>
      </c>
      <c r="X2032">
        <f t="shared" si="93"/>
        <v>8.2497968000000004</v>
      </c>
      <c r="Y2032">
        <f t="shared" si="94"/>
        <v>7.9197968000000003</v>
      </c>
      <c r="Z2032">
        <f t="shared" si="95"/>
        <v>59.199796800000001</v>
      </c>
    </row>
    <row r="2033" spans="1:26" x14ac:dyDescent="0.3">
      <c r="A2033" t="s">
        <v>2123</v>
      </c>
      <c r="B2033" t="s">
        <v>67</v>
      </c>
      <c r="C2033" t="s">
        <v>84</v>
      </c>
      <c r="D2033" t="s">
        <v>57</v>
      </c>
      <c r="E2033">
        <v>20</v>
      </c>
      <c r="F2033" s="3">
        <v>7.28</v>
      </c>
      <c r="G2033" s="4">
        <v>78.5</v>
      </c>
      <c r="H2033">
        <v>0</v>
      </c>
      <c r="I2033">
        <v>0</v>
      </c>
      <c r="J2033">
        <v>5</v>
      </c>
      <c r="K2033" s="4">
        <v>64.900000000000006</v>
      </c>
      <c r="L2033" s="4">
        <v>81.400000000000006</v>
      </c>
      <c r="M2033" s="4">
        <v>61.2</v>
      </c>
      <c r="N2033">
        <v>1</v>
      </c>
      <c r="O2033" t="s">
        <v>64</v>
      </c>
      <c r="P2033" t="s">
        <v>65</v>
      </c>
      <c r="S2033" s="3">
        <v>0</v>
      </c>
      <c r="T2033" s="5"/>
      <c r="U2033">
        <v>0</v>
      </c>
      <c r="V2033">
        <v>2023</v>
      </c>
      <c r="X2033">
        <f t="shared" si="93"/>
        <v>7.2797967000000003</v>
      </c>
      <c r="Y2033">
        <f t="shared" si="94"/>
        <v>-2.0329999999999998E-4</v>
      </c>
      <c r="Z2033">
        <f t="shared" si="95"/>
        <v>81.39979670000001</v>
      </c>
    </row>
    <row r="2034" spans="1:26" x14ac:dyDescent="0.3">
      <c r="A2034" t="s">
        <v>2124</v>
      </c>
      <c r="B2034" t="s">
        <v>107</v>
      </c>
      <c r="C2034" t="s">
        <v>74</v>
      </c>
      <c r="D2034" t="s">
        <v>69</v>
      </c>
      <c r="E2034">
        <v>23</v>
      </c>
      <c r="F2034" s="3">
        <v>7.13</v>
      </c>
      <c r="G2034" s="4">
        <v>85</v>
      </c>
      <c r="H2034">
        <v>3</v>
      </c>
      <c r="I2034">
        <v>2</v>
      </c>
      <c r="J2034">
        <v>4</v>
      </c>
      <c r="K2034" s="4">
        <v>91</v>
      </c>
      <c r="L2034" s="4">
        <v>85.5</v>
      </c>
      <c r="M2034" s="4">
        <v>60.9</v>
      </c>
      <c r="N2034">
        <v>2</v>
      </c>
      <c r="O2034" t="s">
        <v>58</v>
      </c>
      <c r="P2034" t="s">
        <v>90</v>
      </c>
      <c r="Q2034" t="s">
        <v>60</v>
      </c>
      <c r="R2034" t="s">
        <v>85</v>
      </c>
      <c r="S2034" s="3">
        <v>8.1</v>
      </c>
      <c r="T2034" s="5">
        <v>44411</v>
      </c>
      <c r="U2034">
        <v>2</v>
      </c>
      <c r="V2034">
        <v>2021</v>
      </c>
      <c r="X2034">
        <f t="shared" si="93"/>
        <v>7.1297965999999997</v>
      </c>
      <c r="Y2034">
        <f t="shared" si="94"/>
        <v>8.0997965999999995</v>
      </c>
      <c r="Z2034">
        <f t="shared" si="95"/>
        <v>85.499796599999996</v>
      </c>
    </row>
    <row r="2035" spans="1:26" x14ac:dyDescent="0.3">
      <c r="A2035" t="s">
        <v>2125</v>
      </c>
      <c r="B2035" t="s">
        <v>55</v>
      </c>
      <c r="C2035" t="s">
        <v>78</v>
      </c>
      <c r="D2035" t="s">
        <v>69</v>
      </c>
      <c r="E2035">
        <v>21</v>
      </c>
      <c r="F2035" s="3">
        <v>8.59</v>
      </c>
      <c r="G2035" s="4">
        <v>75.5</v>
      </c>
      <c r="H2035">
        <v>1</v>
      </c>
      <c r="I2035">
        <v>3</v>
      </c>
      <c r="J2035">
        <v>4</v>
      </c>
      <c r="K2035" s="4">
        <v>54</v>
      </c>
      <c r="L2035" s="4">
        <v>84.5</v>
      </c>
      <c r="M2035" s="4">
        <v>69.400000000000006</v>
      </c>
      <c r="N2035">
        <v>0</v>
      </c>
      <c r="O2035" t="s">
        <v>58</v>
      </c>
      <c r="P2035" t="s">
        <v>112</v>
      </c>
      <c r="Q2035" t="s">
        <v>93</v>
      </c>
      <c r="R2035" t="s">
        <v>130</v>
      </c>
      <c r="S2035" s="3">
        <v>8.58</v>
      </c>
      <c r="T2035" s="5">
        <v>45567</v>
      </c>
      <c r="U2035">
        <v>1</v>
      </c>
      <c r="V2035">
        <v>2024</v>
      </c>
      <c r="X2035">
        <f t="shared" si="93"/>
        <v>8.5897965000000003</v>
      </c>
      <c r="Y2035">
        <f t="shared" si="94"/>
        <v>8.5797965000000005</v>
      </c>
      <c r="Z2035">
        <f t="shared" si="95"/>
        <v>84.499796500000002</v>
      </c>
    </row>
    <row r="2036" spans="1:26" x14ac:dyDescent="0.3">
      <c r="A2036" t="s">
        <v>2126</v>
      </c>
      <c r="B2036" t="s">
        <v>63</v>
      </c>
      <c r="C2036" t="s">
        <v>101</v>
      </c>
      <c r="D2036" t="s">
        <v>69</v>
      </c>
      <c r="E2036">
        <v>21</v>
      </c>
      <c r="F2036" s="3">
        <v>6.75</v>
      </c>
      <c r="G2036" s="4">
        <v>74.599999999999994</v>
      </c>
      <c r="H2036">
        <v>2</v>
      </c>
      <c r="I2036">
        <v>3</v>
      </c>
      <c r="J2036">
        <v>2</v>
      </c>
      <c r="K2036" s="4">
        <v>62.5</v>
      </c>
      <c r="L2036" s="4">
        <v>49.5</v>
      </c>
      <c r="M2036" s="4">
        <v>70.7</v>
      </c>
      <c r="N2036">
        <v>1</v>
      </c>
      <c r="O2036" t="s">
        <v>64</v>
      </c>
      <c r="P2036" t="s">
        <v>65</v>
      </c>
      <c r="S2036" s="3">
        <v>0</v>
      </c>
      <c r="T2036" s="5"/>
      <c r="U2036">
        <v>0</v>
      </c>
      <c r="V2036">
        <v>2025</v>
      </c>
      <c r="X2036">
        <f t="shared" si="93"/>
        <v>6.7497964000000001</v>
      </c>
      <c r="Y2036">
        <f t="shared" si="94"/>
        <v>-2.0359999999999999E-4</v>
      </c>
      <c r="Z2036">
        <f t="shared" si="95"/>
        <v>49.499796400000001</v>
      </c>
    </row>
    <row r="2037" spans="1:26" x14ac:dyDescent="0.3">
      <c r="A2037" t="s">
        <v>2127</v>
      </c>
      <c r="B2037" t="s">
        <v>107</v>
      </c>
      <c r="C2037" t="s">
        <v>84</v>
      </c>
      <c r="D2037" t="s">
        <v>69</v>
      </c>
      <c r="E2037">
        <v>22</v>
      </c>
      <c r="F2037" s="3">
        <v>6.26</v>
      </c>
      <c r="G2037" s="4">
        <v>76.099999999999994</v>
      </c>
      <c r="H2037">
        <v>0</v>
      </c>
      <c r="I2037">
        <v>0</v>
      </c>
      <c r="J2037">
        <v>4</v>
      </c>
      <c r="K2037" s="4">
        <v>84</v>
      </c>
      <c r="L2037" s="4">
        <v>90.8</v>
      </c>
      <c r="M2037" s="4">
        <v>61.2</v>
      </c>
      <c r="N2037">
        <v>0</v>
      </c>
      <c r="O2037" t="s">
        <v>64</v>
      </c>
      <c r="P2037" t="s">
        <v>65</v>
      </c>
      <c r="S2037" s="3">
        <v>0</v>
      </c>
      <c r="T2037" s="5"/>
      <c r="U2037">
        <v>0</v>
      </c>
      <c r="V2037">
        <v>2021</v>
      </c>
      <c r="X2037">
        <f t="shared" si="93"/>
        <v>6.2597962999999996</v>
      </c>
      <c r="Y2037">
        <f t="shared" si="94"/>
        <v>-2.0369999999999999E-4</v>
      </c>
      <c r="Z2037">
        <f t="shared" si="95"/>
        <v>90.799796299999997</v>
      </c>
    </row>
    <row r="2038" spans="1:26" x14ac:dyDescent="0.3">
      <c r="A2038" t="s">
        <v>2128</v>
      </c>
      <c r="B2038" t="s">
        <v>55</v>
      </c>
      <c r="C2038" t="s">
        <v>78</v>
      </c>
      <c r="D2038" t="s">
        <v>57</v>
      </c>
      <c r="E2038">
        <v>21</v>
      </c>
      <c r="F2038" s="3">
        <v>6.83</v>
      </c>
      <c r="G2038" s="4">
        <v>75.3</v>
      </c>
      <c r="H2038">
        <v>1</v>
      </c>
      <c r="I2038">
        <v>2</v>
      </c>
      <c r="J2038">
        <v>1</v>
      </c>
      <c r="K2038" s="4">
        <v>56</v>
      </c>
      <c r="L2038" s="4">
        <v>78.400000000000006</v>
      </c>
      <c r="M2038" s="4">
        <v>89.1</v>
      </c>
      <c r="N2038">
        <v>1</v>
      </c>
      <c r="O2038" t="s">
        <v>58</v>
      </c>
      <c r="P2038" t="s">
        <v>112</v>
      </c>
      <c r="Q2038" t="s">
        <v>93</v>
      </c>
      <c r="R2038" t="s">
        <v>109</v>
      </c>
      <c r="S2038" s="3">
        <v>7.58</v>
      </c>
      <c r="T2038" s="5">
        <v>45620</v>
      </c>
      <c r="U2038">
        <v>1</v>
      </c>
      <c r="V2038">
        <v>2024</v>
      </c>
      <c r="X2038">
        <f t="shared" si="93"/>
        <v>6.8297961999999997</v>
      </c>
      <c r="Y2038">
        <f t="shared" si="94"/>
        <v>7.5797961999999997</v>
      </c>
      <c r="Z2038">
        <f t="shared" si="95"/>
        <v>78.399796200000011</v>
      </c>
    </row>
    <row r="2039" spans="1:26" x14ac:dyDescent="0.3">
      <c r="A2039" t="s">
        <v>2129</v>
      </c>
      <c r="B2039" t="s">
        <v>82</v>
      </c>
      <c r="C2039" t="s">
        <v>74</v>
      </c>
      <c r="D2039" t="s">
        <v>57</v>
      </c>
      <c r="E2039">
        <v>23</v>
      </c>
      <c r="F2039" s="3">
        <v>9.49</v>
      </c>
      <c r="G2039" s="4">
        <v>82.4</v>
      </c>
      <c r="H2039">
        <v>1</v>
      </c>
      <c r="I2039">
        <v>2</v>
      </c>
      <c r="J2039">
        <v>5</v>
      </c>
      <c r="K2039" s="4">
        <v>41.2</v>
      </c>
      <c r="L2039" s="4">
        <v>88.7</v>
      </c>
      <c r="M2039" s="4">
        <v>81.2</v>
      </c>
      <c r="N2039">
        <v>0</v>
      </c>
      <c r="O2039" t="s">
        <v>58</v>
      </c>
      <c r="P2039" t="s">
        <v>79</v>
      </c>
      <c r="Q2039" t="s">
        <v>71</v>
      </c>
      <c r="R2039" t="s">
        <v>85</v>
      </c>
      <c r="S2039" s="3">
        <v>7.92</v>
      </c>
      <c r="T2039" s="5">
        <v>44781</v>
      </c>
      <c r="U2039">
        <v>2</v>
      </c>
      <c r="V2039">
        <v>2022</v>
      </c>
      <c r="X2039">
        <f t="shared" si="93"/>
        <v>9.4897960999999995</v>
      </c>
      <c r="Y2039">
        <f t="shared" si="94"/>
        <v>7.9197961000000001</v>
      </c>
      <c r="Z2039">
        <f t="shared" si="95"/>
        <v>88.6997961</v>
      </c>
    </row>
    <row r="2040" spans="1:26" x14ac:dyDescent="0.3">
      <c r="A2040" t="s">
        <v>2130</v>
      </c>
      <c r="B2040" t="s">
        <v>55</v>
      </c>
      <c r="C2040" t="s">
        <v>74</v>
      </c>
      <c r="D2040" t="s">
        <v>57</v>
      </c>
      <c r="E2040">
        <v>20</v>
      </c>
      <c r="F2040" s="3">
        <v>6.75</v>
      </c>
      <c r="G2040" s="4">
        <v>97</v>
      </c>
      <c r="H2040">
        <v>1</v>
      </c>
      <c r="I2040">
        <v>1</v>
      </c>
      <c r="J2040">
        <v>4</v>
      </c>
      <c r="K2040" s="4">
        <v>47.1</v>
      </c>
      <c r="L2040" s="4">
        <v>88.5</v>
      </c>
      <c r="M2040" s="4">
        <v>76.5</v>
      </c>
      <c r="N2040">
        <v>1</v>
      </c>
      <c r="O2040" t="s">
        <v>58</v>
      </c>
      <c r="P2040" t="s">
        <v>75</v>
      </c>
      <c r="Q2040" t="s">
        <v>71</v>
      </c>
      <c r="R2040" t="s">
        <v>61</v>
      </c>
      <c r="S2040" s="3">
        <v>6.16</v>
      </c>
      <c r="T2040" s="5">
        <v>45565</v>
      </c>
      <c r="U2040">
        <v>1</v>
      </c>
      <c r="V2040">
        <v>2024</v>
      </c>
      <c r="X2040">
        <f t="shared" si="93"/>
        <v>6.7497959999999999</v>
      </c>
      <c r="Y2040">
        <f t="shared" si="94"/>
        <v>6.159796</v>
      </c>
      <c r="Z2040">
        <f t="shared" si="95"/>
        <v>88.499796000000003</v>
      </c>
    </row>
    <row r="2041" spans="1:26" x14ac:dyDescent="0.3">
      <c r="A2041" t="s">
        <v>2131</v>
      </c>
      <c r="B2041" t="s">
        <v>63</v>
      </c>
      <c r="C2041" t="s">
        <v>56</v>
      </c>
      <c r="D2041" t="s">
        <v>57</v>
      </c>
      <c r="E2041">
        <v>22</v>
      </c>
      <c r="F2041" s="3">
        <v>7.98</v>
      </c>
      <c r="G2041" s="4">
        <v>72.900000000000006</v>
      </c>
      <c r="H2041">
        <v>1</v>
      </c>
      <c r="I2041">
        <v>4</v>
      </c>
      <c r="J2041">
        <v>6</v>
      </c>
      <c r="K2041" s="4">
        <v>59.5</v>
      </c>
      <c r="L2041" s="4">
        <v>75.2</v>
      </c>
      <c r="M2041" s="4">
        <v>81.7</v>
      </c>
      <c r="N2041">
        <v>0</v>
      </c>
      <c r="O2041" t="s">
        <v>58</v>
      </c>
      <c r="P2041" t="s">
        <v>104</v>
      </c>
      <c r="Q2041" t="s">
        <v>105</v>
      </c>
      <c r="R2041" t="s">
        <v>109</v>
      </c>
      <c r="S2041" s="3">
        <v>15.36</v>
      </c>
      <c r="T2041" s="5">
        <v>45899</v>
      </c>
      <c r="U2041">
        <v>2</v>
      </c>
      <c r="V2041">
        <v>2025</v>
      </c>
      <c r="X2041">
        <f t="shared" si="93"/>
        <v>7.9797959000000001</v>
      </c>
      <c r="Y2041">
        <f t="shared" si="94"/>
        <v>15.3597959</v>
      </c>
      <c r="Z2041">
        <f t="shared" si="95"/>
        <v>75.199795899999998</v>
      </c>
    </row>
    <row r="2042" spans="1:26" x14ac:dyDescent="0.3">
      <c r="A2042" t="s">
        <v>2132</v>
      </c>
      <c r="B2042" t="s">
        <v>55</v>
      </c>
      <c r="C2042" t="s">
        <v>78</v>
      </c>
      <c r="D2042" t="s">
        <v>57</v>
      </c>
      <c r="E2042">
        <v>20</v>
      </c>
      <c r="F2042" s="3">
        <v>8.41</v>
      </c>
      <c r="G2042" s="4">
        <v>81.3</v>
      </c>
      <c r="H2042">
        <v>1</v>
      </c>
      <c r="I2042">
        <v>2</v>
      </c>
      <c r="J2042">
        <v>3</v>
      </c>
      <c r="K2042" s="4">
        <v>67.5</v>
      </c>
      <c r="L2042" s="4">
        <v>58.1</v>
      </c>
      <c r="M2042" s="4">
        <v>53.4</v>
      </c>
      <c r="N2042">
        <v>0</v>
      </c>
      <c r="O2042" t="s">
        <v>58</v>
      </c>
      <c r="P2042" t="s">
        <v>90</v>
      </c>
      <c r="Q2042" t="s">
        <v>60</v>
      </c>
      <c r="R2042" t="s">
        <v>61</v>
      </c>
      <c r="S2042" s="3">
        <v>7.52</v>
      </c>
      <c r="T2042" s="5">
        <v>45554</v>
      </c>
      <c r="U2042">
        <v>2</v>
      </c>
      <c r="V2042">
        <v>2024</v>
      </c>
      <c r="X2042">
        <f t="shared" si="93"/>
        <v>8.4097957999999995</v>
      </c>
      <c r="Y2042">
        <f t="shared" si="94"/>
        <v>7.5197957999999998</v>
      </c>
      <c r="Z2042">
        <f t="shared" si="95"/>
        <v>58.099795800000003</v>
      </c>
    </row>
    <row r="2043" spans="1:26" x14ac:dyDescent="0.3">
      <c r="A2043" t="s">
        <v>2133</v>
      </c>
      <c r="B2043" t="s">
        <v>67</v>
      </c>
      <c r="C2043" t="s">
        <v>56</v>
      </c>
      <c r="D2043" t="s">
        <v>57</v>
      </c>
      <c r="E2043">
        <v>22</v>
      </c>
      <c r="F2043" s="3">
        <v>6.8</v>
      </c>
      <c r="G2043" s="4">
        <v>86.1</v>
      </c>
      <c r="H2043">
        <v>3</v>
      </c>
      <c r="I2043">
        <v>5</v>
      </c>
      <c r="J2043">
        <v>3</v>
      </c>
      <c r="K2043" s="4">
        <v>63.8</v>
      </c>
      <c r="L2043" s="4">
        <v>58.6</v>
      </c>
      <c r="M2043" s="4">
        <v>53</v>
      </c>
      <c r="N2043">
        <v>0</v>
      </c>
      <c r="O2043" t="s">
        <v>58</v>
      </c>
      <c r="P2043" t="s">
        <v>112</v>
      </c>
      <c r="Q2043" t="s">
        <v>93</v>
      </c>
      <c r="R2043" t="s">
        <v>109</v>
      </c>
      <c r="S2043" s="3">
        <v>8</v>
      </c>
      <c r="T2043" s="5">
        <v>45207</v>
      </c>
      <c r="U2043">
        <v>1</v>
      </c>
      <c r="V2043">
        <v>2023</v>
      </c>
      <c r="X2043">
        <f t="shared" si="93"/>
        <v>6.7997956999999998</v>
      </c>
      <c r="Y2043">
        <f t="shared" si="94"/>
        <v>7.9997957</v>
      </c>
      <c r="Z2043">
        <f t="shared" si="95"/>
        <v>58.599795700000001</v>
      </c>
    </row>
    <row r="2044" spans="1:26" x14ac:dyDescent="0.3">
      <c r="A2044" t="s">
        <v>2134</v>
      </c>
      <c r="B2044" t="s">
        <v>63</v>
      </c>
      <c r="C2044" t="s">
        <v>101</v>
      </c>
      <c r="D2044" t="s">
        <v>69</v>
      </c>
      <c r="E2044">
        <v>22</v>
      </c>
      <c r="F2044" s="3">
        <v>6.81</v>
      </c>
      <c r="G2044" s="4">
        <v>86.8</v>
      </c>
      <c r="H2044">
        <v>1</v>
      </c>
      <c r="I2044">
        <v>0</v>
      </c>
      <c r="J2044">
        <v>3</v>
      </c>
      <c r="K2044" s="4">
        <v>60.8</v>
      </c>
      <c r="L2044" s="4">
        <v>59.8</v>
      </c>
      <c r="M2044" s="4">
        <v>88.6</v>
      </c>
      <c r="N2044">
        <v>2</v>
      </c>
      <c r="O2044" t="s">
        <v>58</v>
      </c>
      <c r="P2044" t="s">
        <v>75</v>
      </c>
      <c r="Q2044" t="s">
        <v>71</v>
      </c>
      <c r="R2044" t="s">
        <v>61</v>
      </c>
      <c r="S2044" s="3">
        <v>4.41</v>
      </c>
      <c r="T2044" s="5">
        <v>45907</v>
      </c>
      <c r="U2044">
        <v>2</v>
      </c>
      <c r="V2044">
        <v>2025</v>
      </c>
      <c r="X2044">
        <f t="shared" si="93"/>
        <v>6.8097955999999993</v>
      </c>
      <c r="Y2044">
        <f t="shared" si="94"/>
        <v>4.4097955999999998</v>
      </c>
      <c r="Z2044">
        <f t="shared" si="95"/>
        <v>59.799795599999996</v>
      </c>
    </row>
    <row r="2045" spans="1:26" x14ac:dyDescent="0.3">
      <c r="A2045" t="s">
        <v>2135</v>
      </c>
      <c r="B2045" t="s">
        <v>82</v>
      </c>
      <c r="C2045" t="s">
        <v>56</v>
      </c>
      <c r="D2045" t="s">
        <v>69</v>
      </c>
      <c r="E2045">
        <v>20</v>
      </c>
      <c r="F2045" s="3">
        <v>7.81</v>
      </c>
      <c r="G2045" s="4">
        <v>77.400000000000006</v>
      </c>
      <c r="H2045">
        <v>0</v>
      </c>
      <c r="I2045">
        <v>1</v>
      </c>
      <c r="J2045">
        <v>3</v>
      </c>
      <c r="K2045" s="4">
        <v>69.099999999999994</v>
      </c>
      <c r="L2045" s="4">
        <v>67.3</v>
      </c>
      <c r="M2045" s="4">
        <v>100</v>
      </c>
      <c r="N2045">
        <v>0</v>
      </c>
      <c r="O2045" t="s">
        <v>58</v>
      </c>
      <c r="P2045" t="s">
        <v>70</v>
      </c>
      <c r="Q2045" t="s">
        <v>71</v>
      </c>
      <c r="R2045" t="s">
        <v>72</v>
      </c>
      <c r="S2045" s="3">
        <v>6.56</v>
      </c>
      <c r="T2045" s="5">
        <v>44832</v>
      </c>
      <c r="U2045">
        <v>1</v>
      </c>
      <c r="V2045">
        <v>2022</v>
      </c>
      <c r="X2045">
        <f t="shared" si="93"/>
        <v>7.8097954999999999</v>
      </c>
      <c r="Y2045">
        <f t="shared" si="94"/>
        <v>6.5597954999999999</v>
      </c>
      <c r="Z2045">
        <f t="shared" si="95"/>
        <v>67.299795500000002</v>
      </c>
    </row>
    <row r="2046" spans="1:26" x14ac:dyDescent="0.3">
      <c r="A2046" t="s">
        <v>2136</v>
      </c>
      <c r="B2046" t="s">
        <v>67</v>
      </c>
      <c r="C2046" t="s">
        <v>56</v>
      </c>
      <c r="D2046" t="s">
        <v>69</v>
      </c>
      <c r="E2046">
        <v>21</v>
      </c>
      <c r="F2046" s="3">
        <v>7.85</v>
      </c>
      <c r="G2046" s="4">
        <v>87.6</v>
      </c>
      <c r="H2046">
        <v>2</v>
      </c>
      <c r="I2046">
        <v>3</v>
      </c>
      <c r="J2046">
        <v>2</v>
      </c>
      <c r="K2046" s="4">
        <v>61</v>
      </c>
      <c r="L2046" s="4">
        <v>55.2</v>
      </c>
      <c r="M2046" s="4">
        <v>74.7</v>
      </c>
      <c r="N2046">
        <v>0</v>
      </c>
      <c r="O2046" t="s">
        <v>58</v>
      </c>
      <c r="P2046" t="s">
        <v>75</v>
      </c>
      <c r="Q2046" t="s">
        <v>71</v>
      </c>
      <c r="R2046" t="s">
        <v>85</v>
      </c>
      <c r="S2046" s="3">
        <v>6.57</v>
      </c>
      <c r="T2046" s="5">
        <v>45233</v>
      </c>
      <c r="U2046">
        <v>3</v>
      </c>
      <c r="V2046">
        <v>2023</v>
      </c>
      <c r="X2046">
        <f t="shared" si="93"/>
        <v>7.8497953999999996</v>
      </c>
      <c r="Y2046">
        <f t="shared" si="94"/>
        <v>6.5697954000000003</v>
      </c>
      <c r="Z2046">
        <f t="shared" si="95"/>
        <v>55.199795399999999</v>
      </c>
    </row>
    <row r="2047" spans="1:26" x14ac:dyDescent="0.3">
      <c r="A2047" t="s">
        <v>2137</v>
      </c>
      <c r="B2047" t="s">
        <v>55</v>
      </c>
      <c r="C2047" t="s">
        <v>68</v>
      </c>
      <c r="D2047" t="s">
        <v>69</v>
      </c>
      <c r="E2047">
        <v>21</v>
      </c>
      <c r="F2047" s="3">
        <v>8.86</v>
      </c>
      <c r="G2047" s="4">
        <v>85.8</v>
      </c>
      <c r="H2047">
        <v>0</v>
      </c>
      <c r="I2047">
        <v>2</v>
      </c>
      <c r="J2047">
        <v>5</v>
      </c>
      <c r="K2047" s="4">
        <v>58.3</v>
      </c>
      <c r="L2047" s="4">
        <v>44.3</v>
      </c>
      <c r="M2047" s="4">
        <v>100</v>
      </c>
      <c r="N2047">
        <v>0</v>
      </c>
      <c r="O2047" t="s">
        <v>58</v>
      </c>
      <c r="P2047" t="s">
        <v>70</v>
      </c>
      <c r="Q2047" t="s">
        <v>71</v>
      </c>
      <c r="R2047" t="s">
        <v>61</v>
      </c>
      <c r="S2047" s="3">
        <v>5.07</v>
      </c>
      <c r="T2047" s="5">
        <v>45624</v>
      </c>
      <c r="U2047">
        <v>2</v>
      </c>
      <c r="V2047">
        <v>2024</v>
      </c>
      <c r="X2047">
        <f t="shared" si="93"/>
        <v>8.8597953</v>
      </c>
      <c r="Y2047">
        <f t="shared" si="94"/>
        <v>5.0697953</v>
      </c>
      <c r="Z2047">
        <f t="shared" si="95"/>
        <v>44.2997953</v>
      </c>
    </row>
    <row r="2048" spans="1:26" x14ac:dyDescent="0.3">
      <c r="A2048" t="s">
        <v>2138</v>
      </c>
      <c r="B2048" t="s">
        <v>63</v>
      </c>
      <c r="C2048" t="s">
        <v>78</v>
      </c>
      <c r="D2048" t="s">
        <v>69</v>
      </c>
      <c r="E2048">
        <v>21</v>
      </c>
      <c r="F2048" s="3">
        <v>6.96</v>
      </c>
      <c r="G2048" s="4">
        <v>77.900000000000006</v>
      </c>
      <c r="H2048">
        <v>1</v>
      </c>
      <c r="I2048">
        <v>1</v>
      </c>
      <c r="J2048">
        <v>3</v>
      </c>
      <c r="K2048" s="4">
        <v>71.2</v>
      </c>
      <c r="L2048" s="4">
        <v>44.7</v>
      </c>
      <c r="M2048" s="4">
        <v>74</v>
      </c>
      <c r="N2048">
        <v>0</v>
      </c>
      <c r="O2048" t="s">
        <v>64</v>
      </c>
      <c r="P2048" t="s">
        <v>65</v>
      </c>
      <c r="S2048" s="3">
        <v>0</v>
      </c>
      <c r="T2048" s="5"/>
      <c r="U2048">
        <v>0</v>
      </c>
      <c r="V2048">
        <v>2025</v>
      </c>
      <c r="X2048">
        <f t="shared" si="93"/>
        <v>6.9597952000000003</v>
      </c>
      <c r="Y2048">
        <f t="shared" si="94"/>
        <v>-2.0479999999999999E-4</v>
      </c>
      <c r="Z2048">
        <f t="shared" si="95"/>
        <v>44.699795200000004</v>
      </c>
    </row>
    <row r="2049" spans="1:26" x14ac:dyDescent="0.3">
      <c r="A2049" t="s">
        <v>2139</v>
      </c>
      <c r="B2049" t="s">
        <v>82</v>
      </c>
      <c r="C2049" t="s">
        <v>56</v>
      </c>
      <c r="D2049" t="s">
        <v>69</v>
      </c>
      <c r="E2049">
        <v>21</v>
      </c>
      <c r="F2049" s="3">
        <v>7.31</v>
      </c>
      <c r="G2049" s="4">
        <v>69.8</v>
      </c>
      <c r="H2049">
        <v>1</v>
      </c>
      <c r="I2049">
        <v>5</v>
      </c>
      <c r="J2049">
        <v>4</v>
      </c>
      <c r="K2049" s="4">
        <v>69.599999999999994</v>
      </c>
      <c r="L2049" s="4">
        <v>69.5</v>
      </c>
      <c r="M2049" s="4">
        <v>65.5</v>
      </c>
      <c r="N2049">
        <v>2</v>
      </c>
      <c r="O2049" t="s">
        <v>64</v>
      </c>
      <c r="P2049" t="s">
        <v>65</v>
      </c>
      <c r="S2049" s="3">
        <v>0</v>
      </c>
      <c r="T2049" s="5"/>
      <c r="U2049">
        <v>0</v>
      </c>
      <c r="V2049">
        <v>2022</v>
      </c>
      <c r="X2049">
        <f t="shared" si="93"/>
        <v>7.3097950999999997</v>
      </c>
      <c r="Y2049">
        <f t="shared" si="94"/>
        <v>-2.0489999999999999E-4</v>
      </c>
      <c r="Z2049">
        <f t="shared" si="95"/>
        <v>69.4997951</v>
      </c>
    </row>
    <row r="2050" spans="1:26" x14ac:dyDescent="0.3">
      <c r="A2050" t="s">
        <v>2140</v>
      </c>
      <c r="B2050" t="s">
        <v>67</v>
      </c>
      <c r="C2050" t="s">
        <v>68</v>
      </c>
      <c r="D2050" t="s">
        <v>69</v>
      </c>
      <c r="E2050">
        <v>20</v>
      </c>
      <c r="F2050" s="3">
        <v>10</v>
      </c>
      <c r="G2050" s="4">
        <v>71.7</v>
      </c>
      <c r="H2050">
        <v>1</v>
      </c>
      <c r="I2050">
        <v>4</v>
      </c>
      <c r="J2050">
        <v>1</v>
      </c>
      <c r="K2050" s="4">
        <v>82.2</v>
      </c>
      <c r="L2050" s="4">
        <v>66</v>
      </c>
      <c r="M2050" s="4">
        <v>85.8</v>
      </c>
      <c r="N2050">
        <v>0</v>
      </c>
      <c r="O2050" t="s">
        <v>58</v>
      </c>
      <c r="P2050" t="s">
        <v>112</v>
      </c>
      <c r="Q2050" t="s">
        <v>93</v>
      </c>
      <c r="R2050" t="s">
        <v>61</v>
      </c>
      <c r="S2050" s="3">
        <v>9.32</v>
      </c>
      <c r="T2050" s="5">
        <v>45145</v>
      </c>
      <c r="U2050">
        <v>1</v>
      </c>
      <c r="V2050">
        <v>2023</v>
      </c>
      <c r="X2050">
        <f t="shared" ref="X2050:X2113" si="96">F2050-ROW()*0.0000001</f>
        <v>9.9997950000000007</v>
      </c>
      <c r="Y2050">
        <f t="shared" ref="Y2050:Y2113" si="97">S2050-ROW()*0.0000001</f>
        <v>9.3197950000000009</v>
      </c>
      <c r="Z2050">
        <f t="shared" ref="Z2050:Z2113" si="98">L2050-ROW()*0.0000001</f>
        <v>65.999795000000006</v>
      </c>
    </row>
    <row r="2051" spans="1:26" x14ac:dyDescent="0.3">
      <c r="A2051" t="s">
        <v>2141</v>
      </c>
      <c r="B2051" t="s">
        <v>82</v>
      </c>
      <c r="C2051" t="s">
        <v>68</v>
      </c>
      <c r="D2051" t="s">
        <v>69</v>
      </c>
      <c r="E2051">
        <v>23</v>
      </c>
      <c r="F2051" s="3">
        <v>6.04</v>
      </c>
      <c r="G2051" s="4">
        <v>88.7</v>
      </c>
      <c r="H2051">
        <v>3</v>
      </c>
      <c r="I2051">
        <v>2</v>
      </c>
      <c r="J2051">
        <v>2</v>
      </c>
      <c r="K2051" s="4">
        <v>96.3</v>
      </c>
      <c r="L2051" s="4">
        <v>77.599999999999994</v>
      </c>
      <c r="M2051" s="4">
        <v>48.2</v>
      </c>
      <c r="N2051">
        <v>3</v>
      </c>
      <c r="O2051" t="s">
        <v>58</v>
      </c>
      <c r="P2051" t="s">
        <v>112</v>
      </c>
      <c r="Q2051" t="s">
        <v>93</v>
      </c>
      <c r="R2051" t="s">
        <v>85</v>
      </c>
      <c r="S2051" s="3">
        <v>7.8</v>
      </c>
      <c r="T2051" s="5">
        <v>44853</v>
      </c>
      <c r="U2051">
        <v>1</v>
      </c>
      <c r="V2051">
        <v>2022</v>
      </c>
      <c r="X2051">
        <f t="shared" si="96"/>
        <v>6.0397949000000004</v>
      </c>
      <c r="Y2051">
        <f t="shared" si="97"/>
        <v>7.7997949000000002</v>
      </c>
      <c r="Z2051">
        <f t="shared" si="98"/>
        <v>77.599794899999992</v>
      </c>
    </row>
    <row r="2052" spans="1:26" x14ac:dyDescent="0.3">
      <c r="A2052" t="s">
        <v>2142</v>
      </c>
      <c r="B2052" t="s">
        <v>55</v>
      </c>
      <c r="C2052" t="s">
        <v>56</v>
      </c>
      <c r="D2052" t="s">
        <v>69</v>
      </c>
      <c r="E2052">
        <v>22</v>
      </c>
      <c r="F2052" s="3">
        <v>5.85</v>
      </c>
      <c r="G2052" s="4">
        <v>94.8</v>
      </c>
      <c r="H2052">
        <v>1</v>
      </c>
      <c r="I2052">
        <v>2</v>
      </c>
      <c r="J2052">
        <v>4</v>
      </c>
      <c r="K2052" s="4">
        <v>38.5</v>
      </c>
      <c r="L2052" s="4">
        <v>67.3</v>
      </c>
      <c r="M2052" s="4">
        <v>67</v>
      </c>
      <c r="N2052">
        <v>0</v>
      </c>
      <c r="O2052" t="s">
        <v>58</v>
      </c>
      <c r="P2052" t="s">
        <v>70</v>
      </c>
      <c r="Q2052" t="s">
        <v>71</v>
      </c>
      <c r="R2052" t="s">
        <v>130</v>
      </c>
      <c r="S2052" s="3">
        <v>3.39</v>
      </c>
      <c r="T2052" s="5">
        <v>45514</v>
      </c>
      <c r="U2052">
        <v>1</v>
      </c>
      <c r="V2052">
        <v>2024</v>
      </c>
      <c r="X2052">
        <f t="shared" si="96"/>
        <v>5.8497947999999997</v>
      </c>
      <c r="Y2052">
        <f t="shared" si="97"/>
        <v>3.3897948000000002</v>
      </c>
      <c r="Z2052">
        <f t="shared" si="98"/>
        <v>67.299794800000001</v>
      </c>
    </row>
    <row r="2053" spans="1:26" x14ac:dyDescent="0.3">
      <c r="A2053" t="s">
        <v>2143</v>
      </c>
      <c r="B2053" t="s">
        <v>82</v>
      </c>
      <c r="C2053" t="s">
        <v>56</v>
      </c>
      <c r="D2053" t="s">
        <v>69</v>
      </c>
      <c r="E2053">
        <v>20</v>
      </c>
      <c r="F2053" s="3">
        <v>6.41</v>
      </c>
      <c r="G2053" s="4">
        <v>82</v>
      </c>
      <c r="H2053">
        <v>1</v>
      </c>
      <c r="I2053">
        <v>0</v>
      </c>
      <c r="J2053">
        <v>5</v>
      </c>
      <c r="K2053" s="4">
        <v>75.3</v>
      </c>
      <c r="L2053" s="4">
        <v>87.3</v>
      </c>
      <c r="M2053" s="4">
        <v>64.099999999999994</v>
      </c>
      <c r="N2053">
        <v>3</v>
      </c>
      <c r="O2053" t="s">
        <v>58</v>
      </c>
      <c r="P2053" t="s">
        <v>95</v>
      </c>
      <c r="Q2053" t="s">
        <v>93</v>
      </c>
      <c r="R2053" t="s">
        <v>109</v>
      </c>
      <c r="S2053" s="3">
        <v>5.58</v>
      </c>
      <c r="T2053" s="5">
        <v>44802</v>
      </c>
      <c r="U2053">
        <v>2</v>
      </c>
      <c r="V2053">
        <v>2022</v>
      </c>
      <c r="X2053">
        <f t="shared" si="96"/>
        <v>6.4097947</v>
      </c>
      <c r="Y2053">
        <f t="shared" si="97"/>
        <v>5.5797946999999999</v>
      </c>
      <c r="Z2053">
        <f t="shared" si="98"/>
        <v>87.299794699999993</v>
      </c>
    </row>
    <row r="2054" spans="1:26" x14ac:dyDescent="0.3">
      <c r="A2054" t="s">
        <v>2144</v>
      </c>
      <c r="B2054" t="s">
        <v>107</v>
      </c>
      <c r="C2054" t="s">
        <v>101</v>
      </c>
      <c r="D2054" t="s">
        <v>69</v>
      </c>
      <c r="E2054">
        <v>21</v>
      </c>
      <c r="F2054" s="3">
        <v>8.64</v>
      </c>
      <c r="G2054" s="4">
        <v>94.6</v>
      </c>
      <c r="H2054">
        <v>1</v>
      </c>
      <c r="I2054">
        <v>5</v>
      </c>
      <c r="J2054">
        <v>4</v>
      </c>
      <c r="K2054" s="4">
        <v>70.2</v>
      </c>
      <c r="L2054" s="4">
        <v>61.2</v>
      </c>
      <c r="M2054" s="4">
        <v>59.6</v>
      </c>
      <c r="N2054">
        <v>0</v>
      </c>
      <c r="O2054" t="s">
        <v>58</v>
      </c>
      <c r="P2054" t="s">
        <v>87</v>
      </c>
      <c r="Q2054" t="s">
        <v>71</v>
      </c>
      <c r="R2054" t="s">
        <v>76</v>
      </c>
      <c r="S2054" s="3">
        <v>6.49</v>
      </c>
      <c r="T2054" s="5">
        <v>44502</v>
      </c>
      <c r="U2054">
        <v>1</v>
      </c>
      <c r="V2054">
        <v>2021</v>
      </c>
      <c r="X2054">
        <f t="shared" si="96"/>
        <v>8.6397946000000001</v>
      </c>
      <c r="Y2054">
        <f t="shared" si="97"/>
        <v>6.4897946000000006</v>
      </c>
      <c r="Z2054">
        <f t="shared" si="98"/>
        <v>61.199794600000004</v>
      </c>
    </row>
    <row r="2055" spans="1:26" x14ac:dyDescent="0.3">
      <c r="A2055" t="s">
        <v>2145</v>
      </c>
      <c r="B2055" t="s">
        <v>67</v>
      </c>
      <c r="C2055" t="s">
        <v>68</v>
      </c>
      <c r="D2055" t="s">
        <v>57</v>
      </c>
      <c r="E2055">
        <v>21</v>
      </c>
      <c r="F2055" s="3">
        <v>7.26</v>
      </c>
      <c r="G2055" s="4">
        <v>81.5</v>
      </c>
      <c r="H2055">
        <v>0</v>
      </c>
      <c r="I2055">
        <v>3</v>
      </c>
      <c r="J2055">
        <v>2</v>
      </c>
      <c r="K2055" s="4">
        <v>85.9</v>
      </c>
      <c r="L2055" s="4">
        <v>75</v>
      </c>
      <c r="M2055" s="4">
        <v>68</v>
      </c>
      <c r="N2055">
        <v>0</v>
      </c>
      <c r="O2055" t="s">
        <v>58</v>
      </c>
      <c r="P2055" t="s">
        <v>70</v>
      </c>
      <c r="Q2055" t="s">
        <v>71</v>
      </c>
      <c r="R2055" t="s">
        <v>61</v>
      </c>
      <c r="S2055" s="3">
        <v>5.07</v>
      </c>
      <c r="T2055" s="5">
        <v>45222</v>
      </c>
      <c r="U2055">
        <v>1</v>
      </c>
      <c r="V2055">
        <v>2023</v>
      </c>
      <c r="X2055">
        <f t="shared" si="96"/>
        <v>7.2597944999999999</v>
      </c>
      <c r="Y2055">
        <f t="shared" si="97"/>
        <v>5.0697945000000004</v>
      </c>
      <c r="Z2055">
        <f t="shared" si="98"/>
        <v>74.999794499999993</v>
      </c>
    </row>
    <row r="2056" spans="1:26" x14ac:dyDescent="0.3">
      <c r="A2056" t="s">
        <v>2146</v>
      </c>
      <c r="B2056" t="s">
        <v>82</v>
      </c>
      <c r="C2056" t="s">
        <v>56</v>
      </c>
      <c r="D2056" t="s">
        <v>57</v>
      </c>
      <c r="E2056">
        <v>20</v>
      </c>
      <c r="F2056" s="3">
        <v>7.26</v>
      </c>
      <c r="G2056" s="4">
        <v>71.7</v>
      </c>
      <c r="H2056">
        <v>1</v>
      </c>
      <c r="I2056">
        <v>0</v>
      </c>
      <c r="J2056">
        <v>2</v>
      </c>
      <c r="K2056" s="4">
        <v>60.9</v>
      </c>
      <c r="L2056" s="4">
        <v>78.3</v>
      </c>
      <c r="M2056" s="4">
        <v>77.5</v>
      </c>
      <c r="N2056">
        <v>0</v>
      </c>
      <c r="O2056" t="s">
        <v>58</v>
      </c>
      <c r="P2056" t="s">
        <v>87</v>
      </c>
      <c r="Q2056" t="s">
        <v>71</v>
      </c>
      <c r="R2056" t="s">
        <v>109</v>
      </c>
      <c r="S2056" s="3">
        <v>6.64</v>
      </c>
      <c r="T2056" s="5">
        <v>44879</v>
      </c>
      <c r="U2056">
        <v>2</v>
      </c>
      <c r="V2056">
        <v>2022</v>
      </c>
      <c r="X2056">
        <f t="shared" si="96"/>
        <v>7.2597943999999996</v>
      </c>
      <c r="Y2056">
        <f t="shared" si="97"/>
        <v>6.6397943999999995</v>
      </c>
      <c r="Z2056">
        <f t="shared" si="98"/>
        <v>78.299794399999996</v>
      </c>
    </row>
    <row r="2057" spans="1:26" x14ac:dyDescent="0.3">
      <c r="A2057" t="s">
        <v>2147</v>
      </c>
      <c r="B2057" t="s">
        <v>55</v>
      </c>
      <c r="C2057" t="s">
        <v>101</v>
      </c>
      <c r="D2057" t="s">
        <v>57</v>
      </c>
      <c r="E2057">
        <v>22</v>
      </c>
      <c r="F2057" s="3">
        <v>6.78</v>
      </c>
      <c r="G2057" s="4">
        <v>80.099999999999994</v>
      </c>
      <c r="H2057">
        <v>2</v>
      </c>
      <c r="I2057">
        <v>1</v>
      </c>
      <c r="J2057">
        <v>5</v>
      </c>
      <c r="K2057" s="4">
        <v>62.7</v>
      </c>
      <c r="L2057" s="4">
        <v>70.8</v>
      </c>
      <c r="M2057" s="4">
        <v>89.7</v>
      </c>
      <c r="N2057">
        <v>0</v>
      </c>
      <c r="O2057" t="s">
        <v>64</v>
      </c>
      <c r="P2057" t="s">
        <v>65</v>
      </c>
      <c r="S2057" s="3">
        <v>0</v>
      </c>
      <c r="T2057" s="5"/>
      <c r="U2057">
        <v>0</v>
      </c>
      <c r="V2057">
        <v>2024</v>
      </c>
      <c r="X2057">
        <f t="shared" si="96"/>
        <v>6.7797942999999998</v>
      </c>
      <c r="Y2057">
        <f t="shared" si="97"/>
        <v>-2.0569999999999999E-4</v>
      </c>
      <c r="Z2057">
        <f t="shared" si="98"/>
        <v>70.799794300000002</v>
      </c>
    </row>
    <row r="2058" spans="1:26" x14ac:dyDescent="0.3">
      <c r="A2058" t="s">
        <v>2148</v>
      </c>
      <c r="B2058" t="s">
        <v>55</v>
      </c>
      <c r="C2058" t="s">
        <v>84</v>
      </c>
      <c r="D2058" t="s">
        <v>57</v>
      </c>
      <c r="E2058">
        <v>20</v>
      </c>
      <c r="F2058" s="3">
        <v>8.48</v>
      </c>
      <c r="G2058" s="4">
        <v>95.4</v>
      </c>
      <c r="H2058">
        <v>2</v>
      </c>
      <c r="I2058">
        <v>3</v>
      </c>
      <c r="J2058">
        <v>4</v>
      </c>
      <c r="K2058" s="4">
        <v>49.9</v>
      </c>
      <c r="L2058" s="4">
        <v>85.2</v>
      </c>
      <c r="M2058" s="4">
        <v>86.5</v>
      </c>
      <c r="N2058">
        <v>0</v>
      </c>
      <c r="O2058" t="s">
        <v>58</v>
      </c>
      <c r="P2058" t="s">
        <v>95</v>
      </c>
      <c r="Q2058" t="s">
        <v>93</v>
      </c>
      <c r="R2058" t="s">
        <v>85</v>
      </c>
      <c r="S2058" s="3">
        <v>7.98</v>
      </c>
      <c r="T2058" s="5">
        <v>45576</v>
      </c>
      <c r="U2058">
        <v>1</v>
      </c>
      <c r="V2058">
        <v>2024</v>
      </c>
      <c r="X2058">
        <f t="shared" si="96"/>
        <v>8.4797942000000006</v>
      </c>
      <c r="Y2058">
        <f t="shared" si="97"/>
        <v>7.9797942000000006</v>
      </c>
      <c r="Z2058">
        <f t="shared" si="98"/>
        <v>85.199794199999999</v>
      </c>
    </row>
    <row r="2059" spans="1:26" x14ac:dyDescent="0.3">
      <c r="A2059" t="s">
        <v>2149</v>
      </c>
      <c r="B2059" t="s">
        <v>82</v>
      </c>
      <c r="C2059" t="s">
        <v>89</v>
      </c>
      <c r="D2059" t="s">
        <v>57</v>
      </c>
      <c r="E2059">
        <v>20</v>
      </c>
      <c r="F2059" s="3">
        <v>6.42</v>
      </c>
      <c r="G2059" s="4">
        <v>76.599999999999994</v>
      </c>
      <c r="H2059">
        <v>2</v>
      </c>
      <c r="I2059">
        <v>0</v>
      </c>
      <c r="J2059">
        <v>6</v>
      </c>
      <c r="K2059" s="4">
        <v>82.4</v>
      </c>
      <c r="L2059" s="4">
        <v>77.900000000000006</v>
      </c>
      <c r="M2059" s="4">
        <v>54.9</v>
      </c>
      <c r="N2059">
        <v>0</v>
      </c>
      <c r="O2059" t="s">
        <v>64</v>
      </c>
      <c r="P2059" t="s">
        <v>65</v>
      </c>
      <c r="S2059" s="3">
        <v>0</v>
      </c>
      <c r="T2059" s="5"/>
      <c r="U2059">
        <v>0</v>
      </c>
      <c r="V2059">
        <v>2022</v>
      </c>
      <c r="X2059">
        <f t="shared" si="96"/>
        <v>6.4197940999999998</v>
      </c>
      <c r="Y2059">
        <f t="shared" si="97"/>
        <v>-2.0589999999999999E-4</v>
      </c>
      <c r="Z2059">
        <f t="shared" si="98"/>
        <v>77.899794100000008</v>
      </c>
    </row>
    <row r="2060" spans="1:26" x14ac:dyDescent="0.3">
      <c r="A2060" t="s">
        <v>2150</v>
      </c>
      <c r="B2060" t="s">
        <v>55</v>
      </c>
      <c r="C2060" t="s">
        <v>68</v>
      </c>
      <c r="D2060" t="s">
        <v>57</v>
      </c>
      <c r="E2060">
        <v>23</v>
      </c>
      <c r="F2060" s="3">
        <v>7.13</v>
      </c>
      <c r="G2060" s="4">
        <v>80.8</v>
      </c>
      <c r="H2060">
        <v>1</v>
      </c>
      <c r="I2060">
        <v>4</v>
      </c>
      <c r="J2060">
        <v>2</v>
      </c>
      <c r="K2060" s="4">
        <v>69.900000000000006</v>
      </c>
      <c r="L2060" s="4">
        <v>82.1</v>
      </c>
      <c r="M2060" s="4">
        <v>100</v>
      </c>
      <c r="N2060">
        <v>0</v>
      </c>
      <c r="O2060" t="s">
        <v>58</v>
      </c>
      <c r="P2060" t="s">
        <v>90</v>
      </c>
      <c r="Q2060" t="s">
        <v>60</v>
      </c>
      <c r="R2060" t="s">
        <v>76</v>
      </c>
      <c r="S2060" s="3">
        <v>9.01</v>
      </c>
      <c r="T2060" s="5">
        <v>45602</v>
      </c>
      <c r="U2060">
        <v>1</v>
      </c>
      <c r="V2060">
        <v>2024</v>
      </c>
      <c r="X2060">
        <f t="shared" si="96"/>
        <v>7.1297939999999995</v>
      </c>
      <c r="Y2060">
        <f t="shared" si="97"/>
        <v>9.0097939999999994</v>
      </c>
      <c r="Z2060">
        <f t="shared" si="98"/>
        <v>82.099793999999989</v>
      </c>
    </row>
    <row r="2061" spans="1:26" x14ac:dyDescent="0.3">
      <c r="A2061" t="s">
        <v>2151</v>
      </c>
      <c r="B2061" t="s">
        <v>63</v>
      </c>
      <c r="C2061" t="s">
        <v>101</v>
      </c>
      <c r="D2061" t="s">
        <v>57</v>
      </c>
      <c r="E2061">
        <v>20</v>
      </c>
      <c r="F2061" s="3">
        <v>6.82</v>
      </c>
      <c r="G2061" s="4">
        <v>92.7</v>
      </c>
      <c r="H2061">
        <v>0</v>
      </c>
      <c r="I2061">
        <v>5</v>
      </c>
      <c r="J2061">
        <v>6</v>
      </c>
      <c r="K2061" s="4">
        <v>83.8</v>
      </c>
      <c r="L2061" s="4">
        <v>60.4</v>
      </c>
      <c r="M2061" s="4">
        <v>89</v>
      </c>
      <c r="N2061">
        <v>2</v>
      </c>
      <c r="O2061" t="s">
        <v>64</v>
      </c>
      <c r="P2061" t="s">
        <v>65</v>
      </c>
      <c r="S2061" s="3">
        <v>0</v>
      </c>
      <c r="T2061" s="5"/>
      <c r="U2061">
        <v>0</v>
      </c>
      <c r="V2061">
        <v>2025</v>
      </c>
      <c r="X2061">
        <f t="shared" si="96"/>
        <v>6.8197939000000005</v>
      </c>
      <c r="Y2061">
        <f t="shared" si="97"/>
        <v>-2.061E-4</v>
      </c>
      <c r="Z2061">
        <f t="shared" si="98"/>
        <v>60.399793899999999</v>
      </c>
    </row>
    <row r="2062" spans="1:26" x14ac:dyDescent="0.3">
      <c r="A2062" t="s">
        <v>2152</v>
      </c>
      <c r="B2062" t="s">
        <v>63</v>
      </c>
      <c r="C2062" t="s">
        <v>84</v>
      </c>
      <c r="D2062" t="s">
        <v>57</v>
      </c>
      <c r="E2062">
        <v>23</v>
      </c>
      <c r="F2062" s="3">
        <v>5.24</v>
      </c>
      <c r="G2062" s="4">
        <v>92.1</v>
      </c>
      <c r="H2062">
        <v>3</v>
      </c>
      <c r="I2062">
        <v>4</v>
      </c>
      <c r="J2062">
        <v>5</v>
      </c>
      <c r="K2062" s="4">
        <v>62</v>
      </c>
      <c r="L2062" s="4">
        <v>66.7</v>
      </c>
      <c r="M2062" s="4">
        <v>74.5</v>
      </c>
      <c r="N2062">
        <v>1</v>
      </c>
      <c r="O2062" t="s">
        <v>58</v>
      </c>
      <c r="P2062" t="s">
        <v>104</v>
      </c>
      <c r="Q2062" t="s">
        <v>105</v>
      </c>
      <c r="R2062" t="s">
        <v>76</v>
      </c>
      <c r="S2062" s="3">
        <v>13.54</v>
      </c>
      <c r="T2062" s="5">
        <v>45969</v>
      </c>
      <c r="U2062">
        <v>1</v>
      </c>
      <c r="V2062">
        <v>2025</v>
      </c>
      <c r="X2062">
        <f t="shared" si="96"/>
        <v>5.2397938000000002</v>
      </c>
      <c r="Y2062">
        <f t="shared" si="97"/>
        <v>13.5397938</v>
      </c>
      <c r="Z2062">
        <f t="shared" si="98"/>
        <v>66.699793800000009</v>
      </c>
    </row>
    <row r="2063" spans="1:26" x14ac:dyDescent="0.3">
      <c r="A2063" t="s">
        <v>2153</v>
      </c>
      <c r="B2063" t="s">
        <v>63</v>
      </c>
      <c r="C2063" t="s">
        <v>78</v>
      </c>
      <c r="D2063" t="s">
        <v>69</v>
      </c>
      <c r="E2063">
        <v>22</v>
      </c>
      <c r="F2063" s="3">
        <v>7.22</v>
      </c>
      <c r="G2063" s="4">
        <v>84.8</v>
      </c>
      <c r="H2063">
        <v>0</v>
      </c>
      <c r="I2063">
        <v>3</v>
      </c>
      <c r="J2063">
        <v>5</v>
      </c>
      <c r="K2063" s="4">
        <v>58.6</v>
      </c>
      <c r="L2063" s="4">
        <v>37.200000000000003</v>
      </c>
      <c r="M2063" s="4">
        <v>90.1</v>
      </c>
      <c r="N2063">
        <v>2</v>
      </c>
      <c r="O2063" t="s">
        <v>58</v>
      </c>
      <c r="P2063" t="s">
        <v>87</v>
      </c>
      <c r="Q2063" t="s">
        <v>71</v>
      </c>
      <c r="R2063" t="s">
        <v>109</v>
      </c>
      <c r="S2063" s="3">
        <v>4.0999999999999996</v>
      </c>
      <c r="T2063" s="5">
        <v>45940</v>
      </c>
      <c r="U2063">
        <v>2</v>
      </c>
      <c r="V2063">
        <v>2025</v>
      </c>
      <c r="X2063">
        <f t="shared" si="96"/>
        <v>7.2197936999999994</v>
      </c>
      <c r="Y2063">
        <f t="shared" si="97"/>
        <v>4.0997936999999993</v>
      </c>
      <c r="Z2063">
        <f t="shared" si="98"/>
        <v>37.199793700000001</v>
      </c>
    </row>
    <row r="2064" spans="1:26" x14ac:dyDescent="0.3">
      <c r="A2064" t="s">
        <v>2154</v>
      </c>
      <c r="B2064" t="s">
        <v>107</v>
      </c>
      <c r="C2064" t="s">
        <v>68</v>
      </c>
      <c r="D2064" t="s">
        <v>57</v>
      </c>
      <c r="E2064">
        <v>20</v>
      </c>
      <c r="F2064" s="3">
        <v>7.6</v>
      </c>
      <c r="G2064" s="4">
        <v>86.8</v>
      </c>
      <c r="H2064">
        <v>3</v>
      </c>
      <c r="I2064">
        <v>2</v>
      </c>
      <c r="J2064">
        <v>1</v>
      </c>
      <c r="K2064" s="4">
        <v>78.2</v>
      </c>
      <c r="L2064" s="4">
        <v>69.099999999999994</v>
      </c>
      <c r="M2064" s="4">
        <v>62.9</v>
      </c>
      <c r="N2064">
        <v>0</v>
      </c>
      <c r="O2064" t="s">
        <v>58</v>
      </c>
      <c r="P2064" t="s">
        <v>92</v>
      </c>
      <c r="Q2064" t="s">
        <v>93</v>
      </c>
      <c r="R2064" t="s">
        <v>80</v>
      </c>
      <c r="S2064" s="3">
        <v>10.029999999999999</v>
      </c>
      <c r="T2064" s="5">
        <v>44466</v>
      </c>
      <c r="U2064">
        <v>3</v>
      </c>
      <c r="V2064">
        <v>2021</v>
      </c>
      <c r="X2064">
        <f t="shared" si="96"/>
        <v>7.5997935999999999</v>
      </c>
      <c r="Y2064">
        <f t="shared" si="97"/>
        <v>10.0297936</v>
      </c>
      <c r="Z2064">
        <f t="shared" si="98"/>
        <v>69.099793599999998</v>
      </c>
    </row>
    <row r="2065" spans="1:26" x14ac:dyDescent="0.3">
      <c r="A2065" t="s">
        <v>2155</v>
      </c>
      <c r="B2065" t="s">
        <v>82</v>
      </c>
      <c r="C2065" t="s">
        <v>89</v>
      </c>
      <c r="D2065" t="s">
        <v>69</v>
      </c>
      <c r="E2065">
        <v>20</v>
      </c>
      <c r="F2065" s="3">
        <v>6.95</v>
      </c>
      <c r="G2065" s="4">
        <v>91.6</v>
      </c>
      <c r="H2065">
        <v>2</v>
      </c>
      <c r="I2065">
        <v>0</v>
      </c>
      <c r="J2065">
        <v>5</v>
      </c>
      <c r="K2065" s="4">
        <v>63.3</v>
      </c>
      <c r="L2065" s="4">
        <v>49.4</v>
      </c>
      <c r="M2065" s="4">
        <v>84.1</v>
      </c>
      <c r="N2065">
        <v>0</v>
      </c>
      <c r="O2065" t="s">
        <v>58</v>
      </c>
      <c r="P2065" t="s">
        <v>59</v>
      </c>
      <c r="Q2065" t="s">
        <v>60</v>
      </c>
      <c r="R2065" t="s">
        <v>76</v>
      </c>
      <c r="S2065" s="3">
        <v>17.54</v>
      </c>
      <c r="T2065" s="5">
        <v>44851</v>
      </c>
      <c r="U2065">
        <v>2</v>
      </c>
      <c r="V2065">
        <v>2022</v>
      </c>
      <c r="X2065">
        <f t="shared" si="96"/>
        <v>6.9497935000000002</v>
      </c>
      <c r="Y2065">
        <f t="shared" si="97"/>
        <v>17.539793499999998</v>
      </c>
      <c r="Z2065">
        <f t="shared" si="98"/>
        <v>49.399793500000001</v>
      </c>
    </row>
    <row r="2066" spans="1:26" x14ac:dyDescent="0.3">
      <c r="A2066" t="s">
        <v>2156</v>
      </c>
      <c r="B2066" t="s">
        <v>107</v>
      </c>
      <c r="C2066" t="s">
        <v>78</v>
      </c>
      <c r="D2066" t="s">
        <v>69</v>
      </c>
      <c r="E2066">
        <v>21</v>
      </c>
      <c r="F2066" s="3">
        <v>7.41</v>
      </c>
      <c r="G2066" s="4">
        <v>84.8</v>
      </c>
      <c r="H2066">
        <v>3</v>
      </c>
      <c r="I2066">
        <v>3</v>
      </c>
      <c r="J2066">
        <v>4</v>
      </c>
      <c r="K2066" s="4">
        <v>76.8</v>
      </c>
      <c r="L2066" s="4">
        <v>100</v>
      </c>
      <c r="M2066" s="4">
        <v>50.8</v>
      </c>
      <c r="N2066">
        <v>0</v>
      </c>
      <c r="O2066" t="s">
        <v>58</v>
      </c>
      <c r="P2066" t="s">
        <v>70</v>
      </c>
      <c r="Q2066" t="s">
        <v>71</v>
      </c>
      <c r="R2066" t="s">
        <v>61</v>
      </c>
      <c r="S2066" s="3">
        <v>7.32</v>
      </c>
      <c r="T2066" s="5">
        <v>44492</v>
      </c>
      <c r="U2066">
        <v>1</v>
      </c>
      <c r="V2066">
        <v>2021</v>
      </c>
      <c r="X2066">
        <f t="shared" si="96"/>
        <v>7.4097933999999999</v>
      </c>
      <c r="Y2066">
        <f t="shared" si="97"/>
        <v>7.3197934</v>
      </c>
      <c r="Z2066">
        <f t="shared" si="98"/>
        <v>99.999793400000001</v>
      </c>
    </row>
    <row r="2067" spans="1:26" x14ac:dyDescent="0.3">
      <c r="A2067" t="s">
        <v>2157</v>
      </c>
      <c r="B2067" t="s">
        <v>55</v>
      </c>
      <c r="C2067" t="s">
        <v>56</v>
      </c>
      <c r="D2067" t="s">
        <v>57</v>
      </c>
      <c r="E2067">
        <v>20</v>
      </c>
      <c r="F2067" s="3">
        <v>7.43</v>
      </c>
      <c r="G2067" s="4">
        <v>93.5</v>
      </c>
      <c r="H2067">
        <v>1</v>
      </c>
      <c r="I2067">
        <v>1</v>
      </c>
      <c r="J2067">
        <v>4</v>
      </c>
      <c r="K2067" s="4">
        <v>75.2</v>
      </c>
      <c r="L2067" s="4">
        <v>74.5</v>
      </c>
      <c r="M2067" s="4">
        <v>70.3</v>
      </c>
      <c r="N2067">
        <v>0</v>
      </c>
      <c r="O2067" t="s">
        <v>58</v>
      </c>
      <c r="P2067" t="s">
        <v>90</v>
      </c>
      <c r="Q2067" t="s">
        <v>60</v>
      </c>
      <c r="R2067" t="s">
        <v>130</v>
      </c>
      <c r="S2067" s="3">
        <v>7.9</v>
      </c>
      <c r="T2067" s="5">
        <v>45605</v>
      </c>
      <c r="U2067">
        <v>2</v>
      </c>
      <c r="V2067">
        <v>2024</v>
      </c>
      <c r="X2067">
        <f t="shared" si="96"/>
        <v>7.4297933</v>
      </c>
      <c r="Y2067">
        <f t="shared" si="97"/>
        <v>7.8997933000000007</v>
      </c>
      <c r="Z2067">
        <f t="shared" si="98"/>
        <v>74.499793299999993</v>
      </c>
    </row>
    <row r="2068" spans="1:26" x14ac:dyDescent="0.3">
      <c r="A2068" t="s">
        <v>2158</v>
      </c>
      <c r="B2068" t="s">
        <v>107</v>
      </c>
      <c r="C2068" t="s">
        <v>68</v>
      </c>
      <c r="D2068" t="s">
        <v>69</v>
      </c>
      <c r="E2068">
        <v>21</v>
      </c>
      <c r="F2068" s="3">
        <v>7.53</v>
      </c>
      <c r="G2068" s="4">
        <v>88</v>
      </c>
      <c r="H2068">
        <v>1</v>
      </c>
      <c r="I2068">
        <v>2</v>
      </c>
      <c r="J2068">
        <v>3</v>
      </c>
      <c r="K2068" s="4">
        <v>69.5</v>
      </c>
      <c r="L2068" s="4">
        <v>64</v>
      </c>
      <c r="M2068" s="4">
        <v>90.4</v>
      </c>
      <c r="N2068">
        <v>0</v>
      </c>
      <c r="O2068" t="s">
        <v>58</v>
      </c>
      <c r="P2068" t="s">
        <v>79</v>
      </c>
      <c r="Q2068" t="s">
        <v>71</v>
      </c>
      <c r="R2068" t="s">
        <v>109</v>
      </c>
      <c r="S2068" s="3">
        <v>4.53</v>
      </c>
      <c r="T2068" s="5">
        <v>44441</v>
      </c>
      <c r="U2068">
        <v>3</v>
      </c>
      <c r="V2068">
        <v>2021</v>
      </c>
      <c r="X2068">
        <f t="shared" si="96"/>
        <v>7.5297932000000003</v>
      </c>
      <c r="Y2068">
        <f t="shared" si="97"/>
        <v>4.5297932000000003</v>
      </c>
      <c r="Z2068">
        <f t="shared" si="98"/>
        <v>63.999793199999999</v>
      </c>
    </row>
    <row r="2069" spans="1:26" x14ac:dyDescent="0.3">
      <c r="A2069" t="s">
        <v>2159</v>
      </c>
      <c r="B2069" t="s">
        <v>55</v>
      </c>
      <c r="C2069" t="s">
        <v>101</v>
      </c>
      <c r="D2069" t="s">
        <v>57</v>
      </c>
      <c r="E2069">
        <v>21</v>
      </c>
      <c r="F2069" s="3">
        <v>6.7</v>
      </c>
      <c r="G2069" s="4">
        <v>80.7</v>
      </c>
      <c r="H2069">
        <v>2</v>
      </c>
      <c r="I2069">
        <v>1</v>
      </c>
      <c r="J2069">
        <v>5</v>
      </c>
      <c r="K2069" s="4">
        <v>59.5</v>
      </c>
      <c r="L2069" s="4">
        <v>81.3</v>
      </c>
      <c r="M2069" s="4">
        <v>68.5</v>
      </c>
      <c r="N2069">
        <v>1</v>
      </c>
      <c r="O2069" t="s">
        <v>64</v>
      </c>
      <c r="P2069" t="s">
        <v>65</v>
      </c>
      <c r="S2069" s="3">
        <v>0</v>
      </c>
      <c r="T2069" s="5"/>
      <c r="U2069">
        <v>0</v>
      </c>
      <c r="V2069">
        <v>2024</v>
      </c>
      <c r="X2069">
        <f t="shared" si="96"/>
        <v>6.6997930999999999</v>
      </c>
      <c r="Y2069">
        <f t="shared" si="97"/>
        <v>-2.0689999999999999E-4</v>
      </c>
      <c r="Z2069">
        <f t="shared" si="98"/>
        <v>81.299793100000002</v>
      </c>
    </row>
    <row r="2070" spans="1:26" x14ac:dyDescent="0.3">
      <c r="A2070" t="s">
        <v>2160</v>
      </c>
      <c r="B2070" t="s">
        <v>55</v>
      </c>
      <c r="C2070" t="s">
        <v>89</v>
      </c>
      <c r="D2070" t="s">
        <v>57</v>
      </c>
      <c r="E2070">
        <v>21</v>
      </c>
      <c r="F2070" s="3">
        <v>6.65</v>
      </c>
      <c r="G2070" s="4">
        <v>85.9</v>
      </c>
      <c r="H2070">
        <v>2</v>
      </c>
      <c r="I2070">
        <v>1</v>
      </c>
      <c r="J2070">
        <v>6</v>
      </c>
      <c r="K2070" s="4">
        <v>73</v>
      </c>
      <c r="L2070" s="4">
        <v>49.1</v>
      </c>
      <c r="M2070" s="4">
        <v>69</v>
      </c>
      <c r="N2070">
        <v>0</v>
      </c>
      <c r="O2070" t="s">
        <v>64</v>
      </c>
      <c r="P2070" t="s">
        <v>65</v>
      </c>
      <c r="S2070" s="3">
        <v>0</v>
      </c>
      <c r="T2070" s="5"/>
      <c r="U2070">
        <v>0</v>
      </c>
      <c r="V2070">
        <v>2024</v>
      </c>
      <c r="X2070">
        <f t="shared" si="96"/>
        <v>6.6497930000000007</v>
      </c>
      <c r="Y2070">
        <f t="shared" si="97"/>
        <v>-2.0699999999999999E-4</v>
      </c>
      <c r="Z2070">
        <f t="shared" si="98"/>
        <v>49.099792999999998</v>
      </c>
    </row>
    <row r="2071" spans="1:26" x14ac:dyDescent="0.3">
      <c r="A2071" t="s">
        <v>2161</v>
      </c>
      <c r="B2071" t="s">
        <v>67</v>
      </c>
      <c r="C2071" t="s">
        <v>68</v>
      </c>
      <c r="D2071" t="s">
        <v>57</v>
      </c>
      <c r="E2071">
        <v>22</v>
      </c>
      <c r="F2071" s="3">
        <v>7.69</v>
      </c>
      <c r="G2071" s="4">
        <v>78.5</v>
      </c>
      <c r="H2071">
        <v>0</v>
      </c>
      <c r="I2071">
        <v>1</v>
      </c>
      <c r="J2071">
        <v>4</v>
      </c>
      <c r="K2071" s="4">
        <v>57.4</v>
      </c>
      <c r="L2071" s="4">
        <v>62.6</v>
      </c>
      <c r="M2071" s="4">
        <v>66.8</v>
      </c>
      <c r="N2071">
        <v>0</v>
      </c>
      <c r="O2071" t="s">
        <v>58</v>
      </c>
      <c r="P2071" t="s">
        <v>92</v>
      </c>
      <c r="Q2071" t="s">
        <v>93</v>
      </c>
      <c r="R2071" t="s">
        <v>61</v>
      </c>
      <c r="S2071" s="3">
        <v>8.7200000000000006</v>
      </c>
      <c r="T2071" s="5">
        <v>45228</v>
      </c>
      <c r="U2071">
        <v>1</v>
      </c>
      <c r="V2071">
        <v>2023</v>
      </c>
      <c r="X2071">
        <f t="shared" si="96"/>
        <v>7.6897929000000005</v>
      </c>
      <c r="Y2071">
        <f t="shared" si="97"/>
        <v>8.7197928999999998</v>
      </c>
      <c r="Z2071">
        <f t="shared" si="98"/>
        <v>62.599792900000004</v>
      </c>
    </row>
    <row r="2072" spans="1:26" x14ac:dyDescent="0.3">
      <c r="A2072" t="s">
        <v>2162</v>
      </c>
      <c r="B2072" t="s">
        <v>63</v>
      </c>
      <c r="C2072" t="s">
        <v>78</v>
      </c>
      <c r="D2072" t="s">
        <v>57</v>
      </c>
      <c r="E2072">
        <v>23</v>
      </c>
      <c r="F2072" s="3">
        <v>6.32</v>
      </c>
      <c r="G2072" s="4">
        <v>73.3</v>
      </c>
      <c r="H2072">
        <v>2</v>
      </c>
      <c r="I2072">
        <v>3</v>
      </c>
      <c r="J2072">
        <v>4</v>
      </c>
      <c r="K2072" s="4">
        <v>69.400000000000006</v>
      </c>
      <c r="L2072" s="4">
        <v>64.8</v>
      </c>
      <c r="M2072" s="4">
        <v>71.599999999999994</v>
      </c>
      <c r="N2072">
        <v>0</v>
      </c>
      <c r="O2072" t="s">
        <v>64</v>
      </c>
      <c r="P2072" t="s">
        <v>65</v>
      </c>
      <c r="S2072" s="3">
        <v>0</v>
      </c>
      <c r="T2072" s="5"/>
      <c r="U2072">
        <v>0</v>
      </c>
      <c r="V2072">
        <v>2025</v>
      </c>
      <c r="X2072">
        <f t="shared" si="96"/>
        <v>6.3197928000000001</v>
      </c>
      <c r="Y2072">
        <f t="shared" si="97"/>
        <v>-2.0719999999999999E-4</v>
      </c>
      <c r="Z2072">
        <f t="shared" si="98"/>
        <v>64.799792799999992</v>
      </c>
    </row>
    <row r="2073" spans="1:26" x14ac:dyDescent="0.3">
      <c r="A2073" t="s">
        <v>2163</v>
      </c>
      <c r="B2073" t="s">
        <v>55</v>
      </c>
      <c r="C2073" t="s">
        <v>56</v>
      </c>
      <c r="D2073" t="s">
        <v>57</v>
      </c>
      <c r="E2073">
        <v>21</v>
      </c>
      <c r="F2073" s="3">
        <v>7.46</v>
      </c>
      <c r="G2073" s="4">
        <v>71.7</v>
      </c>
      <c r="H2073">
        <v>1</v>
      </c>
      <c r="I2073">
        <v>2</v>
      </c>
      <c r="J2073">
        <v>4</v>
      </c>
      <c r="K2073" s="4">
        <v>91.6</v>
      </c>
      <c r="L2073" s="4">
        <v>79.7</v>
      </c>
      <c r="M2073" s="4">
        <v>61.9</v>
      </c>
      <c r="N2073">
        <v>0</v>
      </c>
      <c r="O2073" t="s">
        <v>58</v>
      </c>
      <c r="P2073" t="s">
        <v>87</v>
      </c>
      <c r="Q2073" t="s">
        <v>71</v>
      </c>
      <c r="R2073" t="s">
        <v>80</v>
      </c>
      <c r="S2073" s="3">
        <v>6.19</v>
      </c>
      <c r="T2073" s="5">
        <v>45555</v>
      </c>
      <c r="U2073">
        <v>2</v>
      </c>
      <c r="V2073">
        <v>2024</v>
      </c>
      <c r="X2073">
        <f t="shared" si="96"/>
        <v>7.4597927000000004</v>
      </c>
      <c r="Y2073">
        <f t="shared" si="97"/>
        <v>6.1897927000000008</v>
      </c>
      <c r="Z2073">
        <f t="shared" si="98"/>
        <v>79.699792700000003</v>
      </c>
    </row>
    <row r="2074" spans="1:26" x14ac:dyDescent="0.3">
      <c r="A2074" t="s">
        <v>2164</v>
      </c>
      <c r="B2074" t="s">
        <v>67</v>
      </c>
      <c r="C2074" t="s">
        <v>74</v>
      </c>
      <c r="D2074" t="s">
        <v>57</v>
      </c>
      <c r="E2074">
        <v>20</v>
      </c>
      <c r="F2074" s="3">
        <v>9.1199999999999992</v>
      </c>
      <c r="G2074" s="4">
        <v>80.099999999999994</v>
      </c>
      <c r="H2074">
        <v>1</v>
      </c>
      <c r="I2074">
        <v>1</v>
      </c>
      <c r="J2074">
        <v>4</v>
      </c>
      <c r="K2074" s="4">
        <v>85.4</v>
      </c>
      <c r="L2074" s="4">
        <v>55.3</v>
      </c>
      <c r="M2074" s="4">
        <v>93</v>
      </c>
      <c r="N2074">
        <v>0</v>
      </c>
      <c r="O2074" t="s">
        <v>58</v>
      </c>
      <c r="P2074" t="s">
        <v>70</v>
      </c>
      <c r="Q2074" t="s">
        <v>71</v>
      </c>
      <c r="R2074" t="s">
        <v>76</v>
      </c>
      <c r="S2074" s="3">
        <v>6.39</v>
      </c>
      <c r="T2074" s="5">
        <v>45202</v>
      </c>
      <c r="U2074">
        <v>1</v>
      </c>
      <c r="V2074">
        <v>2023</v>
      </c>
      <c r="X2074">
        <f t="shared" si="96"/>
        <v>9.1197925999999985</v>
      </c>
      <c r="Y2074">
        <f t="shared" si="97"/>
        <v>6.3897925999999998</v>
      </c>
      <c r="Z2074">
        <f t="shared" si="98"/>
        <v>55.299792599999996</v>
      </c>
    </row>
    <row r="2075" spans="1:26" x14ac:dyDescent="0.3">
      <c r="A2075" t="s">
        <v>2165</v>
      </c>
      <c r="B2075" t="s">
        <v>63</v>
      </c>
      <c r="C2075" t="s">
        <v>101</v>
      </c>
      <c r="D2075" t="s">
        <v>57</v>
      </c>
      <c r="E2075">
        <v>20</v>
      </c>
      <c r="F2075" s="3">
        <v>7.62</v>
      </c>
      <c r="G2075" s="4">
        <v>84.8</v>
      </c>
      <c r="H2075">
        <v>2</v>
      </c>
      <c r="I2075">
        <v>2</v>
      </c>
      <c r="J2075">
        <v>3</v>
      </c>
      <c r="K2075" s="4">
        <v>60.9</v>
      </c>
      <c r="L2075" s="4">
        <v>59.5</v>
      </c>
      <c r="M2075" s="4">
        <v>59.6</v>
      </c>
      <c r="N2075">
        <v>0</v>
      </c>
      <c r="O2075" t="s">
        <v>58</v>
      </c>
      <c r="P2075" t="s">
        <v>87</v>
      </c>
      <c r="Q2075" t="s">
        <v>71</v>
      </c>
      <c r="R2075" t="s">
        <v>109</v>
      </c>
      <c r="S2075" s="3">
        <v>6.78</v>
      </c>
      <c r="T2075" s="5">
        <v>45907</v>
      </c>
      <c r="U2075">
        <v>1</v>
      </c>
      <c r="V2075">
        <v>2025</v>
      </c>
      <c r="X2075">
        <f t="shared" si="96"/>
        <v>7.6197925</v>
      </c>
      <c r="Y2075">
        <f t="shared" si="97"/>
        <v>6.7797925000000001</v>
      </c>
      <c r="Z2075">
        <f t="shared" si="98"/>
        <v>59.499792499999998</v>
      </c>
    </row>
    <row r="2076" spans="1:26" x14ac:dyDescent="0.3">
      <c r="A2076" t="s">
        <v>2166</v>
      </c>
      <c r="B2076" t="s">
        <v>55</v>
      </c>
      <c r="C2076" t="s">
        <v>56</v>
      </c>
      <c r="D2076" t="s">
        <v>57</v>
      </c>
      <c r="E2076">
        <v>21</v>
      </c>
      <c r="F2076" s="3">
        <v>6.01</v>
      </c>
      <c r="G2076" s="4">
        <v>98.2</v>
      </c>
      <c r="H2076">
        <v>1</v>
      </c>
      <c r="I2076">
        <v>0</v>
      </c>
      <c r="J2076">
        <v>3</v>
      </c>
      <c r="K2076" s="4">
        <v>71.8</v>
      </c>
      <c r="L2076" s="4">
        <v>71.7</v>
      </c>
      <c r="M2076" s="4">
        <v>77.900000000000006</v>
      </c>
      <c r="N2076">
        <v>1</v>
      </c>
      <c r="O2076" t="s">
        <v>58</v>
      </c>
      <c r="P2076" t="s">
        <v>104</v>
      </c>
      <c r="Q2076" t="s">
        <v>105</v>
      </c>
      <c r="R2076" t="s">
        <v>80</v>
      </c>
      <c r="S2076" s="3">
        <v>15.43</v>
      </c>
      <c r="T2076" s="5">
        <v>45584</v>
      </c>
      <c r="U2076">
        <v>1</v>
      </c>
      <c r="V2076">
        <v>2024</v>
      </c>
      <c r="X2076">
        <f t="shared" si="96"/>
        <v>6.0097923999999994</v>
      </c>
      <c r="Y2076">
        <f t="shared" si="97"/>
        <v>15.4297924</v>
      </c>
      <c r="Z2076">
        <f t="shared" si="98"/>
        <v>71.699792400000007</v>
      </c>
    </row>
    <row r="2077" spans="1:26" x14ac:dyDescent="0.3">
      <c r="A2077" t="s">
        <v>2167</v>
      </c>
      <c r="B2077" t="s">
        <v>55</v>
      </c>
      <c r="C2077" t="s">
        <v>56</v>
      </c>
      <c r="D2077" t="s">
        <v>57</v>
      </c>
      <c r="E2077">
        <v>21</v>
      </c>
      <c r="F2077" s="3">
        <v>7.81</v>
      </c>
      <c r="G2077" s="4">
        <v>85.7</v>
      </c>
      <c r="H2077">
        <v>1</v>
      </c>
      <c r="I2077">
        <v>4</v>
      </c>
      <c r="J2077">
        <v>5</v>
      </c>
      <c r="K2077" s="4">
        <v>60.5</v>
      </c>
      <c r="L2077" s="4">
        <v>79.5</v>
      </c>
      <c r="M2077" s="4">
        <v>84.1</v>
      </c>
      <c r="N2077">
        <v>1</v>
      </c>
      <c r="O2077" t="s">
        <v>58</v>
      </c>
      <c r="P2077" t="s">
        <v>87</v>
      </c>
      <c r="Q2077" t="s">
        <v>71</v>
      </c>
      <c r="R2077" t="s">
        <v>61</v>
      </c>
      <c r="S2077" s="3">
        <v>7.01</v>
      </c>
      <c r="T2077" s="5">
        <v>45516</v>
      </c>
      <c r="U2077">
        <v>2</v>
      </c>
      <c r="V2077">
        <v>2024</v>
      </c>
      <c r="X2077">
        <f t="shared" si="96"/>
        <v>7.8097922999999998</v>
      </c>
      <c r="Y2077">
        <f t="shared" si="97"/>
        <v>7.0097923</v>
      </c>
      <c r="Z2077">
        <f t="shared" si="98"/>
        <v>79.499792299999996</v>
      </c>
    </row>
    <row r="2078" spans="1:26" x14ac:dyDescent="0.3">
      <c r="A2078" t="s">
        <v>2168</v>
      </c>
      <c r="B2078" t="s">
        <v>107</v>
      </c>
      <c r="C2078" t="s">
        <v>84</v>
      </c>
      <c r="D2078" t="s">
        <v>69</v>
      </c>
      <c r="E2078">
        <v>20</v>
      </c>
      <c r="F2078" s="3">
        <v>8.39</v>
      </c>
      <c r="G2078" s="4">
        <v>83.7</v>
      </c>
      <c r="H2078">
        <v>0</v>
      </c>
      <c r="I2078">
        <v>2</v>
      </c>
      <c r="J2078">
        <v>2</v>
      </c>
      <c r="K2078" s="4">
        <v>71.900000000000006</v>
      </c>
      <c r="L2078" s="4">
        <v>73.2</v>
      </c>
      <c r="M2078" s="4">
        <v>65.2</v>
      </c>
      <c r="N2078">
        <v>0</v>
      </c>
      <c r="O2078" t="s">
        <v>64</v>
      </c>
      <c r="P2078" t="s">
        <v>65</v>
      </c>
      <c r="S2078" s="3">
        <v>0</v>
      </c>
      <c r="T2078" s="5"/>
      <c r="U2078">
        <v>0</v>
      </c>
      <c r="V2078">
        <v>2021</v>
      </c>
      <c r="X2078">
        <f t="shared" si="96"/>
        <v>8.3897922000000005</v>
      </c>
      <c r="Y2078">
        <f t="shared" si="97"/>
        <v>-2.0779999999999998E-4</v>
      </c>
      <c r="Z2078">
        <f t="shared" si="98"/>
        <v>73.199792200000005</v>
      </c>
    </row>
    <row r="2079" spans="1:26" x14ac:dyDescent="0.3">
      <c r="A2079" t="s">
        <v>2169</v>
      </c>
      <c r="B2079" t="s">
        <v>107</v>
      </c>
      <c r="C2079" t="s">
        <v>56</v>
      </c>
      <c r="D2079" t="s">
        <v>57</v>
      </c>
      <c r="E2079">
        <v>21</v>
      </c>
      <c r="F2079" s="3">
        <v>6.93</v>
      </c>
      <c r="G2079" s="4">
        <v>81.099999999999994</v>
      </c>
      <c r="H2079">
        <v>0</v>
      </c>
      <c r="I2079">
        <v>0</v>
      </c>
      <c r="J2079">
        <v>5</v>
      </c>
      <c r="K2079" s="4">
        <v>55.2</v>
      </c>
      <c r="L2079" s="4">
        <v>56.4</v>
      </c>
      <c r="M2079" s="4">
        <v>56.5</v>
      </c>
      <c r="N2079">
        <v>2</v>
      </c>
      <c r="O2079" t="s">
        <v>58</v>
      </c>
      <c r="P2079" t="s">
        <v>79</v>
      </c>
      <c r="Q2079" t="s">
        <v>71</v>
      </c>
      <c r="R2079" t="s">
        <v>61</v>
      </c>
      <c r="S2079" s="3">
        <v>5.16</v>
      </c>
      <c r="T2079" s="5">
        <v>44473</v>
      </c>
      <c r="U2079">
        <v>2</v>
      </c>
      <c r="V2079">
        <v>2021</v>
      </c>
      <c r="X2079">
        <f t="shared" si="96"/>
        <v>6.9297920999999993</v>
      </c>
      <c r="Y2079">
        <f t="shared" si="97"/>
        <v>5.1597920999999998</v>
      </c>
      <c r="Z2079">
        <f t="shared" si="98"/>
        <v>56.399792099999999</v>
      </c>
    </row>
    <row r="2080" spans="1:26" x14ac:dyDescent="0.3">
      <c r="A2080" t="s">
        <v>2170</v>
      </c>
      <c r="B2080" t="s">
        <v>63</v>
      </c>
      <c r="C2080" t="s">
        <v>74</v>
      </c>
      <c r="D2080" t="s">
        <v>57</v>
      </c>
      <c r="E2080">
        <v>23</v>
      </c>
      <c r="F2080" s="3">
        <v>7.38</v>
      </c>
      <c r="G2080" s="4">
        <v>78.8</v>
      </c>
      <c r="H2080">
        <v>0</v>
      </c>
      <c r="I2080">
        <v>1</v>
      </c>
      <c r="J2080">
        <v>5</v>
      </c>
      <c r="K2080" s="4">
        <v>58.8</v>
      </c>
      <c r="L2080" s="4">
        <v>71.599999999999994</v>
      </c>
      <c r="M2080" s="4">
        <v>67.099999999999994</v>
      </c>
      <c r="N2080">
        <v>1</v>
      </c>
      <c r="O2080" t="s">
        <v>58</v>
      </c>
      <c r="P2080" t="s">
        <v>112</v>
      </c>
      <c r="Q2080" t="s">
        <v>93</v>
      </c>
      <c r="R2080" t="s">
        <v>61</v>
      </c>
      <c r="S2080" s="3">
        <v>3.9</v>
      </c>
      <c r="T2080" s="5">
        <v>45929</v>
      </c>
      <c r="U2080">
        <v>2</v>
      </c>
      <c r="V2080">
        <v>2025</v>
      </c>
      <c r="X2080">
        <f t="shared" si="96"/>
        <v>7.3797920000000001</v>
      </c>
      <c r="Y2080">
        <f t="shared" si="97"/>
        <v>3.8997919999999997</v>
      </c>
      <c r="Z2080">
        <f t="shared" si="98"/>
        <v>71.599791999999994</v>
      </c>
    </row>
    <row r="2081" spans="1:26" x14ac:dyDescent="0.3">
      <c r="A2081" t="s">
        <v>2171</v>
      </c>
      <c r="B2081" t="s">
        <v>55</v>
      </c>
      <c r="C2081" t="s">
        <v>84</v>
      </c>
      <c r="D2081" t="s">
        <v>57</v>
      </c>
      <c r="E2081">
        <v>23</v>
      </c>
      <c r="F2081" s="3">
        <v>6.86</v>
      </c>
      <c r="G2081" s="4">
        <v>83.2</v>
      </c>
      <c r="H2081">
        <v>1</v>
      </c>
      <c r="I2081">
        <v>5</v>
      </c>
      <c r="J2081">
        <v>4</v>
      </c>
      <c r="K2081" s="4">
        <v>94.2</v>
      </c>
      <c r="L2081" s="4">
        <v>59.7</v>
      </c>
      <c r="M2081" s="4">
        <v>69.3</v>
      </c>
      <c r="N2081">
        <v>1</v>
      </c>
      <c r="O2081" t="s">
        <v>58</v>
      </c>
      <c r="P2081" t="s">
        <v>90</v>
      </c>
      <c r="Q2081" t="s">
        <v>60</v>
      </c>
      <c r="R2081" t="s">
        <v>130</v>
      </c>
      <c r="S2081" s="3">
        <v>6.63</v>
      </c>
      <c r="T2081" s="5">
        <v>45612</v>
      </c>
      <c r="U2081">
        <v>1</v>
      </c>
      <c r="V2081">
        <v>2024</v>
      </c>
      <c r="X2081">
        <f t="shared" si="96"/>
        <v>6.8597919000000003</v>
      </c>
      <c r="Y2081">
        <f t="shared" si="97"/>
        <v>6.6297918999999998</v>
      </c>
      <c r="Z2081">
        <f t="shared" si="98"/>
        <v>59.699791900000001</v>
      </c>
    </row>
    <row r="2082" spans="1:26" x14ac:dyDescent="0.3">
      <c r="A2082" t="s">
        <v>2172</v>
      </c>
      <c r="B2082" t="s">
        <v>82</v>
      </c>
      <c r="C2082" t="s">
        <v>78</v>
      </c>
      <c r="D2082" t="s">
        <v>57</v>
      </c>
      <c r="E2082">
        <v>22</v>
      </c>
      <c r="F2082" s="3">
        <v>7.23</v>
      </c>
      <c r="G2082" s="4">
        <v>79.5</v>
      </c>
      <c r="H2082">
        <v>1</v>
      </c>
      <c r="I2082">
        <v>2</v>
      </c>
      <c r="J2082">
        <v>6</v>
      </c>
      <c r="K2082" s="4">
        <v>69.900000000000006</v>
      </c>
      <c r="L2082" s="4">
        <v>55.9</v>
      </c>
      <c r="M2082" s="4">
        <v>85</v>
      </c>
      <c r="N2082">
        <v>0</v>
      </c>
      <c r="O2082" t="s">
        <v>58</v>
      </c>
      <c r="P2082" t="s">
        <v>70</v>
      </c>
      <c r="Q2082" t="s">
        <v>71</v>
      </c>
      <c r="R2082" t="s">
        <v>61</v>
      </c>
      <c r="S2082" s="3">
        <v>5.05</v>
      </c>
      <c r="T2082" s="5">
        <v>44793</v>
      </c>
      <c r="U2082">
        <v>1</v>
      </c>
      <c r="V2082">
        <v>2022</v>
      </c>
      <c r="X2082">
        <f t="shared" si="96"/>
        <v>7.2297918000000001</v>
      </c>
      <c r="Y2082">
        <f t="shared" si="97"/>
        <v>5.0497917999999995</v>
      </c>
      <c r="Z2082">
        <f t="shared" si="98"/>
        <v>55.899791799999996</v>
      </c>
    </row>
    <row r="2083" spans="1:26" x14ac:dyDescent="0.3">
      <c r="A2083" t="s">
        <v>2173</v>
      </c>
      <c r="B2083" t="s">
        <v>107</v>
      </c>
      <c r="C2083" t="s">
        <v>78</v>
      </c>
      <c r="D2083" t="s">
        <v>57</v>
      </c>
      <c r="E2083">
        <v>21</v>
      </c>
      <c r="F2083" s="3">
        <v>7.05</v>
      </c>
      <c r="G2083" s="4">
        <v>79.099999999999994</v>
      </c>
      <c r="H2083">
        <v>2</v>
      </c>
      <c r="I2083">
        <v>1</v>
      </c>
      <c r="J2083">
        <v>3</v>
      </c>
      <c r="K2083" s="4">
        <v>61.7</v>
      </c>
      <c r="L2083" s="4">
        <v>76.099999999999994</v>
      </c>
      <c r="M2083" s="4">
        <v>72.2</v>
      </c>
      <c r="N2083">
        <v>0</v>
      </c>
      <c r="O2083" t="s">
        <v>58</v>
      </c>
      <c r="P2083" t="s">
        <v>59</v>
      </c>
      <c r="Q2083" t="s">
        <v>60</v>
      </c>
      <c r="R2083" t="s">
        <v>72</v>
      </c>
      <c r="S2083" s="3">
        <v>20.010000000000002</v>
      </c>
      <c r="T2083" s="5">
        <v>44522</v>
      </c>
      <c r="U2083">
        <v>1</v>
      </c>
      <c r="V2083">
        <v>2021</v>
      </c>
      <c r="X2083">
        <f t="shared" si="96"/>
        <v>7.0497917000000001</v>
      </c>
      <c r="Y2083">
        <f t="shared" si="97"/>
        <v>20.009791700000001</v>
      </c>
      <c r="Z2083">
        <f t="shared" si="98"/>
        <v>76.099791699999997</v>
      </c>
    </row>
    <row r="2084" spans="1:26" x14ac:dyDescent="0.3">
      <c r="A2084" t="s">
        <v>2174</v>
      </c>
      <c r="B2084" t="s">
        <v>63</v>
      </c>
      <c r="C2084" t="s">
        <v>101</v>
      </c>
      <c r="D2084" t="s">
        <v>69</v>
      </c>
      <c r="E2084">
        <v>22</v>
      </c>
      <c r="F2084" s="3">
        <v>8.0399999999999991</v>
      </c>
      <c r="G2084" s="4">
        <v>89.4</v>
      </c>
      <c r="H2084">
        <v>3</v>
      </c>
      <c r="I2084">
        <v>2</v>
      </c>
      <c r="J2084">
        <v>2</v>
      </c>
      <c r="K2084" s="4">
        <v>38.200000000000003</v>
      </c>
      <c r="L2084" s="4">
        <v>78.2</v>
      </c>
      <c r="M2084" s="4">
        <v>74</v>
      </c>
      <c r="N2084">
        <v>0</v>
      </c>
      <c r="O2084" t="s">
        <v>58</v>
      </c>
      <c r="P2084" t="s">
        <v>95</v>
      </c>
      <c r="Q2084" t="s">
        <v>93</v>
      </c>
      <c r="R2084" t="s">
        <v>61</v>
      </c>
      <c r="S2084" s="3">
        <v>8.4700000000000006</v>
      </c>
      <c r="T2084" s="5">
        <v>45935</v>
      </c>
      <c r="U2084">
        <v>1</v>
      </c>
      <c r="V2084">
        <v>2025</v>
      </c>
      <c r="X2084">
        <f t="shared" si="96"/>
        <v>8.0397915999999991</v>
      </c>
      <c r="Y2084">
        <f t="shared" si="97"/>
        <v>8.4697916000000006</v>
      </c>
      <c r="Z2084">
        <f t="shared" si="98"/>
        <v>78.199791599999998</v>
      </c>
    </row>
    <row r="2085" spans="1:26" x14ac:dyDescent="0.3">
      <c r="A2085" t="s">
        <v>2175</v>
      </c>
      <c r="B2085" t="s">
        <v>55</v>
      </c>
      <c r="C2085" t="s">
        <v>56</v>
      </c>
      <c r="D2085" t="s">
        <v>57</v>
      </c>
      <c r="E2085">
        <v>22</v>
      </c>
      <c r="F2085" s="3">
        <v>9.14</v>
      </c>
      <c r="G2085" s="4">
        <v>73.8</v>
      </c>
      <c r="H2085">
        <v>1</v>
      </c>
      <c r="I2085">
        <v>1</v>
      </c>
      <c r="J2085">
        <v>3</v>
      </c>
      <c r="K2085" s="4">
        <v>70.3</v>
      </c>
      <c r="L2085" s="4">
        <v>69.8</v>
      </c>
      <c r="M2085" s="4">
        <v>57.1</v>
      </c>
      <c r="N2085">
        <v>0</v>
      </c>
      <c r="O2085" t="s">
        <v>58</v>
      </c>
      <c r="P2085" t="s">
        <v>90</v>
      </c>
      <c r="Q2085" t="s">
        <v>60</v>
      </c>
      <c r="R2085" t="s">
        <v>76</v>
      </c>
      <c r="S2085" s="3">
        <v>8.9700000000000006</v>
      </c>
      <c r="T2085" s="5">
        <v>45599</v>
      </c>
      <c r="U2085">
        <v>1</v>
      </c>
      <c r="V2085">
        <v>2024</v>
      </c>
      <c r="X2085">
        <f t="shared" si="96"/>
        <v>9.1397915000000012</v>
      </c>
      <c r="Y2085">
        <f t="shared" si="97"/>
        <v>8.9697915000000012</v>
      </c>
      <c r="Z2085">
        <f t="shared" si="98"/>
        <v>69.799791499999998</v>
      </c>
    </row>
    <row r="2086" spans="1:26" x14ac:dyDescent="0.3">
      <c r="A2086" t="s">
        <v>2176</v>
      </c>
      <c r="B2086" t="s">
        <v>55</v>
      </c>
      <c r="C2086" t="s">
        <v>78</v>
      </c>
      <c r="D2086" t="s">
        <v>69</v>
      </c>
      <c r="E2086">
        <v>22</v>
      </c>
      <c r="F2086" s="3">
        <v>7.7</v>
      </c>
      <c r="G2086" s="4">
        <v>79.8</v>
      </c>
      <c r="H2086">
        <v>0</v>
      </c>
      <c r="I2086">
        <v>0</v>
      </c>
      <c r="J2086">
        <v>6</v>
      </c>
      <c r="K2086" s="4">
        <v>98.6</v>
      </c>
      <c r="L2086" s="4">
        <v>77.7</v>
      </c>
      <c r="M2086" s="4">
        <v>71.7</v>
      </c>
      <c r="N2086">
        <v>0</v>
      </c>
      <c r="O2086" t="s">
        <v>64</v>
      </c>
      <c r="P2086" t="s">
        <v>65</v>
      </c>
      <c r="S2086" s="3">
        <v>0</v>
      </c>
      <c r="T2086" s="5"/>
      <c r="U2086">
        <v>0</v>
      </c>
      <c r="V2086">
        <v>2024</v>
      </c>
      <c r="X2086">
        <f t="shared" si="96"/>
        <v>7.6997914000000005</v>
      </c>
      <c r="Y2086">
        <f t="shared" si="97"/>
        <v>-2.086E-4</v>
      </c>
      <c r="Z2086">
        <f t="shared" si="98"/>
        <v>77.699791400000009</v>
      </c>
    </row>
    <row r="2087" spans="1:26" x14ac:dyDescent="0.3">
      <c r="A2087" t="s">
        <v>2177</v>
      </c>
      <c r="B2087" t="s">
        <v>82</v>
      </c>
      <c r="C2087" t="s">
        <v>68</v>
      </c>
      <c r="D2087" t="s">
        <v>69</v>
      </c>
      <c r="E2087">
        <v>21</v>
      </c>
      <c r="F2087" s="3">
        <v>6.26</v>
      </c>
      <c r="G2087" s="4">
        <v>75.8</v>
      </c>
      <c r="H2087">
        <v>1</v>
      </c>
      <c r="I2087">
        <v>3</v>
      </c>
      <c r="J2087">
        <v>6</v>
      </c>
      <c r="K2087" s="4">
        <v>60</v>
      </c>
      <c r="L2087" s="4">
        <v>81.5</v>
      </c>
      <c r="M2087" s="4">
        <v>91.2</v>
      </c>
      <c r="N2087">
        <v>0</v>
      </c>
      <c r="O2087" t="s">
        <v>58</v>
      </c>
      <c r="P2087" t="s">
        <v>70</v>
      </c>
      <c r="Q2087" t="s">
        <v>71</v>
      </c>
      <c r="R2087" t="s">
        <v>109</v>
      </c>
      <c r="S2087" s="3">
        <v>4.92</v>
      </c>
      <c r="T2087" s="5">
        <v>44815</v>
      </c>
      <c r="U2087">
        <v>2</v>
      </c>
      <c r="V2087">
        <v>2022</v>
      </c>
      <c r="X2087">
        <f t="shared" si="96"/>
        <v>6.2597912999999998</v>
      </c>
      <c r="Y2087">
        <f t="shared" si="97"/>
        <v>4.9197913</v>
      </c>
      <c r="Z2087">
        <f t="shared" si="98"/>
        <v>81.499791299999998</v>
      </c>
    </row>
    <row r="2088" spans="1:26" x14ac:dyDescent="0.3">
      <c r="A2088" t="s">
        <v>2178</v>
      </c>
      <c r="B2088" t="s">
        <v>63</v>
      </c>
      <c r="C2088" t="s">
        <v>101</v>
      </c>
      <c r="D2088" t="s">
        <v>57</v>
      </c>
      <c r="E2088">
        <v>22</v>
      </c>
      <c r="F2088" s="3">
        <v>9.93</v>
      </c>
      <c r="G2088" s="4">
        <v>83.1</v>
      </c>
      <c r="H2088">
        <v>2</v>
      </c>
      <c r="I2088">
        <v>1</v>
      </c>
      <c r="J2088">
        <v>3</v>
      </c>
      <c r="K2088" s="4">
        <v>62.6</v>
      </c>
      <c r="L2088" s="4">
        <v>33.299999999999997</v>
      </c>
      <c r="M2088" s="4">
        <v>87.2</v>
      </c>
      <c r="N2088">
        <v>2</v>
      </c>
      <c r="O2088" t="s">
        <v>58</v>
      </c>
      <c r="P2088" t="s">
        <v>92</v>
      </c>
      <c r="Q2088" t="s">
        <v>93</v>
      </c>
      <c r="R2088" t="s">
        <v>109</v>
      </c>
      <c r="S2088" s="3">
        <v>10.07</v>
      </c>
      <c r="T2088" s="5">
        <v>45943</v>
      </c>
      <c r="U2088">
        <v>2</v>
      </c>
      <c r="V2088">
        <v>2025</v>
      </c>
      <c r="X2088">
        <f t="shared" si="96"/>
        <v>9.9297912000000004</v>
      </c>
      <c r="Y2088">
        <f t="shared" si="97"/>
        <v>10.069791200000001</v>
      </c>
      <c r="Z2088">
        <f t="shared" si="98"/>
        <v>33.299791199999994</v>
      </c>
    </row>
    <row r="2089" spans="1:26" x14ac:dyDescent="0.3">
      <c r="A2089" t="s">
        <v>2179</v>
      </c>
      <c r="B2089" t="s">
        <v>55</v>
      </c>
      <c r="C2089" t="s">
        <v>68</v>
      </c>
      <c r="D2089" t="s">
        <v>57</v>
      </c>
      <c r="E2089">
        <v>23</v>
      </c>
      <c r="F2089" s="3">
        <v>8.17</v>
      </c>
      <c r="G2089" s="4">
        <v>89.7</v>
      </c>
      <c r="H2089">
        <v>2</v>
      </c>
      <c r="I2089">
        <v>3</v>
      </c>
      <c r="J2089">
        <v>2</v>
      </c>
      <c r="K2089" s="4">
        <v>68.7</v>
      </c>
      <c r="L2089" s="4">
        <v>76.2</v>
      </c>
      <c r="M2089" s="4">
        <v>68</v>
      </c>
      <c r="N2089">
        <v>0</v>
      </c>
      <c r="O2089" t="s">
        <v>64</v>
      </c>
      <c r="P2089" t="s">
        <v>65</v>
      </c>
      <c r="S2089" s="3">
        <v>0</v>
      </c>
      <c r="T2089" s="5"/>
      <c r="U2089">
        <v>0</v>
      </c>
      <c r="V2089">
        <v>2024</v>
      </c>
      <c r="X2089">
        <f t="shared" si="96"/>
        <v>8.1697910999999994</v>
      </c>
      <c r="Y2089">
        <f t="shared" si="97"/>
        <v>-2.0889999999999998E-4</v>
      </c>
      <c r="Z2089">
        <f t="shared" si="98"/>
        <v>76.199791099999999</v>
      </c>
    </row>
    <row r="2090" spans="1:26" x14ac:dyDescent="0.3">
      <c r="A2090" t="s">
        <v>2180</v>
      </c>
      <c r="B2090" t="s">
        <v>107</v>
      </c>
      <c r="C2090" t="s">
        <v>89</v>
      </c>
      <c r="D2090" t="s">
        <v>69</v>
      </c>
      <c r="E2090">
        <v>22</v>
      </c>
      <c r="F2090" s="3">
        <v>8.36</v>
      </c>
      <c r="G2090" s="4">
        <v>85.1</v>
      </c>
      <c r="H2090">
        <v>3</v>
      </c>
      <c r="I2090">
        <v>2</v>
      </c>
      <c r="J2090">
        <v>3</v>
      </c>
      <c r="K2090" s="4">
        <v>59.1</v>
      </c>
      <c r="L2090" s="4">
        <v>93.2</v>
      </c>
      <c r="M2090" s="4">
        <v>84</v>
      </c>
      <c r="N2090">
        <v>0</v>
      </c>
      <c r="O2090" t="s">
        <v>58</v>
      </c>
      <c r="P2090" t="s">
        <v>92</v>
      </c>
      <c r="Q2090" t="s">
        <v>93</v>
      </c>
      <c r="R2090" t="s">
        <v>109</v>
      </c>
      <c r="S2090" s="3">
        <v>10.89</v>
      </c>
      <c r="T2090" s="5">
        <v>44527</v>
      </c>
      <c r="U2090">
        <v>1</v>
      </c>
      <c r="V2090">
        <v>2021</v>
      </c>
      <c r="X2090">
        <f t="shared" si="96"/>
        <v>8.3597909999999995</v>
      </c>
      <c r="Y2090">
        <f t="shared" si="97"/>
        <v>10.889791000000001</v>
      </c>
      <c r="Z2090">
        <f t="shared" si="98"/>
        <v>93.199791000000005</v>
      </c>
    </row>
    <row r="2091" spans="1:26" x14ac:dyDescent="0.3">
      <c r="A2091" t="s">
        <v>2181</v>
      </c>
      <c r="B2091" t="s">
        <v>82</v>
      </c>
      <c r="C2091" t="s">
        <v>68</v>
      </c>
      <c r="D2091" t="s">
        <v>69</v>
      </c>
      <c r="E2091">
        <v>23</v>
      </c>
      <c r="F2091" s="3">
        <v>7.59</v>
      </c>
      <c r="G2091" s="4">
        <v>80</v>
      </c>
      <c r="H2091">
        <v>0</v>
      </c>
      <c r="I2091">
        <v>1</v>
      </c>
      <c r="J2091">
        <v>4</v>
      </c>
      <c r="K2091" s="4">
        <v>98.9</v>
      </c>
      <c r="L2091" s="4">
        <v>65.7</v>
      </c>
      <c r="M2091" s="4">
        <v>72.3</v>
      </c>
      <c r="N2091">
        <v>0</v>
      </c>
      <c r="O2091" t="s">
        <v>64</v>
      </c>
      <c r="P2091" t="s">
        <v>65</v>
      </c>
      <c r="S2091" s="3">
        <v>0</v>
      </c>
      <c r="T2091" s="5"/>
      <c r="U2091">
        <v>0</v>
      </c>
      <c r="V2091">
        <v>2022</v>
      </c>
      <c r="X2091">
        <f t="shared" si="96"/>
        <v>7.5897908999999997</v>
      </c>
      <c r="Y2091">
        <f t="shared" si="97"/>
        <v>-2.0909999999999999E-4</v>
      </c>
      <c r="Z2091">
        <f t="shared" si="98"/>
        <v>65.699790899999996</v>
      </c>
    </row>
    <row r="2092" spans="1:26" x14ac:dyDescent="0.3">
      <c r="A2092" t="s">
        <v>2182</v>
      </c>
      <c r="B2092" t="s">
        <v>63</v>
      </c>
      <c r="C2092" t="s">
        <v>68</v>
      </c>
      <c r="D2092" t="s">
        <v>57</v>
      </c>
      <c r="E2092">
        <v>23</v>
      </c>
      <c r="F2092" s="3">
        <v>7.86</v>
      </c>
      <c r="G2092" s="4">
        <v>90.5</v>
      </c>
      <c r="H2092">
        <v>2</v>
      </c>
      <c r="I2092">
        <v>3</v>
      </c>
      <c r="J2092">
        <v>4</v>
      </c>
      <c r="K2092" s="4">
        <v>81.7</v>
      </c>
      <c r="L2092" s="4">
        <v>93.1</v>
      </c>
      <c r="M2092" s="4">
        <v>80.099999999999994</v>
      </c>
      <c r="N2092">
        <v>0</v>
      </c>
      <c r="O2092" t="s">
        <v>58</v>
      </c>
      <c r="P2092" t="s">
        <v>112</v>
      </c>
      <c r="Q2092" t="s">
        <v>93</v>
      </c>
      <c r="R2092" t="s">
        <v>130</v>
      </c>
      <c r="S2092" s="3">
        <v>8.4700000000000006</v>
      </c>
      <c r="T2092" s="5">
        <v>45935</v>
      </c>
      <c r="U2092">
        <v>3</v>
      </c>
      <c r="V2092">
        <v>2025</v>
      </c>
      <c r="X2092">
        <f t="shared" si="96"/>
        <v>7.8597908000000007</v>
      </c>
      <c r="Y2092">
        <f t="shared" si="97"/>
        <v>8.4697908000000002</v>
      </c>
      <c r="Z2092">
        <f t="shared" si="98"/>
        <v>93.099790799999994</v>
      </c>
    </row>
    <row r="2093" spans="1:26" x14ac:dyDescent="0.3">
      <c r="A2093" t="s">
        <v>2183</v>
      </c>
      <c r="B2093" t="s">
        <v>82</v>
      </c>
      <c r="C2093" t="s">
        <v>78</v>
      </c>
      <c r="D2093" t="s">
        <v>69</v>
      </c>
      <c r="E2093">
        <v>21</v>
      </c>
      <c r="F2093" s="3">
        <v>7.34</v>
      </c>
      <c r="G2093" s="4">
        <v>89.9</v>
      </c>
      <c r="H2093">
        <v>1</v>
      </c>
      <c r="I2093">
        <v>1</v>
      </c>
      <c r="J2093">
        <v>4</v>
      </c>
      <c r="K2093" s="4">
        <v>77.7</v>
      </c>
      <c r="L2093" s="4">
        <v>74.7</v>
      </c>
      <c r="M2093" s="4">
        <v>70.5</v>
      </c>
      <c r="N2093">
        <v>0</v>
      </c>
      <c r="O2093" t="s">
        <v>58</v>
      </c>
      <c r="P2093" t="s">
        <v>112</v>
      </c>
      <c r="Q2093" t="s">
        <v>93</v>
      </c>
      <c r="R2093" t="s">
        <v>109</v>
      </c>
      <c r="S2093" s="3">
        <v>6.78</v>
      </c>
      <c r="T2093" s="5">
        <v>44853</v>
      </c>
      <c r="U2093">
        <v>1</v>
      </c>
      <c r="V2093">
        <v>2022</v>
      </c>
      <c r="X2093">
        <f t="shared" si="96"/>
        <v>7.3397907</v>
      </c>
      <c r="Y2093">
        <f t="shared" si="97"/>
        <v>6.7797907000000004</v>
      </c>
      <c r="Z2093">
        <f t="shared" si="98"/>
        <v>74.699790700000008</v>
      </c>
    </row>
    <row r="2094" spans="1:26" x14ac:dyDescent="0.3">
      <c r="A2094" t="s">
        <v>2184</v>
      </c>
      <c r="B2094" t="s">
        <v>107</v>
      </c>
      <c r="C2094" t="s">
        <v>89</v>
      </c>
      <c r="D2094" t="s">
        <v>69</v>
      </c>
      <c r="E2094">
        <v>22</v>
      </c>
      <c r="F2094" s="3">
        <v>8.4600000000000009</v>
      </c>
      <c r="G2094" s="4">
        <v>82.4</v>
      </c>
      <c r="H2094">
        <v>3</v>
      </c>
      <c r="I2094">
        <v>3</v>
      </c>
      <c r="J2094">
        <v>5</v>
      </c>
      <c r="K2094" s="4">
        <v>97.6</v>
      </c>
      <c r="L2094" s="4">
        <v>71.2</v>
      </c>
      <c r="M2094" s="4">
        <v>62.4</v>
      </c>
      <c r="N2094">
        <v>0</v>
      </c>
      <c r="O2094" t="s">
        <v>58</v>
      </c>
      <c r="P2094" t="s">
        <v>70</v>
      </c>
      <c r="Q2094" t="s">
        <v>71</v>
      </c>
      <c r="R2094" t="s">
        <v>76</v>
      </c>
      <c r="S2094" s="3">
        <v>8.4700000000000006</v>
      </c>
      <c r="T2094" s="5">
        <v>44477</v>
      </c>
      <c r="U2094">
        <v>2</v>
      </c>
      <c r="V2094">
        <v>2021</v>
      </c>
      <c r="X2094">
        <f t="shared" si="96"/>
        <v>8.4597906000000016</v>
      </c>
      <c r="Y2094">
        <f t="shared" si="97"/>
        <v>8.4697906000000014</v>
      </c>
      <c r="Z2094">
        <f t="shared" si="98"/>
        <v>71.1997906</v>
      </c>
    </row>
    <row r="2095" spans="1:26" x14ac:dyDescent="0.3">
      <c r="A2095" t="s">
        <v>2185</v>
      </c>
      <c r="B2095" t="s">
        <v>63</v>
      </c>
      <c r="C2095" t="s">
        <v>89</v>
      </c>
      <c r="D2095" t="s">
        <v>57</v>
      </c>
      <c r="E2095">
        <v>21</v>
      </c>
      <c r="F2095" s="3">
        <v>7.22</v>
      </c>
      <c r="G2095" s="4">
        <v>96.3</v>
      </c>
      <c r="H2095">
        <v>1</v>
      </c>
      <c r="I2095">
        <v>3</v>
      </c>
      <c r="J2095">
        <v>4</v>
      </c>
      <c r="K2095" s="4">
        <v>91.9</v>
      </c>
      <c r="L2095" s="4">
        <v>74</v>
      </c>
      <c r="M2095" s="4">
        <v>61.8</v>
      </c>
      <c r="N2095">
        <v>0</v>
      </c>
      <c r="O2095" t="s">
        <v>58</v>
      </c>
      <c r="P2095" t="s">
        <v>59</v>
      </c>
      <c r="Q2095" t="s">
        <v>60</v>
      </c>
      <c r="R2095" t="s">
        <v>80</v>
      </c>
      <c r="S2095" s="3">
        <v>19.059999999999999</v>
      </c>
      <c r="T2095" s="5">
        <v>45971</v>
      </c>
      <c r="U2095">
        <v>1</v>
      </c>
      <c r="V2095">
        <v>2025</v>
      </c>
      <c r="X2095">
        <f t="shared" si="96"/>
        <v>7.2197904999999993</v>
      </c>
      <c r="Y2095">
        <f t="shared" si="97"/>
        <v>19.059790499999998</v>
      </c>
      <c r="Z2095">
        <f t="shared" si="98"/>
        <v>73.999790500000003</v>
      </c>
    </row>
    <row r="2096" spans="1:26" x14ac:dyDescent="0.3">
      <c r="A2096" t="s">
        <v>2186</v>
      </c>
      <c r="B2096" t="s">
        <v>82</v>
      </c>
      <c r="C2096" t="s">
        <v>68</v>
      </c>
      <c r="D2096" t="s">
        <v>69</v>
      </c>
      <c r="E2096">
        <v>23</v>
      </c>
      <c r="F2096" s="3">
        <v>8.09</v>
      </c>
      <c r="G2096" s="4">
        <v>85.8</v>
      </c>
      <c r="H2096">
        <v>1</v>
      </c>
      <c r="I2096">
        <v>5</v>
      </c>
      <c r="J2096">
        <v>3</v>
      </c>
      <c r="K2096" s="4">
        <v>69.099999999999994</v>
      </c>
      <c r="L2096" s="4">
        <v>47.2</v>
      </c>
      <c r="M2096" s="4">
        <v>80.3</v>
      </c>
      <c r="N2096">
        <v>0</v>
      </c>
      <c r="O2096" t="s">
        <v>58</v>
      </c>
      <c r="P2096" t="s">
        <v>92</v>
      </c>
      <c r="Q2096" t="s">
        <v>93</v>
      </c>
      <c r="R2096" t="s">
        <v>85</v>
      </c>
      <c r="S2096" s="3">
        <v>8.09</v>
      </c>
      <c r="T2096" s="5">
        <v>44859</v>
      </c>
      <c r="U2096">
        <v>2</v>
      </c>
      <c r="V2096">
        <v>2022</v>
      </c>
      <c r="X2096">
        <f t="shared" si="96"/>
        <v>8.0897904</v>
      </c>
      <c r="Y2096">
        <f t="shared" si="97"/>
        <v>8.0897904</v>
      </c>
      <c r="Z2096">
        <f t="shared" si="98"/>
        <v>47.199790400000005</v>
      </c>
    </row>
    <row r="2097" spans="1:26" x14ac:dyDescent="0.3">
      <c r="A2097" t="s">
        <v>2187</v>
      </c>
      <c r="B2097" t="s">
        <v>67</v>
      </c>
      <c r="C2097" t="s">
        <v>68</v>
      </c>
      <c r="D2097" t="s">
        <v>57</v>
      </c>
      <c r="E2097">
        <v>20</v>
      </c>
      <c r="F2097" s="3">
        <v>8.52</v>
      </c>
      <c r="G2097" s="4">
        <v>85.5</v>
      </c>
      <c r="H2097">
        <v>2</v>
      </c>
      <c r="I2097">
        <v>0</v>
      </c>
      <c r="J2097">
        <v>3</v>
      </c>
      <c r="K2097" s="4">
        <v>64.099999999999994</v>
      </c>
      <c r="L2097" s="4">
        <v>95.1</v>
      </c>
      <c r="M2097" s="4">
        <v>42.2</v>
      </c>
      <c r="N2097">
        <v>0</v>
      </c>
      <c r="O2097" t="s">
        <v>58</v>
      </c>
      <c r="P2097" t="s">
        <v>104</v>
      </c>
      <c r="Q2097" t="s">
        <v>105</v>
      </c>
      <c r="R2097" t="s">
        <v>72</v>
      </c>
      <c r="S2097" s="3">
        <v>16.53</v>
      </c>
      <c r="T2097" s="5">
        <v>45160</v>
      </c>
      <c r="U2097">
        <v>2</v>
      </c>
      <c r="V2097">
        <v>2023</v>
      </c>
      <c r="X2097">
        <f t="shared" si="96"/>
        <v>8.5197903000000004</v>
      </c>
      <c r="Y2097">
        <f t="shared" si="97"/>
        <v>16.529790300000002</v>
      </c>
      <c r="Z2097">
        <f t="shared" si="98"/>
        <v>95.099790299999995</v>
      </c>
    </row>
    <row r="2098" spans="1:26" x14ac:dyDescent="0.3">
      <c r="A2098" t="s">
        <v>2188</v>
      </c>
      <c r="B2098" t="s">
        <v>107</v>
      </c>
      <c r="C2098" t="s">
        <v>78</v>
      </c>
      <c r="D2098" t="s">
        <v>57</v>
      </c>
      <c r="E2098">
        <v>22</v>
      </c>
      <c r="F2098" s="3">
        <v>8.77</v>
      </c>
      <c r="G2098" s="4">
        <v>71.2</v>
      </c>
      <c r="H2098">
        <v>2</v>
      </c>
      <c r="I2098">
        <v>0</v>
      </c>
      <c r="J2098">
        <v>5</v>
      </c>
      <c r="K2098" s="4">
        <v>64</v>
      </c>
      <c r="L2098" s="4">
        <v>62.5</v>
      </c>
      <c r="M2098" s="4">
        <v>86.8</v>
      </c>
      <c r="N2098">
        <v>0</v>
      </c>
      <c r="O2098" t="s">
        <v>58</v>
      </c>
      <c r="P2098" t="s">
        <v>95</v>
      </c>
      <c r="Q2098" t="s">
        <v>93</v>
      </c>
      <c r="R2098" t="s">
        <v>109</v>
      </c>
      <c r="S2098" s="3">
        <v>8.65</v>
      </c>
      <c r="T2098" s="5">
        <v>44430</v>
      </c>
      <c r="U2098">
        <v>1</v>
      </c>
      <c r="V2098">
        <v>2021</v>
      </c>
      <c r="X2098">
        <f t="shared" si="96"/>
        <v>8.7697901999999992</v>
      </c>
      <c r="Y2098">
        <f t="shared" si="97"/>
        <v>8.6497902</v>
      </c>
      <c r="Z2098">
        <f t="shared" si="98"/>
        <v>62.4997902</v>
      </c>
    </row>
    <row r="2099" spans="1:26" x14ac:dyDescent="0.3">
      <c r="A2099" t="s">
        <v>2189</v>
      </c>
      <c r="B2099" t="s">
        <v>107</v>
      </c>
      <c r="C2099" t="s">
        <v>101</v>
      </c>
      <c r="D2099" t="s">
        <v>69</v>
      </c>
      <c r="E2099">
        <v>21</v>
      </c>
      <c r="F2099" s="3">
        <v>8.58</v>
      </c>
      <c r="G2099" s="4">
        <v>66.8</v>
      </c>
      <c r="H2099">
        <v>1</v>
      </c>
      <c r="I2099">
        <v>2</v>
      </c>
      <c r="J2099">
        <v>4</v>
      </c>
      <c r="K2099" s="4">
        <v>60.4</v>
      </c>
      <c r="L2099" s="4">
        <v>52</v>
      </c>
      <c r="M2099" s="4">
        <v>71.099999999999994</v>
      </c>
      <c r="N2099">
        <v>0</v>
      </c>
      <c r="O2099" t="s">
        <v>58</v>
      </c>
      <c r="P2099" t="s">
        <v>79</v>
      </c>
      <c r="Q2099" t="s">
        <v>71</v>
      </c>
      <c r="R2099" t="s">
        <v>76</v>
      </c>
      <c r="S2099" s="3">
        <v>6.14</v>
      </c>
      <c r="T2099" s="5">
        <v>44473</v>
      </c>
      <c r="U2099">
        <v>3</v>
      </c>
      <c r="V2099">
        <v>2021</v>
      </c>
      <c r="X2099">
        <f t="shared" si="96"/>
        <v>8.5797901000000003</v>
      </c>
      <c r="Y2099">
        <f t="shared" si="97"/>
        <v>6.1397900999999999</v>
      </c>
      <c r="Z2099">
        <f t="shared" si="98"/>
        <v>51.999790099999998</v>
      </c>
    </row>
    <row r="2100" spans="1:26" x14ac:dyDescent="0.3">
      <c r="A2100" t="s">
        <v>2190</v>
      </c>
      <c r="B2100" t="s">
        <v>107</v>
      </c>
      <c r="C2100" t="s">
        <v>78</v>
      </c>
      <c r="D2100" t="s">
        <v>69</v>
      </c>
      <c r="E2100">
        <v>20</v>
      </c>
      <c r="F2100" s="3">
        <v>6.73</v>
      </c>
      <c r="G2100" s="4">
        <v>82.6</v>
      </c>
      <c r="H2100">
        <v>0</v>
      </c>
      <c r="I2100">
        <v>1</v>
      </c>
      <c r="J2100">
        <v>2</v>
      </c>
      <c r="K2100" s="4">
        <v>64.900000000000006</v>
      </c>
      <c r="L2100" s="4">
        <v>62</v>
      </c>
      <c r="M2100" s="4">
        <v>66.3</v>
      </c>
      <c r="N2100">
        <v>0</v>
      </c>
      <c r="O2100" t="s">
        <v>58</v>
      </c>
      <c r="P2100" t="s">
        <v>95</v>
      </c>
      <c r="Q2100" t="s">
        <v>93</v>
      </c>
      <c r="R2100" t="s">
        <v>109</v>
      </c>
      <c r="S2100" s="3">
        <v>5.27</v>
      </c>
      <c r="T2100" s="5">
        <v>44508</v>
      </c>
      <c r="U2100">
        <v>1</v>
      </c>
      <c r="V2100">
        <v>2021</v>
      </c>
      <c r="X2100">
        <f t="shared" si="96"/>
        <v>6.7297900000000004</v>
      </c>
      <c r="Y2100">
        <f t="shared" si="97"/>
        <v>5.2697899999999995</v>
      </c>
      <c r="Z2100">
        <f t="shared" si="98"/>
        <v>61.999789999999997</v>
      </c>
    </row>
    <row r="2101" spans="1:26" x14ac:dyDescent="0.3">
      <c r="A2101" t="s">
        <v>2191</v>
      </c>
      <c r="B2101" t="s">
        <v>67</v>
      </c>
      <c r="C2101" t="s">
        <v>84</v>
      </c>
      <c r="D2101" t="s">
        <v>57</v>
      </c>
      <c r="E2101">
        <v>22</v>
      </c>
      <c r="F2101" s="3">
        <v>9.07</v>
      </c>
      <c r="G2101" s="4">
        <v>91</v>
      </c>
      <c r="H2101">
        <v>1</v>
      </c>
      <c r="I2101">
        <v>2</v>
      </c>
      <c r="J2101">
        <v>3</v>
      </c>
      <c r="K2101" s="4">
        <v>60.8</v>
      </c>
      <c r="L2101" s="4">
        <v>70.3</v>
      </c>
      <c r="M2101" s="4">
        <v>86</v>
      </c>
      <c r="N2101">
        <v>1</v>
      </c>
      <c r="O2101" t="s">
        <v>58</v>
      </c>
      <c r="P2101" t="s">
        <v>112</v>
      </c>
      <c r="Q2101" t="s">
        <v>93</v>
      </c>
      <c r="R2101" t="s">
        <v>130</v>
      </c>
      <c r="S2101" s="3">
        <v>9.1300000000000008</v>
      </c>
      <c r="T2101" s="5">
        <v>45187</v>
      </c>
      <c r="U2101">
        <v>1</v>
      </c>
      <c r="V2101">
        <v>2023</v>
      </c>
      <c r="X2101">
        <f t="shared" si="96"/>
        <v>9.0697899</v>
      </c>
      <c r="Y2101">
        <f t="shared" si="97"/>
        <v>9.1297899000000005</v>
      </c>
      <c r="Z2101">
        <f t="shared" si="98"/>
        <v>70.299789899999993</v>
      </c>
    </row>
    <row r="2102" spans="1:26" x14ac:dyDescent="0.3">
      <c r="A2102" t="s">
        <v>2192</v>
      </c>
      <c r="B2102" t="s">
        <v>67</v>
      </c>
      <c r="C2102" t="s">
        <v>101</v>
      </c>
      <c r="D2102" t="s">
        <v>57</v>
      </c>
      <c r="E2102">
        <v>22</v>
      </c>
      <c r="F2102" s="3">
        <v>8.25</v>
      </c>
      <c r="G2102" s="4">
        <v>85</v>
      </c>
      <c r="H2102">
        <v>1</v>
      </c>
      <c r="I2102">
        <v>0</v>
      </c>
      <c r="J2102">
        <v>5</v>
      </c>
      <c r="K2102" s="4">
        <v>52.2</v>
      </c>
      <c r="L2102" s="4">
        <v>86.9</v>
      </c>
      <c r="M2102" s="4">
        <v>40.799999999999997</v>
      </c>
      <c r="N2102">
        <v>0</v>
      </c>
      <c r="O2102" t="s">
        <v>58</v>
      </c>
      <c r="P2102" t="s">
        <v>75</v>
      </c>
      <c r="Q2102" t="s">
        <v>71</v>
      </c>
      <c r="R2102" t="s">
        <v>76</v>
      </c>
      <c r="S2102" s="3">
        <v>7.8</v>
      </c>
      <c r="T2102" s="5">
        <v>45215</v>
      </c>
      <c r="U2102">
        <v>1</v>
      </c>
      <c r="V2102">
        <v>2023</v>
      </c>
      <c r="X2102">
        <f t="shared" si="96"/>
        <v>8.2497898000000003</v>
      </c>
      <c r="Y2102">
        <f t="shared" si="97"/>
        <v>7.7997898000000001</v>
      </c>
      <c r="Z2102">
        <f t="shared" si="98"/>
        <v>86.899789800000008</v>
      </c>
    </row>
    <row r="2103" spans="1:26" x14ac:dyDescent="0.3">
      <c r="A2103" t="s">
        <v>2193</v>
      </c>
      <c r="B2103" t="s">
        <v>55</v>
      </c>
      <c r="C2103" t="s">
        <v>89</v>
      </c>
      <c r="D2103" t="s">
        <v>69</v>
      </c>
      <c r="E2103">
        <v>21</v>
      </c>
      <c r="F2103" s="3">
        <v>7.93</v>
      </c>
      <c r="G2103" s="4">
        <v>90.6</v>
      </c>
      <c r="H2103">
        <v>1</v>
      </c>
      <c r="I2103">
        <v>2</v>
      </c>
      <c r="J2103">
        <v>2</v>
      </c>
      <c r="K2103" s="4">
        <v>34.1</v>
      </c>
      <c r="L2103" s="4">
        <v>68.900000000000006</v>
      </c>
      <c r="M2103" s="4">
        <v>79.5</v>
      </c>
      <c r="N2103">
        <v>0</v>
      </c>
      <c r="O2103" t="s">
        <v>58</v>
      </c>
      <c r="P2103" t="s">
        <v>104</v>
      </c>
      <c r="Q2103" t="s">
        <v>105</v>
      </c>
      <c r="R2103" t="s">
        <v>72</v>
      </c>
      <c r="S2103" s="3">
        <v>14.3</v>
      </c>
      <c r="T2103" s="5">
        <v>45516</v>
      </c>
      <c r="U2103">
        <v>2</v>
      </c>
      <c r="V2103">
        <v>2024</v>
      </c>
      <c r="X2103">
        <f t="shared" si="96"/>
        <v>7.9297896999999997</v>
      </c>
      <c r="Y2103">
        <f t="shared" si="97"/>
        <v>14.2997897</v>
      </c>
      <c r="Z2103">
        <f t="shared" si="98"/>
        <v>68.899789699999999</v>
      </c>
    </row>
    <row r="2104" spans="1:26" x14ac:dyDescent="0.3">
      <c r="A2104" t="s">
        <v>2194</v>
      </c>
      <c r="B2104" t="s">
        <v>82</v>
      </c>
      <c r="C2104" t="s">
        <v>78</v>
      </c>
      <c r="D2104" t="s">
        <v>69</v>
      </c>
      <c r="E2104">
        <v>20</v>
      </c>
      <c r="F2104" s="3">
        <v>8.0299999999999994</v>
      </c>
      <c r="G2104" s="4">
        <v>78.3</v>
      </c>
      <c r="H2104">
        <v>3</v>
      </c>
      <c r="I2104">
        <v>0</v>
      </c>
      <c r="J2104">
        <v>4</v>
      </c>
      <c r="K2104" s="4">
        <v>82.6</v>
      </c>
      <c r="L2104" s="4">
        <v>65.2</v>
      </c>
      <c r="M2104" s="4">
        <v>93.7</v>
      </c>
      <c r="N2104">
        <v>0</v>
      </c>
      <c r="O2104" t="s">
        <v>58</v>
      </c>
      <c r="P2104" t="s">
        <v>112</v>
      </c>
      <c r="Q2104" t="s">
        <v>93</v>
      </c>
      <c r="R2104" t="s">
        <v>72</v>
      </c>
      <c r="S2104" s="3">
        <v>8.7100000000000009</v>
      </c>
      <c r="T2104" s="5">
        <v>44836</v>
      </c>
      <c r="U2104">
        <v>1</v>
      </c>
      <c r="V2104">
        <v>2022</v>
      </c>
      <c r="X2104">
        <f t="shared" si="96"/>
        <v>8.0297895999999991</v>
      </c>
      <c r="Y2104">
        <f t="shared" si="97"/>
        <v>8.7097896000000006</v>
      </c>
      <c r="Z2104">
        <f t="shared" si="98"/>
        <v>65.199789600000003</v>
      </c>
    </row>
    <row r="2105" spans="1:26" x14ac:dyDescent="0.3">
      <c r="A2105" t="s">
        <v>2195</v>
      </c>
      <c r="B2105" t="s">
        <v>55</v>
      </c>
      <c r="C2105" t="s">
        <v>84</v>
      </c>
      <c r="D2105" t="s">
        <v>69</v>
      </c>
      <c r="E2105">
        <v>21</v>
      </c>
      <c r="F2105" s="3">
        <v>7.51</v>
      </c>
      <c r="G2105" s="4">
        <v>82.7</v>
      </c>
      <c r="H2105">
        <v>1</v>
      </c>
      <c r="I2105">
        <v>3</v>
      </c>
      <c r="J2105">
        <v>4</v>
      </c>
      <c r="K2105" s="4">
        <v>30.7</v>
      </c>
      <c r="L2105" s="4">
        <v>65.400000000000006</v>
      </c>
      <c r="M2105" s="4">
        <v>57.5</v>
      </c>
      <c r="N2105">
        <v>0</v>
      </c>
      <c r="O2105" t="s">
        <v>58</v>
      </c>
      <c r="P2105" t="s">
        <v>104</v>
      </c>
      <c r="Q2105" t="s">
        <v>105</v>
      </c>
      <c r="R2105" t="s">
        <v>85</v>
      </c>
      <c r="S2105" s="3">
        <v>15.92</v>
      </c>
      <c r="T2105" s="5">
        <v>45517</v>
      </c>
      <c r="U2105">
        <v>1</v>
      </c>
      <c r="V2105">
        <v>2024</v>
      </c>
      <c r="X2105">
        <f t="shared" si="96"/>
        <v>7.5097895000000001</v>
      </c>
      <c r="Y2105">
        <f t="shared" si="97"/>
        <v>15.9197895</v>
      </c>
      <c r="Z2105">
        <f t="shared" si="98"/>
        <v>65.399789500000011</v>
      </c>
    </row>
    <row r="2106" spans="1:26" x14ac:dyDescent="0.3">
      <c r="A2106" t="s">
        <v>2196</v>
      </c>
      <c r="B2106" t="s">
        <v>82</v>
      </c>
      <c r="C2106" t="s">
        <v>89</v>
      </c>
      <c r="D2106" t="s">
        <v>69</v>
      </c>
      <c r="E2106">
        <v>22</v>
      </c>
      <c r="F2106" s="3">
        <v>7.23</v>
      </c>
      <c r="G2106" s="4">
        <v>82.2</v>
      </c>
      <c r="H2106">
        <v>2</v>
      </c>
      <c r="I2106">
        <v>3</v>
      </c>
      <c r="J2106">
        <v>2</v>
      </c>
      <c r="K2106" s="4">
        <v>73</v>
      </c>
      <c r="L2106" s="4">
        <v>49.7</v>
      </c>
      <c r="M2106" s="4">
        <v>68.5</v>
      </c>
      <c r="N2106">
        <v>1</v>
      </c>
      <c r="O2106" t="s">
        <v>64</v>
      </c>
      <c r="P2106" t="s">
        <v>65</v>
      </c>
      <c r="S2106" s="3">
        <v>0</v>
      </c>
      <c r="T2106" s="5"/>
      <c r="U2106">
        <v>0</v>
      </c>
      <c r="V2106">
        <v>2022</v>
      </c>
      <c r="X2106">
        <f t="shared" si="96"/>
        <v>7.2297894000000005</v>
      </c>
      <c r="Y2106">
        <f t="shared" si="97"/>
        <v>-2.106E-4</v>
      </c>
      <c r="Z2106">
        <f t="shared" si="98"/>
        <v>49.6997894</v>
      </c>
    </row>
    <row r="2107" spans="1:26" x14ac:dyDescent="0.3">
      <c r="A2107" t="s">
        <v>2197</v>
      </c>
      <c r="B2107" t="s">
        <v>67</v>
      </c>
      <c r="C2107" t="s">
        <v>101</v>
      </c>
      <c r="D2107" t="s">
        <v>69</v>
      </c>
      <c r="E2107">
        <v>22</v>
      </c>
      <c r="F2107" s="3">
        <v>7.32</v>
      </c>
      <c r="G2107" s="4">
        <v>65.8</v>
      </c>
      <c r="H2107">
        <v>2</v>
      </c>
      <c r="I2107">
        <v>0</v>
      </c>
      <c r="J2107">
        <v>4</v>
      </c>
      <c r="K2107" s="4">
        <v>81.599999999999994</v>
      </c>
      <c r="L2107" s="4">
        <v>62.1</v>
      </c>
      <c r="M2107" s="4">
        <v>79.400000000000006</v>
      </c>
      <c r="N2107">
        <v>0</v>
      </c>
      <c r="O2107" t="s">
        <v>58</v>
      </c>
      <c r="P2107" t="s">
        <v>90</v>
      </c>
      <c r="Q2107" t="s">
        <v>60</v>
      </c>
      <c r="R2107" t="s">
        <v>76</v>
      </c>
      <c r="S2107" s="3">
        <v>9.41</v>
      </c>
      <c r="T2107" s="5">
        <v>45250</v>
      </c>
      <c r="U2107">
        <v>3</v>
      </c>
      <c r="V2107">
        <v>2023</v>
      </c>
      <c r="X2107">
        <f t="shared" si="96"/>
        <v>7.3197893000000001</v>
      </c>
      <c r="Y2107">
        <f t="shared" si="97"/>
        <v>9.4097892999999999</v>
      </c>
      <c r="Z2107">
        <f t="shared" si="98"/>
        <v>62.099789300000005</v>
      </c>
    </row>
    <row r="2108" spans="1:26" x14ac:dyDescent="0.3">
      <c r="A2108" t="s">
        <v>2198</v>
      </c>
      <c r="B2108" t="s">
        <v>67</v>
      </c>
      <c r="C2108" t="s">
        <v>78</v>
      </c>
      <c r="D2108" t="s">
        <v>57</v>
      </c>
      <c r="E2108">
        <v>23</v>
      </c>
      <c r="F2108" s="3">
        <v>8.81</v>
      </c>
      <c r="G2108" s="4">
        <v>98.1</v>
      </c>
      <c r="H2108">
        <v>2</v>
      </c>
      <c r="I2108">
        <v>3</v>
      </c>
      <c r="J2108">
        <v>2</v>
      </c>
      <c r="K2108" s="4">
        <v>74.2</v>
      </c>
      <c r="L2108" s="4">
        <v>61.1</v>
      </c>
      <c r="M2108" s="4">
        <v>55.2</v>
      </c>
      <c r="N2108">
        <v>2</v>
      </c>
      <c r="O2108" t="s">
        <v>58</v>
      </c>
      <c r="P2108" t="s">
        <v>95</v>
      </c>
      <c r="Q2108" t="s">
        <v>93</v>
      </c>
      <c r="R2108" t="s">
        <v>109</v>
      </c>
      <c r="S2108" s="3">
        <v>6.94</v>
      </c>
      <c r="T2108" s="5">
        <v>45200</v>
      </c>
      <c r="U2108">
        <v>1</v>
      </c>
      <c r="V2108">
        <v>2023</v>
      </c>
      <c r="X2108">
        <f t="shared" si="96"/>
        <v>8.8097892000000009</v>
      </c>
      <c r="Y2108">
        <f t="shared" si="97"/>
        <v>6.9397892000000008</v>
      </c>
      <c r="Z2108">
        <f t="shared" si="98"/>
        <v>61.099789200000004</v>
      </c>
    </row>
    <row r="2109" spans="1:26" x14ac:dyDescent="0.3">
      <c r="A2109" t="s">
        <v>2199</v>
      </c>
      <c r="B2109" t="s">
        <v>55</v>
      </c>
      <c r="C2109" t="s">
        <v>68</v>
      </c>
      <c r="D2109" t="s">
        <v>57</v>
      </c>
      <c r="E2109">
        <v>22</v>
      </c>
      <c r="F2109" s="3">
        <v>7.72</v>
      </c>
      <c r="G2109" s="4">
        <v>92.8</v>
      </c>
      <c r="H2109">
        <v>3</v>
      </c>
      <c r="I2109">
        <v>1</v>
      </c>
      <c r="J2109">
        <v>3</v>
      </c>
      <c r="K2109" s="4">
        <v>65.900000000000006</v>
      </c>
      <c r="L2109" s="4">
        <v>73.8</v>
      </c>
      <c r="M2109" s="4">
        <v>77</v>
      </c>
      <c r="N2109">
        <v>0</v>
      </c>
      <c r="O2109" t="s">
        <v>58</v>
      </c>
      <c r="P2109" t="s">
        <v>79</v>
      </c>
      <c r="Q2109" t="s">
        <v>71</v>
      </c>
      <c r="R2109" t="s">
        <v>109</v>
      </c>
      <c r="S2109" s="3">
        <v>7.74</v>
      </c>
      <c r="T2109" s="5">
        <v>45563</v>
      </c>
      <c r="U2109">
        <v>1</v>
      </c>
      <c r="V2109">
        <v>2024</v>
      </c>
      <c r="X2109">
        <f t="shared" si="96"/>
        <v>7.7197890999999998</v>
      </c>
      <c r="Y2109">
        <f t="shared" si="97"/>
        <v>7.7397891000000003</v>
      </c>
      <c r="Z2109">
        <f t="shared" si="98"/>
        <v>73.799789099999998</v>
      </c>
    </row>
    <row r="2110" spans="1:26" x14ac:dyDescent="0.3">
      <c r="A2110" t="s">
        <v>2200</v>
      </c>
      <c r="B2110" t="s">
        <v>63</v>
      </c>
      <c r="C2110" t="s">
        <v>56</v>
      </c>
      <c r="D2110" t="s">
        <v>57</v>
      </c>
      <c r="E2110">
        <v>22</v>
      </c>
      <c r="F2110" s="3">
        <v>7.9</v>
      </c>
      <c r="G2110" s="4">
        <v>90.4</v>
      </c>
      <c r="H2110">
        <v>2</v>
      </c>
      <c r="I2110">
        <v>1</v>
      </c>
      <c r="J2110">
        <v>3</v>
      </c>
      <c r="K2110" s="4">
        <v>71</v>
      </c>
      <c r="L2110" s="4">
        <v>44.2</v>
      </c>
      <c r="M2110" s="4">
        <v>100</v>
      </c>
      <c r="N2110">
        <v>0</v>
      </c>
      <c r="O2110" t="s">
        <v>58</v>
      </c>
      <c r="P2110" t="s">
        <v>95</v>
      </c>
      <c r="Q2110" t="s">
        <v>93</v>
      </c>
      <c r="R2110" t="s">
        <v>85</v>
      </c>
      <c r="S2110" s="3">
        <v>5.77</v>
      </c>
      <c r="T2110" s="5">
        <v>45880</v>
      </c>
      <c r="U2110">
        <v>1</v>
      </c>
      <c r="V2110">
        <v>2025</v>
      </c>
      <c r="X2110">
        <f t="shared" si="96"/>
        <v>7.8997890000000002</v>
      </c>
      <c r="Y2110">
        <f t="shared" si="97"/>
        <v>5.7697889999999994</v>
      </c>
      <c r="Z2110">
        <f t="shared" si="98"/>
        <v>44.199789000000003</v>
      </c>
    </row>
    <row r="2111" spans="1:26" x14ac:dyDescent="0.3">
      <c r="A2111" t="s">
        <v>2201</v>
      </c>
      <c r="B2111" t="s">
        <v>55</v>
      </c>
      <c r="C2111" t="s">
        <v>68</v>
      </c>
      <c r="D2111" t="s">
        <v>69</v>
      </c>
      <c r="E2111">
        <v>20</v>
      </c>
      <c r="F2111" s="3">
        <v>7.7</v>
      </c>
      <c r="G2111" s="4">
        <v>93.6</v>
      </c>
      <c r="H2111">
        <v>1</v>
      </c>
      <c r="I2111">
        <v>1</v>
      </c>
      <c r="J2111">
        <v>4</v>
      </c>
      <c r="K2111" s="4">
        <v>61.9</v>
      </c>
      <c r="L2111" s="4">
        <v>63.4</v>
      </c>
      <c r="M2111" s="4">
        <v>77.900000000000006</v>
      </c>
      <c r="N2111">
        <v>1</v>
      </c>
      <c r="O2111" t="s">
        <v>58</v>
      </c>
      <c r="P2111" t="s">
        <v>104</v>
      </c>
      <c r="Q2111" t="s">
        <v>105</v>
      </c>
      <c r="R2111" t="s">
        <v>130</v>
      </c>
      <c r="S2111" s="3">
        <v>16.88</v>
      </c>
      <c r="T2111" s="5">
        <v>45618</v>
      </c>
      <c r="U2111">
        <v>2</v>
      </c>
      <c r="V2111">
        <v>2024</v>
      </c>
      <c r="X2111">
        <f t="shared" si="96"/>
        <v>7.6997889000000006</v>
      </c>
      <c r="Y2111">
        <f t="shared" si="97"/>
        <v>16.879788899999998</v>
      </c>
      <c r="Z2111">
        <f t="shared" si="98"/>
        <v>63.399788899999997</v>
      </c>
    </row>
    <row r="2112" spans="1:26" x14ac:dyDescent="0.3">
      <c r="A2112" t="s">
        <v>2202</v>
      </c>
      <c r="B2112" t="s">
        <v>82</v>
      </c>
      <c r="C2112" t="s">
        <v>84</v>
      </c>
      <c r="D2112" t="s">
        <v>69</v>
      </c>
      <c r="E2112">
        <v>20</v>
      </c>
      <c r="F2112" s="3">
        <v>7.05</v>
      </c>
      <c r="G2112" s="4">
        <v>77.8</v>
      </c>
      <c r="H2112">
        <v>1</v>
      </c>
      <c r="I2112">
        <v>3</v>
      </c>
      <c r="J2112">
        <v>5</v>
      </c>
      <c r="K2112" s="4">
        <v>66.7</v>
      </c>
      <c r="L2112" s="4">
        <v>89.6</v>
      </c>
      <c r="M2112" s="4">
        <v>77.5</v>
      </c>
      <c r="N2112">
        <v>3</v>
      </c>
      <c r="O2112" t="s">
        <v>58</v>
      </c>
      <c r="P2112" t="s">
        <v>79</v>
      </c>
      <c r="Q2112" t="s">
        <v>71</v>
      </c>
      <c r="R2112" t="s">
        <v>76</v>
      </c>
      <c r="S2112" s="3">
        <v>6.49</v>
      </c>
      <c r="T2112" s="5">
        <v>44855</v>
      </c>
      <c r="U2112">
        <v>1</v>
      </c>
      <c r="V2112">
        <v>2022</v>
      </c>
      <c r="X2112">
        <f t="shared" si="96"/>
        <v>7.0497888</v>
      </c>
      <c r="Y2112">
        <f t="shared" si="97"/>
        <v>6.4897888000000004</v>
      </c>
      <c r="Z2112">
        <f t="shared" si="98"/>
        <v>89.599788799999999</v>
      </c>
    </row>
    <row r="2113" spans="1:26" x14ac:dyDescent="0.3">
      <c r="A2113" t="s">
        <v>2203</v>
      </c>
      <c r="B2113" t="s">
        <v>55</v>
      </c>
      <c r="C2113" t="s">
        <v>89</v>
      </c>
      <c r="D2113" t="s">
        <v>57</v>
      </c>
      <c r="E2113">
        <v>23</v>
      </c>
      <c r="F2113" s="3">
        <v>5.72</v>
      </c>
      <c r="G2113" s="4">
        <v>89.2</v>
      </c>
      <c r="H2113">
        <v>1</v>
      </c>
      <c r="I2113">
        <v>2</v>
      </c>
      <c r="J2113">
        <v>2</v>
      </c>
      <c r="K2113" s="4">
        <v>63.6</v>
      </c>
      <c r="L2113" s="4">
        <v>76.3</v>
      </c>
      <c r="M2113" s="4">
        <v>59.6</v>
      </c>
      <c r="N2113">
        <v>0</v>
      </c>
      <c r="O2113" t="s">
        <v>64</v>
      </c>
      <c r="P2113" t="s">
        <v>65</v>
      </c>
      <c r="S2113" s="3">
        <v>0</v>
      </c>
      <c r="T2113" s="5"/>
      <c r="U2113">
        <v>0</v>
      </c>
      <c r="V2113">
        <v>2024</v>
      </c>
      <c r="X2113">
        <f t="shared" si="96"/>
        <v>5.7197886999999996</v>
      </c>
      <c r="Y2113">
        <f t="shared" si="97"/>
        <v>-2.1129999999999999E-4</v>
      </c>
      <c r="Z2113">
        <f t="shared" si="98"/>
        <v>76.299788699999993</v>
      </c>
    </row>
    <row r="2114" spans="1:26" x14ac:dyDescent="0.3">
      <c r="A2114" t="s">
        <v>2204</v>
      </c>
      <c r="B2114" t="s">
        <v>107</v>
      </c>
      <c r="C2114" t="s">
        <v>89</v>
      </c>
      <c r="D2114" t="s">
        <v>57</v>
      </c>
      <c r="E2114">
        <v>23</v>
      </c>
      <c r="F2114" s="3">
        <v>8.34</v>
      </c>
      <c r="G2114" s="4">
        <v>77.8</v>
      </c>
      <c r="H2114">
        <v>1</v>
      </c>
      <c r="I2114">
        <v>0</v>
      </c>
      <c r="J2114">
        <v>5</v>
      </c>
      <c r="K2114" s="4">
        <v>58.4</v>
      </c>
      <c r="L2114" s="4">
        <v>84.1</v>
      </c>
      <c r="M2114" s="4">
        <v>90</v>
      </c>
      <c r="N2114">
        <v>0</v>
      </c>
      <c r="O2114" t="s">
        <v>58</v>
      </c>
      <c r="P2114" t="s">
        <v>79</v>
      </c>
      <c r="Q2114" t="s">
        <v>71</v>
      </c>
      <c r="R2114" t="s">
        <v>72</v>
      </c>
      <c r="S2114" s="3">
        <v>7.16</v>
      </c>
      <c r="T2114" s="5">
        <v>44409</v>
      </c>
      <c r="U2114">
        <v>1</v>
      </c>
      <c r="V2114">
        <v>2021</v>
      </c>
      <c r="X2114">
        <f t="shared" ref="X2114:X2177" si="99">F2114-ROW()*0.0000001</f>
        <v>8.3397886000000003</v>
      </c>
      <c r="Y2114">
        <f t="shared" ref="Y2114:Y2177" si="100">S2114-ROW()*0.0000001</f>
        <v>7.1597885999999997</v>
      </c>
      <c r="Z2114">
        <f t="shared" ref="Z2114:Z2177" si="101">L2114-ROW()*0.0000001</f>
        <v>84.099788599999997</v>
      </c>
    </row>
    <row r="2115" spans="1:26" x14ac:dyDescent="0.3">
      <c r="A2115" t="s">
        <v>2205</v>
      </c>
      <c r="B2115" t="s">
        <v>82</v>
      </c>
      <c r="C2115" t="s">
        <v>84</v>
      </c>
      <c r="D2115" t="s">
        <v>57</v>
      </c>
      <c r="E2115">
        <v>23</v>
      </c>
      <c r="F2115" s="3">
        <v>8.25</v>
      </c>
      <c r="G2115" s="4">
        <v>83.3</v>
      </c>
      <c r="H2115">
        <v>1</v>
      </c>
      <c r="I2115">
        <v>5</v>
      </c>
      <c r="J2115">
        <v>1</v>
      </c>
      <c r="K2115" s="4">
        <v>84.7</v>
      </c>
      <c r="L2115" s="4">
        <v>64.099999999999994</v>
      </c>
      <c r="M2115" s="4">
        <v>41.3</v>
      </c>
      <c r="N2115">
        <v>0</v>
      </c>
      <c r="O2115" t="s">
        <v>64</v>
      </c>
      <c r="P2115" t="s">
        <v>65</v>
      </c>
      <c r="S2115" s="3">
        <v>0</v>
      </c>
      <c r="T2115" s="5"/>
      <c r="U2115">
        <v>0</v>
      </c>
      <c r="V2115">
        <v>2022</v>
      </c>
      <c r="X2115">
        <f t="shared" si="99"/>
        <v>8.2497884999999993</v>
      </c>
      <c r="Y2115">
        <f t="shared" si="100"/>
        <v>-2.1149999999999999E-4</v>
      </c>
      <c r="Z2115">
        <f t="shared" si="101"/>
        <v>64.099788499999988</v>
      </c>
    </row>
    <row r="2116" spans="1:26" x14ac:dyDescent="0.3">
      <c r="A2116" t="s">
        <v>2206</v>
      </c>
      <c r="B2116" t="s">
        <v>82</v>
      </c>
      <c r="C2116" t="s">
        <v>89</v>
      </c>
      <c r="D2116" t="s">
        <v>57</v>
      </c>
      <c r="E2116">
        <v>21</v>
      </c>
      <c r="F2116" s="3">
        <v>7.64</v>
      </c>
      <c r="G2116" s="4">
        <v>66.3</v>
      </c>
      <c r="H2116">
        <v>2</v>
      </c>
      <c r="I2116">
        <v>1</v>
      </c>
      <c r="J2116">
        <v>4</v>
      </c>
      <c r="K2116" s="4">
        <v>80.2</v>
      </c>
      <c r="L2116" s="4">
        <v>95</v>
      </c>
      <c r="M2116" s="4">
        <v>73.599999999999994</v>
      </c>
      <c r="N2116">
        <v>0</v>
      </c>
      <c r="O2116" t="s">
        <v>64</v>
      </c>
      <c r="P2116" t="s">
        <v>65</v>
      </c>
      <c r="S2116" s="3">
        <v>0</v>
      </c>
      <c r="T2116" s="5"/>
      <c r="U2116">
        <v>0</v>
      </c>
      <c r="V2116">
        <v>2022</v>
      </c>
      <c r="X2116">
        <f t="shared" si="99"/>
        <v>7.6397883999999996</v>
      </c>
      <c r="Y2116">
        <f t="shared" si="100"/>
        <v>-2.1159999999999999E-4</v>
      </c>
      <c r="Z2116">
        <f t="shared" si="101"/>
        <v>94.9997884</v>
      </c>
    </row>
    <row r="2117" spans="1:26" x14ac:dyDescent="0.3">
      <c r="A2117" t="s">
        <v>2207</v>
      </c>
      <c r="B2117" t="s">
        <v>63</v>
      </c>
      <c r="C2117" t="s">
        <v>68</v>
      </c>
      <c r="D2117" t="s">
        <v>57</v>
      </c>
      <c r="E2117">
        <v>21</v>
      </c>
      <c r="F2117" s="3">
        <v>6.67</v>
      </c>
      <c r="G2117" s="4">
        <v>80.7</v>
      </c>
      <c r="H2117">
        <v>1</v>
      </c>
      <c r="I2117">
        <v>4</v>
      </c>
      <c r="J2117">
        <v>4</v>
      </c>
      <c r="K2117" s="4">
        <v>65.900000000000006</v>
      </c>
      <c r="L2117" s="4">
        <v>82</v>
      </c>
      <c r="M2117" s="4">
        <v>85</v>
      </c>
      <c r="N2117">
        <v>2</v>
      </c>
      <c r="O2117" t="s">
        <v>64</v>
      </c>
      <c r="P2117" t="s">
        <v>65</v>
      </c>
      <c r="S2117" s="3">
        <v>0</v>
      </c>
      <c r="T2117" s="5"/>
      <c r="U2117">
        <v>0</v>
      </c>
      <c r="V2117">
        <v>2025</v>
      </c>
      <c r="X2117">
        <f t="shared" si="99"/>
        <v>6.6697882999999996</v>
      </c>
      <c r="Y2117">
        <f t="shared" si="100"/>
        <v>-2.117E-4</v>
      </c>
      <c r="Z2117">
        <f t="shared" si="101"/>
        <v>81.999788300000006</v>
      </c>
    </row>
    <row r="2118" spans="1:26" x14ac:dyDescent="0.3">
      <c r="A2118" t="s">
        <v>2208</v>
      </c>
      <c r="B2118" t="s">
        <v>67</v>
      </c>
      <c r="C2118" t="s">
        <v>78</v>
      </c>
      <c r="D2118" t="s">
        <v>57</v>
      </c>
      <c r="E2118">
        <v>23</v>
      </c>
      <c r="F2118" s="3">
        <v>9.2899999999999991</v>
      </c>
      <c r="G2118" s="4">
        <v>68.2</v>
      </c>
      <c r="H2118">
        <v>1</v>
      </c>
      <c r="I2118">
        <v>1</v>
      </c>
      <c r="J2118">
        <v>4</v>
      </c>
      <c r="K2118" s="4">
        <v>68.7</v>
      </c>
      <c r="L2118" s="4">
        <v>71</v>
      </c>
      <c r="M2118" s="4">
        <v>44</v>
      </c>
      <c r="N2118">
        <v>0</v>
      </c>
      <c r="O2118" t="s">
        <v>58</v>
      </c>
      <c r="P2118" t="s">
        <v>70</v>
      </c>
      <c r="Q2118" t="s">
        <v>71</v>
      </c>
      <c r="R2118" t="s">
        <v>130</v>
      </c>
      <c r="S2118" s="3">
        <v>7.18</v>
      </c>
      <c r="T2118" s="5">
        <v>45210</v>
      </c>
      <c r="U2118">
        <v>1</v>
      </c>
      <c r="V2118">
        <v>2023</v>
      </c>
      <c r="X2118">
        <f t="shared" si="99"/>
        <v>9.2897881999999985</v>
      </c>
      <c r="Y2118">
        <f t="shared" si="100"/>
        <v>7.1797882</v>
      </c>
      <c r="Z2118">
        <f t="shared" si="101"/>
        <v>70.999788199999998</v>
      </c>
    </row>
    <row r="2119" spans="1:26" x14ac:dyDescent="0.3">
      <c r="A2119" t="s">
        <v>2209</v>
      </c>
      <c r="B2119" t="s">
        <v>82</v>
      </c>
      <c r="C2119" t="s">
        <v>78</v>
      </c>
      <c r="D2119" t="s">
        <v>57</v>
      </c>
      <c r="E2119">
        <v>21</v>
      </c>
      <c r="F2119" s="3">
        <v>7.34</v>
      </c>
      <c r="G2119" s="4">
        <v>70.7</v>
      </c>
      <c r="H2119">
        <v>3</v>
      </c>
      <c r="I2119">
        <v>3</v>
      </c>
      <c r="J2119">
        <v>3</v>
      </c>
      <c r="K2119" s="4">
        <v>57.5</v>
      </c>
      <c r="L2119" s="4">
        <v>79.7</v>
      </c>
      <c r="M2119" s="4">
        <v>49.8</v>
      </c>
      <c r="N2119">
        <v>0</v>
      </c>
      <c r="O2119" t="s">
        <v>58</v>
      </c>
      <c r="P2119" t="s">
        <v>95</v>
      </c>
      <c r="Q2119" t="s">
        <v>93</v>
      </c>
      <c r="R2119" t="s">
        <v>130</v>
      </c>
      <c r="S2119" s="3">
        <v>7.31</v>
      </c>
      <c r="T2119" s="5">
        <v>44782</v>
      </c>
      <c r="U2119">
        <v>1</v>
      </c>
      <c r="V2119">
        <v>2022</v>
      </c>
      <c r="X2119">
        <f t="shared" si="99"/>
        <v>7.3397880999999998</v>
      </c>
      <c r="Y2119">
        <f t="shared" si="100"/>
        <v>7.3097880999999996</v>
      </c>
      <c r="Z2119">
        <f t="shared" si="101"/>
        <v>79.699788100000006</v>
      </c>
    </row>
    <row r="2120" spans="1:26" x14ac:dyDescent="0.3">
      <c r="A2120" t="s">
        <v>2210</v>
      </c>
      <c r="B2120" t="s">
        <v>67</v>
      </c>
      <c r="C2120" t="s">
        <v>56</v>
      </c>
      <c r="D2120" t="s">
        <v>57</v>
      </c>
      <c r="E2120">
        <v>22</v>
      </c>
      <c r="F2120" s="3">
        <v>7.87</v>
      </c>
      <c r="G2120" s="4">
        <v>81.5</v>
      </c>
      <c r="H2120">
        <v>1</v>
      </c>
      <c r="I2120">
        <v>2</v>
      </c>
      <c r="J2120">
        <v>1</v>
      </c>
      <c r="K2120" s="4">
        <v>73</v>
      </c>
      <c r="L2120" s="4">
        <v>51.5</v>
      </c>
      <c r="M2120" s="4">
        <v>56.3</v>
      </c>
      <c r="N2120">
        <v>0</v>
      </c>
      <c r="O2120" t="s">
        <v>64</v>
      </c>
      <c r="P2120" t="s">
        <v>65</v>
      </c>
      <c r="S2120" s="3">
        <v>0</v>
      </c>
      <c r="T2120" s="5"/>
      <c r="U2120">
        <v>0</v>
      </c>
      <c r="V2120">
        <v>2023</v>
      </c>
      <c r="X2120">
        <f t="shared" si="99"/>
        <v>7.8697879999999998</v>
      </c>
      <c r="Y2120">
        <f t="shared" si="100"/>
        <v>-2.12E-4</v>
      </c>
      <c r="Z2120">
        <f t="shared" si="101"/>
        <v>51.499788000000002</v>
      </c>
    </row>
    <row r="2121" spans="1:26" x14ac:dyDescent="0.3">
      <c r="A2121" t="s">
        <v>2211</v>
      </c>
      <c r="B2121" t="s">
        <v>55</v>
      </c>
      <c r="C2121" t="s">
        <v>68</v>
      </c>
      <c r="D2121" t="s">
        <v>69</v>
      </c>
      <c r="E2121">
        <v>23</v>
      </c>
      <c r="F2121" s="3">
        <v>7.02</v>
      </c>
      <c r="G2121" s="4">
        <v>75.599999999999994</v>
      </c>
      <c r="H2121">
        <v>1</v>
      </c>
      <c r="I2121">
        <v>4</v>
      </c>
      <c r="J2121">
        <v>3</v>
      </c>
      <c r="K2121" s="4">
        <v>66.5</v>
      </c>
      <c r="L2121" s="4">
        <v>51.2</v>
      </c>
      <c r="M2121" s="4">
        <v>90.5</v>
      </c>
      <c r="N2121">
        <v>0</v>
      </c>
      <c r="O2121" t="s">
        <v>58</v>
      </c>
      <c r="P2121" t="s">
        <v>70</v>
      </c>
      <c r="Q2121" t="s">
        <v>71</v>
      </c>
      <c r="R2121" t="s">
        <v>80</v>
      </c>
      <c r="S2121" s="3">
        <v>4.29</v>
      </c>
      <c r="T2121" s="5">
        <v>45573</v>
      </c>
      <c r="U2121">
        <v>1</v>
      </c>
      <c r="V2121">
        <v>2024</v>
      </c>
      <c r="X2121">
        <f t="shared" si="99"/>
        <v>7.0197878999999999</v>
      </c>
      <c r="Y2121">
        <f t="shared" si="100"/>
        <v>4.2897879000000003</v>
      </c>
      <c r="Z2121">
        <f t="shared" si="101"/>
        <v>51.199787900000004</v>
      </c>
    </row>
    <row r="2122" spans="1:26" x14ac:dyDescent="0.3">
      <c r="A2122" t="s">
        <v>2212</v>
      </c>
      <c r="B2122" t="s">
        <v>107</v>
      </c>
      <c r="C2122" t="s">
        <v>68</v>
      </c>
      <c r="D2122" t="s">
        <v>57</v>
      </c>
      <c r="E2122">
        <v>23</v>
      </c>
      <c r="F2122" s="3">
        <v>6.44</v>
      </c>
      <c r="G2122" s="4">
        <v>85.1</v>
      </c>
      <c r="H2122">
        <v>2</v>
      </c>
      <c r="I2122">
        <v>5</v>
      </c>
      <c r="J2122">
        <v>2</v>
      </c>
      <c r="K2122" s="4">
        <v>63.4</v>
      </c>
      <c r="L2122" s="4">
        <v>82.1</v>
      </c>
      <c r="M2122" s="4">
        <v>66.400000000000006</v>
      </c>
      <c r="N2122">
        <v>0</v>
      </c>
      <c r="O2122" t="s">
        <v>64</v>
      </c>
      <c r="P2122" t="s">
        <v>65</v>
      </c>
      <c r="S2122" s="3">
        <v>0</v>
      </c>
      <c r="T2122" s="5"/>
      <c r="U2122">
        <v>0</v>
      </c>
      <c r="V2122">
        <v>2021</v>
      </c>
      <c r="X2122">
        <f t="shared" si="99"/>
        <v>6.4397878000000004</v>
      </c>
      <c r="Y2122">
        <f t="shared" si="100"/>
        <v>-2.1219999999999998E-4</v>
      </c>
      <c r="Z2122">
        <f t="shared" si="101"/>
        <v>82.099787799999987</v>
      </c>
    </row>
    <row r="2123" spans="1:26" x14ac:dyDescent="0.3">
      <c r="A2123" t="s">
        <v>2213</v>
      </c>
      <c r="B2123" t="s">
        <v>63</v>
      </c>
      <c r="C2123" t="s">
        <v>74</v>
      </c>
      <c r="D2123" t="s">
        <v>69</v>
      </c>
      <c r="E2123">
        <v>21</v>
      </c>
      <c r="F2123" s="3">
        <v>8.18</v>
      </c>
      <c r="G2123" s="4">
        <v>97.1</v>
      </c>
      <c r="H2123">
        <v>2</v>
      </c>
      <c r="I2123">
        <v>4</v>
      </c>
      <c r="J2123">
        <v>5</v>
      </c>
      <c r="K2123" s="4">
        <v>71.599999999999994</v>
      </c>
      <c r="L2123" s="4">
        <v>87</v>
      </c>
      <c r="M2123" s="4">
        <v>84.8</v>
      </c>
      <c r="N2123">
        <v>0</v>
      </c>
      <c r="O2123" t="s">
        <v>58</v>
      </c>
      <c r="P2123" t="s">
        <v>75</v>
      </c>
      <c r="Q2123" t="s">
        <v>71</v>
      </c>
      <c r="R2123" t="s">
        <v>80</v>
      </c>
      <c r="S2123" s="3">
        <v>6.9</v>
      </c>
      <c r="T2123" s="5">
        <v>45970</v>
      </c>
      <c r="U2123">
        <v>2</v>
      </c>
      <c r="V2123">
        <v>2025</v>
      </c>
      <c r="X2123">
        <f t="shared" si="99"/>
        <v>8.1797877000000003</v>
      </c>
      <c r="Y2123">
        <f t="shared" si="100"/>
        <v>6.8997877000000001</v>
      </c>
      <c r="Z2123">
        <f t="shared" si="101"/>
        <v>86.999787699999999</v>
      </c>
    </row>
    <row r="2124" spans="1:26" x14ac:dyDescent="0.3">
      <c r="A2124" t="s">
        <v>2214</v>
      </c>
      <c r="B2124" t="s">
        <v>67</v>
      </c>
      <c r="C2124" t="s">
        <v>68</v>
      </c>
      <c r="D2124" t="s">
        <v>57</v>
      </c>
      <c r="E2124">
        <v>20</v>
      </c>
      <c r="F2124" s="3">
        <v>6.3</v>
      </c>
      <c r="G2124" s="4">
        <v>76.400000000000006</v>
      </c>
      <c r="H2124">
        <v>1</v>
      </c>
      <c r="I2124">
        <v>2</v>
      </c>
      <c r="J2124">
        <v>2</v>
      </c>
      <c r="K2124" s="4">
        <v>69.2</v>
      </c>
      <c r="L2124" s="4">
        <v>56.2</v>
      </c>
      <c r="M2124" s="4">
        <v>82.8</v>
      </c>
      <c r="N2124">
        <v>0</v>
      </c>
      <c r="O2124" t="s">
        <v>58</v>
      </c>
      <c r="P2124" t="s">
        <v>92</v>
      </c>
      <c r="Q2124" t="s">
        <v>93</v>
      </c>
      <c r="R2124" t="s">
        <v>76</v>
      </c>
      <c r="S2124" s="3">
        <v>7.21</v>
      </c>
      <c r="T2124" s="5">
        <v>45256</v>
      </c>
      <c r="U2124">
        <v>1</v>
      </c>
      <c r="V2124">
        <v>2023</v>
      </c>
      <c r="X2124">
        <f t="shared" si="99"/>
        <v>6.2997876000000002</v>
      </c>
      <c r="Y2124">
        <f t="shared" si="100"/>
        <v>7.2097876000000003</v>
      </c>
      <c r="Z2124">
        <f t="shared" si="101"/>
        <v>56.199787600000001</v>
      </c>
    </row>
    <row r="2125" spans="1:26" x14ac:dyDescent="0.3">
      <c r="A2125" t="s">
        <v>2215</v>
      </c>
      <c r="B2125" t="s">
        <v>82</v>
      </c>
      <c r="C2125" t="s">
        <v>68</v>
      </c>
      <c r="D2125" t="s">
        <v>69</v>
      </c>
      <c r="E2125">
        <v>23</v>
      </c>
      <c r="F2125" s="3">
        <v>7.86</v>
      </c>
      <c r="G2125" s="4">
        <v>79.599999999999994</v>
      </c>
      <c r="H2125">
        <v>2</v>
      </c>
      <c r="I2125">
        <v>3</v>
      </c>
      <c r="J2125">
        <v>3</v>
      </c>
      <c r="K2125" s="4">
        <v>56.2</v>
      </c>
      <c r="L2125" s="4">
        <v>82.8</v>
      </c>
      <c r="M2125" s="4">
        <v>54.1</v>
      </c>
      <c r="N2125">
        <v>2</v>
      </c>
      <c r="O2125" t="s">
        <v>58</v>
      </c>
      <c r="P2125" t="s">
        <v>70</v>
      </c>
      <c r="Q2125" t="s">
        <v>71</v>
      </c>
      <c r="R2125" t="s">
        <v>76</v>
      </c>
      <c r="S2125" s="3">
        <v>7.38</v>
      </c>
      <c r="T2125" s="5">
        <v>44842</v>
      </c>
      <c r="U2125">
        <v>1</v>
      </c>
      <c r="V2125">
        <v>2022</v>
      </c>
      <c r="X2125">
        <f t="shared" si="99"/>
        <v>7.8597875000000004</v>
      </c>
      <c r="Y2125">
        <f t="shared" si="100"/>
        <v>7.3797874999999999</v>
      </c>
      <c r="Z2125">
        <f t="shared" si="101"/>
        <v>82.799787499999994</v>
      </c>
    </row>
    <row r="2126" spans="1:26" x14ac:dyDescent="0.3">
      <c r="A2126" t="s">
        <v>2216</v>
      </c>
      <c r="B2126" t="s">
        <v>67</v>
      </c>
      <c r="C2126" t="s">
        <v>56</v>
      </c>
      <c r="D2126" t="s">
        <v>69</v>
      </c>
      <c r="E2126">
        <v>21</v>
      </c>
      <c r="F2126" s="3">
        <v>7.86</v>
      </c>
      <c r="G2126" s="4">
        <v>88</v>
      </c>
      <c r="H2126">
        <v>0</v>
      </c>
      <c r="I2126">
        <v>3</v>
      </c>
      <c r="J2126">
        <v>3</v>
      </c>
      <c r="K2126" s="4">
        <v>80.599999999999994</v>
      </c>
      <c r="L2126" s="4">
        <v>78</v>
      </c>
      <c r="M2126" s="4">
        <v>69.3</v>
      </c>
      <c r="N2126">
        <v>0</v>
      </c>
      <c r="O2126" t="s">
        <v>58</v>
      </c>
      <c r="P2126" t="s">
        <v>90</v>
      </c>
      <c r="Q2126" t="s">
        <v>60</v>
      </c>
      <c r="R2126" t="s">
        <v>109</v>
      </c>
      <c r="S2126" s="3">
        <v>7.53</v>
      </c>
      <c r="T2126" s="5">
        <v>45161</v>
      </c>
      <c r="U2126">
        <v>1</v>
      </c>
      <c r="V2126">
        <v>2023</v>
      </c>
      <c r="X2126">
        <f t="shared" si="99"/>
        <v>7.8597874000000001</v>
      </c>
      <c r="Y2126">
        <f t="shared" si="100"/>
        <v>7.5297874</v>
      </c>
      <c r="Z2126">
        <f t="shared" si="101"/>
        <v>77.999787400000002</v>
      </c>
    </row>
    <row r="2127" spans="1:26" x14ac:dyDescent="0.3">
      <c r="A2127" t="s">
        <v>2217</v>
      </c>
      <c r="B2127" t="s">
        <v>82</v>
      </c>
      <c r="C2127" t="s">
        <v>68</v>
      </c>
      <c r="D2127" t="s">
        <v>57</v>
      </c>
      <c r="E2127">
        <v>21</v>
      </c>
      <c r="F2127" s="3">
        <v>6.64</v>
      </c>
      <c r="G2127" s="4">
        <v>76</v>
      </c>
      <c r="H2127">
        <v>1</v>
      </c>
      <c r="I2127">
        <v>0</v>
      </c>
      <c r="J2127">
        <v>4</v>
      </c>
      <c r="K2127" s="4">
        <v>81.8</v>
      </c>
      <c r="L2127" s="4">
        <v>58.1</v>
      </c>
      <c r="M2127" s="4">
        <v>71.3</v>
      </c>
      <c r="N2127">
        <v>1</v>
      </c>
      <c r="O2127" t="s">
        <v>64</v>
      </c>
      <c r="P2127" t="s">
        <v>65</v>
      </c>
      <c r="S2127" s="3">
        <v>0</v>
      </c>
      <c r="T2127" s="5"/>
      <c r="U2127">
        <v>0</v>
      </c>
      <c r="V2127">
        <v>2022</v>
      </c>
      <c r="X2127">
        <f t="shared" si="99"/>
        <v>6.6397873000000001</v>
      </c>
      <c r="Y2127">
        <f t="shared" si="100"/>
        <v>-2.1269999999999999E-4</v>
      </c>
      <c r="Z2127">
        <f t="shared" si="101"/>
        <v>58.099787300000003</v>
      </c>
    </row>
    <row r="2128" spans="1:26" x14ac:dyDescent="0.3">
      <c r="A2128" t="s">
        <v>2218</v>
      </c>
      <c r="B2128" t="s">
        <v>67</v>
      </c>
      <c r="C2128" t="s">
        <v>56</v>
      </c>
      <c r="D2128" t="s">
        <v>57</v>
      </c>
      <c r="E2128">
        <v>20</v>
      </c>
      <c r="F2128" s="3">
        <v>6.48</v>
      </c>
      <c r="G2128" s="4">
        <v>75.599999999999994</v>
      </c>
      <c r="H2128">
        <v>1</v>
      </c>
      <c r="I2128">
        <v>4</v>
      </c>
      <c r="J2128">
        <v>5</v>
      </c>
      <c r="K2128" s="4">
        <v>58.5</v>
      </c>
      <c r="L2128" s="4">
        <v>55.1</v>
      </c>
      <c r="M2128" s="4">
        <v>80.099999999999994</v>
      </c>
      <c r="N2128">
        <v>0</v>
      </c>
      <c r="O2128" t="s">
        <v>58</v>
      </c>
      <c r="P2128" t="s">
        <v>79</v>
      </c>
      <c r="Q2128" t="s">
        <v>71</v>
      </c>
      <c r="R2128" t="s">
        <v>109</v>
      </c>
      <c r="S2128" s="3">
        <v>4.99</v>
      </c>
      <c r="T2128" s="5">
        <v>45143</v>
      </c>
      <c r="U2128">
        <v>1</v>
      </c>
      <c r="V2128">
        <v>2023</v>
      </c>
      <c r="X2128">
        <f t="shared" si="99"/>
        <v>6.4797872000000005</v>
      </c>
      <c r="Y2128">
        <f t="shared" si="100"/>
        <v>4.9897872000000003</v>
      </c>
      <c r="Z2128">
        <f t="shared" si="101"/>
        <v>55.099787200000002</v>
      </c>
    </row>
    <row r="2129" spans="1:26" x14ac:dyDescent="0.3">
      <c r="A2129" t="s">
        <v>2219</v>
      </c>
      <c r="B2129" t="s">
        <v>82</v>
      </c>
      <c r="C2129" t="s">
        <v>89</v>
      </c>
      <c r="D2129" t="s">
        <v>69</v>
      </c>
      <c r="E2129">
        <v>23</v>
      </c>
      <c r="F2129" s="3">
        <v>6.96</v>
      </c>
      <c r="G2129" s="4">
        <v>78</v>
      </c>
      <c r="H2129">
        <v>2</v>
      </c>
      <c r="I2129">
        <v>2</v>
      </c>
      <c r="J2129">
        <v>3</v>
      </c>
      <c r="K2129" s="4">
        <v>100</v>
      </c>
      <c r="L2129" s="4">
        <v>59.2</v>
      </c>
      <c r="M2129" s="4">
        <v>76.7</v>
      </c>
      <c r="N2129">
        <v>1</v>
      </c>
      <c r="O2129" t="s">
        <v>58</v>
      </c>
      <c r="P2129" t="s">
        <v>59</v>
      </c>
      <c r="Q2129" t="s">
        <v>60</v>
      </c>
      <c r="R2129" t="s">
        <v>130</v>
      </c>
      <c r="S2129" s="3">
        <v>18.89</v>
      </c>
      <c r="T2129" s="5">
        <v>44874</v>
      </c>
      <c r="U2129">
        <v>2</v>
      </c>
      <c r="V2129">
        <v>2022</v>
      </c>
      <c r="X2129">
        <f t="shared" si="99"/>
        <v>6.9597870999999998</v>
      </c>
      <c r="Y2129">
        <f t="shared" si="100"/>
        <v>18.889787099999999</v>
      </c>
      <c r="Z2129">
        <f t="shared" si="101"/>
        <v>59.199787100000002</v>
      </c>
    </row>
    <row r="2130" spans="1:26" x14ac:dyDescent="0.3">
      <c r="A2130" t="s">
        <v>2220</v>
      </c>
      <c r="B2130" t="s">
        <v>55</v>
      </c>
      <c r="C2130" t="s">
        <v>101</v>
      </c>
      <c r="D2130" t="s">
        <v>69</v>
      </c>
      <c r="E2130">
        <v>20</v>
      </c>
      <c r="F2130" s="3">
        <v>7.09</v>
      </c>
      <c r="G2130" s="4">
        <v>89.9</v>
      </c>
      <c r="H2130">
        <v>1</v>
      </c>
      <c r="I2130">
        <v>0</v>
      </c>
      <c r="J2130">
        <v>1</v>
      </c>
      <c r="K2130" s="4">
        <v>54.8</v>
      </c>
      <c r="L2130" s="4">
        <v>62.7</v>
      </c>
      <c r="M2130" s="4">
        <v>73.2</v>
      </c>
      <c r="N2130">
        <v>0</v>
      </c>
      <c r="O2130" t="s">
        <v>58</v>
      </c>
      <c r="P2130" t="s">
        <v>79</v>
      </c>
      <c r="Q2130" t="s">
        <v>71</v>
      </c>
      <c r="R2130" t="s">
        <v>80</v>
      </c>
      <c r="S2130" s="3">
        <v>6.01</v>
      </c>
      <c r="T2130" s="5">
        <v>45612</v>
      </c>
      <c r="U2130">
        <v>2</v>
      </c>
      <c r="V2130">
        <v>2024</v>
      </c>
      <c r="X2130">
        <f t="shared" si="99"/>
        <v>7.0897870000000003</v>
      </c>
      <c r="Y2130">
        <f t="shared" si="100"/>
        <v>6.0097870000000002</v>
      </c>
      <c r="Z2130">
        <f t="shared" si="101"/>
        <v>62.699787000000001</v>
      </c>
    </row>
    <row r="2131" spans="1:26" x14ac:dyDescent="0.3">
      <c r="A2131" t="s">
        <v>2221</v>
      </c>
      <c r="B2131" t="s">
        <v>82</v>
      </c>
      <c r="C2131" t="s">
        <v>78</v>
      </c>
      <c r="D2131" t="s">
        <v>69</v>
      </c>
      <c r="E2131">
        <v>22</v>
      </c>
      <c r="F2131" s="3">
        <v>6.27</v>
      </c>
      <c r="G2131" s="4">
        <v>66.099999999999994</v>
      </c>
      <c r="H2131">
        <v>2</v>
      </c>
      <c r="I2131">
        <v>2</v>
      </c>
      <c r="J2131">
        <v>5</v>
      </c>
      <c r="K2131" s="4">
        <v>76.599999999999994</v>
      </c>
      <c r="L2131" s="4">
        <v>64</v>
      </c>
      <c r="M2131" s="4">
        <v>88</v>
      </c>
      <c r="N2131">
        <v>3</v>
      </c>
      <c r="O2131" t="s">
        <v>64</v>
      </c>
      <c r="P2131" t="s">
        <v>65</v>
      </c>
      <c r="S2131" s="3">
        <v>0</v>
      </c>
      <c r="T2131" s="5"/>
      <c r="U2131">
        <v>0</v>
      </c>
      <c r="V2131">
        <v>2022</v>
      </c>
      <c r="X2131">
        <f t="shared" si="99"/>
        <v>6.2697868999999997</v>
      </c>
      <c r="Y2131">
        <f t="shared" si="100"/>
        <v>-2.131E-4</v>
      </c>
      <c r="Z2131">
        <f t="shared" si="101"/>
        <v>63.999786899999997</v>
      </c>
    </row>
    <row r="2132" spans="1:26" x14ac:dyDescent="0.3">
      <c r="A2132" t="s">
        <v>2222</v>
      </c>
      <c r="B2132" t="s">
        <v>82</v>
      </c>
      <c r="C2132" t="s">
        <v>74</v>
      </c>
      <c r="D2132" t="s">
        <v>69</v>
      </c>
      <c r="E2132">
        <v>20</v>
      </c>
      <c r="F2132" s="3">
        <v>6.64</v>
      </c>
      <c r="G2132" s="4">
        <v>74.400000000000006</v>
      </c>
      <c r="H2132">
        <v>1</v>
      </c>
      <c r="I2132">
        <v>2</v>
      </c>
      <c r="J2132">
        <v>2</v>
      </c>
      <c r="K2132" s="4">
        <v>75.900000000000006</v>
      </c>
      <c r="L2132" s="4">
        <v>46.1</v>
      </c>
      <c r="M2132" s="4">
        <v>87.8</v>
      </c>
      <c r="N2132">
        <v>0</v>
      </c>
      <c r="O2132" t="s">
        <v>58</v>
      </c>
      <c r="P2132" t="s">
        <v>90</v>
      </c>
      <c r="Q2132" t="s">
        <v>60</v>
      </c>
      <c r="R2132" t="s">
        <v>76</v>
      </c>
      <c r="S2132" s="3">
        <v>7.15</v>
      </c>
      <c r="T2132" s="5">
        <v>44776</v>
      </c>
      <c r="U2132">
        <v>1</v>
      </c>
      <c r="V2132">
        <v>2022</v>
      </c>
      <c r="X2132">
        <f t="shared" si="99"/>
        <v>6.6397867999999995</v>
      </c>
      <c r="Y2132">
        <f t="shared" si="100"/>
        <v>7.1497868000000002</v>
      </c>
      <c r="Z2132">
        <f t="shared" si="101"/>
        <v>46.099786800000004</v>
      </c>
    </row>
    <row r="2133" spans="1:26" x14ac:dyDescent="0.3">
      <c r="A2133" t="s">
        <v>2223</v>
      </c>
      <c r="B2133" t="s">
        <v>107</v>
      </c>
      <c r="C2133" t="s">
        <v>56</v>
      </c>
      <c r="D2133" t="s">
        <v>57</v>
      </c>
      <c r="E2133">
        <v>20</v>
      </c>
      <c r="F2133" s="3">
        <v>7.72</v>
      </c>
      <c r="G2133" s="4">
        <v>95.8</v>
      </c>
      <c r="H2133">
        <v>2</v>
      </c>
      <c r="I2133">
        <v>2</v>
      </c>
      <c r="J2133">
        <v>4</v>
      </c>
      <c r="K2133" s="4">
        <v>78.099999999999994</v>
      </c>
      <c r="L2133" s="4">
        <v>62.7</v>
      </c>
      <c r="M2133" s="4">
        <v>56.6</v>
      </c>
      <c r="N2133">
        <v>0</v>
      </c>
      <c r="O2133" t="s">
        <v>58</v>
      </c>
      <c r="P2133" t="s">
        <v>112</v>
      </c>
      <c r="Q2133" t="s">
        <v>93</v>
      </c>
      <c r="R2133" t="s">
        <v>72</v>
      </c>
      <c r="S2133" s="3">
        <v>4.68</v>
      </c>
      <c r="T2133" s="5">
        <v>44434</v>
      </c>
      <c r="U2133">
        <v>1</v>
      </c>
      <c r="V2133">
        <v>2021</v>
      </c>
      <c r="X2133">
        <f t="shared" si="99"/>
        <v>7.7197866999999993</v>
      </c>
      <c r="Y2133">
        <f t="shared" si="100"/>
        <v>4.6797866999999993</v>
      </c>
      <c r="Z2133">
        <f t="shared" si="101"/>
        <v>62.699786700000004</v>
      </c>
    </row>
    <row r="2134" spans="1:26" x14ac:dyDescent="0.3">
      <c r="A2134" t="s">
        <v>2224</v>
      </c>
      <c r="B2134" t="s">
        <v>82</v>
      </c>
      <c r="C2134" t="s">
        <v>56</v>
      </c>
      <c r="D2134" t="s">
        <v>57</v>
      </c>
      <c r="E2134">
        <v>21</v>
      </c>
      <c r="F2134" s="3">
        <v>9.44</v>
      </c>
      <c r="G2134" s="4">
        <v>55</v>
      </c>
      <c r="H2134">
        <v>2</v>
      </c>
      <c r="I2134">
        <v>2</v>
      </c>
      <c r="J2134">
        <v>5</v>
      </c>
      <c r="K2134" s="4">
        <v>91.9</v>
      </c>
      <c r="L2134" s="4">
        <v>74.8</v>
      </c>
      <c r="M2134" s="4">
        <v>68.599999999999994</v>
      </c>
      <c r="N2134">
        <v>0</v>
      </c>
      <c r="O2134" t="s">
        <v>58</v>
      </c>
      <c r="P2134" t="s">
        <v>59</v>
      </c>
      <c r="Q2134" t="s">
        <v>60</v>
      </c>
      <c r="R2134" t="s">
        <v>76</v>
      </c>
      <c r="S2134" s="3">
        <v>20.54</v>
      </c>
      <c r="T2134" s="5">
        <v>44892</v>
      </c>
      <c r="U2134">
        <v>1</v>
      </c>
      <c r="V2134">
        <v>2022</v>
      </c>
      <c r="X2134">
        <f t="shared" si="99"/>
        <v>9.4397865999999997</v>
      </c>
      <c r="Y2134">
        <f t="shared" si="100"/>
        <v>20.539786599999999</v>
      </c>
      <c r="Z2134">
        <f t="shared" si="101"/>
        <v>74.79978659999999</v>
      </c>
    </row>
    <row r="2135" spans="1:26" x14ac:dyDescent="0.3">
      <c r="A2135" t="s">
        <v>2225</v>
      </c>
      <c r="B2135" t="s">
        <v>107</v>
      </c>
      <c r="C2135" t="s">
        <v>68</v>
      </c>
      <c r="D2135" t="s">
        <v>57</v>
      </c>
      <c r="E2135">
        <v>20</v>
      </c>
      <c r="F2135" s="3">
        <v>8.56</v>
      </c>
      <c r="G2135" s="4">
        <v>80.900000000000006</v>
      </c>
      <c r="H2135">
        <v>1</v>
      </c>
      <c r="I2135">
        <v>1</v>
      </c>
      <c r="J2135">
        <v>3</v>
      </c>
      <c r="K2135" s="4">
        <v>64.2</v>
      </c>
      <c r="L2135" s="4">
        <v>79.900000000000006</v>
      </c>
      <c r="M2135" s="4">
        <v>74.400000000000006</v>
      </c>
      <c r="N2135">
        <v>2</v>
      </c>
      <c r="O2135" t="s">
        <v>58</v>
      </c>
      <c r="P2135" t="s">
        <v>70</v>
      </c>
      <c r="Q2135" t="s">
        <v>71</v>
      </c>
      <c r="R2135" t="s">
        <v>72</v>
      </c>
      <c r="S2135" s="3">
        <v>6.77</v>
      </c>
      <c r="T2135" s="5">
        <v>44416</v>
      </c>
      <c r="U2135">
        <v>2</v>
      </c>
      <c r="V2135">
        <v>2021</v>
      </c>
      <c r="X2135">
        <f t="shared" si="99"/>
        <v>8.5597865000000013</v>
      </c>
      <c r="Y2135">
        <f t="shared" si="100"/>
        <v>6.7697864999999995</v>
      </c>
      <c r="Z2135">
        <f t="shared" si="101"/>
        <v>79.899786500000005</v>
      </c>
    </row>
    <row r="2136" spans="1:26" x14ac:dyDescent="0.3">
      <c r="A2136" t="s">
        <v>2226</v>
      </c>
      <c r="B2136" t="s">
        <v>63</v>
      </c>
      <c r="C2136" t="s">
        <v>56</v>
      </c>
      <c r="D2136" t="s">
        <v>57</v>
      </c>
      <c r="E2136">
        <v>22</v>
      </c>
      <c r="F2136" s="3">
        <v>7.79</v>
      </c>
      <c r="G2136" s="4">
        <v>95.8</v>
      </c>
      <c r="H2136">
        <v>1</v>
      </c>
      <c r="I2136">
        <v>2</v>
      </c>
      <c r="J2136">
        <v>3</v>
      </c>
      <c r="K2136" s="4">
        <v>68.599999999999994</v>
      </c>
      <c r="L2136" s="4">
        <v>61.1</v>
      </c>
      <c r="M2136" s="4">
        <v>75</v>
      </c>
      <c r="N2136">
        <v>0</v>
      </c>
      <c r="O2136" t="s">
        <v>58</v>
      </c>
      <c r="P2136" t="s">
        <v>70</v>
      </c>
      <c r="Q2136" t="s">
        <v>71</v>
      </c>
      <c r="R2136" t="s">
        <v>76</v>
      </c>
      <c r="S2136" s="3">
        <v>5.45</v>
      </c>
      <c r="T2136" s="5">
        <v>45954</v>
      </c>
      <c r="U2136">
        <v>1</v>
      </c>
      <c r="V2136">
        <v>2025</v>
      </c>
      <c r="X2136">
        <f t="shared" si="99"/>
        <v>7.7897863999999997</v>
      </c>
      <c r="Y2136">
        <f t="shared" si="100"/>
        <v>5.4497863999999998</v>
      </c>
      <c r="Z2136">
        <f t="shared" si="101"/>
        <v>61.099786399999999</v>
      </c>
    </row>
    <row r="2137" spans="1:26" x14ac:dyDescent="0.3">
      <c r="A2137" t="s">
        <v>2227</v>
      </c>
      <c r="B2137" t="s">
        <v>107</v>
      </c>
      <c r="C2137" t="s">
        <v>68</v>
      </c>
      <c r="D2137" t="s">
        <v>57</v>
      </c>
      <c r="E2137">
        <v>21</v>
      </c>
      <c r="F2137" s="3">
        <v>8.67</v>
      </c>
      <c r="G2137" s="4">
        <v>99.2</v>
      </c>
      <c r="H2137">
        <v>2</v>
      </c>
      <c r="I2137">
        <v>4</v>
      </c>
      <c r="J2137">
        <v>1</v>
      </c>
      <c r="K2137" s="4">
        <v>73.900000000000006</v>
      </c>
      <c r="L2137" s="4">
        <v>92.4</v>
      </c>
      <c r="M2137" s="4">
        <v>80.599999999999994</v>
      </c>
      <c r="N2137">
        <v>0</v>
      </c>
      <c r="O2137" t="s">
        <v>58</v>
      </c>
      <c r="P2137" t="s">
        <v>104</v>
      </c>
      <c r="Q2137" t="s">
        <v>105</v>
      </c>
      <c r="R2137" t="s">
        <v>80</v>
      </c>
      <c r="S2137" s="3">
        <v>17.32</v>
      </c>
      <c r="T2137" s="5">
        <v>44460</v>
      </c>
      <c r="U2137">
        <v>1</v>
      </c>
      <c r="V2137">
        <v>2021</v>
      </c>
      <c r="X2137">
        <f t="shared" si="99"/>
        <v>8.6697863000000002</v>
      </c>
      <c r="Y2137">
        <f t="shared" si="100"/>
        <v>17.319786300000001</v>
      </c>
      <c r="Z2137">
        <f t="shared" si="101"/>
        <v>92.399786300000002</v>
      </c>
    </row>
    <row r="2138" spans="1:26" x14ac:dyDescent="0.3">
      <c r="A2138" t="s">
        <v>2228</v>
      </c>
      <c r="B2138" t="s">
        <v>55</v>
      </c>
      <c r="C2138" t="s">
        <v>56</v>
      </c>
      <c r="D2138" t="s">
        <v>69</v>
      </c>
      <c r="E2138">
        <v>22</v>
      </c>
      <c r="F2138" s="3">
        <v>8.69</v>
      </c>
      <c r="G2138" s="4">
        <v>89.2</v>
      </c>
      <c r="H2138">
        <v>0</v>
      </c>
      <c r="I2138">
        <v>1</v>
      </c>
      <c r="J2138">
        <v>5</v>
      </c>
      <c r="K2138" s="4">
        <v>44.4</v>
      </c>
      <c r="L2138" s="4">
        <v>70.3</v>
      </c>
      <c r="M2138" s="4">
        <v>78.5</v>
      </c>
      <c r="N2138">
        <v>1</v>
      </c>
      <c r="O2138" t="s">
        <v>58</v>
      </c>
      <c r="P2138" t="s">
        <v>75</v>
      </c>
      <c r="Q2138" t="s">
        <v>71</v>
      </c>
      <c r="R2138" t="s">
        <v>76</v>
      </c>
      <c r="S2138" s="3">
        <v>6.85</v>
      </c>
      <c r="T2138" s="5">
        <v>45586</v>
      </c>
      <c r="U2138">
        <v>1</v>
      </c>
      <c r="V2138">
        <v>2024</v>
      </c>
      <c r="X2138">
        <f t="shared" si="99"/>
        <v>8.6897862000000003</v>
      </c>
      <c r="Y2138">
        <f t="shared" si="100"/>
        <v>6.8497861999999996</v>
      </c>
      <c r="Z2138">
        <f t="shared" si="101"/>
        <v>70.2997862</v>
      </c>
    </row>
    <row r="2139" spans="1:26" x14ac:dyDescent="0.3">
      <c r="A2139" t="s">
        <v>2229</v>
      </c>
      <c r="B2139" t="s">
        <v>107</v>
      </c>
      <c r="C2139" t="s">
        <v>101</v>
      </c>
      <c r="D2139" t="s">
        <v>57</v>
      </c>
      <c r="E2139">
        <v>20</v>
      </c>
      <c r="F2139" s="3">
        <v>7.38</v>
      </c>
      <c r="G2139" s="4">
        <v>92.5</v>
      </c>
      <c r="H2139">
        <v>0</v>
      </c>
      <c r="I2139">
        <v>2</v>
      </c>
      <c r="J2139">
        <v>4</v>
      </c>
      <c r="K2139" s="4">
        <v>69.900000000000006</v>
      </c>
      <c r="L2139" s="4">
        <v>100</v>
      </c>
      <c r="M2139" s="4">
        <v>81.099999999999994</v>
      </c>
      <c r="N2139">
        <v>0</v>
      </c>
      <c r="O2139" t="s">
        <v>58</v>
      </c>
      <c r="P2139" t="s">
        <v>90</v>
      </c>
      <c r="Q2139" t="s">
        <v>60</v>
      </c>
      <c r="R2139" t="s">
        <v>130</v>
      </c>
      <c r="S2139" s="3">
        <v>8.24</v>
      </c>
      <c r="T2139" s="5">
        <v>44477</v>
      </c>
      <c r="U2139">
        <v>1</v>
      </c>
      <c r="V2139">
        <v>2021</v>
      </c>
      <c r="X2139">
        <f t="shared" si="99"/>
        <v>7.3797860999999996</v>
      </c>
      <c r="Y2139">
        <f t="shared" si="100"/>
        <v>8.2397860999999999</v>
      </c>
      <c r="Z2139">
        <f t="shared" si="101"/>
        <v>99.999786099999994</v>
      </c>
    </row>
    <row r="2140" spans="1:26" x14ac:dyDescent="0.3">
      <c r="A2140" t="s">
        <v>2230</v>
      </c>
      <c r="B2140" t="s">
        <v>63</v>
      </c>
      <c r="C2140" t="s">
        <v>74</v>
      </c>
      <c r="D2140" t="s">
        <v>57</v>
      </c>
      <c r="E2140">
        <v>22</v>
      </c>
      <c r="F2140" s="3">
        <v>7.88</v>
      </c>
      <c r="G2140" s="4">
        <v>73.5</v>
      </c>
      <c r="H2140">
        <v>0</v>
      </c>
      <c r="I2140">
        <v>1</v>
      </c>
      <c r="J2140">
        <v>3</v>
      </c>
      <c r="K2140" s="4">
        <v>73.599999999999994</v>
      </c>
      <c r="L2140" s="4">
        <v>58.8</v>
      </c>
      <c r="M2140" s="4">
        <v>82.6</v>
      </c>
      <c r="N2140">
        <v>1</v>
      </c>
      <c r="O2140" t="s">
        <v>64</v>
      </c>
      <c r="P2140" t="s">
        <v>65</v>
      </c>
      <c r="S2140" s="3">
        <v>0</v>
      </c>
      <c r="T2140" s="5"/>
      <c r="U2140">
        <v>0</v>
      </c>
      <c r="V2140">
        <v>2025</v>
      </c>
      <c r="X2140">
        <f t="shared" si="99"/>
        <v>7.8797860000000002</v>
      </c>
      <c r="Y2140">
        <f t="shared" si="100"/>
        <v>-2.14E-4</v>
      </c>
      <c r="Z2140">
        <f t="shared" si="101"/>
        <v>58.799785999999997</v>
      </c>
    </row>
    <row r="2141" spans="1:26" x14ac:dyDescent="0.3">
      <c r="A2141" t="s">
        <v>2231</v>
      </c>
      <c r="B2141" t="s">
        <v>55</v>
      </c>
      <c r="C2141" t="s">
        <v>56</v>
      </c>
      <c r="D2141" t="s">
        <v>69</v>
      </c>
      <c r="E2141">
        <v>22</v>
      </c>
      <c r="F2141" s="3">
        <v>8.5299999999999994</v>
      </c>
      <c r="G2141" s="4">
        <v>74.2</v>
      </c>
      <c r="H2141">
        <v>1</v>
      </c>
      <c r="I2141">
        <v>0</v>
      </c>
      <c r="J2141">
        <v>3</v>
      </c>
      <c r="K2141" s="4">
        <v>58.1</v>
      </c>
      <c r="L2141" s="4">
        <v>75.400000000000006</v>
      </c>
      <c r="M2141" s="4">
        <v>70.599999999999994</v>
      </c>
      <c r="N2141">
        <v>0</v>
      </c>
      <c r="O2141" t="s">
        <v>58</v>
      </c>
      <c r="P2141" t="s">
        <v>75</v>
      </c>
      <c r="Q2141" t="s">
        <v>71</v>
      </c>
      <c r="R2141" t="s">
        <v>76</v>
      </c>
      <c r="S2141" s="3">
        <v>6.47</v>
      </c>
      <c r="T2141" s="5">
        <v>45531</v>
      </c>
      <c r="U2141">
        <v>1</v>
      </c>
      <c r="V2141">
        <v>2024</v>
      </c>
      <c r="X2141">
        <f t="shared" si="99"/>
        <v>8.5297858999999985</v>
      </c>
      <c r="Y2141">
        <f t="shared" si="100"/>
        <v>6.4697858999999998</v>
      </c>
      <c r="Z2141">
        <f t="shared" si="101"/>
        <v>75.399785900000012</v>
      </c>
    </row>
    <row r="2142" spans="1:26" x14ac:dyDescent="0.3">
      <c r="A2142" t="s">
        <v>2232</v>
      </c>
      <c r="B2142" t="s">
        <v>67</v>
      </c>
      <c r="C2142" t="s">
        <v>101</v>
      </c>
      <c r="D2142" t="s">
        <v>69</v>
      </c>
      <c r="E2142">
        <v>20</v>
      </c>
      <c r="F2142" s="3">
        <v>8.65</v>
      </c>
      <c r="G2142" s="4">
        <v>97.4</v>
      </c>
      <c r="H2142">
        <v>0</v>
      </c>
      <c r="I2142">
        <v>2</v>
      </c>
      <c r="J2142">
        <v>4</v>
      </c>
      <c r="K2142" s="4">
        <v>98.6</v>
      </c>
      <c r="L2142" s="4">
        <v>68.7</v>
      </c>
      <c r="M2142" s="4">
        <v>70</v>
      </c>
      <c r="N2142">
        <v>0</v>
      </c>
      <c r="O2142" t="s">
        <v>58</v>
      </c>
      <c r="P2142" t="s">
        <v>95</v>
      </c>
      <c r="Q2142" t="s">
        <v>93</v>
      </c>
      <c r="R2142" t="s">
        <v>72</v>
      </c>
      <c r="S2142" s="3">
        <v>7.03</v>
      </c>
      <c r="T2142" s="5">
        <v>45224</v>
      </c>
      <c r="U2142">
        <v>1</v>
      </c>
      <c r="V2142">
        <v>2023</v>
      </c>
      <c r="X2142">
        <f t="shared" si="99"/>
        <v>8.6497858000000001</v>
      </c>
      <c r="Y2142">
        <f t="shared" si="100"/>
        <v>7.0297858</v>
      </c>
      <c r="Z2142">
        <f t="shared" si="101"/>
        <v>68.699785800000001</v>
      </c>
    </row>
    <row r="2143" spans="1:26" x14ac:dyDescent="0.3">
      <c r="A2143" t="s">
        <v>2233</v>
      </c>
      <c r="B2143" t="s">
        <v>67</v>
      </c>
      <c r="C2143" t="s">
        <v>74</v>
      </c>
      <c r="D2143" t="s">
        <v>57</v>
      </c>
      <c r="E2143">
        <v>20</v>
      </c>
      <c r="F2143" s="3">
        <v>8.66</v>
      </c>
      <c r="G2143" s="4">
        <v>79.599999999999994</v>
      </c>
      <c r="H2143">
        <v>1</v>
      </c>
      <c r="I2143">
        <v>0</v>
      </c>
      <c r="J2143">
        <v>3</v>
      </c>
      <c r="K2143" s="4">
        <v>71.7</v>
      </c>
      <c r="L2143" s="4">
        <v>60</v>
      </c>
      <c r="M2143" s="4">
        <v>90.7</v>
      </c>
      <c r="N2143">
        <v>0</v>
      </c>
      <c r="O2143" t="s">
        <v>58</v>
      </c>
      <c r="P2143" t="s">
        <v>59</v>
      </c>
      <c r="Q2143" t="s">
        <v>60</v>
      </c>
      <c r="R2143" t="s">
        <v>61</v>
      </c>
      <c r="S2143" s="3">
        <v>20</v>
      </c>
      <c r="T2143" s="5">
        <v>45160</v>
      </c>
      <c r="U2143">
        <v>2</v>
      </c>
      <c r="V2143">
        <v>2023</v>
      </c>
      <c r="X2143">
        <f t="shared" si="99"/>
        <v>8.6597857000000005</v>
      </c>
      <c r="Y2143">
        <f t="shared" si="100"/>
        <v>19.9997857</v>
      </c>
      <c r="Z2143">
        <f t="shared" si="101"/>
        <v>59.999785699999997</v>
      </c>
    </row>
    <row r="2144" spans="1:26" x14ac:dyDescent="0.3">
      <c r="A2144" t="s">
        <v>2234</v>
      </c>
      <c r="B2144" t="s">
        <v>107</v>
      </c>
      <c r="C2144" t="s">
        <v>56</v>
      </c>
      <c r="D2144" t="s">
        <v>69</v>
      </c>
      <c r="E2144">
        <v>21</v>
      </c>
      <c r="F2144" s="3">
        <v>6.73</v>
      </c>
      <c r="G2144" s="4">
        <v>65.099999999999994</v>
      </c>
      <c r="H2144">
        <v>2</v>
      </c>
      <c r="I2144">
        <v>3</v>
      </c>
      <c r="J2144">
        <v>2</v>
      </c>
      <c r="K2144" s="4">
        <v>57.7</v>
      </c>
      <c r="L2144" s="4">
        <v>82.9</v>
      </c>
      <c r="M2144" s="4">
        <v>68</v>
      </c>
      <c r="N2144">
        <v>0</v>
      </c>
      <c r="O2144" t="s">
        <v>64</v>
      </c>
      <c r="P2144" t="s">
        <v>65</v>
      </c>
      <c r="S2144" s="3">
        <v>0</v>
      </c>
      <c r="T2144" s="5"/>
      <c r="U2144">
        <v>0</v>
      </c>
      <c r="V2144">
        <v>2021</v>
      </c>
      <c r="X2144">
        <f t="shared" si="99"/>
        <v>6.7297856000000005</v>
      </c>
      <c r="Y2144">
        <f t="shared" si="100"/>
        <v>-2.1439999999999998E-4</v>
      </c>
      <c r="Z2144">
        <f t="shared" si="101"/>
        <v>82.899785600000001</v>
      </c>
    </row>
    <row r="2145" spans="1:26" x14ac:dyDescent="0.3">
      <c r="A2145" t="s">
        <v>2235</v>
      </c>
      <c r="B2145" t="s">
        <v>107</v>
      </c>
      <c r="C2145" t="s">
        <v>89</v>
      </c>
      <c r="D2145" t="s">
        <v>69</v>
      </c>
      <c r="E2145">
        <v>21</v>
      </c>
      <c r="F2145" s="3">
        <v>8.7100000000000009</v>
      </c>
      <c r="G2145" s="4">
        <v>85.8</v>
      </c>
      <c r="H2145">
        <v>0</v>
      </c>
      <c r="I2145">
        <v>2</v>
      </c>
      <c r="J2145">
        <v>4</v>
      </c>
      <c r="K2145" s="4">
        <v>60</v>
      </c>
      <c r="L2145" s="4">
        <v>81.400000000000006</v>
      </c>
      <c r="M2145" s="4">
        <v>82.9</v>
      </c>
      <c r="N2145">
        <v>2</v>
      </c>
      <c r="O2145" t="s">
        <v>58</v>
      </c>
      <c r="P2145" t="s">
        <v>104</v>
      </c>
      <c r="Q2145" t="s">
        <v>105</v>
      </c>
      <c r="R2145" t="s">
        <v>109</v>
      </c>
      <c r="S2145" s="3">
        <v>16.22</v>
      </c>
      <c r="T2145" s="5">
        <v>44464</v>
      </c>
      <c r="U2145">
        <v>2</v>
      </c>
      <c r="V2145">
        <v>2021</v>
      </c>
      <c r="X2145">
        <f t="shared" si="99"/>
        <v>8.7097855000000006</v>
      </c>
      <c r="Y2145">
        <f t="shared" si="100"/>
        <v>16.2197855</v>
      </c>
      <c r="Z2145">
        <f t="shared" si="101"/>
        <v>81.399785500000007</v>
      </c>
    </row>
    <row r="2146" spans="1:26" x14ac:dyDescent="0.3">
      <c r="A2146" t="s">
        <v>2236</v>
      </c>
      <c r="B2146" t="s">
        <v>63</v>
      </c>
      <c r="C2146" t="s">
        <v>89</v>
      </c>
      <c r="D2146" t="s">
        <v>57</v>
      </c>
      <c r="E2146">
        <v>23</v>
      </c>
      <c r="F2146" s="3">
        <v>9.32</v>
      </c>
      <c r="G2146" s="4">
        <v>80.3</v>
      </c>
      <c r="H2146">
        <v>1</v>
      </c>
      <c r="I2146">
        <v>1</v>
      </c>
      <c r="J2146">
        <v>4</v>
      </c>
      <c r="K2146" s="4">
        <v>56.9</v>
      </c>
      <c r="L2146" s="4">
        <v>66.2</v>
      </c>
      <c r="M2146" s="4">
        <v>64.900000000000006</v>
      </c>
      <c r="N2146">
        <v>0</v>
      </c>
      <c r="O2146" t="s">
        <v>58</v>
      </c>
      <c r="P2146" t="s">
        <v>79</v>
      </c>
      <c r="Q2146" t="s">
        <v>71</v>
      </c>
      <c r="R2146" t="s">
        <v>85</v>
      </c>
      <c r="S2146" s="3">
        <v>7.57</v>
      </c>
      <c r="T2146" s="5">
        <v>45971</v>
      </c>
      <c r="U2146">
        <v>2</v>
      </c>
      <c r="V2146">
        <v>2025</v>
      </c>
      <c r="X2146">
        <f t="shared" si="99"/>
        <v>9.3197854000000007</v>
      </c>
      <c r="Y2146">
        <f t="shared" si="100"/>
        <v>7.5697854000000007</v>
      </c>
      <c r="Z2146">
        <f t="shared" si="101"/>
        <v>66.199785399999996</v>
      </c>
    </row>
    <row r="2147" spans="1:26" x14ac:dyDescent="0.3">
      <c r="A2147" t="s">
        <v>2237</v>
      </c>
      <c r="B2147" t="s">
        <v>63</v>
      </c>
      <c r="C2147" t="s">
        <v>78</v>
      </c>
      <c r="D2147" t="s">
        <v>57</v>
      </c>
      <c r="E2147">
        <v>21</v>
      </c>
      <c r="F2147" s="3">
        <v>8.99</v>
      </c>
      <c r="G2147" s="4">
        <v>82.7</v>
      </c>
      <c r="H2147">
        <v>3</v>
      </c>
      <c r="I2147">
        <v>2</v>
      </c>
      <c r="J2147">
        <v>3</v>
      </c>
      <c r="K2147" s="4">
        <v>57.4</v>
      </c>
      <c r="L2147" s="4">
        <v>74.8</v>
      </c>
      <c r="M2147" s="4">
        <v>78</v>
      </c>
      <c r="N2147">
        <v>1</v>
      </c>
      <c r="O2147" t="s">
        <v>58</v>
      </c>
      <c r="P2147" t="s">
        <v>112</v>
      </c>
      <c r="Q2147" t="s">
        <v>93</v>
      </c>
      <c r="R2147" t="s">
        <v>130</v>
      </c>
      <c r="S2147" s="3">
        <v>8.8800000000000008</v>
      </c>
      <c r="T2147" s="5">
        <v>45912</v>
      </c>
      <c r="U2147">
        <v>2</v>
      </c>
      <c r="V2147">
        <v>2025</v>
      </c>
      <c r="X2147">
        <f t="shared" si="99"/>
        <v>8.9897852999999994</v>
      </c>
      <c r="Y2147">
        <f t="shared" si="100"/>
        <v>8.8797853</v>
      </c>
      <c r="Z2147">
        <f t="shared" si="101"/>
        <v>74.799785299999996</v>
      </c>
    </row>
    <row r="2148" spans="1:26" x14ac:dyDescent="0.3">
      <c r="A2148" t="s">
        <v>2238</v>
      </c>
      <c r="B2148" t="s">
        <v>82</v>
      </c>
      <c r="C2148" t="s">
        <v>56</v>
      </c>
      <c r="D2148" t="s">
        <v>57</v>
      </c>
      <c r="E2148">
        <v>20</v>
      </c>
      <c r="F2148" s="3">
        <v>6.67</v>
      </c>
      <c r="G2148" s="4">
        <v>60.6</v>
      </c>
      <c r="H2148">
        <v>2</v>
      </c>
      <c r="I2148">
        <v>4</v>
      </c>
      <c r="J2148">
        <v>2</v>
      </c>
      <c r="K2148" s="4">
        <v>72.7</v>
      </c>
      <c r="L2148" s="4">
        <v>73.900000000000006</v>
      </c>
      <c r="M2148" s="4">
        <v>78.900000000000006</v>
      </c>
      <c r="N2148">
        <v>0</v>
      </c>
      <c r="O2148" t="s">
        <v>58</v>
      </c>
      <c r="P2148" t="s">
        <v>75</v>
      </c>
      <c r="Q2148" t="s">
        <v>71</v>
      </c>
      <c r="R2148" t="s">
        <v>76</v>
      </c>
      <c r="S2148" s="3">
        <v>6.06</v>
      </c>
      <c r="T2148" s="5">
        <v>44800</v>
      </c>
      <c r="U2148">
        <v>1</v>
      </c>
      <c r="V2148">
        <v>2022</v>
      </c>
      <c r="X2148">
        <f t="shared" si="99"/>
        <v>6.6697851999999997</v>
      </c>
      <c r="Y2148">
        <f t="shared" si="100"/>
        <v>6.0597851999999994</v>
      </c>
      <c r="Z2148">
        <f t="shared" si="101"/>
        <v>73.899785200000011</v>
      </c>
    </row>
    <row r="2149" spans="1:26" x14ac:dyDescent="0.3">
      <c r="A2149" t="s">
        <v>2239</v>
      </c>
      <c r="B2149" t="s">
        <v>63</v>
      </c>
      <c r="C2149" t="s">
        <v>68</v>
      </c>
      <c r="D2149" t="s">
        <v>57</v>
      </c>
      <c r="E2149">
        <v>22</v>
      </c>
      <c r="F2149" s="3">
        <v>6.45</v>
      </c>
      <c r="G2149" s="4">
        <v>58.2</v>
      </c>
      <c r="H2149">
        <v>1</v>
      </c>
      <c r="I2149">
        <v>0</v>
      </c>
      <c r="J2149">
        <v>5</v>
      </c>
      <c r="K2149" s="4">
        <v>74</v>
      </c>
      <c r="L2149" s="4">
        <v>66.099999999999994</v>
      </c>
      <c r="M2149" s="4">
        <v>81.8</v>
      </c>
      <c r="N2149">
        <v>0</v>
      </c>
      <c r="O2149" t="s">
        <v>64</v>
      </c>
      <c r="P2149" t="s">
        <v>65</v>
      </c>
      <c r="S2149" s="3">
        <v>0</v>
      </c>
      <c r="T2149" s="5"/>
      <c r="U2149">
        <v>0</v>
      </c>
      <c r="V2149">
        <v>2025</v>
      </c>
      <c r="X2149">
        <f t="shared" si="99"/>
        <v>6.4497851000000006</v>
      </c>
      <c r="Y2149">
        <f t="shared" si="100"/>
        <v>-2.1489999999999999E-4</v>
      </c>
      <c r="Z2149">
        <f t="shared" si="101"/>
        <v>66.099785099999991</v>
      </c>
    </row>
    <row r="2150" spans="1:26" x14ac:dyDescent="0.3">
      <c r="A2150" t="s">
        <v>2240</v>
      </c>
      <c r="B2150" t="s">
        <v>82</v>
      </c>
      <c r="C2150" t="s">
        <v>74</v>
      </c>
      <c r="D2150" t="s">
        <v>57</v>
      </c>
      <c r="E2150">
        <v>22</v>
      </c>
      <c r="F2150" s="3">
        <v>8.07</v>
      </c>
      <c r="G2150" s="4">
        <v>84.7</v>
      </c>
      <c r="H2150">
        <v>0</v>
      </c>
      <c r="I2150">
        <v>2</v>
      </c>
      <c r="J2150">
        <v>3</v>
      </c>
      <c r="K2150" s="4">
        <v>74.3</v>
      </c>
      <c r="L2150" s="4">
        <v>58.7</v>
      </c>
      <c r="M2150" s="4">
        <v>93.1</v>
      </c>
      <c r="N2150">
        <v>1</v>
      </c>
      <c r="O2150" t="s">
        <v>64</v>
      </c>
      <c r="P2150" t="s">
        <v>65</v>
      </c>
      <c r="S2150" s="3">
        <v>0</v>
      </c>
      <c r="T2150" s="5"/>
      <c r="U2150">
        <v>0</v>
      </c>
      <c r="V2150">
        <v>2022</v>
      </c>
      <c r="X2150">
        <f t="shared" si="99"/>
        <v>8.0697849999999995</v>
      </c>
      <c r="Y2150">
        <f t="shared" si="100"/>
        <v>-2.1499999999999999E-4</v>
      </c>
      <c r="Z2150">
        <f t="shared" si="101"/>
        <v>58.699785000000006</v>
      </c>
    </row>
    <row r="2151" spans="1:26" x14ac:dyDescent="0.3">
      <c r="A2151" t="s">
        <v>2241</v>
      </c>
      <c r="B2151" t="s">
        <v>55</v>
      </c>
      <c r="C2151" t="s">
        <v>56</v>
      </c>
      <c r="D2151" t="s">
        <v>69</v>
      </c>
      <c r="E2151">
        <v>21</v>
      </c>
      <c r="F2151" s="3">
        <v>8.98</v>
      </c>
      <c r="G2151" s="4">
        <v>79.3</v>
      </c>
      <c r="H2151">
        <v>1</v>
      </c>
      <c r="I2151">
        <v>4</v>
      </c>
      <c r="J2151">
        <v>4</v>
      </c>
      <c r="K2151" s="4">
        <v>77.5</v>
      </c>
      <c r="L2151" s="4">
        <v>70</v>
      </c>
      <c r="M2151" s="4">
        <v>62</v>
      </c>
      <c r="N2151">
        <v>0</v>
      </c>
      <c r="O2151" t="s">
        <v>58</v>
      </c>
      <c r="P2151" t="s">
        <v>90</v>
      </c>
      <c r="Q2151" t="s">
        <v>60</v>
      </c>
      <c r="R2151" t="s">
        <v>61</v>
      </c>
      <c r="S2151" s="3">
        <v>8.81</v>
      </c>
      <c r="T2151" s="5">
        <v>45617</v>
      </c>
      <c r="U2151">
        <v>2</v>
      </c>
      <c r="V2151">
        <v>2024</v>
      </c>
      <c r="X2151">
        <f t="shared" si="99"/>
        <v>8.9797849000000003</v>
      </c>
      <c r="Y2151">
        <f t="shared" si="100"/>
        <v>8.8097849000000004</v>
      </c>
      <c r="Z2151">
        <f t="shared" si="101"/>
        <v>69.999784899999995</v>
      </c>
    </row>
    <row r="2152" spans="1:26" x14ac:dyDescent="0.3">
      <c r="A2152" t="s">
        <v>2242</v>
      </c>
      <c r="B2152" t="s">
        <v>107</v>
      </c>
      <c r="C2152" t="s">
        <v>101</v>
      </c>
      <c r="D2152" t="s">
        <v>69</v>
      </c>
      <c r="E2152">
        <v>21</v>
      </c>
      <c r="F2152" s="3">
        <v>7.85</v>
      </c>
      <c r="G2152" s="4">
        <v>77.900000000000006</v>
      </c>
      <c r="H2152">
        <v>1</v>
      </c>
      <c r="I2152">
        <v>4</v>
      </c>
      <c r="J2152">
        <v>4</v>
      </c>
      <c r="K2152" s="4">
        <v>73.900000000000006</v>
      </c>
      <c r="L2152" s="4">
        <v>67.099999999999994</v>
      </c>
      <c r="M2152" s="4">
        <v>75.8</v>
      </c>
      <c r="N2152">
        <v>0</v>
      </c>
      <c r="O2152" t="s">
        <v>58</v>
      </c>
      <c r="P2152" t="s">
        <v>87</v>
      </c>
      <c r="Q2152" t="s">
        <v>71</v>
      </c>
      <c r="R2152" t="s">
        <v>80</v>
      </c>
      <c r="S2152" s="3">
        <v>6.43</v>
      </c>
      <c r="T2152" s="5">
        <v>44441</v>
      </c>
      <c r="U2152">
        <v>2</v>
      </c>
      <c r="V2152">
        <v>2021</v>
      </c>
      <c r="X2152">
        <f t="shared" si="99"/>
        <v>7.8497847999999992</v>
      </c>
      <c r="Y2152">
        <f t="shared" si="100"/>
        <v>6.4297847999999993</v>
      </c>
      <c r="Z2152">
        <f t="shared" si="101"/>
        <v>67.099784799999995</v>
      </c>
    </row>
    <row r="2153" spans="1:26" x14ac:dyDescent="0.3">
      <c r="A2153" t="s">
        <v>2243</v>
      </c>
      <c r="B2153" t="s">
        <v>55</v>
      </c>
      <c r="C2153" t="s">
        <v>78</v>
      </c>
      <c r="D2153" t="s">
        <v>69</v>
      </c>
      <c r="E2153">
        <v>20</v>
      </c>
      <c r="F2153" s="3">
        <v>7.44</v>
      </c>
      <c r="G2153" s="4">
        <v>85.5</v>
      </c>
      <c r="H2153">
        <v>3</v>
      </c>
      <c r="I2153">
        <v>2</v>
      </c>
      <c r="J2153">
        <v>3</v>
      </c>
      <c r="K2153" s="4">
        <v>98.5</v>
      </c>
      <c r="L2153" s="4">
        <v>54.1</v>
      </c>
      <c r="M2153" s="4">
        <v>81.900000000000006</v>
      </c>
      <c r="N2153">
        <v>0</v>
      </c>
      <c r="O2153" t="s">
        <v>58</v>
      </c>
      <c r="P2153" t="s">
        <v>75</v>
      </c>
      <c r="Q2153" t="s">
        <v>71</v>
      </c>
      <c r="R2153" t="s">
        <v>72</v>
      </c>
      <c r="S2153" s="3">
        <v>5.99</v>
      </c>
      <c r="T2153" s="5">
        <v>45610</v>
      </c>
      <c r="U2153">
        <v>1</v>
      </c>
      <c r="V2153">
        <v>2024</v>
      </c>
      <c r="X2153">
        <f t="shared" si="99"/>
        <v>7.4397847000000006</v>
      </c>
      <c r="Y2153">
        <f t="shared" si="100"/>
        <v>5.9897847000000004</v>
      </c>
      <c r="Z2153">
        <f t="shared" si="101"/>
        <v>54.099784700000001</v>
      </c>
    </row>
    <row r="2154" spans="1:26" x14ac:dyDescent="0.3">
      <c r="A2154" t="s">
        <v>2244</v>
      </c>
      <c r="B2154" t="s">
        <v>63</v>
      </c>
      <c r="C2154" t="s">
        <v>74</v>
      </c>
      <c r="D2154" t="s">
        <v>69</v>
      </c>
      <c r="E2154">
        <v>22</v>
      </c>
      <c r="F2154" s="3">
        <v>7.57</v>
      </c>
      <c r="G2154" s="4">
        <v>75</v>
      </c>
      <c r="H2154">
        <v>2</v>
      </c>
      <c r="I2154">
        <v>1</v>
      </c>
      <c r="J2154">
        <v>4</v>
      </c>
      <c r="K2154" s="4">
        <v>80.7</v>
      </c>
      <c r="L2154" s="4">
        <v>79.900000000000006</v>
      </c>
      <c r="M2154" s="4">
        <v>82</v>
      </c>
      <c r="N2154">
        <v>0</v>
      </c>
      <c r="O2154" t="s">
        <v>64</v>
      </c>
      <c r="P2154" t="s">
        <v>65</v>
      </c>
      <c r="S2154" s="3">
        <v>0</v>
      </c>
      <c r="T2154" s="5"/>
      <c r="U2154">
        <v>0</v>
      </c>
      <c r="V2154">
        <v>2025</v>
      </c>
      <c r="X2154">
        <f t="shared" si="99"/>
        <v>7.5697846000000002</v>
      </c>
      <c r="Y2154">
        <f t="shared" si="100"/>
        <v>-2.1539999999999998E-4</v>
      </c>
      <c r="Z2154">
        <f t="shared" si="101"/>
        <v>79.899784600000004</v>
      </c>
    </row>
    <row r="2155" spans="1:26" x14ac:dyDescent="0.3">
      <c r="A2155" t="s">
        <v>2245</v>
      </c>
      <c r="B2155" t="s">
        <v>55</v>
      </c>
      <c r="C2155" t="s">
        <v>89</v>
      </c>
      <c r="D2155" t="s">
        <v>69</v>
      </c>
      <c r="E2155">
        <v>23</v>
      </c>
      <c r="F2155" s="3">
        <v>8.57</v>
      </c>
      <c r="G2155" s="4">
        <v>79.599999999999994</v>
      </c>
      <c r="H2155">
        <v>3</v>
      </c>
      <c r="I2155">
        <v>0</v>
      </c>
      <c r="J2155">
        <v>3</v>
      </c>
      <c r="K2155" s="4">
        <v>53.5</v>
      </c>
      <c r="L2155" s="4">
        <v>70.7</v>
      </c>
      <c r="M2155" s="4">
        <v>70.3</v>
      </c>
      <c r="N2155">
        <v>0</v>
      </c>
      <c r="O2155" t="s">
        <v>58</v>
      </c>
      <c r="P2155" t="s">
        <v>59</v>
      </c>
      <c r="Q2155" t="s">
        <v>60</v>
      </c>
      <c r="R2155" t="s">
        <v>72</v>
      </c>
      <c r="S2155" s="3">
        <v>20.27</v>
      </c>
      <c r="T2155" s="5">
        <v>45532</v>
      </c>
      <c r="U2155">
        <v>3</v>
      </c>
      <c r="V2155">
        <v>2024</v>
      </c>
      <c r="X2155">
        <f t="shared" si="99"/>
        <v>8.5697845000000008</v>
      </c>
      <c r="Y2155">
        <f t="shared" si="100"/>
        <v>20.2697845</v>
      </c>
      <c r="Z2155">
        <f t="shared" si="101"/>
        <v>70.699784500000007</v>
      </c>
    </row>
    <row r="2156" spans="1:26" x14ac:dyDescent="0.3">
      <c r="A2156" t="s">
        <v>2246</v>
      </c>
      <c r="B2156" t="s">
        <v>55</v>
      </c>
      <c r="C2156" t="s">
        <v>56</v>
      </c>
      <c r="D2156" t="s">
        <v>57</v>
      </c>
      <c r="E2156">
        <v>23</v>
      </c>
      <c r="F2156" s="3">
        <v>7.36</v>
      </c>
      <c r="G2156" s="4">
        <v>78</v>
      </c>
      <c r="H2156">
        <v>2</v>
      </c>
      <c r="I2156">
        <v>1</v>
      </c>
      <c r="J2156">
        <v>4</v>
      </c>
      <c r="K2156" s="4">
        <v>68.5</v>
      </c>
      <c r="L2156" s="4">
        <v>68</v>
      </c>
      <c r="M2156" s="4">
        <v>78.599999999999994</v>
      </c>
      <c r="N2156">
        <v>0</v>
      </c>
      <c r="O2156" t="s">
        <v>58</v>
      </c>
      <c r="P2156" t="s">
        <v>92</v>
      </c>
      <c r="Q2156" t="s">
        <v>93</v>
      </c>
      <c r="R2156" t="s">
        <v>72</v>
      </c>
      <c r="S2156" s="3">
        <v>8.8800000000000008</v>
      </c>
      <c r="T2156" s="5">
        <v>45598</v>
      </c>
      <c r="U2156">
        <v>1</v>
      </c>
      <c r="V2156">
        <v>2024</v>
      </c>
      <c r="X2156">
        <f t="shared" si="99"/>
        <v>7.3597844000000006</v>
      </c>
      <c r="Y2156">
        <f t="shared" si="100"/>
        <v>8.8797844000000001</v>
      </c>
      <c r="Z2156">
        <f t="shared" si="101"/>
        <v>67.999784399999996</v>
      </c>
    </row>
    <row r="2157" spans="1:26" x14ac:dyDescent="0.3">
      <c r="A2157" t="s">
        <v>2247</v>
      </c>
      <c r="B2157" t="s">
        <v>55</v>
      </c>
      <c r="C2157" t="s">
        <v>84</v>
      </c>
      <c r="D2157" t="s">
        <v>57</v>
      </c>
      <c r="E2157">
        <v>21</v>
      </c>
      <c r="F2157" s="3">
        <v>8.08</v>
      </c>
      <c r="G2157" s="4">
        <v>90</v>
      </c>
      <c r="H2157">
        <v>1</v>
      </c>
      <c r="I2157">
        <v>2</v>
      </c>
      <c r="J2157">
        <v>4</v>
      </c>
      <c r="K2157" s="4">
        <v>52.2</v>
      </c>
      <c r="L2157" s="4">
        <v>47.6</v>
      </c>
      <c r="M2157" s="4">
        <v>73.8</v>
      </c>
      <c r="N2157">
        <v>0</v>
      </c>
      <c r="O2157" t="s">
        <v>58</v>
      </c>
      <c r="P2157" t="s">
        <v>75</v>
      </c>
      <c r="Q2157" t="s">
        <v>71</v>
      </c>
      <c r="R2157" t="s">
        <v>130</v>
      </c>
      <c r="S2157" s="3">
        <v>4.26</v>
      </c>
      <c r="T2157" s="5">
        <v>45602</v>
      </c>
      <c r="U2157">
        <v>1</v>
      </c>
      <c r="V2157">
        <v>2024</v>
      </c>
      <c r="X2157">
        <f t="shared" si="99"/>
        <v>8.0797843</v>
      </c>
      <c r="Y2157">
        <f t="shared" si="100"/>
        <v>4.2597842999999997</v>
      </c>
      <c r="Z2157">
        <f t="shared" si="101"/>
        <v>47.599784300000003</v>
      </c>
    </row>
    <row r="2158" spans="1:26" x14ac:dyDescent="0.3">
      <c r="A2158" t="s">
        <v>2248</v>
      </c>
      <c r="B2158" t="s">
        <v>63</v>
      </c>
      <c r="C2158" t="s">
        <v>56</v>
      </c>
      <c r="D2158" t="s">
        <v>69</v>
      </c>
      <c r="E2158">
        <v>23</v>
      </c>
      <c r="F2158" s="3">
        <v>7.53</v>
      </c>
      <c r="G2158" s="4">
        <v>65.099999999999994</v>
      </c>
      <c r="H2158">
        <v>2</v>
      </c>
      <c r="I2158">
        <v>0</v>
      </c>
      <c r="J2158">
        <v>5</v>
      </c>
      <c r="K2158" s="4">
        <v>68.3</v>
      </c>
      <c r="L2158" s="4">
        <v>74.8</v>
      </c>
      <c r="M2158" s="4">
        <v>82.9</v>
      </c>
      <c r="N2158">
        <v>0</v>
      </c>
      <c r="O2158" t="s">
        <v>58</v>
      </c>
      <c r="P2158" t="s">
        <v>104</v>
      </c>
      <c r="Q2158" t="s">
        <v>105</v>
      </c>
      <c r="R2158" t="s">
        <v>130</v>
      </c>
      <c r="S2158" s="3">
        <v>15.39</v>
      </c>
      <c r="T2158" s="5">
        <v>45978</v>
      </c>
      <c r="U2158">
        <v>1</v>
      </c>
      <c r="V2158">
        <v>2025</v>
      </c>
      <c r="X2158">
        <f t="shared" si="99"/>
        <v>7.5297841999999999</v>
      </c>
      <c r="Y2158">
        <f t="shared" si="100"/>
        <v>15.389784200000001</v>
      </c>
      <c r="Z2158">
        <f t="shared" si="101"/>
        <v>74.799784199999991</v>
      </c>
    </row>
    <row r="2159" spans="1:26" x14ac:dyDescent="0.3">
      <c r="A2159" t="s">
        <v>2249</v>
      </c>
      <c r="B2159" t="s">
        <v>55</v>
      </c>
      <c r="C2159" t="s">
        <v>56</v>
      </c>
      <c r="D2159" t="s">
        <v>57</v>
      </c>
      <c r="E2159">
        <v>20</v>
      </c>
      <c r="F2159" s="3">
        <v>6.85</v>
      </c>
      <c r="G2159" s="4">
        <v>76.2</v>
      </c>
      <c r="H2159">
        <v>2</v>
      </c>
      <c r="I2159">
        <v>4</v>
      </c>
      <c r="J2159">
        <v>4</v>
      </c>
      <c r="K2159" s="4">
        <v>48.3</v>
      </c>
      <c r="L2159" s="4">
        <v>47.7</v>
      </c>
      <c r="M2159" s="4">
        <v>73.099999999999994</v>
      </c>
      <c r="N2159">
        <v>0</v>
      </c>
      <c r="O2159" t="s">
        <v>58</v>
      </c>
      <c r="P2159" t="s">
        <v>87</v>
      </c>
      <c r="Q2159" t="s">
        <v>71</v>
      </c>
      <c r="R2159" t="s">
        <v>76</v>
      </c>
      <c r="S2159" s="3">
        <v>6.36</v>
      </c>
      <c r="T2159" s="5">
        <v>45585</v>
      </c>
      <c r="U2159">
        <v>3</v>
      </c>
      <c r="V2159">
        <v>2024</v>
      </c>
      <c r="X2159">
        <f t="shared" si="99"/>
        <v>6.8497840999999999</v>
      </c>
      <c r="Y2159">
        <f t="shared" si="100"/>
        <v>6.3597841000000006</v>
      </c>
      <c r="Z2159">
        <f t="shared" si="101"/>
        <v>47.699784100000002</v>
      </c>
    </row>
    <row r="2160" spans="1:26" x14ac:dyDescent="0.3">
      <c r="A2160" t="s">
        <v>2250</v>
      </c>
      <c r="B2160" t="s">
        <v>82</v>
      </c>
      <c r="C2160" t="s">
        <v>68</v>
      </c>
      <c r="D2160" t="s">
        <v>57</v>
      </c>
      <c r="E2160">
        <v>23</v>
      </c>
      <c r="F2160" s="3">
        <v>6.78</v>
      </c>
      <c r="G2160" s="4">
        <v>91.8</v>
      </c>
      <c r="H2160">
        <v>1</v>
      </c>
      <c r="I2160">
        <v>2</v>
      </c>
      <c r="J2160">
        <v>3</v>
      </c>
      <c r="K2160" s="4">
        <v>64.7</v>
      </c>
      <c r="L2160" s="4">
        <v>72.099999999999994</v>
      </c>
      <c r="M2160" s="4">
        <v>73.2</v>
      </c>
      <c r="N2160">
        <v>0</v>
      </c>
      <c r="O2160" t="s">
        <v>64</v>
      </c>
      <c r="P2160" t="s">
        <v>65</v>
      </c>
      <c r="S2160" s="3">
        <v>0</v>
      </c>
      <c r="T2160" s="5"/>
      <c r="U2160">
        <v>0</v>
      </c>
      <c r="V2160">
        <v>2022</v>
      </c>
      <c r="X2160">
        <f t="shared" si="99"/>
        <v>6.7797840000000003</v>
      </c>
      <c r="Y2160">
        <f t="shared" si="100"/>
        <v>-2.1599999999999999E-4</v>
      </c>
      <c r="Z2160">
        <f t="shared" si="101"/>
        <v>72.099784</v>
      </c>
    </row>
    <row r="2161" spans="1:26" x14ac:dyDescent="0.3">
      <c r="A2161" t="s">
        <v>2251</v>
      </c>
      <c r="B2161" t="s">
        <v>63</v>
      </c>
      <c r="C2161" t="s">
        <v>89</v>
      </c>
      <c r="D2161" t="s">
        <v>69</v>
      </c>
      <c r="E2161">
        <v>21</v>
      </c>
      <c r="F2161" s="3">
        <v>8.1199999999999992</v>
      </c>
      <c r="G2161" s="4">
        <v>74.5</v>
      </c>
      <c r="H2161">
        <v>0</v>
      </c>
      <c r="I2161">
        <v>0</v>
      </c>
      <c r="J2161">
        <v>2</v>
      </c>
      <c r="K2161" s="4">
        <v>66.5</v>
      </c>
      <c r="L2161" s="4">
        <v>82.8</v>
      </c>
      <c r="M2161" s="4">
        <v>77.3</v>
      </c>
      <c r="N2161">
        <v>1</v>
      </c>
      <c r="O2161" t="s">
        <v>58</v>
      </c>
      <c r="P2161" t="s">
        <v>87</v>
      </c>
      <c r="Q2161" t="s">
        <v>71</v>
      </c>
      <c r="R2161" t="s">
        <v>80</v>
      </c>
      <c r="S2161" s="3">
        <v>6.22</v>
      </c>
      <c r="T2161" s="5">
        <v>45933</v>
      </c>
      <c r="U2161">
        <v>1</v>
      </c>
      <c r="V2161">
        <v>2025</v>
      </c>
      <c r="X2161">
        <f t="shared" si="99"/>
        <v>8.1197838999999998</v>
      </c>
      <c r="Y2161">
        <f t="shared" si="100"/>
        <v>6.2197838999999995</v>
      </c>
      <c r="Z2161">
        <f t="shared" si="101"/>
        <v>82.799783899999994</v>
      </c>
    </row>
    <row r="2162" spans="1:26" x14ac:dyDescent="0.3">
      <c r="A2162" t="s">
        <v>2252</v>
      </c>
      <c r="B2162" t="s">
        <v>55</v>
      </c>
      <c r="C2162" t="s">
        <v>89</v>
      </c>
      <c r="D2162" t="s">
        <v>69</v>
      </c>
      <c r="E2162">
        <v>20</v>
      </c>
      <c r="F2162" s="3">
        <v>5.22</v>
      </c>
      <c r="G2162" s="4">
        <v>83.1</v>
      </c>
      <c r="H2162">
        <v>1</v>
      </c>
      <c r="I2162">
        <v>1</v>
      </c>
      <c r="J2162">
        <v>1</v>
      </c>
      <c r="K2162" s="4">
        <v>49.2</v>
      </c>
      <c r="L2162" s="4">
        <v>94.9</v>
      </c>
      <c r="M2162" s="4">
        <v>68</v>
      </c>
      <c r="N2162">
        <v>2</v>
      </c>
      <c r="O2162" t="s">
        <v>64</v>
      </c>
      <c r="P2162" t="s">
        <v>65</v>
      </c>
      <c r="S2162" s="3">
        <v>0</v>
      </c>
      <c r="T2162" s="5"/>
      <c r="U2162">
        <v>0</v>
      </c>
      <c r="V2162">
        <v>2024</v>
      </c>
      <c r="X2162">
        <f t="shared" si="99"/>
        <v>5.2197838000000001</v>
      </c>
      <c r="Y2162">
        <f t="shared" si="100"/>
        <v>-2.162E-4</v>
      </c>
      <c r="Z2162">
        <f t="shared" si="101"/>
        <v>94.899783800000009</v>
      </c>
    </row>
    <row r="2163" spans="1:26" x14ac:dyDescent="0.3">
      <c r="A2163" t="s">
        <v>2253</v>
      </c>
      <c r="B2163" t="s">
        <v>63</v>
      </c>
      <c r="C2163" t="s">
        <v>56</v>
      </c>
      <c r="D2163" t="s">
        <v>57</v>
      </c>
      <c r="E2163">
        <v>22</v>
      </c>
      <c r="F2163" s="3">
        <v>8.08</v>
      </c>
      <c r="G2163" s="4">
        <v>97</v>
      </c>
      <c r="H2163">
        <v>0</v>
      </c>
      <c r="I2163">
        <v>2</v>
      </c>
      <c r="J2163">
        <v>6</v>
      </c>
      <c r="K2163" s="4">
        <v>68.2</v>
      </c>
      <c r="L2163" s="4">
        <v>71</v>
      </c>
      <c r="M2163" s="4">
        <v>64.900000000000006</v>
      </c>
      <c r="N2163">
        <v>0</v>
      </c>
      <c r="O2163" t="s">
        <v>58</v>
      </c>
      <c r="P2163" t="s">
        <v>87</v>
      </c>
      <c r="Q2163" t="s">
        <v>71</v>
      </c>
      <c r="R2163" t="s">
        <v>76</v>
      </c>
      <c r="S2163" s="3">
        <v>8.06</v>
      </c>
      <c r="T2163" s="5">
        <v>45905</v>
      </c>
      <c r="U2163">
        <v>1</v>
      </c>
      <c r="V2163">
        <v>2025</v>
      </c>
      <c r="X2163">
        <f t="shared" si="99"/>
        <v>8.0797837000000001</v>
      </c>
      <c r="Y2163">
        <f t="shared" si="100"/>
        <v>8.0597837000000006</v>
      </c>
      <c r="Z2163">
        <f t="shared" si="101"/>
        <v>70.999783699999995</v>
      </c>
    </row>
    <row r="2164" spans="1:26" x14ac:dyDescent="0.3">
      <c r="A2164" t="s">
        <v>2254</v>
      </c>
      <c r="B2164" t="s">
        <v>67</v>
      </c>
      <c r="C2164" t="s">
        <v>74</v>
      </c>
      <c r="D2164" t="s">
        <v>69</v>
      </c>
      <c r="E2164">
        <v>20</v>
      </c>
      <c r="F2164" s="3">
        <v>7.5</v>
      </c>
      <c r="G2164" s="4">
        <v>83.4</v>
      </c>
      <c r="H2164">
        <v>2</v>
      </c>
      <c r="I2164">
        <v>0</v>
      </c>
      <c r="J2164">
        <v>6</v>
      </c>
      <c r="K2164" s="4">
        <v>62.8</v>
      </c>
      <c r="L2164" s="4">
        <v>96.4</v>
      </c>
      <c r="M2164" s="4">
        <v>58.1</v>
      </c>
      <c r="N2164">
        <v>0</v>
      </c>
      <c r="O2164" t="s">
        <v>64</v>
      </c>
      <c r="P2164" t="s">
        <v>65</v>
      </c>
      <c r="S2164" s="3">
        <v>0</v>
      </c>
      <c r="T2164" s="5"/>
      <c r="U2164">
        <v>0</v>
      </c>
      <c r="V2164">
        <v>2023</v>
      </c>
      <c r="X2164">
        <f t="shared" si="99"/>
        <v>7.4997835999999998</v>
      </c>
      <c r="Y2164">
        <f t="shared" si="100"/>
        <v>-2.164E-4</v>
      </c>
      <c r="Z2164">
        <f t="shared" si="101"/>
        <v>96.399783600000006</v>
      </c>
    </row>
    <row r="2165" spans="1:26" x14ac:dyDescent="0.3">
      <c r="A2165" t="s">
        <v>2255</v>
      </c>
      <c r="B2165" t="s">
        <v>82</v>
      </c>
      <c r="C2165" t="s">
        <v>68</v>
      </c>
      <c r="D2165" t="s">
        <v>57</v>
      </c>
      <c r="E2165">
        <v>21</v>
      </c>
      <c r="F2165" s="3">
        <v>8.5</v>
      </c>
      <c r="G2165" s="4">
        <v>100</v>
      </c>
      <c r="H2165">
        <v>2</v>
      </c>
      <c r="I2165">
        <v>3</v>
      </c>
      <c r="J2165">
        <v>2</v>
      </c>
      <c r="K2165" s="4">
        <v>52.7</v>
      </c>
      <c r="L2165" s="4">
        <v>81</v>
      </c>
      <c r="M2165" s="4">
        <v>72.400000000000006</v>
      </c>
      <c r="N2165">
        <v>0</v>
      </c>
      <c r="O2165" t="s">
        <v>64</v>
      </c>
      <c r="P2165" t="s">
        <v>65</v>
      </c>
      <c r="S2165" s="3">
        <v>0</v>
      </c>
      <c r="T2165" s="5"/>
      <c r="U2165">
        <v>0</v>
      </c>
      <c r="V2165">
        <v>2022</v>
      </c>
      <c r="X2165">
        <f t="shared" si="99"/>
        <v>8.4997834999999995</v>
      </c>
      <c r="Y2165">
        <f t="shared" si="100"/>
        <v>-2.1649999999999998E-4</v>
      </c>
      <c r="Z2165">
        <f t="shared" si="101"/>
        <v>80.999783500000007</v>
      </c>
    </row>
    <row r="2166" spans="1:26" x14ac:dyDescent="0.3">
      <c r="A2166" t="s">
        <v>2256</v>
      </c>
      <c r="B2166" t="s">
        <v>55</v>
      </c>
      <c r="C2166" t="s">
        <v>56</v>
      </c>
      <c r="D2166" t="s">
        <v>69</v>
      </c>
      <c r="E2166">
        <v>21</v>
      </c>
      <c r="F2166" s="3">
        <v>8.19</v>
      </c>
      <c r="G2166" s="4">
        <v>94.6</v>
      </c>
      <c r="H2166">
        <v>3</v>
      </c>
      <c r="I2166">
        <v>4</v>
      </c>
      <c r="J2166">
        <v>4</v>
      </c>
      <c r="K2166" s="4">
        <v>80.900000000000006</v>
      </c>
      <c r="L2166" s="4">
        <v>77.099999999999994</v>
      </c>
      <c r="M2166" s="4">
        <v>65.2</v>
      </c>
      <c r="N2166">
        <v>0</v>
      </c>
      <c r="O2166" t="s">
        <v>58</v>
      </c>
      <c r="P2166" t="s">
        <v>92</v>
      </c>
      <c r="Q2166" t="s">
        <v>93</v>
      </c>
      <c r="R2166" t="s">
        <v>61</v>
      </c>
      <c r="S2166" s="3">
        <v>9.6999999999999993</v>
      </c>
      <c r="T2166" s="5">
        <v>45597</v>
      </c>
      <c r="U2166">
        <v>3</v>
      </c>
      <c r="V2166">
        <v>2024</v>
      </c>
      <c r="X2166">
        <f t="shared" si="99"/>
        <v>8.1897833999999996</v>
      </c>
      <c r="Y2166">
        <f t="shared" si="100"/>
        <v>9.6997833999999994</v>
      </c>
      <c r="Z2166">
        <f t="shared" si="101"/>
        <v>77.099783399999993</v>
      </c>
    </row>
    <row r="2167" spans="1:26" x14ac:dyDescent="0.3">
      <c r="A2167" t="s">
        <v>2257</v>
      </c>
      <c r="B2167" t="s">
        <v>67</v>
      </c>
      <c r="C2167" t="s">
        <v>101</v>
      </c>
      <c r="D2167" t="s">
        <v>57</v>
      </c>
      <c r="E2167">
        <v>23</v>
      </c>
      <c r="F2167" s="3">
        <v>7.69</v>
      </c>
      <c r="G2167" s="4">
        <v>76.099999999999994</v>
      </c>
      <c r="H2167">
        <v>2</v>
      </c>
      <c r="I2167">
        <v>5</v>
      </c>
      <c r="J2167">
        <v>2</v>
      </c>
      <c r="K2167" s="4">
        <v>63.1</v>
      </c>
      <c r="L2167" s="4">
        <v>86.7</v>
      </c>
      <c r="M2167" s="4">
        <v>70.400000000000006</v>
      </c>
      <c r="N2167">
        <v>0</v>
      </c>
      <c r="O2167" t="s">
        <v>58</v>
      </c>
      <c r="P2167" t="s">
        <v>75</v>
      </c>
      <c r="Q2167" t="s">
        <v>71</v>
      </c>
      <c r="R2167" t="s">
        <v>85</v>
      </c>
      <c r="S2167" s="3">
        <v>7.31</v>
      </c>
      <c r="T2167" s="5">
        <v>45196</v>
      </c>
      <c r="U2167">
        <v>1</v>
      </c>
      <c r="V2167">
        <v>2023</v>
      </c>
      <c r="X2167">
        <f t="shared" si="99"/>
        <v>7.6897833000000002</v>
      </c>
      <c r="Y2167">
        <f t="shared" si="100"/>
        <v>7.3097832999999994</v>
      </c>
      <c r="Z2167">
        <f t="shared" si="101"/>
        <v>86.699783300000007</v>
      </c>
    </row>
    <row r="2168" spans="1:26" x14ac:dyDescent="0.3">
      <c r="A2168" t="s">
        <v>2258</v>
      </c>
      <c r="B2168" t="s">
        <v>67</v>
      </c>
      <c r="C2168" t="s">
        <v>56</v>
      </c>
      <c r="D2168" t="s">
        <v>69</v>
      </c>
      <c r="E2168">
        <v>23</v>
      </c>
      <c r="F2168" s="3">
        <v>6.69</v>
      </c>
      <c r="G2168" s="4">
        <v>70.599999999999994</v>
      </c>
      <c r="H2168">
        <v>2</v>
      </c>
      <c r="I2168">
        <v>3</v>
      </c>
      <c r="J2168">
        <v>6</v>
      </c>
      <c r="K2168" s="4">
        <v>83.8</v>
      </c>
      <c r="L2168" s="4">
        <v>90.1</v>
      </c>
      <c r="M2168" s="4">
        <v>88.9</v>
      </c>
      <c r="N2168">
        <v>0</v>
      </c>
      <c r="O2168" t="s">
        <v>58</v>
      </c>
      <c r="P2168" t="s">
        <v>75</v>
      </c>
      <c r="Q2168" t="s">
        <v>71</v>
      </c>
      <c r="R2168" t="s">
        <v>109</v>
      </c>
      <c r="S2168" s="3">
        <v>5.24</v>
      </c>
      <c r="T2168" s="5">
        <v>45161</v>
      </c>
      <c r="U2168">
        <v>1</v>
      </c>
      <c r="V2168">
        <v>2023</v>
      </c>
      <c r="X2168">
        <f t="shared" si="99"/>
        <v>6.6897832000000008</v>
      </c>
      <c r="Y2168">
        <f t="shared" si="100"/>
        <v>5.2397832000000006</v>
      </c>
      <c r="Z2168">
        <f t="shared" si="101"/>
        <v>90.09978319999999</v>
      </c>
    </row>
    <row r="2169" spans="1:26" x14ac:dyDescent="0.3">
      <c r="A2169" t="s">
        <v>2259</v>
      </c>
      <c r="B2169" t="s">
        <v>63</v>
      </c>
      <c r="C2169" t="s">
        <v>68</v>
      </c>
      <c r="D2169" t="s">
        <v>57</v>
      </c>
      <c r="E2169">
        <v>22</v>
      </c>
      <c r="F2169" s="3">
        <v>6.74</v>
      </c>
      <c r="G2169" s="4">
        <v>76.599999999999994</v>
      </c>
      <c r="H2169">
        <v>1</v>
      </c>
      <c r="I2169">
        <v>3</v>
      </c>
      <c r="J2169">
        <v>3</v>
      </c>
      <c r="K2169" s="4">
        <v>70.900000000000006</v>
      </c>
      <c r="L2169" s="4">
        <v>82.4</v>
      </c>
      <c r="M2169" s="4">
        <v>70.8</v>
      </c>
      <c r="N2169">
        <v>0</v>
      </c>
      <c r="O2169" t="s">
        <v>58</v>
      </c>
      <c r="P2169" t="s">
        <v>92</v>
      </c>
      <c r="Q2169" t="s">
        <v>93</v>
      </c>
      <c r="R2169" t="s">
        <v>109</v>
      </c>
      <c r="S2169" s="3">
        <v>8.23</v>
      </c>
      <c r="T2169" s="5">
        <v>45883</v>
      </c>
      <c r="U2169">
        <v>1</v>
      </c>
      <c r="V2169">
        <v>2025</v>
      </c>
      <c r="X2169">
        <f t="shared" si="99"/>
        <v>6.7397831000000004</v>
      </c>
      <c r="Y2169">
        <f t="shared" si="100"/>
        <v>8.2297831000000006</v>
      </c>
      <c r="Z2169">
        <f t="shared" si="101"/>
        <v>82.399783100000008</v>
      </c>
    </row>
    <row r="2170" spans="1:26" x14ac:dyDescent="0.3">
      <c r="A2170" t="s">
        <v>2260</v>
      </c>
      <c r="B2170" t="s">
        <v>67</v>
      </c>
      <c r="C2170" t="s">
        <v>78</v>
      </c>
      <c r="D2170" t="s">
        <v>69</v>
      </c>
      <c r="E2170">
        <v>22</v>
      </c>
      <c r="F2170" s="3">
        <v>7.07</v>
      </c>
      <c r="G2170" s="4">
        <v>85.4</v>
      </c>
      <c r="H2170">
        <v>1</v>
      </c>
      <c r="I2170">
        <v>2</v>
      </c>
      <c r="J2170">
        <v>4</v>
      </c>
      <c r="K2170" s="4">
        <v>62.5</v>
      </c>
      <c r="L2170" s="4">
        <v>67.900000000000006</v>
      </c>
      <c r="M2170" s="4">
        <v>89.1</v>
      </c>
      <c r="N2170">
        <v>0</v>
      </c>
      <c r="O2170" t="s">
        <v>58</v>
      </c>
      <c r="P2170" t="s">
        <v>59</v>
      </c>
      <c r="Q2170" t="s">
        <v>60</v>
      </c>
      <c r="R2170" t="s">
        <v>80</v>
      </c>
      <c r="S2170" s="3">
        <v>18.55</v>
      </c>
      <c r="T2170" s="5">
        <v>45211</v>
      </c>
      <c r="U2170">
        <v>1</v>
      </c>
      <c r="V2170">
        <v>2023</v>
      </c>
      <c r="X2170">
        <f t="shared" si="99"/>
        <v>7.0697830000000002</v>
      </c>
      <c r="Y2170">
        <f t="shared" si="100"/>
        <v>18.549783000000001</v>
      </c>
      <c r="Z2170">
        <f t="shared" si="101"/>
        <v>67.899782999999999</v>
      </c>
    </row>
    <row r="2171" spans="1:26" x14ac:dyDescent="0.3">
      <c r="A2171" t="s">
        <v>2261</v>
      </c>
      <c r="B2171" t="s">
        <v>82</v>
      </c>
      <c r="C2171" t="s">
        <v>74</v>
      </c>
      <c r="D2171" t="s">
        <v>57</v>
      </c>
      <c r="E2171">
        <v>21</v>
      </c>
      <c r="F2171" s="3">
        <v>8.43</v>
      </c>
      <c r="G2171" s="4">
        <v>85.1</v>
      </c>
      <c r="H2171">
        <v>3</v>
      </c>
      <c r="I2171">
        <v>2</v>
      </c>
      <c r="J2171">
        <v>2</v>
      </c>
      <c r="K2171" s="4">
        <v>54.5</v>
      </c>
      <c r="L2171" s="4">
        <v>62</v>
      </c>
      <c r="M2171" s="4">
        <v>78.599999999999994</v>
      </c>
      <c r="N2171">
        <v>0</v>
      </c>
      <c r="O2171" t="s">
        <v>58</v>
      </c>
      <c r="P2171" t="s">
        <v>87</v>
      </c>
      <c r="Q2171" t="s">
        <v>71</v>
      </c>
      <c r="R2171" t="s">
        <v>85</v>
      </c>
      <c r="S2171" s="3">
        <v>5.7</v>
      </c>
      <c r="T2171" s="5">
        <v>44829</v>
      </c>
      <c r="U2171">
        <v>1</v>
      </c>
      <c r="V2171">
        <v>2022</v>
      </c>
      <c r="X2171">
        <f t="shared" si="99"/>
        <v>8.4297828999999993</v>
      </c>
      <c r="Y2171">
        <f t="shared" si="100"/>
        <v>5.6997828999999998</v>
      </c>
      <c r="Z2171">
        <f t="shared" si="101"/>
        <v>61.9997829</v>
      </c>
    </row>
    <row r="2172" spans="1:26" x14ac:dyDescent="0.3">
      <c r="A2172" t="s">
        <v>2262</v>
      </c>
      <c r="B2172" t="s">
        <v>82</v>
      </c>
      <c r="C2172" t="s">
        <v>89</v>
      </c>
      <c r="D2172" t="s">
        <v>57</v>
      </c>
      <c r="E2172">
        <v>21</v>
      </c>
      <c r="F2172" s="3">
        <v>9.24</v>
      </c>
      <c r="G2172" s="4">
        <v>88</v>
      </c>
      <c r="H2172">
        <v>2</v>
      </c>
      <c r="I2172">
        <v>3</v>
      </c>
      <c r="J2172">
        <v>3</v>
      </c>
      <c r="K2172" s="4">
        <v>51.6</v>
      </c>
      <c r="L2172" s="4">
        <v>50.6</v>
      </c>
      <c r="M2172" s="4">
        <v>70.599999999999994</v>
      </c>
      <c r="N2172">
        <v>0</v>
      </c>
      <c r="O2172" t="s">
        <v>58</v>
      </c>
      <c r="P2172" t="s">
        <v>104</v>
      </c>
      <c r="Q2172" t="s">
        <v>105</v>
      </c>
      <c r="R2172" t="s">
        <v>61</v>
      </c>
      <c r="S2172" s="3">
        <v>16.510000000000002</v>
      </c>
      <c r="T2172" s="5">
        <v>44852</v>
      </c>
      <c r="U2172">
        <v>3</v>
      </c>
      <c r="V2172">
        <v>2022</v>
      </c>
      <c r="X2172">
        <f t="shared" si="99"/>
        <v>9.2397828000000004</v>
      </c>
      <c r="Y2172">
        <f t="shared" si="100"/>
        <v>16.5097828</v>
      </c>
      <c r="Z2172">
        <f t="shared" si="101"/>
        <v>50.5997828</v>
      </c>
    </row>
    <row r="2173" spans="1:26" x14ac:dyDescent="0.3">
      <c r="A2173" t="s">
        <v>2263</v>
      </c>
      <c r="B2173" t="s">
        <v>107</v>
      </c>
      <c r="C2173" t="s">
        <v>101</v>
      </c>
      <c r="D2173" t="s">
        <v>57</v>
      </c>
      <c r="E2173">
        <v>21</v>
      </c>
      <c r="F2173" s="3">
        <v>7.95</v>
      </c>
      <c r="G2173" s="4">
        <v>73.7</v>
      </c>
      <c r="H2173">
        <v>2</v>
      </c>
      <c r="I2173">
        <v>1</v>
      </c>
      <c r="J2173">
        <v>3</v>
      </c>
      <c r="K2173" s="4">
        <v>70.599999999999994</v>
      </c>
      <c r="L2173" s="4">
        <v>72.5</v>
      </c>
      <c r="M2173" s="4">
        <v>61.8</v>
      </c>
      <c r="N2173">
        <v>0</v>
      </c>
      <c r="O2173" t="s">
        <v>58</v>
      </c>
      <c r="P2173" t="s">
        <v>92</v>
      </c>
      <c r="Q2173" t="s">
        <v>93</v>
      </c>
      <c r="R2173" t="s">
        <v>130</v>
      </c>
      <c r="S2173" s="3">
        <v>9.1</v>
      </c>
      <c r="T2173" s="5">
        <v>44510</v>
      </c>
      <c r="U2173">
        <v>1</v>
      </c>
      <c r="V2173">
        <v>2021</v>
      </c>
      <c r="X2173">
        <f t="shared" si="99"/>
        <v>7.9497827000000001</v>
      </c>
      <c r="Y2173">
        <f t="shared" si="100"/>
        <v>9.0997827000000004</v>
      </c>
      <c r="Z2173">
        <f t="shared" si="101"/>
        <v>72.499782699999997</v>
      </c>
    </row>
    <row r="2174" spans="1:26" x14ac:dyDescent="0.3">
      <c r="A2174" t="s">
        <v>2264</v>
      </c>
      <c r="B2174" t="s">
        <v>82</v>
      </c>
      <c r="C2174" t="s">
        <v>56</v>
      </c>
      <c r="D2174" t="s">
        <v>57</v>
      </c>
      <c r="E2174">
        <v>22</v>
      </c>
      <c r="F2174" s="3">
        <v>7.12</v>
      </c>
      <c r="G2174" s="4">
        <v>75</v>
      </c>
      <c r="H2174">
        <v>1</v>
      </c>
      <c r="I2174">
        <v>0</v>
      </c>
      <c r="J2174">
        <v>3</v>
      </c>
      <c r="K2174" s="4">
        <v>73.099999999999994</v>
      </c>
      <c r="L2174" s="4">
        <v>87.7</v>
      </c>
      <c r="M2174" s="4">
        <v>72.599999999999994</v>
      </c>
      <c r="N2174">
        <v>0</v>
      </c>
      <c r="O2174" t="s">
        <v>58</v>
      </c>
      <c r="P2174" t="s">
        <v>87</v>
      </c>
      <c r="Q2174" t="s">
        <v>71</v>
      </c>
      <c r="R2174" t="s">
        <v>61</v>
      </c>
      <c r="S2174" s="3">
        <v>7.16</v>
      </c>
      <c r="T2174" s="5">
        <v>44798</v>
      </c>
      <c r="U2174">
        <v>2</v>
      </c>
      <c r="V2174">
        <v>2022</v>
      </c>
      <c r="X2174">
        <f t="shared" si="99"/>
        <v>7.1197825999999997</v>
      </c>
      <c r="Y2174">
        <f t="shared" si="100"/>
        <v>7.1597825999999998</v>
      </c>
      <c r="Z2174">
        <f t="shared" si="101"/>
        <v>87.699782600000006</v>
      </c>
    </row>
    <row r="2175" spans="1:26" x14ac:dyDescent="0.3">
      <c r="A2175" t="s">
        <v>2265</v>
      </c>
      <c r="B2175" t="s">
        <v>67</v>
      </c>
      <c r="C2175" t="s">
        <v>84</v>
      </c>
      <c r="D2175" t="s">
        <v>57</v>
      </c>
      <c r="E2175">
        <v>21</v>
      </c>
      <c r="F2175" s="3">
        <v>7.21</v>
      </c>
      <c r="G2175" s="4">
        <v>87</v>
      </c>
      <c r="H2175">
        <v>2</v>
      </c>
      <c r="I2175">
        <v>3</v>
      </c>
      <c r="J2175">
        <v>3</v>
      </c>
      <c r="K2175" s="4">
        <v>56.2</v>
      </c>
      <c r="L2175" s="4">
        <v>55.6</v>
      </c>
      <c r="M2175" s="4">
        <v>69.2</v>
      </c>
      <c r="N2175">
        <v>1</v>
      </c>
      <c r="O2175" t="s">
        <v>64</v>
      </c>
      <c r="P2175" t="s">
        <v>65</v>
      </c>
      <c r="S2175" s="3">
        <v>0</v>
      </c>
      <c r="T2175" s="5"/>
      <c r="U2175">
        <v>0</v>
      </c>
      <c r="V2175">
        <v>2023</v>
      </c>
      <c r="X2175">
        <f t="shared" si="99"/>
        <v>7.2097825000000002</v>
      </c>
      <c r="Y2175">
        <f t="shared" si="100"/>
        <v>-2.175E-4</v>
      </c>
      <c r="Z2175">
        <f t="shared" si="101"/>
        <v>55.599782500000003</v>
      </c>
    </row>
    <row r="2176" spans="1:26" x14ac:dyDescent="0.3">
      <c r="A2176" t="s">
        <v>2266</v>
      </c>
      <c r="B2176" t="s">
        <v>82</v>
      </c>
      <c r="C2176" t="s">
        <v>68</v>
      </c>
      <c r="D2176" t="s">
        <v>57</v>
      </c>
      <c r="E2176">
        <v>22</v>
      </c>
      <c r="F2176" s="3">
        <v>7.25</v>
      </c>
      <c r="G2176" s="4">
        <v>99.9</v>
      </c>
      <c r="H2176">
        <v>2</v>
      </c>
      <c r="I2176">
        <v>4</v>
      </c>
      <c r="J2176">
        <v>3</v>
      </c>
      <c r="K2176" s="4">
        <v>51.1</v>
      </c>
      <c r="L2176" s="4">
        <v>53.9</v>
      </c>
      <c r="M2176" s="4">
        <v>88.2</v>
      </c>
      <c r="N2176">
        <v>0</v>
      </c>
      <c r="O2176" t="s">
        <v>58</v>
      </c>
      <c r="P2176" t="s">
        <v>112</v>
      </c>
      <c r="Q2176" t="s">
        <v>93</v>
      </c>
      <c r="R2176" t="s">
        <v>109</v>
      </c>
      <c r="S2176" s="3">
        <v>5.58</v>
      </c>
      <c r="T2176" s="5">
        <v>44880</v>
      </c>
      <c r="U2176">
        <v>1</v>
      </c>
      <c r="V2176">
        <v>2022</v>
      </c>
      <c r="X2176">
        <f t="shared" si="99"/>
        <v>7.2497824</v>
      </c>
      <c r="Y2176">
        <f t="shared" si="100"/>
        <v>5.5797824</v>
      </c>
      <c r="Z2176">
        <f t="shared" si="101"/>
        <v>53.899782399999999</v>
      </c>
    </row>
    <row r="2177" spans="1:26" x14ac:dyDescent="0.3">
      <c r="A2177" t="s">
        <v>2267</v>
      </c>
      <c r="B2177" t="s">
        <v>63</v>
      </c>
      <c r="C2177" t="s">
        <v>74</v>
      </c>
      <c r="D2177" t="s">
        <v>69</v>
      </c>
      <c r="E2177">
        <v>21</v>
      </c>
      <c r="F2177" s="3">
        <v>8.59</v>
      </c>
      <c r="G2177" s="4">
        <v>72.099999999999994</v>
      </c>
      <c r="H2177">
        <v>1</v>
      </c>
      <c r="I2177">
        <v>2</v>
      </c>
      <c r="J2177">
        <v>2</v>
      </c>
      <c r="K2177" s="4">
        <v>77.8</v>
      </c>
      <c r="L2177" s="4">
        <v>97</v>
      </c>
      <c r="M2177" s="4">
        <v>97.6</v>
      </c>
      <c r="N2177">
        <v>0</v>
      </c>
      <c r="O2177" t="s">
        <v>58</v>
      </c>
      <c r="P2177" t="s">
        <v>79</v>
      </c>
      <c r="Q2177" t="s">
        <v>71</v>
      </c>
      <c r="R2177" t="s">
        <v>85</v>
      </c>
      <c r="S2177" s="3">
        <v>8.08</v>
      </c>
      <c r="T2177" s="5">
        <v>45955</v>
      </c>
      <c r="U2177">
        <v>1</v>
      </c>
      <c r="V2177">
        <v>2025</v>
      </c>
      <c r="X2177">
        <f t="shared" si="99"/>
        <v>8.5897822999999995</v>
      </c>
      <c r="Y2177">
        <f t="shared" si="100"/>
        <v>8.0797822999999998</v>
      </c>
      <c r="Z2177">
        <f t="shared" si="101"/>
        <v>96.999782300000007</v>
      </c>
    </row>
    <row r="2178" spans="1:26" x14ac:dyDescent="0.3">
      <c r="A2178" t="s">
        <v>2268</v>
      </c>
      <c r="B2178" t="s">
        <v>107</v>
      </c>
      <c r="C2178" t="s">
        <v>68</v>
      </c>
      <c r="D2178" t="s">
        <v>69</v>
      </c>
      <c r="E2178">
        <v>20</v>
      </c>
      <c r="F2178" s="3">
        <v>7.24</v>
      </c>
      <c r="G2178" s="4">
        <v>81.3</v>
      </c>
      <c r="H2178">
        <v>2</v>
      </c>
      <c r="I2178">
        <v>2</v>
      </c>
      <c r="J2178">
        <v>4</v>
      </c>
      <c r="K2178" s="4">
        <v>78.400000000000006</v>
      </c>
      <c r="L2178" s="4">
        <v>66.2</v>
      </c>
      <c r="M2178" s="4">
        <v>86.4</v>
      </c>
      <c r="N2178">
        <v>0</v>
      </c>
      <c r="O2178" t="s">
        <v>58</v>
      </c>
      <c r="P2178" t="s">
        <v>112</v>
      </c>
      <c r="Q2178" t="s">
        <v>93</v>
      </c>
      <c r="R2178" t="s">
        <v>80</v>
      </c>
      <c r="S2178" s="3">
        <v>6.68</v>
      </c>
      <c r="T2178" s="5">
        <v>44479</v>
      </c>
      <c r="U2178">
        <v>1</v>
      </c>
      <c r="V2178">
        <v>2021</v>
      </c>
      <c r="X2178">
        <f t="shared" ref="X2178:X2241" si="102">F2178-ROW()*0.0000001</f>
        <v>7.2397822000000005</v>
      </c>
      <c r="Y2178">
        <f t="shared" ref="Y2178:Y2241" si="103">S2178-ROW()*0.0000001</f>
        <v>6.6797822</v>
      </c>
      <c r="Z2178">
        <f t="shared" ref="Z2178:Z2241" si="104">L2178-ROW()*0.0000001</f>
        <v>66.199782200000001</v>
      </c>
    </row>
    <row r="2179" spans="1:26" x14ac:dyDescent="0.3">
      <c r="A2179" t="s">
        <v>2269</v>
      </c>
      <c r="B2179" t="s">
        <v>67</v>
      </c>
      <c r="C2179" t="s">
        <v>74</v>
      </c>
      <c r="D2179" t="s">
        <v>57</v>
      </c>
      <c r="E2179">
        <v>20</v>
      </c>
      <c r="F2179" s="3">
        <v>7.61</v>
      </c>
      <c r="G2179" s="4">
        <v>78.8</v>
      </c>
      <c r="H2179">
        <v>1</v>
      </c>
      <c r="I2179">
        <v>2</v>
      </c>
      <c r="J2179">
        <v>5</v>
      </c>
      <c r="K2179" s="4">
        <v>56.4</v>
      </c>
      <c r="L2179" s="4">
        <v>44.2</v>
      </c>
      <c r="M2179" s="4">
        <v>65.099999999999994</v>
      </c>
      <c r="N2179">
        <v>0</v>
      </c>
      <c r="O2179" t="s">
        <v>58</v>
      </c>
      <c r="P2179" t="s">
        <v>79</v>
      </c>
      <c r="Q2179" t="s">
        <v>71</v>
      </c>
      <c r="R2179" t="s">
        <v>76</v>
      </c>
      <c r="S2179" s="3">
        <v>5.16</v>
      </c>
      <c r="T2179" s="5">
        <v>45156</v>
      </c>
      <c r="U2179">
        <v>2</v>
      </c>
      <c r="V2179">
        <v>2023</v>
      </c>
      <c r="X2179">
        <f t="shared" si="102"/>
        <v>7.6097821000000003</v>
      </c>
      <c r="Y2179">
        <f t="shared" si="103"/>
        <v>5.1597821000000001</v>
      </c>
      <c r="Z2179">
        <f t="shared" si="104"/>
        <v>44.1997821</v>
      </c>
    </row>
    <row r="2180" spans="1:26" x14ac:dyDescent="0.3">
      <c r="A2180" t="s">
        <v>2270</v>
      </c>
      <c r="B2180" t="s">
        <v>107</v>
      </c>
      <c r="C2180" t="s">
        <v>78</v>
      </c>
      <c r="D2180" t="s">
        <v>69</v>
      </c>
      <c r="E2180">
        <v>21</v>
      </c>
      <c r="F2180" s="3">
        <v>8.86</v>
      </c>
      <c r="G2180" s="4">
        <v>83.3</v>
      </c>
      <c r="H2180">
        <v>0</v>
      </c>
      <c r="I2180">
        <v>2</v>
      </c>
      <c r="J2180">
        <v>5</v>
      </c>
      <c r="K2180" s="4">
        <v>65.400000000000006</v>
      </c>
      <c r="L2180" s="4">
        <v>48.2</v>
      </c>
      <c r="M2180" s="4">
        <v>74.7</v>
      </c>
      <c r="N2180">
        <v>0</v>
      </c>
      <c r="O2180" t="s">
        <v>58</v>
      </c>
      <c r="P2180" t="s">
        <v>95</v>
      </c>
      <c r="Q2180" t="s">
        <v>93</v>
      </c>
      <c r="R2180" t="s">
        <v>85</v>
      </c>
      <c r="S2180" s="3">
        <v>6.5</v>
      </c>
      <c r="T2180" s="5">
        <v>44425</v>
      </c>
      <c r="U2180">
        <v>2</v>
      </c>
      <c r="V2180">
        <v>2021</v>
      </c>
      <c r="X2180">
        <f t="shared" si="102"/>
        <v>8.8597819999999992</v>
      </c>
      <c r="Y2180">
        <f t="shared" si="103"/>
        <v>6.4997819999999997</v>
      </c>
      <c r="Z2180">
        <f t="shared" si="104"/>
        <v>48.199782000000006</v>
      </c>
    </row>
    <row r="2181" spans="1:26" x14ac:dyDescent="0.3">
      <c r="A2181" t="s">
        <v>2271</v>
      </c>
      <c r="B2181" t="s">
        <v>67</v>
      </c>
      <c r="C2181" t="s">
        <v>101</v>
      </c>
      <c r="D2181" t="s">
        <v>57</v>
      </c>
      <c r="E2181">
        <v>20</v>
      </c>
      <c r="F2181" s="3">
        <v>7.14</v>
      </c>
      <c r="G2181" s="4">
        <v>71.2</v>
      </c>
      <c r="H2181">
        <v>2</v>
      </c>
      <c r="I2181">
        <v>2</v>
      </c>
      <c r="J2181">
        <v>4</v>
      </c>
      <c r="K2181" s="4">
        <v>75.2</v>
      </c>
      <c r="L2181" s="4">
        <v>76.599999999999994</v>
      </c>
      <c r="M2181" s="4">
        <v>71.3</v>
      </c>
      <c r="N2181">
        <v>0</v>
      </c>
      <c r="O2181" t="s">
        <v>58</v>
      </c>
      <c r="P2181" t="s">
        <v>95</v>
      </c>
      <c r="Q2181" t="s">
        <v>93</v>
      </c>
      <c r="R2181" t="s">
        <v>80</v>
      </c>
      <c r="S2181" s="3">
        <v>6.95</v>
      </c>
      <c r="T2181" s="5">
        <v>45152</v>
      </c>
      <c r="U2181">
        <v>1</v>
      </c>
      <c r="V2181">
        <v>2023</v>
      </c>
      <c r="X2181">
        <f t="shared" si="102"/>
        <v>7.1397819</v>
      </c>
      <c r="Y2181">
        <f t="shared" si="103"/>
        <v>6.9497819000000005</v>
      </c>
      <c r="Z2181">
        <f t="shared" si="104"/>
        <v>76.599781899999996</v>
      </c>
    </row>
    <row r="2182" spans="1:26" x14ac:dyDescent="0.3">
      <c r="A2182" t="s">
        <v>2272</v>
      </c>
      <c r="B2182" t="s">
        <v>63</v>
      </c>
      <c r="C2182" t="s">
        <v>101</v>
      </c>
      <c r="D2182" t="s">
        <v>57</v>
      </c>
      <c r="E2182">
        <v>22</v>
      </c>
      <c r="F2182" s="3">
        <v>8.15</v>
      </c>
      <c r="G2182" s="4">
        <v>82.8</v>
      </c>
      <c r="H2182">
        <v>0</v>
      </c>
      <c r="I2182">
        <v>4</v>
      </c>
      <c r="J2182">
        <v>3</v>
      </c>
      <c r="K2182" s="4">
        <v>52.6</v>
      </c>
      <c r="L2182" s="4">
        <v>62.9</v>
      </c>
      <c r="M2182" s="4">
        <v>66.900000000000006</v>
      </c>
      <c r="N2182">
        <v>0</v>
      </c>
      <c r="O2182" t="s">
        <v>58</v>
      </c>
      <c r="P2182" t="s">
        <v>59</v>
      </c>
      <c r="Q2182" t="s">
        <v>60</v>
      </c>
      <c r="R2182" t="s">
        <v>85</v>
      </c>
      <c r="S2182" s="3">
        <v>18.399999999999999</v>
      </c>
      <c r="T2182" s="5">
        <v>45895</v>
      </c>
      <c r="U2182">
        <v>3</v>
      </c>
      <c r="V2182">
        <v>2025</v>
      </c>
      <c r="X2182">
        <f t="shared" si="102"/>
        <v>8.1497817999999995</v>
      </c>
      <c r="Y2182">
        <f t="shared" si="103"/>
        <v>18.3997818</v>
      </c>
      <c r="Z2182">
        <f t="shared" si="104"/>
        <v>62.8997818</v>
      </c>
    </row>
    <row r="2183" spans="1:26" x14ac:dyDescent="0.3">
      <c r="A2183" t="s">
        <v>2273</v>
      </c>
      <c r="B2183" t="s">
        <v>107</v>
      </c>
      <c r="C2183" t="s">
        <v>84</v>
      </c>
      <c r="D2183" t="s">
        <v>57</v>
      </c>
      <c r="E2183">
        <v>23</v>
      </c>
      <c r="F2183" s="3">
        <v>8.4600000000000009</v>
      </c>
      <c r="G2183" s="4">
        <v>93</v>
      </c>
      <c r="H2183">
        <v>1</v>
      </c>
      <c r="I2183">
        <v>2</v>
      </c>
      <c r="J2183">
        <v>4</v>
      </c>
      <c r="K2183" s="4">
        <v>55.7</v>
      </c>
      <c r="L2183" s="4">
        <v>77.2</v>
      </c>
      <c r="M2183" s="4">
        <v>72.900000000000006</v>
      </c>
      <c r="N2183">
        <v>2</v>
      </c>
      <c r="O2183" t="s">
        <v>58</v>
      </c>
      <c r="P2183" t="s">
        <v>112</v>
      </c>
      <c r="Q2183" t="s">
        <v>93</v>
      </c>
      <c r="R2183" t="s">
        <v>72</v>
      </c>
      <c r="S2183" s="3">
        <v>6.21</v>
      </c>
      <c r="T2183" s="5">
        <v>44512</v>
      </c>
      <c r="U2183">
        <v>1</v>
      </c>
      <c r="V2183">
        <v>2021</v>
      </c>
      <c r="X2183">
        <f t="shared" si="102"/>
        <v>8.4597817000000006</v>
      </c>
      <c r="Y2183">
        <f t="shared" si="103"/>
        <v>6.2097816999999997</v>
      </c>
      <c r="Z2183">
        <f t="shared" si="104"/>
        <v>77.199781700000003</v>
      </c>
    </row>
    <row r="2184" spans="1:26" x14ac:dyDescent="0.3">
      <c r="A2184" t="s">
        <v>2274</v>
      </c>
      <c r="B2184" t="s">
        <v>55</v>
      </c>
      <c r="C2184" t="s">
        <v>101</v>
      </c>
      <c r="D2184" t="s">
        <v>69</v>
      </c>
      <c r="E2184">
        <v>20</v>
      </c>
      <c r="F2184" s="3">
        <v>7.71</v>
      </c>
      <c r="G2184" s="4">
        <v>67.400000000000006</v>
      </c>
      <c r="H2184">
        <v>2</v>
      </c>
      <c r="I2184">
        <v>0</v>
      </c>
      <c r="J2184">
        <v>3</v>
      </c>
      <c r="K2184" s="4">
        <v>79.5</v>
      </c>
      <c r="L2184" s="4">
        <v>66.7</v>
      </c>
      <c r="M2184" s="4">
        <v>72.400000000000006</v>
      </c>
      <c r="N2184">
        <v>3</v>
      </c>
      <c r="O2184" t="s">
        <v>58</v>
      </c>
      <c r="P2184" t="s">
        <v>87</v>
      </c>
      <c r="Q2184" t="s">
        <v>71</v>
      </c>
      <c r="R2184" t="s">
        <v>109</v>
      </c>
      <c r="S2184" s="3">
        <v>5.87</v>
      </c>
      <c r="T2184" s="5">
        <v>45536</v>
      </c>
      <c r="U2184">
        <v>2</v>
      </c>
      <c r="V2184">
        <v>2024</v>
      </c>
      <c r="X2184">
        <f t="shared" si="102"/>
        <v>7.7097816000000003</v>
      </c>
      <c r="Y2184">
        <f t="shared" si="103"/>
        <v>5.8697816000000005</v>
      </c>
      <c r="Z2184">
        <f t="shared" si="104"/>
        <v>66.699781600000009</v>
      </c>
    </row>
    <row r="2185" spans="1:26" x14ac:dyDescent="0.3">
      <c r="A2185" t="s">
        <v>2275</v>
      </c>
      <c r="B2185" t="s">
        <v>67</v>
      </c>
      <c r="C2185" t="s">
        <v>89</v>
      </c>
      <c r="D2185" t="s">
        <v>57</v>
      </c>
      <c r="E2185">
        <v>23</v>
      </c>
      <c r="F2185" s="3">
        <v>9.41</v>
      </c>
      <c r="G2185" s="4">
        <v>91</v>
      </c>
      <c r="H2185">
        <v>2</v>
      </c>
      <c r="I2185">
        <v>3</v>
      </c>
      <c r="J2185">
        <v>2</v>
      </c>
      <c r="K2185" s="4">
        <v>55.5</v>
      </c>
      <c r="L2185" s="4">
        <v>73.2</v>
      </c>
      <c r="M2185" s="4">
        <v>96</v>
      </c>
      <c r="N2185">
        <v>3</v>
      </c>
      <c r="O2185" t="s">
        <v>58</v>
      </c>
      <c r="P2185" t="s">
        <v>112</v>
      </c>
      <c r="Q2185" t="s">
        <v>93</v>
      </c>
      <c r="R2185" t="s">
        <v>72</v>
      </c>
      <c r="S2185" s="3">
        <v>8.4</v>
      </c>
      <c r="T2185" s="5">
        <v>45231</v>
      </c>
      <c r="U2185">
        <v>2</v>
      </c>
      <c r="V2185">
        <v>2023</v>
      </c>
      <c r="X2185">
        <f t="shared" si="102"/>
        <v>9.4097814999999994</v>
      </c>
      <c r="Y2185">
        <f t="shared" si="103"/>
        <v>8.3997814999999996</v>
      </c>
      <c r="Z2185">
        <f t="shared" si="104"/>
        <v>73.1997815</v>
      </c>
    </row>
    <row r="2186" spans="1:26" x14ac:dyDescent="0.3">
      <c r="A2186" t="s">
        <v>2276</v>
      </c>
      <c r="B2186" t="s">
        <v>55</v>
      </c>
      <c r="C2186" t="s">
        <v>74</v>
      </c>
      <c r="D2186" t="s">
        <v>69</v>
      </c>
      <c r="E2186">
        <v>20</v>
      </c>
      <c r="F2186" s="3">
        <v>9.15</v>
      </c>
      <c r="G2186" s="4">
        <v>71.2</v>
      </c>
      <c r="H2186">
        <v>1</v>
      </c>
      <c r="I2186">
        <v>1</v>
      </c>
      <c r="J2186">
        <v>3</v>
      </c>
      <c r="K2186" s="4">
        <v>69</v>
      </c>
      <c r="L2186" s="4">
        <v>96.5</v>
      </c>
      <c r="M2186" s="4">
        <v>77.900000000000006</v>
      </c>
      <c r="N2186">
        <v>0</v>
      </c>
      <c r="O2186" t="s">
        <v>58</v>
      </c>
      <c r="P2186" t="s">
        <v>112</v>
      </c>
      <c r="Q2186" t="s">
        <v>93</v>
      </c>
      <c r="R2186" t="s">
        <v>130</v>
      </c>
      <c r="S2186" s="3">
        <v>8.7100000000000009</v>
      </c>
      <c r="T2186" s="5">
        <v>45608</v>
      </c>
      <c r="U2186">
        <v>1</v>
      </c>
      <c r="V2186">
        <v>2024</v>
      </c>
      <c r="X2186">
        <f t="shared" si="102"/>
        <v>9.1497814000000002</v>
      </c>
      <c r="Y2186">
        <f t="shared" si="103"/>
        <v>8.7097814000000007</v>
      </c>
      <c r="Z2186">
        <f t="shared" si="104"/>
        <v>96.499781400000003</v>
      </c>
    </row>
    <row r="2187" spans="1:26" x14ac:dyDescent="0.3">
      <c r="A2187" t="s">
        <v>2277</v>
      </c>
      <c r="B2187" t="s">
        <v>107</v>
      </c>
      <c r="C2187" t="s">
        <v>68</v>
      </c>
      <c r="D2187" t="s">
        <v>57</v>
      </c>
      <c r="E2187">
        <v>22</v>
      </c>
      <c r="F2187" s="3">
        <v>7.89</v>
      </c>
      <c r="G2187" s="4">
        <v>84.3</v>
      </c>
      <c r="H2187">
        <v>3</v>
      </c>
      <c r="I2187">
        <v>3</v>
      </c>
      <c r="J2187">
        <v>2</v>
      </c>
      <c r="K2187" s="4">
        <v>69.400000000000006</v>
      </c>
      <c r="L2187" s="4">
        <v>67.2</v>
      </c>
      <c r="M2187" s="4">
        <v>83.9</v>
      </c>
      <c r="N2187">
        <v>0</v>
      </c>
      <c r="O2187" t="s">
        <v>58</v>
      </c>
      <c r="P2187" t="s">
        <v>87</v>
      </c>
      <c r="Q2187" t="s">
        <v>71</v>
      </c>
      <c r="R2187" t="s">
        <v>109</v>
      </c>
      <c r="S2187" s="3">
        <v>8.3800000000000008</v>
      </c>
      <c r="T2187" s="5">
        <v>44467</v>
      </c>
      <c r="U2187">
        <v>2</v>
      </c>
      <c r="V2187">
        <v>2021</v>
      </c>
      <c r="X2187">
        <f t="shared" si="102"/>
        <v>7.8897813000000001</v>
      </c>
      <c r="Y2187">
        <f t="shared" si="103"/>
        <v>8.3797813000000012</v>
      </c>
      <c r="Z2187">
        <f t="shared" si="104"/>
        <v>67.199781299999998</v>
      </c>
    </row>
    <row r="2188" spans="1:26" x14ac:dyDescent="0.3">
      <c r="A2188" t="s">
        <v>2278</v>
      </c>
      <c r="B2188" t="s">
        <v>55</v>
      </c>
      <c r="C2188" t="s">
        <v>56</v>
      </c>
      <c r="D2188" t="s">
        <v>57</v>
      </c>
      <c r="E2188">
        <v>20</v>
      </c>
      <c r="F2188" s="3">
        <v>6.93</v>
      </c>
      <c r="G2188" s="4">
        <v>86.4</v>
      </c>
      <c r="H2188">
        <v>1</v>
      </c>
      <c r="I2188">
        <v>2</v>
      </c>
      <c r="J2188">
        <v>2</v>
      </c>
      <c r="K2188" s="4">
        <v>51.2</v>
      </c>
      <c r="L2188" s="4">
        <v>87.7</v>
      </c>
      <c r="M2188" s="4">
        <v>86.6</v>
      </c>
      <c r="N2188">
        <v>0</v>
      </c>
      <c r="O2188" t="s">
        <v>58</v>
      </c>
      <c r="P2188" t="s">
        <v>75</v>
      </c>
      <c r="Q2188" t="s">
        <v>71</v>
      </c>
      <c r="R2188" t="s">
        <v>130</v>
      </c>
      <c r="S2188" s="3">
        <v>7.64</v>
      </c>
      <c r="T2188" s="5">
        <v>45575</v>
      </c>
      <c r="U2188">
        <v>1</v>
      </c>
      <c r="V2188">
        <v>2024</v>
      </c>
      <c r="X2188">
        <f t="shared" si="102"/>
        <v>6.9297811999999999</v>
      </c>
      <c r="Y2188">
        <f t="shared" si="103"/>
        <v>7.6397811999999998</v>
      </c>
      <c r="Z2188">
        <f t="shared" si="104"/>
        <v>87.699781200000004</v>
      </c>
    </row>
    <row r="2189" spans="1:26" x14ac:dyDescent="0.3">
      <c r="A2189" t="s">
        <v>2279</v>
      </c>
      <c r="B2189" t="s">
        <v>55</v>
      </c>
      <c r="C2189" t="s">
        <v>78</v>
      </c>
      <c r="D2189" t="s">
        <v>57</v>
      </c>
      <c r="E2189">
        <v>20</v>
      </c>
      <c r="F2189" s="3">
        <v>6.97</v>
      </c>
      <c r="G2189" s="4">
        <v>85.4</v>
      </c>
      <c r="H2189">
        <v>3</v>
      </c>
      <c r="I2189">
        <v>3</v>
      </c>
      <c r="J2189">
        <v>1</v>
      </c>
      <c r="K2189" s="4">
        <v>81.8</v>
      </c>
      <c r="L2189" s="4">
        <v>71.7</v>
      </c>
      <c r="M2189" s="4">
        <v>83.1</v>
      </c>
      <c r="N2189">
        <v>0</v>
      </c>
      <c r="O2189" t="s">
        <v>58</v>
      </c>
      <c r="P2189" t="s">
        <v>59</v>
      </c>
      <c r="Q2189" t="s">
        <v>60</v>
      </c>
      <c r="R2189" t="s">
        <v>76</v>
      </c>
      <c r="S2189" s="3">
        <v>19.64</v>
      </c>
      <c r="T2189" s="5">
        <v>45561</v>
      </c>
      <c r="U2189">
        <v>3</v>
      </c>
      <c r="V2189">
        <v>2024</v>
      </c>
      <c r="X2189">
        <f t="shared" si="102"/>
        <v>6.9697810999999996</v>
      </c>
      <c r="Y2189">
        <f t="shared" si="103"/>
        <v>19.6397811</v>
      </c>
      <c r="Z2189">
        <f t="shared" si="104"/>
        <v>71.69978110000001</v>
      </c>
    </row>
    <row r="2190" spans="1:26" x14ac:dyDescent="0.3">
      <c r="A2190" t="s">
        <v>2280</v>
      </c>
      <c r="B2190" t="s">
        <v>107</v>
      </c>
      <c r="C2190" t="s">
        <v>68</v>
      </c>
      <c r="D2190" t="s">
        <v>69</v>
      </c>
      <c r="E2190">
        <v>21</v>
      </c>
      <c r="F2190" s="3">
        <v>7.84</v>
      </c>
      <c r="G2190" s="4">
        <v>79</v>
      </c>
      <c r="H2190">
        <v>2</v>
      </c>
      <c r="I2190">
        <v>0</v>
      </c>
      <c r="J2190">
        <v>3</v>
      </c>
      <c r="K2190" s="4">
        <v>46.2</v>
      </c>
      <c r="L2190" s="4">
        <v>52.7</v>
      </c>
      <c r="M2190" s="4">
        <v>90.4</v>
      </c>
      <c r="N2190">
        <v>0</v>
      </c>
      <c r="O2190" t="s">
        <v>64</v>
      </c>
      <c r="P2190" t="s">
        <v>65</v>
      </c>
      <c r="S2190" s="3">
        <v>0</v>
      </c>
      <c r="T2190" s="5"/>
      <c r="U2190">
        <v>0</v>
      </c>
      <c r="V2190">
        <v>2021</v>
      </c>
      <c r="X2190">
        <f t="shared" si="102"/>
        <v>7.8397809999999994</v>
      </c>
      <c r="Y2190">
        <f t="shared" si="103"/>
        <v>-2.1899999999999998E-4</v>
      </c>
      <c r="Z2190">
        <f t="shared" si="104"/>
        <v>52.699781000000002</v>
      </c>
    </row>
    <row r="2191" spans="1:26" x14ac:dyDescent="0.3">
      <c r="A2191" t="s">
        <v>2281</v>
      </c>
      <c r="B2191" t="s">
        <v>63</v>
      </c>
      <c r="C2191" t="s">
        <v>56</v>
      </c>
      <c r="D2191" t="s">
        <v>69</v>
      </c>
      <c r="E2191">
        <v>23</v>
      </c>
      <c r="F2191" s="3">
        <v>6.67</v>
      </c>
      <c r="G2191" s="4">
        <v>88</v>
      </c>
      <c r="H2191">
        <v>1</v>
      </c>
      <c r="I2191">
        <v>0</v>
      </c>
      <c r="J2191">
        <v>3</v>
      </c>
      <c r="K2191" s="4">
        <v>71.900000000000006</v>
      </c>
      <c r="L2191" s="4">
        <v>99.6</v>
      </c>
      <c r="M2191" s="4">
        <v>69.5</v>
      </c>
      <c r="N2191">
        <v>0</v>
      </c>
      <c r="O2191" t="s">
        <v>58</v>
      </c>
      <c r="P2191" t="s">
        <v>95</v>
      </c>
      <c r="Q2191" t="s">
        <v>93</v>
      </c>
      <c r="R2191" t="s">
        <v>130</v>
      </c>
      <c r="S2191" s="3">
        <v>6.44</v>
      </c>
      <c r="T2191" s="5">
        <v>45881</v>
      </c>
      <c r="U2191">
        <v>1</v>
      </c>
      <c r="V2191">
        <v>2025</v>
      </c>
      <c r="X2191">
        <f t="shared" si="102"/>
        <v>6.6697809000000001</v>
      </c>
      <c r="Y2191">
        <f t="shared" si="103"/>
        <v>6.4397809000000006</v>
      </c>
      <c r="Z2191">
        <f t="shared" si="104"/>
        <v>99.599780899999999</v>
      </c>
    </row>
    <row r="2192" spans="1:26" x14ac:dyDescent="0.3">
      <c r="A2192" t="s">
        <v>2282</v>
      </c>
      <c r="B2192" t="s">
        <v>55</v>
      </c>
      <c r="C2192" t="s">
        <v>56</v>
      </c>
      <c r="D2192" t="s">
        <v>69</v>
      </c>
      <c r="E2192">
        <v>23</v>
      </c>
      <c r="F2192" s="3">
        <v>7.89</v>
      </c>
      <c r="G2192" s="4">
        <v>70.7</v>
      </c>
      <c r="H2192">
        <v>0</v>
      </c>
      <c r="I2192">
        <v>1</v>
      </c>
      <c r="J2192">
        <v>4</v>
      </c>
      <c r="K2192" s="4">
        <v>61.6</v>
      </c>
      <c r="L2192" s="4">
        <v>100</v>
      </c>
      <c r="M2192" s="4">
        <v>85.5</v>
      </c>
      <c r="N2192">
        <v>0</v>
      </c>
      <c r="O2192" t="s">
        <v>64</v>
      </c>
      <c r="P2192" t="s">
        <v>65</v>
      </c>
      <c r="S2192" s="3">
        <v>0</v>
      </c>
      <c r="T2192" s="5"/>
      <c r="U2192">
        <v>0</v>
      </c>
      <c r="V2192">
        <v>2024</v>
      </c>
      <c r="X2192">
        <f t="shared" si="102"/>
        <v>7.8897807999999996</v>
      </c>
      <c r="Y2192">
        <f t="shared" si="103"/>
        <v>-2.1919999999999999E-4</v>
      </c>
      <c r="Z2192">
        <f t="shared" si="104"/>
        <v>99.999780799999996</v>
      </c>
    </row>
    <row r="2193" spans="1:26" x14ac:dyDescent="0.3">
      <c r="A2193" t="s">
        <v>2283</v>
      </c>
      <c r="B2193" t="s">
        <v>55</v>
      </c>
      <c r="C2193" t="s">
        <v>74</v>
      </c>
      <c r="D2193" t="s">
        <v>69</v>
      </c>
      <c r="E2193">
        <v>22</v>
      </c>
      <c r="F2193" s="3">
        <v>9.17</v>
      </c>
      <c r="G2193" s="4">
        <v>90.2</v>
      </c>
      <c r="H2193">
        <v>1</v>
      </c>
      <c r="I2193">
        <v>3</v>
      </c>
      <c r="J2193">
        <v>4</v>
      </c>
      <c r="K2193" s="4">
        <v>69.400000000000006</v>
      </c>
      <c r="L2193" s="4">
        <v>67.7</v>
      </c>
      <c r="M2193" s="4">
        <v>97.5</v>
      </c>
      <c r="N2193">
        <v>0</v>
      </c>
      <c r="O2193" t="s">
        <v>58</v>
      </c>
      <c r="P2193" t="s">
        <v>70</v>
      </c>
      <c r="Q2193" t="s">
        <v>71</v>
      </c>
      <c r="R2193" t="s">
        <v>61</v>
      </c>
      <c r="S2193" s="3">
        <v>6.57</v>
      </c>
      <c r="T2193" s="5">
        <v>45536</v>
      </c>
      <c r="U2193">
        <v>2</v>
      </c>
      <c r="V2193">
        <v>2024</v>
      </c>
      <c r="X2193">
        <f t="shared" si="102"/>
        <v>9.1697807000000005</v>
      </c>
      <c r="Y2193">
        <f t="shared" si="103"/>
        <v>6.5697806999999999</v>
      </c>
      <c r="Z2193">
        <f t="shared" si="104"/>
        <v>67.699780700000005</v>
      </c>
    </row>
    <row r="2194" spans="1:26" x14ac:dyDescent="0.3">
      <c r="A2194" t="s">
        <v>2284</v>
      </c>
      <c r="B2194" t="s">
        <v>63</v>
      </c>
      <c r="C2194" t="s">
        <v>89</v>
      </c>
      <c r="D2194" t="s">
        <v>69</v>
      </c>
      <c r="E2194">
        <v>22</v>
      </c>
      <c r="F2194" s="3">
        <v>7.71</v>
      </c>
      <c r="G2194" s="4">
        <v>77.8</v>
      </c>
      <c r="H2194">
        <v>1</v>
      </c>
      <c r="I2194">
        <v>1</v>
      </c>
      <c r="J2194">
        <v>5</v>
      </c>
      <c r="K2194" s="4">
        <v>64.7</v>
      </c>
      <c r="L2194" s="4">
        <v>72.3</v>
      </c>
      <c r="M2194" s="4">
        <v>65.3</v>
      </c>
      <c r="N2194">
        <v>0</v>
      </c>
      <c r="O2194" t="s">
        <v>58</v>
      </c>
      <c r="P2194" t="s">
        <v>70</v>
      </c>
      <c r="Q2194" t="s">
        <v>71</v>
      </c>
      <c r="R2194" t="s">
        <v>109</v>
      </c>
      <c r="S2194" s="3">
        <v>5.4</v>
      </c>
      <c r="T2194" s="5">
        <v>45966</v>
      </c>
      <c r="U2194">
        <v>1</v>
      </c>
      <c r="V2194">
        <v>2025</v>
      </c>
      <c r="X2194">
        <f t="shared" si="102"/>
        <v>7.7097806000000002</v>
      </c>
      <c r="Y2194">
        <f t="shared" si="103"/>
        <v>5.3997806000000006</v>
      </c>
      <c r="Z2194">
        <f t="shared" si="104"/>
        <v>72.299780599999991</v>
      </c>
    </row>
    <row r="2195" spans="1:26" x14ac:dyDescent="0.3">
      <c r="A2195" t="s">
        <v>2285</v>
      </c>
      <c r="B2195" t="s">
        <v>55</v>
      </c>
      <c r="C2195" t="s">
        <v>68</v>
      </c>
      <c r="D2195" t="s">
        <v>69</v>
      </c>
      <c r="E2195">
        <v>23</v>
      </c>
      <c r="F2195" s="3">
        <v>7.63</v>
      </c>
      <c r="G2195" s="4">
        <v>84.9</v>
      </c>
      <c r="H2195">
        <v>2</v>
      </c>
      <c r="I2195">
        <v>2</v>
      </c>
      <c r="J2195">
        <v>2</v>
      </c>
      <c r="K2195" s="4">
        <v>52.2</v>
      </c>
      <c r="L2195" s="4">
        <v>88.6</v>
      </c>
      <c r="M2195" s="4">
        <v>69.900000000000006</v>
      </c>
      <c r="N2195">
        <v>0</v>
      </c>
      <c r="O2195" t="s">
        <v>64</v>
      </c>
      <c r="P2195" t="s">
        <v>65</v>
      </c>
      <c r="S2195" s="3">
        <v>0</v>
      </c>
      <c r="T2195" s="5"/>
      <c r="U2195">
        <v>0</v>
      </c>
      <c r="V2195">
        <v>2024</v>
      </c>
      <c r="X2195">
        <f t="shared" si="102"/>
        <v>7.6297804999999999</v>
      </c>
      <c r="Y2195">
        <f t="shared" si="103"/>
        <v>-2.195E-4</v>
      </c>
      <c r="Z2195">
        <f t="shared" si="104"/>
        <v>88.599780499999994</v>
      </c>
    </row>
    <row r="2196" spans="1:26" x14ac:dyDescent="0.3">
      <c r="A2196" t="s">
        <v>2286</v>
      </c>
      <c r="B2196" t="s">
        <v>55</v>
      </c>
      <c r="C2196" t="s">
        <v>89</v>
      </c>
      <c r="D2196" t="s">
        <v>57</v>
      </c>
      <c r="E2196">
        <v>21</v>
      </c>
      <c r="F2196" s="3">
        <v>8.42</v>
      </c>
      <c r="G2196" s="4">
        <v>78.8</v>
      </c>
      <c r="H2196">
        <v>1</v>
      </c>
      <c r="I2196">
        <v>5</v>
      </c>
      <c r="J2196">
        <v>3</v>
      </c>
      <c r="K2196" s="4">
        <v>63.8</v>
      </c>
      <c r="L2196" s="4">
        <v>67.2</v>
      </c>
      <c r="M2196" s="4">
        <v>69</v>
      </c>
      <c r="N2196">
        <v>0</v>
      </c>
      <c r="O2196" t="s">
        <v>58</v>
      </c>
      <c r="P2196" t="s">
        <v>70</v>
      </c>
      <c r="Q2196" t="s">
        <v>71</v>
      </c>
      <c r="R2196" t="s">
        <v>109</v>
      </c>
      <c r="S2196" s="3">
        <v>5.76</v>
      </c>
      <c r="T2196" s="5">
        <v>45513</v>
      </c>
      <c r="U2196">
        <v>1</v>
      </c>
      <c r="V2196">
        <v>2024</v>
      </c>
      <c r="X2196">
        <f t="shared" si="102"/>
        <v>8.4197804000000005</v>
      </c>
      <c r="Y2196">
        <f t="shared" si="103"/>
        <v>5.7597803999999995</v>
      </c>
      <c r="Z2196">
        <f t="shared" si="104"/>
        <v>67.199780400000009</v>
      </c>
    </row>
    <row r="2197" spans="1:26" x14ac:dyDescent="0.3">
      <c r="A2197" t="s">
        <v>2287</v>
      </c>
      <c r="B2197" t="s">
        <v>55</v>
      </c>
      <c r="C2197" t="s">
        <v>68</v>
      </c>
      <c r="D2197" t="s">
        <v>69</v>
      </c>
      <c r="E2197">
        <v>21</v>
      </c>
      <c r="F2197" s="3">
        <v>8.1199999999999992</v>
      </c>
      <c r="G2197" s="4">
        <v>95.8</v>
      </c>
      <c r="H2197">
        <v>1</v>
      </c>
      <c r="I2197">
        <v>1</v>
      </c>
      <c r="J2197">
        <v>6</v>
      </c>
      <c r="K2197" s="4">
        <v>74.7</v>
      </c>
      <c r="L2197" s="4">
        <v>84.5</v>
      </c>
      <c r="M2197" s="4">
        <v>99.9</v>
      </c>
      <c r="N2197">
        <v>0</v>
      </c>
      <c r="O2197" t="s">
        <v>58</v>
      </c>
      <c r="P2197" t="s">
        <v>75</v>
      </c>
      <c r="Q2197" t="s">
        <v>71</v>
      </c>
      <c r="R2197" t="s">
        <v>72</v>
      </c>
      <c r="S2197" s="3">
        <v>6.14</v>
      </c>
      <c r="T2197" s="5">
        <v>45553</v>
      </c>
      <c r="U2197">
        <v>1</v>
      </c>
      <c r="V2197">
        <v>2024</v>
      </c>
      <c r="X2197">
        <f t="shared" si="102"/>
        <v>8.1197802999999986</v>
      </c>
      <c r="Y2197">
        <f t="shared" si="103"/>
        <v>6.1397803</v>
      </c>
      <c r="Z2197">
        <f t="shared" si="104"/>
        <v>84.499780299999998</v>
      </c>
    </row>
    <row r="2198" spans="1:26" x14ac:dyDescent="0.3">
      <c r="A2198" t="s">
        <v>2288</v>
      </c>
      <c r="B2198" t="s">
        <v>82</v>
      </c>
      <c r="C2198" t="s">
        <v>78</v>
      </c>
      <c r="D2198" t="s">
        <v>57</v>
      </c>
      <c r="E2198">
        <v>23</v>
      </c>
      <c r="F2198" s="3">
        <v>6.62</v>
      </c>
      <c r="G2198" s="4">
        <v>85.9</v>
      </c>
      <c r="H2198">
        <v>2</v>
      </c>
      <c r="I2198">
        <v>3</v>
      </c>
      <c r="J2198">
        <v>3</v>
      </c>
      <c r="K2198" s="4">
        <v>64.599999999999994</v>
      </c>
      <c r="L2198" s="4">
        <v>57.8</v>
      </c>
      <c r="M2198" s="4">
        <v>61.2</v>
      </c>
      <c r="N2198">
        <v>0</v>
      </c>
      <c r="O2198" t="s">
        <v>64</v>
      </c>
      <c r="P2198" t="s">
        <v>65</v>
      </c>
      <c r="S2198" s="3">
        <v>0</v>
      </c>
      <c r="T2198" s="5"/>
      <c r="U2198">
        <v>0</v>
      </c>
      <c r="V2198">
        <v>2022</v>
      </c>
      <c r="X2198">
        <f t="shared" si="102"/>
        <v>6.6197802000000001</v>
      </c>
      <c r="Y2198">
        <f t="shared" si="103"/>
        <v>-2.198E-4</v>
      </c>
      <c r="Z2198">
        <f t="shared" si="104"/>
        <v>57.799780199999994</v>
      </c>
    </row>
    <row r="2199" spans="1:26" x14ac:dyDescent="0.3">
      <c r="A2199" t="s">
        <v>2289</v>
      </c>
      <c r="B2199" t="s">
        <v>63</v>
      </c>
      <c r="C2199" t="s">
        <v>56</v>
      </c>
      <c r="D2199" t="s">
        <v>69</v>
      </c>
      <c r="E2199">
        <v>20</v>
      </c>
      <c r="F2199" s="3">
        <v>7.24</v>
      </c>
      <c r="G2199" s="4">
        <v>87.9</v>
      </c>
      <c r="H2199">
        <v>1</v>
      </c>
      <c r="I2199">
        <v>3</v>
      </c>
      <c r="J2199">
        <v>5</v>
      </c>
      <c r="K2199" s="4">
        <v>61.3</v>
      </c>
      <c r="L2199" s="4">
        <v>97.5</v>
      </c>
      <c r="M2199" s="4">
        <v>75.3</v>
      </c>
      <c r="N2199">
        <v>1</v>
      </c>
      <c r="O2199" t="s">
        <v>58</v>
      </c>
      <c r="P2199" t="s">
        <v>59</v>
      </c>
      <c r="Q2199" t="s">
        <v>60</v>
      </c>
      <c r="R2199" t="s">
        <v>109</v>
      </c>
      <c r="S2199" s="3">
        <v>20.05</v>
      </c>
      <c r="T2199" s="5">
        <v>45950</v>
      </c>
      <c r="U2199">
        <v>2</v>
      </c>
      <c r="V2199">
        <v>2025</v>
      </c>
      <c r="X2199">
        <f t="shared" si="102"/>
        <v>7.2397800999999999</v>
      </c>
      <c r="Y2199">
        <f t="shared" si="103"/>
        <v>20.0497801</v>
      </c>
      <c r="Z2199">
        <f t="shared" si="104"/>
        <v>97.499780099999995</v>
      </c>
    </row>
    <row r="2200" spans="1:26" x14ac:dyDescent="0.3">
      <c r="A2200" t="s">
        <v>2290</v>
      </c>
      <c r="B2200" t="s">
        <v>55</v>
      </c>
      <c r="C2200" t="s">
        <v>56</v>
      </c>
      <c r="D2200" t="s">
        <v>69</v>
      </c>
      <c r="E2200">
        <v>23</v>
      </c>
      <c r="F2200" s="3">
        <v>9.35</v>
      </c>
      <c r="G2200" s="4">
        <v>89.1</v>
      </c>
      <c r="H2200">
        <v>1</v>
      </c>
      <c r="I2200">
        <v>4</v>
      </c>
      <c r="J2200">
        <v>4</v>
      </c>
      <c r="K2200" s="4">
        <v>40.200000000000003</v>
      </c>
      <c r="L2200" s="4">
        <v>75.5</v>
      </c>
      <c r="M2200" s="4">
        <v>79.900000000000006</v>
      </c>
      <c r="N2200">
        <v>2</v>
      </c>
      <c r="O2200" t="s">
        <v>58</v>
      </c>
      <c r="P2200" t="s">
        <v>92</v>
      </c>
      <c r="Q2200" t="s">
        <v>93</v>
      </c>
      <c r="R2200" t="s">
        <v>76</v>
      </c>
      <c r="S2200" s="3">
        <v>9.2200000000000006</v>
      </c>
      <c r="T2200" s="5">
        <v>45532</v>
      </c>
      <c r="U2200">
        <v>1</v>
      </c>
      <c r="V2200">
        <v>2024</v>
      </c>
      <c r="X2200">
        <f t="shared" si="102"/>
        <v>9.3497799999999991</v>
      </c>
      <c r="Y2200">
        <f t="shared" si="103"/>
        <v>9.2197800000000001</v>
      </c>
      <c r="Z2200">
        <f t="shared" si="104"/>
        <v>75.499780000000001</v>
      </c>
    </row>
    <row r="2201" spans="1:26" x14ac:dyDescent="0.3">
      <c r="A2201" t="s">
        <v>2291</v>
      </c>
      <c r="B2201" t="s">
        <v>63</v>
      </c>
      <c r="C2201" t="s">
        <v>89</v>
      </c>
      <c r="D2201" t="s">
        <v>69</v>
      </c>
      <c r="E2201">
        <v>20</v>
      </c>
      <c r="F2201" s="3">
        <v>7.94</v>
      </c>
      <c r="G2201" s="4">
        <v>79.8</v>
      </c>
      <c r="H2201">
        <v>1</v>
      </c>
      <c r="I2201">
        <v>4</v>
      </c>
      <c r="J2201">
        <v>3</v>
      </c>
      <c r="K2201" s="4">
        <v>55.6</v>
      </c>
      <c r="L2201" s="4">
        <v>81.3</v>
      </c>
      <c r="M2201" s="4">
        <v>67.400000000000006</v>
      </c>
      <c r="N2201">
        <v>0</v>
      </c>
      <c r="O2201" t="s">
        <v>58</v>
      </c>
      <c r="P2201" t="s">
        <v>59</v>
      </c>
      <c r="Q2201" t="s">
        <v>60</v>
      </c>
      <c r="R2201" t="s">
        <v>72</v>
      </c>
      <c r="S2201" s="3">
        <v>20.14</v>
      </c>
      <c r="T2201" s="5">
        <v>45914</v>
      </c>
      <c r="U2201">
        <v>3</v>
      </c>
      <c r="V2201">
        <v>2025</v>
      </c>
      <c r="X2201">
        <f t="shared" si="102"/>
        <v>7.9397799000000004</v>
      </c>
      <c r="Y2201">
        <f t="shared" si="103"/>
        <v>20.139779900000001</v>
      </c>
      <c r="Z2201">
        <f t="shared" si="104"/>
        <v>81.29977989999999</v>
      </c>
    </row>
    <row r="2202" spans="1:26" x14ac:dyDescent="0.3">
      <c r="A2202" t="s">
        <v>2292</v>
      </c>
      <c r="B2202" t="s">
        <v>67</v>
      </c>
      <c r="C2202" t="s">
        <v>68</v>
      </c>
      <c r="D2202" t="s">
        <v>57</v>
      </c>
      <c r="E2202">
        <v>23</v>
      </c>
      <c r="F2202" s="3">
        <v>6.74</v>
      </c>
      <c r="G2202" s="4">
        <v>84.6</v>
      </c>
      <c r="H2202">
        <v>2</v>
      </c>
      <c r="I2202">
        <v>2</v>
      </c>
      <c r="J2202">
        <v>2</v>
      </c>
      <c r="K2202" s="4">
        <v>57.6</v>
      </c>
      <c r="L2202" s="4">
        <v>90.3</v>
      </c>
      <c r="M2202" s="4">
        <v>62.1</v>
      </c>
      <c r="N2202">
        <v>0</v>
      </c>
      <c r="O2202" t="s">
        <v>64</v>
      </c>
      <c r="P2202" t="s">
        <v>65</v>
      </c>
      <c r="S2202" s="3">
        <v>0</v>
      </c>
      <c r="T2202" s="5"/>
      <c r="U2202">
        <v>0</v>
      </c>
      <c r="V2202">
        <v>2023</v>
      </c>
      <c r="X2202">
        <f t="shared" si="102"/>
        <v>6.7397798</v>
      </c>
      <c r="Y2202">
        <f t="shared" si="103"/>
        <v>-2.2019999999999999E-4</v>
      </c>
      <c r="Z2202">
        <f t="shared" si="104"/>
        <v>90.299779799999996</v>
      </c>
    </row>
    <row r="2203" spans="1:26" x14ac:dyDescent="0.3">
      <c r="A2203" t="s">
        <v>2293</v>
      </c>
      <c r="B2203" t="s">
        <v>67</v>
      </c>
      <c r="C2203" t="s">
        <v>56</v>
      </c>
      <c r="D2203" t="s">
        <v>69</v>
      </c>
      <c r="E2203">
        <v>20</v>
      </c>
      <c r="F2203" s="3">
        <v>7.48</v>
      </c>
      <c r="G2203" s="4">
        <v>83.5</v>
      </c>
      <c r="H2203">
        <v>2</v>
      </c>
      <c r="I2203">
        <v>3</v>
      </c>
      <c r="J2203">
        <v>5</v>
      </c>
      <c r="K2203" s="4">
        <v>79.7</v>
      </c>
      <c r="L2203" s="4">
        <v>82.3</v>
      </c>
      <c r="M2203" s="4">
        <v>64.2</v>
      </c>
      <c r="N2203">
        <v>0</v>
      </c>
      <c r="O2203" t="s">
        <v>58</v>
      </c>
      <c r="P2203" t="s">
        <v>87</v>
      </c>
      <c r="Q2203" t="s">
        <v>71</v>
      </c>
      <c r="R2203" t="s">
        <v>109</v>
      </c>
      <c r="S2203" s="3">
        <v>6.85</v>
      </c>
      <c r="T2203" s="5">
        <v>45185</v>
      </c>
      <c r="U2203">
        <v>1</v>
      </c>
      <c r="V2203">
        <v>2023</v>
      </c>
      <c r="X2203">
        <f t="shared" si="102"/>
        <v>7.4797797000000008</v>
      </c>
      <c r="Y2203">
        <f t="shared" si="103"/>
        <v>6.8497797</v>
      </c>
      <c r="Z2203">
        <f t="shared" si="104"/>
        <v>82.299779700000002</v>
      </c>
    </row>
    <row r="2204" spans="1:26" x14ac:dyDescent="0.3">
      <c r="A2204" t="s">
        <v>2294</v>
      </c>
      <c r="B2204" t="s">
        <v>55</v>
      </c>
      <c r="C2204" t="s">
        <v>74</v>
      </c>
      <c r="D2204" t="s">
        <v>69</v>
      </c>
      <c r="E2204">
        <v>21</v>
      </c>
      <c r="F2204" s="3">
        <v>6.05</v>
      </c>
      <c r="G2204" s="4">
        <v>87.8</v>
      </c>
      <c r="H2204">
        <v>2</v>
      </c>
      <c r="I2204">
        <v>2</v>
      </c>
      <c r="J2204">
        <v>2</v>
      </c>
      <c r="K2204" s="4">
        <v>62.6</v>
      </c>
      <c r="L2204" s="4">
        <v>69.2</v>
      </c>
      <c r="M2204" s="4">
        <v>71</v>
      </c>
      <c r="N2204">
        <v>2</v>
      </c>
      <c r="O2204" t="s">
        <v>64</v>
      </c>
      <c r="P2204" t="s">
        <v>65</v>
      </c>
      <c r="S2204" s="3">
        <v>0</v>
      </c>
      <c r="T2204" s="5"/>
      <c r="U2204">
        <v>0</v>
      </c>
      <c r="V2204">
        <v>2024</v>
      </c>
      <c r="X2204">
        <f t="shared" si="102"/>
        <v>6.0497795999999999</v>
      </c>
      <c r="Y2204">
        <f t="shared" si="103"/>
        <v>-2.2039999999999999E-4</v>
      </c>
      <c r="Z2204">
        <f t="shared" si="104"/>
        <v>69.199779599999999</v>
      </c>
    </row>
    <row r="2205" spans="1:26" x14ac:dyDescent="0.3">
      <c r="A2205" t="s">
        <v>2295</v>
      </c>
      <c r="B2205" t="s">
        <v>63</v>
      </c>
      <c r="C2205" t="s">
        <v>56</v>
      </c>
      <c r="D2205" t="s">
        <v>57</v>
      </c>
      <c r="E2205">
        <v>23</v>
      </c>
      <c r="F2205" s="3">
        <v>5.98</v>
      </c>
      <c r="G2205" s="4">
        <v>78</v>
      </c>
      <c r="H2205">
        <v>0</v>
      </c>
      <c r="I2205">
        <v>1</v>
      </c>
      <c r="J2205">
        <v>3</v>
      </c>
      <c r="K2205" s="4">
        <v>75.099999999999994</v>
      </c>
      <c r="L2205" s="4">
        <v>95.8</v>
      </c>
      <c r="M2205" s="4">
        <v>67.599999999999994</v>
      </c>
      <c r="N2205">
        <v>0</v>
      </c>
      <c r="O2205" t="s">
        <v>58</v>
      </c>
      <c r="P2205" t="s">
        <v>95</v>
      </c>
      <c r="Q2205" t="s">
        <v>93</v>
      </c>
      <c r="R2205" t="s">
        <v>85</v>
      </c>
      <c r="S2205" s="3">
        <v>6.94</v>
      </c>
      <c r="T2205" s="5">
        <v>45919</v>
      </c>
      <c r="U2205">
        <v>1</v>
      </c>
      <c r="V2205">
        <v>2025</v>
      </c>
      <c r="X2205">
        <f t="shared" si="102"/>
        <v>5.9797795000000002</v>
      </c>
      <c r="Y2205">
        <f t="shared" si="103"/>
        <v>6.9397795000000002</v>
      </c>
      <c r="Z2205">
        <f t="shared" si="104"/>
        <v>95.7997795</v>
      </c>
    </row>
    <row r="2206" spans="1:26" x14ac:dyDescent="0.3">
      <c r="A2206" t="s">
        <v>2296</v>
      </c>
      <c r="B2206" t="s">
        <v>63</v>
      </c>
      <c r="C2206" t="s">
        <v>68</v>
      </c>
      <c r="D2206" t="s">
        <v>57</v>
      </c>
      <c r="E2206">
        <v>22</v>
      </c>
      <c r="F2206" s="3">
        <v>8.5299999999999994</v>
      </c>
      <c r="G2206" s="4">
        <v>75.599999999999994</v>
      </c>
      <c r="H2206">
        <v>1</v>
      </c>
      <c r="I2206">
        <v>1</v>
      </c>
      <c r="J2206">
        <v>4</v>
      </c>
      <c r="K2206" s="4">
        <v>57.1</v>
      </c>
      <c r="L2206" s="4">
        <v>82.5</v>
      </c>
      <c r="M2206" s="4">
        <v>91.3</v>
      </c>
      <c r="N2206">
        <v>1</v>
      </c>
      <c r="O2206" t="s">
        <v>58</v>
      </c>
      <c r="P2206" t="s">
        <v>104</v>
      </c>
      <c r="Q2206" t="s">
        <v>105</v>
      </c>
      <c r="R2206" t="s">
        <v>72</v>
      </c>
      <c r="S2206" s="3">
        <v>16.2</v>
      </c>
      <c r="T2206" s="5">
        <v>45916</v>
      </c>
      <c r="U2206">
        <v>1</v>
      </c>
      <c r="V2206">
        <v>2025</v>
      </c>
      <c r="X2206">
        <f t="shared" si="102"/>
        <v>8.5297793999999989</v>
      </c>
      <c r="Y2206">
        <f t="shared" si="103"/>
        <v>16.199779400000001</v>
      </c>
      <c r="Z2206">
        <f t="shared" si="104"/>
        <v>82.499779399999994</v>
      </c>
    </row>
    <row r="2207" spans="1:26" x14ac:dyDescent="0.3">
      <c r="A2207" t="s">
        <v>2297</v>
      </c>
      <c r="B2207" t="s">
        <v>63</v>
      </c>
      <c r="C2207" t="s">
        <v>74</v>
      </c>
      <c r="D2207" t="s">
        <v>69</v>
      </c>
      <c r="E2207">
        <v>20</v>
      </c>
      <c r="F2207" s="3">
        <v>7.65</v>
      </c>
      <c r="G2207" s="4">
        <v>92.6</v>
      </c>
      <c r="H2207">
        <v>0</v>
      </c>
      <c r="I2207">
        <v>1</v>
      </c>
      <c r="J2207">
        <v>4</v>
      </c>
      <c r="K2207" s="4">
        <v>39.1</v>
      </c>
      <c r="L2207" s="4">
        <v>67.5</v>
      </c>
      <c r="M2207" s="4">
        <v>67.7</v>
      </c>
      <c r="N2207">
        <v>0</v>
      </c>
      <c r="O2207" t="s">
        <v>58</v>
      </c>
      <c r="P2207" t="s">
        <v>59</v>
      </c>
      <c r="Q2207" t="s">
        <v>60</v>
      </c>
      <c r="R2207" t="s">
        <v>72</v>
      </c>
      <c r="S2207" s="3">
        <v>17.97</v>
      </c>
      <c r="T2207" s="5">
        <v>45983</v>
      </c>
      <c r="U2207">
        <v>2</v>
      </c>
      <c r="V2207">
        <v>2025</v>
      </c>
      <c r="X2207">
        <f t="shared" si="102"/>
        <v>7.6497793000000005</v>
      </c>
      <c r="Y2207">
        <f t="shared" si="103"/>
        <v>17.969779299999999</v>
      </c>
      <c r="Z2207">
        <f t="shared" si="104"/>
        <v>67.4997793</v>
      </c>
    </row>
    <row r="2208" spans="1:26" x14ac:dyDescent="0.3">
      <c r="A2208" t="s">
        <v>2298</v>
      </c>
      <c r="B2208" t="s">
        <v>82</v>
      </c>
      <c r="C2208" t="s">
        <v>89</v>
      </c>
      <c r="D2208" t="s">
        <v>69</v>
      </c>
      <c r="E2208">
        <v>21</v>
      </c>
      <c r="F2208" s="3">
        <v>8.1199999999999992</v>
      </c>
      <c r="G2208" s="4">
        <v>89.1</v>
      </c>
      <c r="H2208">
        <v>1</v>
      </c>
      <c r="I2208">
        <v>1</v>
      </c>
      <c r="J2208">
        <v>5</v>
      </c>
      <c r="K2208" s="4">
        <v>81.8</v>
      </c>
      <c r="L2208" s="4">
        <v>47.5</v>
      </c>
      <c r="M2208" s="4">
        <v>67.599999999999994</v>
      </c>
      <c r="N2208">
        <v>1</v>
      </c>
      <c r="O2208" t="s">
        <v>58</v>
      </c>
      <c r="P2208" t="s">
        <v>87</v>
      </c>
      <c r="Q2208" t="s">
        <v>71</v>
      </c>
      <c r="R2208" t="s">
        <v>109</v>
      </c>
      <c r="S2208" s="3">
        <v>6.21</v>
      </c>
      <c r="T2208" s="5">
        <v>44778</v>
      </c>
      <c r="U2208">
        <v>1</v>
      </c>
      <c r="V2208">
        <v>2022</v>
      </c>
      <c r="X2208">
        <f t="shared" si="102"/>
        <v>8.1197792</v>
      </c>
      <c r="Y2208">
        <f t="shared" si="103"/>
        <v>6.2097791999999998</v>
      </c>
      <c r="Z2208">
        <f t="shared" si="104"/>
        <v>47.499779199999999</v>
      </c>
    </row>
    <row r="2209" spans="1:26" x14ac:dyDescent="0.3">
      <c r="A2209" t="s">
        <v>2299</v>
      </c>
      <c r="B2209" t="s">
        <v>67</v>
      </c>
      <c r="C2209" t="s">
        <v>101</v>
      </c>
      <c r="D2209" t="s">
        <v>57</v>
      </c>
      <c r="E2209">
        <v>22</v>
      </c>
      <c r="F2209" s="3">
        <v>8.69</v>
      </c>
      <c r="G2209" s="4">
        <v>74.400000000000006</v>
      </c>
      <c r="H2209">
        <v>0</v>
      </c>
      <c r="I2209">
        <v>3</v>
      </c>
      <c r="J2209">
        <v>1</v>
      </c>
      <c r="K2209" s="4">
        <v>57.2</v>
      </c>
      <c r="L2209" s="4">
        <v>69.8</v>
      </c>
      <c r="M2209" s="4">
        <v>78.7</v>
      </c>
      <c r="N2209">
        <v>2</v>
      </c>
      <c r="O2209" t="s">
        <v>64</v>
      </c>
      <c r="P2209" t="s">
        <v>65</v>
      </c>
      <c r="S2209" s="3">
        <v>0</v>
      </c>
      <c r="T2209" s="5"/>
      <c r="U2209">
        <v>0</v>
      </c>
      <c r="V2209">
        <v>2023</v>
      </c>
      <c r="X2209">
        <f t="shared" si="102"/>
        <v>8.6897790999999991</v>
      </c>
      <c r="Y2209">
        <f t="shared" si="103"/>
        <v>-2.209E-4</v>
      </c>
      <c r="Z2209">
        <f t="shared" si="104"/>
        <v>69.799779099999995</v>
      </c>
    </row>
    <row r="2210" spans="1:26" x14ac:dyDescent="0.3">
      <c r="A2210" t="s">
        <v>2300</v>
      </c>
      <c r="B2210" t="s">
        <v>63</v>
      </c>
      <c r="C2210" t="s">
        <v>74</v>
      </c>
      <c r="D2210" t="s">
        <v>57</v>
      </c>
      <c r="E2210">
        <v>21</v>
      </c>
      <c r="F2210" s="3">
        <v>7.96</v>
      </c>
      <c r="G2210" s="4">
        <v>99.1</v>
      </c>
      <c r="H2210">
        <v>1</v>
      </c>
      <c r="I2210">
        <v>5</v>
      </c>
      <c r="J2210">
        <v>4</v>
      </c>
      <c r="K2210" s="4">
        <v>81.099999999999994</v>
      </c>
      <c r="L2210" s="4">
        <v>62.1</v>
      </c>
      <c r="M2210" s="4">
        <v>77.5</v>
      </c>
      <c r="N2210">
        <v>0</v>
      </c>
      <c r="O2210" t="s">
        <v>58</v>
      </c>
      <c r="P2210" t="s">
        <v>92</v>
      </c>
      <c r="Q2210" t="s">
        <v>93</v>
      </c>
      <c r="R2210" t="s">
        <v>61</v>
      </c>
      <c r="S2210" s="3">
        <v>8.91</v>
      </c>
      <c r="T2210" s="5">
        <v>45907</v>
      </c>
      <c r="U2210">
        <v>2</v>
      </c>
      <c r="V2210">
        <v>2025</v>
      </c>
      <c r="X2210">
        <f t="shared" si="102"/>
        <v>7.9597790000000002</v>
      </c>
      <c r="Y2210">
        <f t="shared" si="103"/>
        <v>8.9097790000000003</v>
      </c>
      <c r="Z2210">
        <f t="shared" si="104"/>
        <v>62.099778999999998</v>
      </c>
    </row>
    <row r="2211" spans="1:26" x14ac:dyDescent="0.3">
      <c r="A2211" t="s">
        <v>2301</v>
      </c>
      <c r="B2211" t="s">
        <v>63</v>
      </c>
      <c r="C2211" t="s">
        <v>84</v>
      </c>
      <c r="D2211" t="s">
        <v>57</v>
      </c>
      <c r="E2211">
        <v>20</v>
      </c>
      <c r="F2211" s="3">
        <v>8.31</v>
      </c>
      <c r="G2211" s="4">
        <v>76.900000000000006</v>
      </c>
      <c r="H2211">
        <v>1</v>
      </c>
      <c r="I2211">
        <v>4</v>
      </c>
      <c r="J2211">
        <v>3</v>
      </c>
      <c r="K2211" s="4">
        <v>64.900000000000006</v>
      </c>
      <c r="L2211" s="4">
        <v>70.400000000000006</v>
      </c>
      <c r="M2211" s="4">
        <v>35.799999999999997</v>
      </c>
      <c r="N2211">
        <v>0</v>
      </c>
      <c r="O2211" t="s">
        <v>58</v>
      </c>
      <c r="P2211" t="s">
        <v>92</v>
      </c>
      <c r="Q2211" t="s">
        <v>93</v>
      </c>
      <c r="R2211" t="s">
        <v>80</v>
      </c>
      <c r="S2211" s="3">
        <v>9.2100000000000009</v>
      </c>
      <c r="T2211" s="5">
        <v>45906</v>
      </c>
      <c r="U2211">
        <v>3</v>
      </c>
      <c r="V2211">
        <v>2025</v>
      </c>
      <c r="X2211">
        <f t="shared" si="102"/>
        <v>8.3097789000000013</v>
      </c>
      <c r="Y2211">
        <f t="shared" si="103"/>
        <v>9.2097789000000017</v>
      </c>
      <c r="Z2211">
        <f t="shared" si="104"/>
        <v>70.399778900000001</v>
      </c>
    </row>
    <row r="2212" spans="1:26" x14ac:dyDescent="0.3">
      <c r="A2212" t="s">
        <v>2302</v>
      </c>
      <c r="B2212" t="s">
        <v>82</v>
      </c>
      <c r="C2212" t="s">
        <v>68</v>
      </c>
      <c r="D2212" t="s">
        <v>57</v>
      </c>
      <c r="E2212">
        <v>23</v>
      </c>
      <c r="F2212" s="3">
        <v>7.88</v>
      </c>
      <c r="G2212" s="4">
        <v>83.1</v>
      </c>
      <c r="H2212">
        <v>2</v>
      </c>
      <c r="I2212">
        <v>1</v>
      </c>
      <c r="J2212">
        <v>2</v>
      </c>
      <c r="K2212" s="4">
        <v>87.3</v>
      </c>
      <c r="L2212" s="4">
        <v>60.4</v>
      </c>
      <c r="M2212" s="4">
        <v>63.6</v>
      </c>
      <c r="N2212">
        <v>1</v>
      </c>
      <c r="O2212" t="s">
        <v>58</v>
      </c>
      <c r="P2212" t="s">
        <v>75</v>
      </c>
      <c r="Q2212" t="s">
        <v>71</v>
      </c>
      <c r="R2212" t="s">
        <v>85</v>
      </c>
      <c r="S2212" s="3">
        <v>5.25</v>
      </c>
      <c r="T2212" s="5">
        <v>44856</v>
      </c>
      <c r="U2212">
        <v>3</v>
      </c>
      <c r="V2212">
        <v>2022</v>
      </c>
      <c r="X2212">
        <f t="shared" si="102"/>
        <v>7.8797787999999995</v>
      </c>
      <c r="Y2212">
        <f t="shared" si="103"/>
        <v>5.2497787999999996</v>
      </c>
      <c r="Z2212">
        <f t="shared" si="104"/>
        <v>60.3997788</v>
      </c>
    </row>
    <row r="2213" spans="1:26" x14ac:dyDescent="0.3">
      <c r="A2213" t="s">
        <v>2303</v>
      </c>
      <c r="B2213" t="s">
        <v>82</v>
      </c>
      <c r="C2213" t="s">
        <v>89</v>
      </c>
      <c r="D2213" t="s">
        <v>69</v>
      </c>
      <c r="E2213">
        <v>21</v>
      </c>
      <c r="F2213" s="3">
        <v>8.81</v>
      </c>
      <c r="G2213" s="4">
        <v>92.5</v>
      </c>
      <c r="H2213">
        <v>1</v>
      </c>
      <c r="I2213">
        <v>0</v>
      </c>
      <c r="J2213">
        <v>5</v>
      </c>
      <c r="K2213" s="4">
        <v>100</v>
      </c>
      <c r="L2213" s="4">
        <v>75.8</v>
      </c>
      <c r="M2213" s="4">
        <v>67.900000000000006</v>
      </c>
      <c r="N2213">
        <v>1</v>
      </c>
      <c r="O2213" t="s">
        <v>58</v>
      </c>
      <c r="P2213" t="s">
        <v>87</v>
      </c>
      <c r="Q2213" t="s">
        <v>71</v>
      </c>
      <c r="R2213" t="s">
        <v>109</v>
      </c>
      <c r="S2213" s="3">
        <v>6.35</v>
      </c>
      <c r="T2213" s="5">
        <v>44878</v>
      </c>
      <c r="U2213">
        <v>2</v>
      </c>
      <c r="V2213">
        <v>2022</v>
      </c>
      <c r="X2213">
        <f t="shared" si="102"/>
        <v>8.8097787000000007</v>
      </c>
      <c r="Y2213">
        <f t="shared" si="103"/>
        <v>6.3497786999999999</v>
      </c>
      <c r="Z2213">
        <f t="shared" si="104"/>
        <v>75.79977869999999</v>
      </c>
    </row>
    <row r="2214" spans="1:26" x14ac:dyDescent="0.3">
      <c r="A2214" t="s">
        <v>2304</v>
      </c>
      <c r="B2214" t="s">
        <v>63</v>
      </c>
      <c r="C2214" t="s">
        <v>78</v>
      </c>
      <c r="D2214" t="s">
        <v>69</v>
      </c>
      <c r="E2214">
        <v>23</v>
      </c>
      <c r="F2214" s="3">
        <v>9.25</v>
      </c>
      <c r="G2214" s="4">
        <v>92.4</v>
      </c>
      <c r="H2214">
        <v>1</v>
      </c>
      <c r="I2214">
        <v>3</v>
      </c>
      <c r="J2214">
        <v>3</v>
      </c>
      <c r="K2214" s="4">
        <v>74.2</v>
      </c>
      <c r="L2214" s="4">
        <v>63.3</v>
      </c>
      <c r="M2214" s="4">
        <v>61.9</v>
      </c>
      <c r="N2214">
        <v>0</v>
      </c>
      <c r="O2214" t="s">
        <v>58</v>
      </c>
      <c r="P2214" t="s">
        <v>92</v>
      </c>
      <c r="Q2214" t="s">
        <v>93</v>
      </c>
      <c r="R2214" t="s">
        <v>109</v>
      </c>
      <c r="S2214" s="3">
        <v>9.33</v>
      </c>
      <c r="T2214" s="5">
        <v>45901</v>
      </c>
      <c r="U2214">
        <v>1</v>
      </c>
      <c r="V2214">
        <v>2025</v>
      </c>
      <c r="X2214">
        <f t="shared" si="102"/>
        <v>9.2497786000000008</v>
      </c>
      <c r="Y2214">
        <f t="shared" si="103"/>
        <v>9.3297786000000009</v>
      </c>
      <c r="Z2214">
        <f t="shared" si="104"/>
        <v>63.299778599999996</v>
      </c>
    </row>
    <row r="2215" spans="1:26" x14ac:dyDescent="0.3">
      <c r="A2215" t="s">
        <v>2305</v>
      </c>
      <c r="B2215" t="s">
        <v>107</v>
      </c>
      <c r="C2215" t="s">
        <v>78</v>
      </c>
      <c r="D2215" t="s">
        <v>69</v>
      </c>
      <c r="E2215">
        <v>23</v>
      </c>
      <c r="F2215" s="3">
        <v>7.83</v>
      </c>
      <c r="G2215" s="4">
        <v>75.7</v>
      </c>
      <c r="H2215">
        <v>3</v>
      </c>
      <c r="I2215">
        <v>1</v>
      </c>
      <c r="J2215">
        <v>4</v>
      </c>
      <c r="K2215" s="4">
        <v>48.9</v>
      </c>
      <c r="L2215" s="4">
        <v>91.4</v>
      </c>
      <c r="M2215" s="4">
        <v>85.5</v>
      </c>
      <c r="N2215">
        <v>1</v>
      </c>
      <c r="O2215" t="s">
        <v>58</v>
      </c>
      <c r="P2215" t="s">
        <v>104</v>
      </c>
      <c r="Q2215" t="s">
        <v>105</v>
      </c>
      <c r="R2215" t="s">
        <v>109</v>
      </c>
      <c r="S2215" s="3">
        <v>16.21</v>
      </c>
      <c r="T2215" s="5">
        <v>44464</v>
      </c>
      <c r="U2215">
        <v>1</v>
      </c>
      <c r="V2215">
        <v>2021</v>
      </c>
      <c r="X2215">
        <f t="shared" si="102"/>
        <v>7.8297784999999998</v>
      </c>
      <c r="Y2215">
        <f t="shared" si="103"/>
        <v>16.209778500000002</v>
      </c>
      <c r="Z2215">
        <f t="shared" si="104"/>
        <v>91.399778500000011</v>
      </c>
    </row>
    <row r="2216" spans="1:26" x14ac:dyDescent="0.3">
      <c r="A2216" t="s">
        <v>2306</v>
      </c>
      <c r="B2216" t="s">
        <v>63</v>
      </c>
      <c r="C2216" t="s">
        <v>68</v>
      </c>
      <c r="D2216" t="s">
        <v>57</v>
      </c>
      <c r="E2216">
        <v>21</v>
      </c>
      <c r="F2216" s="3">
        <v>7.79</v>
      </c>
      <c r="G2216" s="4">
        <v>86.7</v>
      </c>
      <c r="H2216">
        <v>1</v>
      </c>
      <c r="I2216">
        <v>3</v>
      </c>
      <c r="J2216">
        <v>6</v>
      </c>
      <c r="K2216" s="4">
        <v>75.7</v>
      </c>
      <c r="L2216" s="4">
        <v>79.2</v>
      </c>
      <c r="M2216" s="4">
        <v>56.1</v>
      </c>
      <c r="N2216">
        <v>1</v>
      </c>
      <c r="O2216" t="s">
        <v>58</v>
      </c>
      <c r="P2216" t="s">
        <v>75</v>
      </c>
      <c r="Q2216" t="s">
        <v>71</v>
      </c>
      <c r="R2216" t="s">
        <v>130</v>
      </c>
      <c r="S2216" s="3">
        <v>6.92</v>
      </c>
      <c r="T2216" s="5">
        <v>45912</v>
      </c>
      <c r="U2216">
        <v>2</v>
      </c>
      <c r="V2216">
        <v>2025</v>
      </c>
      <c r="X2216">
        <f t="shared" si="102"/>
        <v>7.7897784000000003</v>
      </c>
      <c r="Y2216">
        <f t="shared" si="103"/>
        <v>6.9197784000000002</v>
      </c>
      <c r="Z2216">
        <f t="shared" si="104"/>
        <v>79.1997784</v>
      </c>
    </row>
    <row r="2217" spans="1:26" x14ac:dyDescent="0.3">
      <c r="A2217" t="s">
        <v>2307</v>
      </c>
      <c r="B2217" t="s">
        <v>63</v>
      </c>
      <c r="C2217" t="s">
        <v>68</v>
      </c>
      <c r="D2217" t="s">
        <v>69</v>
      </c>
      <c r="E2217">
        <v>21</v>
      </c>
      <c r="F2217" s="3">
        <v>7.94</v>
      </c>
      <c r="G2217" s="4">
        <v>79.2</v>
      </c>
      <c r="H2217">
        <v>1</v>
      </c>
      <c r="I2217">
        <v>3</v>
      </c>
      <c r="J2217">
        <v>4</v>
      </c>
      <c r="K2217" s="4">
        <v>73.3</v>
      </c>
      <c r="L2217" s="4">
        <v>63</v>
      </c>
      <c r="M2217" s="4">
        <v>86.6</v>
      </c>
      <c r="N2217">
        <v>2</v>
      </c>
      <c r="O2217" t="s">
        <v>64</v>
      </c>
      <c r="P2217" t="s">
        <v>65</v>
      </c>
      <c r="S2217" s="3">
        <v>0</v>
      </c>
      <c r="T2217" s="5"/>
      <c r="U2217">
        <v>0</v>
      </c>
      <c r="V2217">
        <v>2025</v>
      </c>
      <c r="X2217">
        <f t="shared" si="102"/>
        <v>7.9397783000000004</v>
      </c>
      <c r="Y2217">
        <f t="shared" si="103"/>
        <v>-2.2169999999999999E-4</v>
      </c>
      <c r="Z2217">
        <f t="shared" si="104"/>
        <v>62.999778300000003</v>
      </c>
    </row>
    <row r="2218" spans="1:26" x14ac:dyDescent="0.3">
      <c r="A2218" t="s">
        <v>2308</v>
      </c>
      <c r="B2218" t="s">
        <v>82</v>
      </c>
      <c r="C2218" t="s">
        <v>56</v>
      </c>
      <c r="D2218" t="s">
        <v>57</v>
      </c>
      <c r="E2218">
        <v>21</v>
      </c>
      <c r="F2218" s="3">
        <v>7.56</v>
      </c>
      <c r="G2218" s="4">
        <v>85.8</v>
      </c>
      <c r="H2218">
        <v>3</v>
      </c>
      <c r="I2218">
        <v>2</v>
      </c>
      <c r="J2218">
        <v>5</v>
      </c>
      <c r="K2218" s="4">
        <v>50.7</v>
      </c>
      <c r="L2218" s="4">
        <v>70.099999999999994</v>
      </c>
      <c r="M2218" s="4">
        <v>48.6</v>
      </c>
      <c r="N2218">
        <v>0</v>
      </c>
      <c r="O2218" t="s">
        <v>58</v>
      </c>
      <c r="P2218" t="s">
        <v>75</v>
      </c>
      <c r="Q2218" t="s">
        <v>71</v>
      </c>
      <c r="R2218" t="s">
        <v>85</v>
      </c>
      <c r="S2218" s="3">
        <v>6.65</v>
      </c>
      <c r="T2218" s="5">
        <v>44876</v>
      </c>
      <c r="U2218">
        <v>2</v>
      </c>
      <c r="V2218">
        <v>2022</v>
      </c>
      <c r="X2218">
        <f t="shared" si="102"/>
        <v>7.5597781999999993</v>
      </c>
      <c r="Y2218">
        <f t="shared" si="103"/>
        <v>6.6497782000000001</v>
      </c>
      <c r="Z2218">
        <f t="shared" si="104"/>
        <v>70.099778199999989</v>
      </c>
    </row>
    <row r="2219" spans="1:26" x14ac:dyDescent="0.3">
      <c r="A2219" t="s">
        <v>2309</v>
      </c>
      <c r="B2219" t="s">
        <v>82</v>
      </c>
      <c r="C2219" t="s">
        <v>56</v>
      </c>
      <c r="D2219" t="s">
        <v>57</v>
      </c>
      <c r="E2219">
        <v>23</v>
      </c>
      <c r="F2219" s="3">
        <v>7.29</v>
      </c>
      <c r="G2219" s="4">
        <v>80.900000000000006</v>
      </c>
      <c r="H2219">
        <v>3</v>
      </c>
      <c r="I2219">
        <v>1</v>
      </c>
      <c r="J2219">
        <v>5</v>
      </c>
      <c r="K2219" s="4">
        <v>58.8</v>
      </c>
      <c r="L2219" s="4">
        <v>77.599999999999994</v>
      </c>
      <c r="M2219" s="4">
        <v>75</v>
      </c>
      <c r="N2219">
        <v>0</v>
      </c>
      <c r="O2219" t="s">
        <v>64</v>
      </c>
      <c r="P2219" t="s">
        <v>65</v>
      </c>
      <c r="S2219" s="3">
        <v>0</v>
      </c>
      <c r="T2219" s="5"/>
      <c r="U2219">
        <v>0</v>
      </c>
      <c r="V2219">
        <v>2022</v>
      </c>
      <c r="X2219">
        <f t="shared" si="102"/>
        <v>7.2897781000000004</v>
      </c>
      <c r="Y2219">
        <f t="shared" si="103"/>
        <v>-2.219E-4</v>
      </c>
      <c r="Z2219">
        <f t="shared" si="104"/>
        <v>77.599778099999995</v>
      </c>
    </row>
    <row r="2220" spans="1:26" x14ac:dyDescent="0.3">
      <c r="A2220" t="s">
        <v>2310</v>
      </c>
      <c r="B2220" t="s">
        <v>63</v>
      </c>
      <c r="C2220" t="s">
        <v>74</v>
      </c>
      <c r="D2220" t="s">
        <v>57</v>
      </c>
      <c r="E2220">
        <v>22</v>
      </c>
      <c r="F2220" s="3">
        <v>8.59</v>
      </c>
      <c r="G2220" s="4">
        <v>78.400000000000006</v>
      </c>
      <c r="H2220">
        <v>1</v>
      </c>
      <c r="I2220">
        <v>0</v>
      </c>
      <c r="J2220">
        <v>4</v>
      </c>
      <c r="K2220" s="4">
        <v>61.8</v>
      </c>
      <c r="L2220" s="4">
        <v>47.5</v>
      </c>
      <c r="M2220" s="4">
        <v>92.8</v>
      </c>
      <c r="N2220">
        <v>0</v>
      </c>
      <c r="O2220" t="s">
        <v>58</v>
      </c>
      <c r="P2220" t="s">
        <v>90</v>
      </c>
      <c r="Q2220" t="s">
        <v>60</v>
      </c>
      <c r="R2220" t="s">
        <v>130</v>
      </c>
      <c r="S2220" s="3">
        <v>8.57</v>
      </c>
      <c r="T2220" s="5">
        <v>45896</v>
      </c>
      <c r="U2220">
        <v>2</v>
      </c>
      <c r="V2220">
        <v>2025</v>
      </c>
      <c r="X2220">
        <f t="shared" si="102"/>
        <v>8.589777999999999</v>
      </c>
      <c r="Y2220">
        <f t="shared" si="103"/>
        <v>8.5697779999999995</v>
      </c>
      <c r="Z2220">
        <f t="shared" si="104"/>
        <v>47.499777999999999</v>
      </c>
    </row>
    <row r="2221" spans="1:26" x14ac:dyDescent="0.3">
      <c r="A2221" t="s">
        <v>2311</v>
      </c>
      <c r="B2221" t="s">
        <v>63</v>
      </c>
      <c r="C2221" t="s">
        <v>74</v>
      </c>
      <c r="D2221" t="s">
        <v>57</v>
      </c>
      <c r="E2221">
        <v>20</v>
      </c>
      <c r="F2221" s="3">
        <v>7.29</v>
      </c>
      <c r="G2221" s="4">
        <v>73.3</v>
      </c>
      <c r="H2221">
        <v>2</v>
      </c>
      <c r="I2221">
        <v>1</v>
      </c>
      <c r="J2221">
        <v>5</v>
      </c>
      <c r="K2221" s="4">
        <v>73</v>
      </c>
      <c r="L2221" s="4">
        <v>77</v>
      </c>
      <c r="M2221" s="4">
        <v>66.900000000000006</v>
      </c>
      <c r="N2221">
        <v>0</v>
      </c>
      <c r="O2221" t="s">
        <v>58</v>
      </c>
      <c r="P2221" t="s">
        <v>95</v>
      </c>
      <c r="Q2221" t="s">
        <v>93</v>
      </c>
      <c r="R2221" t="s">
        <v>72</v>
      </c>
      <c r="S2221" s="3">
        <v>7.47</v>
      </c>
      <c r="T2221" s="5">
        <v>45971</v>
      </c>
      <c r="U2221">
        <v>1</v>
      </c>
      <c r="V2221">
        <v>2025</v>
      </c>
      <c r="X2221">
        <f t="shared" si="102"/>
        <v>7.2897778999999998</v>
      </c>
      <c r="Y2221">
        <f t="shared" si="103"/>
        <v>7.4697778999999995</v>
      </c>
      <c r="Z2221">
        <f t="shared" si="104"/>
        <v>76.999777899999998</v>
      </c>
    </row>
    <row r="2222" spans="1:26" x14ac:dyDescent="0.3">
      <c r="A2222" t="s">
        <v>2312</v>
      </c>
      <c r="B2222" t="s">
        <v>63</v>
      </c>
      <c r="C2222" t="s">
        <v>74</v>
      </c>
      <c r="D2222" t="s">
        <v>57</v>
      </c>
      <c r="E2222">
        <v>22</v>
      </c>
      <c r="F2222" s="3">
        <v>7.24</v>
      </c>
      <c r="G2222" s="4">
        <v>92.7</v>
      </c>
      <c r="H2222">
        <v>1</v>
      </c>
      <c r="I2222">
        <v>2</v>
      </c>
      <c r="J2222">
        <v>3</v>
      </c>
      <c r="K2222" s="4">
        <v>55.2</v>
      </c>
      <c r="L2222" s="4">
        <v>44.4</v>
      </c>
      <c r="M2222" s="4">
        <v>74.3</v>
      </c>
      <c r="N2222">
        <v>0</v>
      </c>
      <c r="O2222" t="s">
        <v>58</v>
      </c>
      <c r="P2222" t="s">
        <v>95</v>
      </c>
      <c r="Q2222" t="s">
        <v>93</v>
      </c>
      <c r="R2222" t="s">
        <v>61</v>
      </c>
      <c r="S2222" s="3">
        <v>4.6500000000000004</v>
      </c>
      <c r="T2222" s="5">
        <v>45920</v>
      </c>
      <c r="U2222">
        <v>1</v>
      </c>
      <c r="V2222">
        <v>2025</v>
      </c>
      <c r="X2222">
        <f t="shared" si="102"/>
        <v>7.2397778000000006</v>
      </c>
      <c r="Y2222">
        <f t="shared" si="103"/>
        <v>4.6497778000000007</v>
      </c>
      <c r="Z2222">
        <f t="shared" si="104"/>
        <v>44.399777799999995</v>
      </c>
    </row>
    <row r="2223" spans="1:26" x14ac:dyDescent="0.3">
      <c r="A2223" t="s">
        <v>2313</v>
      </c>
      <c r="B2223" t="s">
        <v>82</v>
      </c>
      <c r="C2223" t="s">
        <v>56</v>
      </c>
      <c r="D2223" t="s">
        <v>57</v>
      </c>
      <c r="E2223">
        <v>23</v>
      </c>
      <c r="F2223" s="3">
        <v>8.4600000000000009</v>
      </c>
      <c r="G2223" s="4">
        <v>75.3</v>
      </c>
      <c r="H2223">
        <v>2</v>
      </c>
      <c r="I2223">
        <v>5</v>
      </c>
      <c r="J2223">
        <v>5</v>
      </c>
      <c r="K2223" s="4">
        <v>53.5</v>
      </c>
      <c r="L2223" s="4">
        <v>93</v>
      </c>
      <c r="M2223" s="4">
        <v>86.3</v>
      </c>
      <c r="N2223">
        <v>1</v>
      </c>
      <c r="O2223" t="s">
        <v>58</v>
      </c>
      <c r="P2223" t="s">
        <v>90</v>
      </c>
      <c r="Q2223" t="s">
        <v>60</v>
      </c>
      <c r="R2223" t="s">
        <v>72</v>
      </c>
      <c r="S2223" s="3">
        <v>11.11</v>
      </c>
      <c r="T2223" s="5">
        <v>44821</v>
      </c>
      <c r="U2223">
        <v>1</v>
      </c>
      <c r="V2223">
        <v>2022</v>
      </c>
      <c r="X2223">
        <f t="shared" si="102"/>
        <v>8.4597777000000001</v>
      </c>
      <c r="Y2223">
        <f t="shared" si="103"/>
        <v>11.109777699999999</v>
      </c>
      <c r="Z2223">
        <f t="shared" si="104"/>
        <v>92.999777699999996</v>
      </c>
    </row>
    <row r="2224" spans="1:26" x14ac:dyDescent="0.3">
      <c r="A2224" t="s">
        <v>2314</v>
      </c>
      <c r="B2224" t="s">
        <v>63</v>
      </c>
      <c r="C2224" t="s">
        <v>78</v>
      </c>
      <c r="D2224" t="s">
        <v>57</v>
      </c>
      <c r="E2224">
        <v>21</v>
      </c>
      <c r="F2224" s="3">
        <v>8.5299999999999994</v>
      </c>
      <c r="G2224" s="4">
        <v>95.2</v>
      </c>
      <c r="H2224">
        <v>3</v>
      </c>
      <c r="I2224">
        <v>0</v>
      </c>
      <c r="J2224">
        <v>3</v>
      </c>
      <c r="K2224" s="4">
        <v>51.6</v>
      </c>
      <c r="L2224" s="4">
        <v>64.400000000000006</v>
      </c>
      <c r="M2224" s="4">
        <v>86</v>
      </c>
      <c r="N2224">
        <v>0</v>
      </c>
      <c r="O2224" t="s">
        <v>58</v>
      </c>
      <c r="P2224" t="s">
        <v>95</v>
      </c>
      <c r="Q2224" t="s">
        <v>93</v>
      </c>
      <c r="R2224" t="s">
        <v>109</v>
      </c>
      <c r="S2224" s="3">
        <v>6.93</v>
      </c>
      <c r="T2224" s="5">
        <v>45941</v>
      </c>
      <c r="U2224">
        <v>1</v>
      </c>
      <c r="V2224">
        <v>2025</v>
      </c>
      <c r="X2224">
        <f t="shared" si="102"/>
        <v>8.5297775999999992</v>
      </c>
      <c r="Y2224">
        <f t="shared" si="103"/>
        <v>6.9297775999999995</v>
      </c>
      <c r="Z2224">
        <f t="shared" si="104"/>
        <v>64.399777600000007</v>
      </c>
    </row>
    <row r="2225" spans="1:26" x14ac:dyDescent="0.3">
      <c r="A2225" t="s">
        <v>2315</v>
      </c>
      <c r="B2225" t="s">
        <v>63</v>
      </c>
      <c r="C2225" t="s">
        <v>101</v>
      </c>
      <c r="D2225" t="s">
        <v>57</v>
      </c>
      <c r="E2225">
        <v>21</v>
      </c>
      <c r="F2225" s="3">
        <v>9.75</v>
      </c>
      <c r="G2225" s="4">
        <v>79.400000000000006</v>
      </c>
      <c r="H2225">
        <v>1</v>
      </c>
      <c r="I2225">
        <v>1</v>
      </c>
      <c r="J2225">
        <v>5</v>
      </c>
      <c r="K2225" s="4">
        <v>41.8</v>
      </c>
      <c r="L2225" s="4">
        <v>85.7</v>
      </c>
      <c r="M2225" s="4">
        <v>77.599999999999994</v>
      </c>
      <c r="N2225">
        <v>0</v>
      </c>
      <c r="O2225" t="s">
        <v>58</v>
      </c>
      <c r="P2225" t="s">
        <v>95</v>
      </c>
      <c r="Q2225" t="s">
        <v>93</v>
      </c>
      <c r="R2225" t="s">
        <v>61</v>
      </c>
      <c r="S2225" s="3">
        <v>9.16</v>
      </c>
      <c r="T2225" s="5">
        <v>45984</v>
      </c>
      <c r="U2225">
        <v>1</v>
      </c>
      <c r="V2225">
        <v>2025</v>
      </c>
      <c r="X2225">
        <f t="shared" si="102"/>
        <v>9.7497775000000004</v>
      </c>
      <c r="Y2225">
        <f t="shared" si="103"/>
        <v>9.1597775000000006</v>
      </c>
      <c r="Z2225">
        <f t="shared" si="104"/>
        <v>85.699777499999996</v>
      </c>
    </row>
    <row r="2226" spans="1:26" x14ac:dyDescent="0.3">
      <c r="A2226" t="s">
        <v>2316</v>
      </c>
      <c r="B2226" t="s">
        <v>55</v>
      </c>
      <c r="C2226" t="s">
        <v>84</v>
      </c>
      <c r="D2226" t="s">
        <v>69</v>
      </c>
      <c r="E2226">
        <v>20</v>
      </c>
      <c r="F2226" s="3">
        <v>8.75</v>
      </c>
      <c r="G2226" s="4">
        <v>86.4</v>
      </c>
      <c r="H2226">
        <v>2</v>
      </c>
      <c r="I2226">
        <v>2</v>
      </c>
      <c r="J2226">
        <v>4</v>
      </c>
      <c r="K2226" s="4">
        <v>76.8</v>
      </c>
      <c r="L2226" s="4">
        <v>52.8</v>
      </c>
      <c r="M2226" s="4">
        <v>71.8</v>
      </c>
      <c r="N2226">
        <v>0</v>
      </c>
      <c r="O2226" t="s">
        <v>58</v>
      </c>
      <c r="P2226" t="s">
        <v>112</v>
      </c>
      <c r="Q2226" t="s">
        <v>93</v>
      </c>
      <c r="R2226" t="s">
        <v>61</v>
      </c>
      <c r="S2226" s="3">
        <v>7.85</v>
      </c>
      <c r="T2226" s="5">
        <v>45557</v>
      </c>
      <c r="U2226">
        <v>1</v>
      </c>
      <c r="V2226">
        <v>2024</v>
      </c>
      <c r="X2226">
        <f t="shared" si="102"/>
        <v>8.7497773999999993</v>
      </c>
      <c r="Y2226">
        <f t="shared" si="103"/>
        <v>7.8497773999999998</v>
      </c>
      <c r="Z2226">
        <f t="shared" si="104"/>
        <v>52.799777399999996</v>
      </c>
    </row>
    <row r="2227" spans="1:26" x14ac:dyDescent="0.3">
      <c r="A2227" t="s">
        <v>2317</v>
      </c>
      <c r="B2227" t="s">
        <v>107</v>
      </c>
      <c r="C2227" t="s">
        <v>68</v>
      </c>
      <c r="D2227" t="s">
        <v>57</v>
      </c>
      <c r="E2227">
        <v>20</v>
      </c>
      <c r="F2227" s="3">
        <v>8.39</v>
      </c>
      <c r="G2227" s="4">
        <v>95.9</v>
      </c>
      <c r="H2227">
        <v>2</v>
      </c>
      <c r="I2227">
        <v>1</v>
      </c>
      <c r="J2227">
        <v>5</v>
      </c>
      <c r="K2227" s="4">
        <v>69.2</v>
      </c>
      <c r="L2227" s="4">
        <v>78.599999999999994</v>
      </c>
      <c r="M2227" s="4">
        <v>71.7</v>
      </c>
      <c r="N2227">
        <v>0</v>
      </c>
      <c r="O2227" t="s">
        <v>58</v>
      </c>
      <c r="P2227" t="s">
        <v>92</v>
      </c>
      <c r="Q2227" t="s">
        <v>93</v>
      </c>
      <c r="R2227" t="s">
        <v>109</v>
      </c>
      <c r="S2227" s="3">
        <v>8.57</v>
      </c>
      <c r="T2227" s="5">
        <v>44491</v>
      </c>
      <c r="U2227">
        <v>1</v>
      </c>
      <c r="V2227">
        <v>2021</v>
      </c>
      <c r="X2227">
        <f t="shared" si="102"/>
        <v>8.3897773000000004</v>
      </c>
      <c r="Y2227">
        <f t="shared" si="103"/>
        <v>8.5697773000000002</v>
      </c>
      <c r="Z2227">
        <f t="shared" si="104"/>
        <v>78.5997773</v>
      </c>
    </row>
    <row r="2228" spans="1:26" x14ac:dyDescent="0.3">
      <c r="A2228" t="s">
        <v>2318</v>
      </c>
      <c r="B2228" t="s">
        <v>67</v>
      </c>
      <c r="C2228" t="s">
        <v>78</v>
      </c>
      <c r="D2228" t="s">
        <v>69</v>
      </c>
      <c r="E2228">
        <v>22</v>
      </c>
      <c r="F2228" s="3">
        <v>8.52</v>
      </c>
      <c r="G2228" s="4">
        <v>78.099999999999994</v>
      </c>
      <c r="H2228">
        <v>1</v>
      </c>
      <c r="I2228">
        <v>3</v>
      </c>
      <c r="J2228">
        <v>5</v>
      </c>
      <c r="K2228" s="4">
        <v>79.099999999999994</v>
      </c>
      <c r="L2228" s="4">
        <v>52.4</v>
      </c>
      <c r="M2228" s="4">
        <v>57.3</v>
      </c>
      <c r="N2228">
        <v>0</v>
      </c>
      <c r="O2228" t="s">
        <v>58</v>
      </c>
      <c r="P2228" t="s">
        <v>92</v>
      </c>
      <c r="Q2228" t="s">
        <v>93</v>
      </c>
      <c r="R2228" t="s">
        <v>76</v>
      </c>
      <c r="S2228" s="3">
        <v>7.9</v>
      </c>
      <c r="T2228" s="5">
        <v>45232</v>
      </c>
      <c r="U2228">
        <v>2</v>
      </c>
      <c r="V2228">
        <v>2023</v>
      </c>
      <c r="X2228">
        <f t="shared" si="102"/>
        <v>8.5197772000000001</v>
      </c>
      <c r="Y2228">
        <f t="shared" si="103"/>
        <v>7.8997771999999999</v>
      </c>
      <c r="Z2228">
        <f t="shared" si="104"/>
        <v>52.399777199999996</v>
      </c>
    </row>
    <row r="2229" spans="1:26" x14ac:dyDescent="0.3">
      <c r="A2229" t="s">
        <v>2319</v>
      </c>
      <c r="B2229" t="s">
        <v>107</v>
      </c>
      <c r="C2229" t="s">
        <v>101</v>
      </c>
      <c r="D2229" t="s">
        <v>57</v>
      </c>
      <c r="E2229">
        <v>22</v>
      </c>
      <c r="F2229" s="3">
        <v>7.52</v>
      </c>
      <c r="G2229" s="4">
        <v>86.2</v>
      </c>
      <c r="H2229">
        <v>2</v>
      </c>
      <c r="I2229">
        <v>0</v>
      </c>
      <c r="J2229">
        <v>4</v>
      </c>
      <c r="K2229" s="4">
        <v>58</v>
      </c>
      <c r="L2229" s="4">
        <v>65.599999999999994</v>
      </c>
      <c r="M2229" s="4">
        <v>61.7</v>
      </c>
      <c r="N2229">
        <v>0</v>
      </c>
      <c r="O2229" t="s">
        <v>64</v>
      </c>
      <c r="P2229" t="s">
        <v>65</v>
      </c>
      <c r="S2229" s="3">
        <v>0</v>
      </c>
      <c r="T2229" s="5"/>
      <c r="U2229">
        <v>0</v>
      </c>
      <c r="V2229">
        <v>2021</v>
      </c>
      <c r="X2229">
        <f t="shared" si="102"/>
        <v>7.5197770999999998</v>
      </c>
      <c r="Y2229">
        <f t="shared" si="103"/>
        <v>-2.229E-4</v>
      </c>
      <c r="Z2229">
        <f t="shared" si="104"/>
        <v>65.599777099999997</v>
      </c>
    </row>
    <row r="2230" spans="1:26" x14ac:dyDescent="0.3">
      <c r="A2230" t="s">
        <v>2320</v>
      </c>
      <c r="B2230" t="s">
        <v>55</v>
      </c>
      <c r="C2230" t="s">
        <v>68</v>
      </c>
      <c r="D2230" t="s">
        <v>69</v>
      </c>
      <c r="E2230">
        <v>20</v>
      </c>
      <c r="F2230" s="3">
        <v>8.16</v>
      </c>
      <c r="G2230" s="4">
        <v>86.4</v>
      </c>
      <c r="H2230">
        <v>1</v>
      </c>
      <c r="I2230">
        <v>5</v>
      </c>
      <c r="J2230">
        <v>4</v>
      </c>
      <c r="K2230" s="4">
        <v>57.6</v>
      </c>
      <c r="L2230" s="4">
        <v>84.5</v>
      </c>
      <c r="M2230" s="4">
        <v>74.400000000000006</v>
      </c>
      <c r="N2230">
        <v>1</v>
      </c>
      <c r="O2230" t="s">
        <v>58</v>
      </c>
      <c r="P2230" t="s">
        <v>79</v>
      </c>
      <c r="Q2230" t="s">
        <v>71</v>
      </c>
      <c r="R2230" t="s">
        <v>72</v>
      </c>
      <c r="S2230" s="3">
        <v>7.05</v>
      </c>
      <c r="T2230" s="5">
        <v>45608</v>
      </c>
      <c r="U2230">
        <v>1</v>
      </c>
      <c r="V2230">
        <v>2024</v>
      </c>
      <c r="X2230">
        <f t="shared" si="102"/>
        <v>8.1597770000000001</v>
      </c>
      <c r="Y2230">
        <f t="shared" si="103"/>
        <v>7.0497769999999997</v>
      </c>
      <c r="Z2230">
        <f t="shared" si="104"/>
        <v>84.499776999999995</v>
      </c>
    </row>
    <row r="2231" spans="1:26" x14ac:dyDescent="0.3">
      <c r="A2231" t="s">
        <v>2321</v>
      </c>
      <c r="B2231" t="s">
        <v>67</v>
      </c>
      <c r="C2231" t="s">
        <v>74</v>
      </c>
      <c r="D2231" t="s">
        <v>69</v>
      </c>
      <c r="E2231">
        <v>23</v>
      </c>
      <c r="F2231" s="3">
        <v>8.1999999999999993</v>
      </c>
      <c r="G2231" s="4">
        <v>76</v>
      </c>
      <c r="H2231">
        <v>0</v>
      </c>
      <c r="I2231">
        <v>4</v>
      </c>
      <c r="J2231">
        <v>5</v>
      </c>
      <c r="K2231" s="4">
        <v>72.8</v>
      </c>
      <c r="L2231" s="4">
        <v>79.3</v>
      </c>
      <c r="M2231" s="4">
        <v>77.3</v>
      </c>
      <c r="N2231">
        <v>0</v>
      </c>
      <c r="O2231" t="s">
        <v>58</v>
      </c>
      <c r="P2231" t="s">
        <v>104</v>
      </c>
      <c r="Q2231" t="s">
        <v>105</v>
      </c>
      <c r="R2231" t="s">
        <v>130</v>
      </c>
      <c r="S2231" s="3">
        <v>15.57</v>
      </c>
      <c r="T2231" s="5">
        <v>45148</v>
      </c>
      <c r="U2231">
        <v>1</v>
      </c>
      <c r="V2231">
        <v>2023</v>
      </c>
      <c r="X2231">
        <f t="shared" si="102"/>
        <v>8.1997768999999998</v>
      </c>
      <c r="Y2231">
        <f t="shared" si="103"/>
        <v>15.569776900000001</v>
      </c>
      <c r="Z2231">
        <f t="shared" si="104"/>
        <v>79.299776899999998</v>
      </c>
    </row>
    <row r="2232" spans="1:26" x14ac:dyDescent="0.3">
      <c r="A2232" t="s">
        <v>2322</v>
      </c>
      <c r="B2232" t="s">
        <v>63</v>
      </c>
      <c r="C2232" t="s">
        <v>84</v>
      </c>
      <c r="D2232" t="s">
        <v>69</v>
      </c>
      <c r="E2232">
        <v>22</v>
      </c>
      <c r="F2232" s="3">
        <v>7.16</v>
      </c>
      <c r="G2232" s="4">
        <v>84</v>
      </c>
      <c r="H2232">
        <v>3</v>
      </c>
      <c r="I2232">
        <v>4</v>
      </c>
      <c r="J2232">
        <v>3</v>
      </c>
      <c r="K2232" s="4">
        <v>80.5</v>
      </c>
      <c r="L2232" s="4">
        <v>78.5</v>
      </c>
      <c r="M2232" s="4">
        <v>100</v>
      </c>
      <c r="N2232">
        <v>0</v>
      </c>
      <c r="O2232" t="s">
        <v>58</v>
      </c>
      <c r="P2232" t="s">
        <v>87</v>
      </c>
      <c r="Q2232" t="s">
        <v>71</v>
      </c>
      <c r="R2232" t="s">
        <v>85</v>
      </c>
      <c r="S2232" s="3">
        <v>5.04</v>
      </c>
      <c r="T2232" s="5">
        <v>45963</v>
      </c>
      <c r="U2232">
        <v>1</v>
      </c>
      <c r="V2232">
        <v>2025</v>
      </c>
      <c r="X2232">
        <f t="shared" si="102"/>
        <v>7.1597768000000004</v>
      </c>
      <c r="Y2232">
        <f t="shared" si="103"/>
        <v>5.0397768000000003</v>
      </c>
      <c r="Z2232">
        <f t="shared" si="104"/>
        <v>78.499776800000006</v>
      </c>
    </row>
    <row r="2233" spans="1:26" x14ac:dyDescent="0.3">
      <c r="A2233" t="s">
        <v>2323</v>
      </c>
      <c r="B2233" t="s">
        <v>55</v>
      </c>
      <c r="C2233" t="s">
        <v>68</v>
      </c>
      <c r="D2233" t="s">
        <v>69</v>
      </c>
      <c r="E2233">
        <v>21</v>
      </c>
      <c r="F2233" s="3">
        <v>7.61</v>
      </c>
      <c r="G2233" s="4">
        <v>88.7</v>
      </c>
      <c r="H2233">
        <v>1</v>
      </c>
      <c r="I2233">
        <v>1</v>
      </c>
      <c r="J2233">
        <v>1</v>
      </c>
      <c r="K2233" s="4">
        <v>81.8</v>
      </c>
      <c r="L2233" s="4">
        <v>64.7</v>
      </c>
      <c r="M2233" s="4">
        <v>83.4</v>
      </c>
      <c r="N2233">
        <v>0</v>
      </c>
      <c r="O2233" t="s">
        <v>58</v>
      </c>
      <c r="P2233" t="s">
        <v>79</v>
      </c>
      <c r="Q2233" t="s">
        <v>71</v>
      </c>
      <c r="R2233" t="s">
        <v>109</v>
      </c>
      <c r="S2233" s="3">
        <v>5.7</v>
      </c>
      <c r="T2233" s="5">
        <v>45513</v>
      </c>
      <c r="U2233">
        <v>1</v>
      </c>
      <c r="V2233">
        <v>2024</v>
      </c>
      <c r="X2233">
        <f t="shared" si="102"/>
        <v>7.6097767000000003</v>
      </c>
      <c r="Y2233">
        <f t="shared" si="103"/>
        <v>5.6997767000000001</v>
      </c>
      <c r="Z2233">
        <f t="shared" si="104"/>
        <v>64.699776700000001</v>
      </c>
    </row>
    <row r="2234" spans="1:26" x14ac:dyDescent="0.3">
      <c r="A2234" t="s">
        <v>2324</v>
      </c>
      <c r="B2234" t="s">
        <v>63</v>
      </c>
      <c r="C2234" t="s">
        <v>68</v>
      </c>
      <c r="D2234" t="s">
        <v>57</v>
      </c>
      <c r="E2234">
        <v>21</v>
      </c>
      <c r="F2234" s="3">
        <v>8.51</v>
      </c>
      <c r="G2234" s="4">
        <v>97.3</v>
      </c>
      <c r="H2234">
        <v>1</v>
      </c>
      <c r="I2234">
        <v>1</v>
      </c>
      <c r="J2234">
        <v>3</v>
      </c>
      <c r="K2234" s="4">
        <v>52.4</v>
      </c>
      <c r="L2234" s="4">
        <v>54.3</v>
      </c>
      <c r="M2234" s="4">
        <v>69.8</v>
      </c>
      <c r="N2234">
        <v>0</v>
      </c>
      <c r="O2234" t="s">
        <v>64</v>
      </c>
      <c r="P2234" t="s">
        <v>65</v>
      </c>
      <c r="S2234" s="3">
        <v>0</v>
      </c>
      <c r="T2234" s="5"/>
      <c r="U2234">
        <v>0</v>
      </c>
      <c r="V2234">
        <v>2025</v>
      </c>
      <c r="X2234">
        <f t="shared" si="102"/>
        <v>8.5097766000000004</v>
      </c>
      <c r="Y2234">
        <f t="shared" si="103"/>
        <v>-2.2339999999999998E-4</v>
      </c>
      <c r="Z2234">
        <f t="shared" si="104"/>
        <v>54.299776599999994</v>
      </c>
    </row>
    <row r="2235" spans="1:26" x14ac:dyDescent="0.3">
      <c r="A2235" t="s">
        <v>2325</v>
      </c>
      <c r="B2235" t="s">
        <v>82</v>
      </c>
      <c r="C2235" t="s">
        <v>56</v>
      </c>
      <c r="D2235" t="s">
        <v>57</v>
      </c>
      <c r="E2235">
        <v>23</v>
      </c>
      <c r="F2235" s="3">
        <v>7.63</v>
      </c>
      <c r="G2235" s="4">
        <v>78.3</v>
      </c>
      <c r="H2235">
        <v>2</v>
      </c>
      <c r="I2235">
        <v>3</v>
      </c>
      <c r="J2235">
        <v>4</v>
      </c>
      <c r="K2235" s="4">
        <v>81.2</v>
      </c>
      <c r="L2235" s="4">
        <v>81.7</v>
      </c>
      <c r="M2235" s="4">
        <v>80.099999999999994</v>
      </c>
      <c r="N2235">
        <v>1</v>
      </c>
      <c r="O2235" t="s">
        <v>64</v>
      </c>
      <c r="P2235" t="s">
        <v>65</v>
      </c>
      <c r="S2235" s="3">
        <v>0</v>
      </c>
      <c r="T2235" s="5"/>
      <c r="U2235">
        <v>0</v>
      </c>
      <c r="V2235">
        <v>2022</v>
      </c>
      <c r="X2235">
        <f t="shared" si="102"/>
        <v>7.6297765000000002</v>
      </c>
      <c r="Y2235">
        <f t="shared" si="103"/>
        <v>-2.2349999999999998E-4</v>
      </c>
      <c r="Z2235">
        <f t="shared" si="104"/>
        <v>81.699776499999999</v>
      </c>
    </row>
    <row r="2236" spans="1:26" x14ac:dyDescent="0.3">
      <c r="A2236" t="s">
        <v>2326</v>
      </c>
      <c r="B2236" t="s">
        <v>55</v>
      </c>
      <c r="C2236" t="s">
        <v>56</v>
      </c>
      <c r="D2236" t="s">
        <v>57</v>
      </c>
      <c r="E2236">
        <v>20</v>
      </c>
      <c r="F2236" s="3">
        <v>8.1999999999999993</v>
      </c>
      <c r="G2236" s="4">
        <v>85.1</v>
      </c>
      <c r="H2236">
        <v>3</v>
      </c>
      <c r="I2236">
        <v>3</v>
      </c>
      <c r="J2236">
        <v>3</v>
      </c>
      <c r="K2236" s="4">
        <v>89.1</v>
      </c>
      <c r="L2236" s="4">
        <v>56.2</v>
      </c>
      <c r="M2236" s="4">
        <v>52.8</v>
      </c>
      <c r="N2236">
        <v>0</v>
      </c>
      <c r="O2236" t="s">
        <v>58</v>
      </c>
      <c r="P2236" t="s">
        <v>75</v>
      </c>
      <c r="Q2236" t="s">
        <v>71</v>
      </c>
      <c r="R2236" t="s">
        <v>85</v>
      </c>
      <c r="S2236" s="3">
        <v>7.2</v>
      </c>
      <c r="T2236" s="5">
        <v>45599</v>
      </c>
      <c r="U2236">
        <v>1</v>
      </c>
      <c r="V2236">
        <v>2024</v>
      </c>
      <c r="X2236">
        <f t="shared" si="102"/>
        <v>8.1997763999999993</v>
      </c>
      <c r="Y2236">
        <f t="shared" si="103"/>
        <v>7.1997764000000002</v>
      </c>
      <c r="Z2236">
        <f t="shared" si="104"/>
        <v>56.199776400000005</v>
      </c>
    </row>
    <row r="2237" spans="1:26" x14ac:dyDescent="0.3">
      <c r="A2237" t="s">
        <v>2327</v>
      </c>
      <c r="B2237" t="s">
        <v>82</v>
      </c>
      <c r="C2237" t="s">
        <v>101</v>
      </c>
      <c r="D2237" t="s">
        <v>57</v>
      </c>
      <c r="E2237">
        <v>22</v>
      </c>
      <c r="F2237" s="3">
        <v>8.4600000000000009</v>
      </c>
      <c r="G2237" s="4">
        <v>80.900000000000006</v>
      </c>
      <c r="H2237">
        <v>2</v>
      </c>
      <c r="I2237">
        <v>3</v>
      </c>
      <c r="J2237">
        <v>3</v>
      </c>
      <c r="K2237" s="4">
        <v>73.900000000000006</v>
      </c>
      <c r="L2237" s="4">
        <v>60.7</v>
      </c>
      <c r="M2237" s="4">
        <v>75</v>
      </c>
      <c r="N2237">
        <v>0</v>
      </c>
      <c r="O2237" t="s">
        <v>58</v>
      </c>
      <c r="P2237" t="s">
        <v>75</v>
      </c>
      <c r="Q2237" t="s">
        <v>71</v>
      </c>
      <c r="R2237" t="s">
        <v>72</v>
      </c>
      <c r="S2237" s="3">
        <v>6.58</v>
      </c>
      <c r="T2237" s="5">
        <v>44819</v>
      </c>
      <c r="U2237">
        <v>1</v>
      </c>
      <c r="V2237">
        <v>2022</v>
      </c>
      <c r="X2237">
        <f t="shared" si="102"/>
        <v>8.4597763000000015</v>
      </c>
      <c r="Y2237">
        <f t="shared" si="103"/>
        <v>6.5797762999999998</v>
      </c>
      <c r="Z2237">
        <f t="shared" si="104"/>
        <v>60.699776300000003</v>
      </c>
    </row>
    <row r="2238" spans="1:26" x14ac:dyDescent="0.3">
      <c r="A2238" t="s">
        <v>2328</v>
      </c>
      <c r="B2238" t="s">
        <v>55</v>
      </c>
      <c r="C2238" t="s">
        <v>89</v>
      </c>
      <c r="D2238" t="s">
        <v>57</v>
      </c>
      <c r="E2238">
        <v>21</v>
      </c>
      <c r="F2238" s="3">
        <v>8.42</v>
      </c>
      <c r="G2238" s="4">
        <v>83.7</v>
      </c>
      <c r="H2238">
        <v>1</v>
      </c>
      <c r="I2238">
        <v>2</v>
      </c>
      <c r="J2238">
        <v>2</v>
      </c>
      <c r="K2238" s="4">
        <v>84.2</v>
      </c>
      <c r="L2238" s="4">
        <v>91.4</v>
      </c>
      <c r="M2238" s="4">
        <v>82.2</v>
      </c>
      <c r="N2238">
        <v>0</v>
      </c>
      <c r="O2238" t="s">
        <v>58</v>
      </c>
      <c r="P2238" t="s">
        <v>87</v>
      </c>
      <c r="Q2238" t="s">
        <v>71</v>
      </c>
      <c r="R2238" t="s">
        <v>85</v>
      </c>
      <c r="S2238" s="3">
        <v>6.86</v>
      </c>
      <c r="T2238" s="5">
        <v>45514</v>
      </c>
      <c r="U2238">
        <v>1</v>
      </c>
      <c r="V2238">
        <v>2024</v>
      </c>
      <c r="X2238">
        <f t="shared" si="102"/>
        <v>8.4197761999999994</v>
      </c>
      <c r="Y2238">
        <f t="shared" si="103"/>
        <v>6.8597762000000007</v>
      </c>
      <c r="Z2238">
        <f t="shared" si="104"/>
        <v>91.399776200000005</v>
      </c>
    </row>
    <row r="2239" spans="1:26" x14ac:dyDescent="0.3">
      <c r="A2239" t="s">
        <v>2329</v>
      </c>
      <c r="B2239" t="s">
        <v>55</v>
      </c>
      <c r="C2239" t="s">
        <v>74</v>
      </c>
      <c r="D2239" t="s">
        <v>69</v>
      </c>
      <c r="E2239">
        <v>20</v>
      </c>
      <c r="F2239" s="3">
        <v>9.2100000000000009</v>
      </c>
      <c r="G2239" s="4">
        <v>76.7</v>
      </c>
      <c r="H2239">
        <v>1</v>
      </c>
      <c r="I2239">
        <v>1</v>
      </c>
      <c r="J2239">
        <v>3</v>
      </c>
      <c r="K2239" s="4">
        <v>75.3</v>
      </c>
      <c r="L2239" s="4">
        <v>78.7</v>
      </c>
      <c r="M2239" s="4">
        <v>82.3</v>
      </c>
      <c r="N2239">
        <v>1</v>
      </c>
      <c r="O2239" t="s">
        <v>58</v>
      </c>
      <c r="P2239" t="s">
        <v>92</v>
      </c>
      <c r="Q2239" t="s">
        <v>93</v>
      </c>
      <c r="R2239" t="s">
        <v>76</v>
      </c>
      <c r="S2239" s="3">
        <v>9.5399999999999991</v>
      </c>
      <c r="T2239" s="5">
        <v>45540</v>
      </c>
      <c r="U2239">
        <v>1</v>
      </c>
      <c r="V2239">
        <v>2024</v>
      </c>
      <c r="X2239">
        <f t="shared" si="102"/>
        <v>9.2097761000000009</v>
      </c>
      <c r="Y2239">
        <f t="shared" si="103"/>
        <v>9.5397760999999992</v>
      </c>
      <c r="Z2239">
        <f t="shared" si="104"/>
        <v>78.699776100000008</v>
      </c>
    </row>
    <row r="2240" spans="1:26" x14ac:dyDescent="0.3">
      <c r="A2240" t="s">
        <v>2330</v>
      </c>
      <c r="B2240" t="s">
        <v>82</v>
      </c>
      <c r="C2240" t="s">
        <v>56</v>
      </c>
      <c r="D2240" t="s">
        <v>57</v>
      </c>
      <c r="E2240">
        <v>22</v>
      </c>
      <c r="F2240" s="3">
        <v>7.13</v>
      </c>
      <c r="G2240" s="4">
        <v>80.5</v>
      </c>
      <c r="H2240">
        <v>1</v>
      </c>
      <c r="I2240">
        <v>5</v>
      </c>
      <c r="J2240">
        <v>3</v>
      </c>
      <c r="K2240" s="4">
        <v>52.3</v>
      </c>
      <c r="L2240" s="4">
        <v>49.5</v>
      </c>
      <c r="M2240" s="4">
        <v>73.2</v>
      </c>
      <c r="N2240">
        <v>0</v>
      </c>
      <c r="O2240" t="s">
        <v>58</v>
      </c>
      <c r="P2240" t="s">
        <v>75</v>
      </c>
      <c r="Q2240" t="s">
        <v>71</v>
      </c>
      <c r="R2240" t="s">
        <v>76</v>
      </c>
      <c r="S2240" s="3">
        <v>4.8600000000000003</v>
      </c>
      <c r="T2240" s="5">
        <v>44783</v>
      </c>
      <c r="U2240">
        <v>2</v>
      </c>
      <c r="V2240">
        <v>2022</v>
      </c>
      <c r="X2240">
        <f t="shared" si="102"/>
        <v>7.1297759999999997</v>
      </c>
      <c r="Y2240">
        <f t="shared" si="103"/>
        <v>4.8597760000000001</v>
      </c>
      <c r="Z2240">
        <f t="shared" si="104"/>
        <v>49.499775999999997</v>
      </c>
    </row>
    <row r="2241" spans="1:26" x14ac:dyDescent="0.3">
      <c r="A2241" t="s">
        <v>2331</v>
      </c>
      <c r="B2241" t="s">
        <v>67</v>
      </c>
      <c r="C2241" t="s">
        <v>68</v>
      </c>
      <c r="D2241" t="s">
        <v>69</v>
      </c>
      <c r="E2241">
        <v>23</v>
      </c>
      <c r="F2241" s="3">
        <v>9.1300000000000008</v>
      </c>
      <c r="G2241" s="4">
        <v>95.7</v>
      </c>
      <c r="H2241">
        <v>1</v>
      </c>
      <c r="I2241">
        <v>0</v>
      </c>
      <c r="J2241">
        <v>3</v>
      </c>
      <c r="K2241" s="4">
        <v>81.099999999999994</v>
      </c>
      <c r="L2241" s="4">
        <v>69.8</v>
      </c>
      <c r="M2241" s="4">
        <v>80.8</v>
      </c>
      <c r="N2241">
        <v>1</v>
      </c>
      <c r="O2241" t="s">
        <v>64</v>
      </c>
      <c r="P2241" t="s">
        <v>65</v>
      </c>
      <c r="S2241" s="3">
        <v>0</v>
      </c>
      <c r="T2241" s="5"/>
      <c r="U2241">
        <v>0</v>
      </c>
      <c r="V2241">
        <v>2023</v>
      </c>
      <c r="X2241">
        <f t="shared" si="102"/>
        <v>9.1297759000000003</v>
      </c>
      <c r="Y2241">
        <f t="shared" si="103"/>
        <v>-2.241E-4</v>
      </c>
      <c r="Z2241">
        <f t="shared" si="104"/>
        <v>69.7997759</v>
      </c>
    </row>
    <row r="2242" spans="1:26" x14ac:dyDescent="0.3">
      <c r="A2242" t="s">
        <v>2332</v>
      </c>
      <c r="B2242" t="s">
        <v>107</v>
      </c>
      <c r="C2242" t="s">
        <v>89</v>
      </c>
      <c r="D2242" t="s">
        <v>69</v>
      </c>
      <c r="E2242">
        <v>21</v>
      </c>
      <c r="F2242" s="3">
        <v>8.08</v>
      </c>
      <c r="G2242" s="4">
        <v>83.1</v>
      </c>
      <c r="H2242">
        <v>3</v>
      </c>
      <c r="I2242">
        <v>0</v>
      </c>
      <c r="J2242">
        <v>3</v>
      </c>
      <c r="K2242" s="4">
        <v>73.400000000000006</v>
      </c>
      <c r="L2242" s="4">
        <v>67.599999999999994</v>
      </c>
      <c r="M2242" s="4">
        <v>70.8</v>
      </c>
      <c r="N2242">
        <v>0</v>
      </c>
      <c r="O2242" t="s">
        <v>58</v>
      </c>
      <c r="P2242" t="s">
        <v>95</v>
      </c>
      <c r="Q2242" t="s">
        <v>93</v>
      </c>
      <c r="R2242" t="s">
        <v>130</v>
      </c>
      <c r="S2242" s="3">
        <v>8.17</v>
      </c>
      <c r="T2242" s="5">
        <v>44525</v>
      </c>
      <c r="U2242">
        <v>1</v>
      </c>
      <c r="V2242">
        <v>2021</v>
      </c>
      <c r="X2242">
        <f t="shared" ref="X2242:X2305" si="105">F2242-ROW()*0.0000001</f>
        <v>8.0797758000000002</v>
      </c>
      <c r="Y2242">
        <f t="shared" ref="Y2242:Y2305" si="106">S2242-ROW()*0.0000001</f>
        <v>8.1697758</v>
      </c>
      <c r="Z2242">
        <f t="shared" ref="Z2242:Z2305" si="107">L2242-ROW()*0.0000001</f>
        <v>67.599775799999989</v>
      </c>
    </row>
    <row r="2243" spans="1:26" x14ac:dyDescent="0.3">
      <c r="A2243" t="s">
        <v>2333</v>
      </c>
      <c r="B2243" t="s">
        <v>63</v>
      </c>
      <c r="C2243" t="s">
        <v>56</v>
      </c>
      <c r="D2243" t="s">
        <v>69</v>
      </c>
      <c r="E2243">
        <v>23</v>
      </c>
      <c r="F2243" s="3">
        <v>8.4</v>
      </c>
      <c r="G2243" s="4">
        <v>82.7</v>
      </c>
      <c r="H2243">
        <v>2</v>
      </c>
      <c r="I2243">
        <v>0</v>
      </c>
      <c r="J2243">
        <v>4</v>
      </c>
      <c r="K2243" s="4">
        <v>53.7</v>
      </c>
      <c r="L2243" s="4">
        <v>64.400000000000006</v>
      </c>
      <c r="M2243" s="4">
        <v>78.7</v>
      </c>
      <c r="N2243">
        <v>0</v>
      </c>
      <c r="O2243" t="s">
        <v>58</v>
      </c>
      <c r="P2243" t="s">
        <v>87</v>
      </c>
      <c r="Q2243" t="s">
        <v>71</v>
      </c>
      <c r="R2243" t="s">
        <v>76</v>
      </c>
      <c r="S2243" s="3">
        <v>7.46</v>
      </c>
      <c r="T2243" s="5">
        <v>45896</v>
      </c>
      <c r="U2243">
        <v>3</v>
      </c>
      <c r="V2243">
        <v>2025</v>
      </c>
      <c r="X2243">
        <f t="shared" si="105"/>
        <v>8.3997757000000011</v>
      </c>
      <c r="Y2243">
        <f t="shared" si="106"/>
        <v>7.4597756999999998</v>
      </c>
      <c r="Z2243">
        <f t="shared" si="107"/>
        <v>64.399775700000006</v>
      </c>
    </row>
    <row r="2244" spans="1:26" x14ac:dyDescent="0.3">
      <c r="A2244" t="s">
        <v>2334</v>
      </c>
      <c r="B2244" t="s">
        <v>55</v>
      </c>
      <c r="C2244" t="s">
        <v>101</v>
      </c>
      <c r="D2244" t="s">
        <v>69</v>
      </c>
      <c r="E2244">
        <v>23</v>
      </c>
      <c r="F2244" s="3">
        <v>8.2799999999999994</v>
      </c>
      <c r="G2244" s="4">
        <v>74.3</v>
      </c>
      <c r="H2244">
        <v>0</v>
      </c>
      <c r="I2244">
        <v>3</v>
      </c>
      <c r="J2244">
        <v>3</v>
      </c>
      <c r="K2244" s="4">
        <v>60</v>
      </c>
      <c r="L2244" s="4">
        <v>64.8</v>
      </c>
      <c r="M2244" s="4">
        <v>62.7</v>
      </c>
      <c r="N2244">
        <v>0</v>
      </c>
      <c r="O2244" t="s">
        <v>58</v>
      </c>
      <c r="P2244" t="s">
        <v>104</v>
      </c>
      <c r="Q2244" t="s">
        <v>105</v>
      </c>
      <c r="R2244" t="s">
        <v>109</v>
      </c>
      <c r="S2244" s="3">
        <v>15.04</v>
      </c>
      <c r="T2244" s="5">
        <v>45583</v>
      </c>
      <c r="U2244">
        <v>1</v>
      </c>
      <c r="V2244">
        <v>2024</v>
      </c>
      <c r="X2244">
        <f t="shared" si="105"/>
        <v>8.2797755999999989</v>
      </c>
      <c r="Y2244">
        <f t="shared" si="106"/>
        <v>15.039775599999999</v>
      </c>
      <c r="Z2244">
        <f t="shared" si="107"/>
        <v>64.799775600000004</v>
      </c>
    </row>
    <row r="2245" spans="1:26" x14ac:dyDescent="0.3">
      <c r="A2245" t="s">
        <v>2335</v>
      </c>
      <c r="B2245" t="s">
        <v>63</v>
      </c>
      <c r="C2245" t="s">
        <v>56</v>
      </c>
      <c r="D2245" t="s">
        <v>69</v>
      </c>
      <c r="E2245">
        <v>23</v>
      </c>
      <c r="F2245" s="3">
        <v>8.23</v>
      </c>
      <c r="G2245" s="4">
        <v>91.8</v>
      </c>
      <c r="H2245">
        <v>0</v>
      </c>
      <c r="I2245">
        <v>0</v>
      </c>
      <c r="J2245">
        <v>6</v>
      </c>
      <c r="K2245" s="4">
        <v>73.8</v>
      </c>
      <c r="L2245" s="4">
        <v>89.6</v>
      </c>
      <c r="M2245" s="4">
        <v>60.5</v>
      </c>
      <c r="N2245">
        <v>1</v>
      </c>
      <c r="O2245" t="s">
        <v>58</v>
      </c>
      <c r="P2245" t="s">
        <v>104</v>
      </c>
      <c r="Q2245" t="s">
        <v>105</v>
      </c>
      <c r="R2245" t="s">
        <v>61</v>
      </c>
      <c r="S2245" s="3">
        <v>15.22</v>
      </c>
      <c r="T2245" s="5">
        <v>45888</v>
      </c>
      <c r="U2245">
        <v>1</v>
      </c>
      <c r="V2245">
        <v>2025</v>
      </c>
      <c r="X2245">
        <f t="shared" si="105"/>
        <v>8.2297755000000006</v>
      </c>
      <c r="Y2245">
        <f t="shared" si="106"/>
        <v>15.219775500000001</v>
      </c>
      <c r="Z2245">
        <f t="shared" si="107"/>
        <v>89.599775499999993</v>
      </c>
    </row>
    <row r="2246" spans="1:26" x14ac:dyDescent="0.3">
      <c r="A2246" t="s">
        <v>2336</v>
      </c>
      <c r="B2246" t="s">
        <v>82</v>
      </c>
      <c r="C2246" t="s">
        <v>74</v>
      </c>
      <c r="D2246" t="s">
        <v>57</v>
      </c>
      <c r="E2246">
        <v>22</v>
      </c>
      <c r="F2246" s="3">
        <v>7.08</v>
      </c>
      <c r="G2246" s="4">
        <v>89.6</v>
      </c>
      <c r="H2246">
        <v>3</v>
      </c>
      <c r="I2246">
        <v>2</v>
      </c>
      <c r="J2246">
        <v>4</v>
      </c>
      <c r="K2246" s="4">
        <v>100</v>
      </c>
      <c r="L2246" s="4">
        <v>99.9</v>
      </c>
      <c r="M2246" s="4">
        <v>89.2</v>
      </c>
      <c r="N2246">
        <v>1</v>
      </c>
      <c r="O2246" t="s">
        <v>58</v>
      </c>
      <c r="P2246" t="s">
        <v>104</v>
      </c>
      <c r="Q2246" t="s">
        <v>105</v>
      </c>
      <c r="R2246" t="s">
        <v>72</v>
      </c>
      <c r="S2246" s="3">
        <v>17.079999999999998</v>
      </c>
      <c r="T2246" s="5">
        <v>44784</v>
      </c>
      <c r="U2246">
        <v>1</v>
      </c>
      <c r="V2246">
        <v>2022</v>
      </c>
      <c r="X2246">
        <f t="shared" si="105"/>
        <v>7.0797753999999999</v>
      </c>
      <c r="Y2246">
        <f t="shared" si="106"/>
        <v>17.079775399999999</v>
      </c>
      <c r="Z2246">
        <f t="shared" si="107"/>
        <v>99.89977540000001</v>
      </c>
    </row>
    <row r="2247" spans="1:26" x14ac:dyDescent="0.3">
      <c r="A2247" t="s">
        <v>2337</v>
      </c>
      <c r="B2247" t="s">
        <v>63</v>
      </c>
      <c r="C2247" t="s">
        <v>78</v>
      </c>
      <c r="D2247" t="s">
        <v>57</v>
      </c>
      <c r="E2247">
        <v>23</v>
      </c>
      <c r="F2247" s="3">
        <v>8.3699999999999992</v>
      </c>
      <c r="G2247" s="4">
        <v>83.1</v>
      </c>
      <c r="H2247">
        <v>2</v>
      </c>
      <c r="I2247">
        <v>1</v>
      </c>
      <c r="J2247">
        <v>2</v>
      </c>
      <c r="K2247" s="4">
        <v>93.2</v>
      </c>
      <c r="L2247" s="4">
        <v>69.400000000000006</v>
      </c>
      <c r="M2247" s="4">
        <v>71.8</v>
      </c>
      <c r="N2247">
        <v>0</v>
      </c>
      <c r="O2247" t="s">
        <v>58</v>
      </c>
      <c r="P2247" t="s">
        <v>112</v>
      </c>
      <c r="Q2247" t="s">
        <v>93</v>
      </c>
      <c r="R2247" t="s">
        <v>72</v>
      </c>
      <c r="S2247" s="3">
        <v>6.9</v>
      </c>
      <c r="T2247" s="5">
        <v>45901</v>
      </c>
      <c r="U2247">
        <v>1</v>
      </c>
      <c r="V2247">
        <v>2025</v>
      </c>
      <c r="X2247">
        <f t="shared" si="105"/>
        <v>8.3697752999999988</v>
      </c>
      <c r="Y2247">
        <f t="shared" si="106"/>
        <v>6.8997752999999999</v>
      </c>
      <c r="Z2247">
        <f t="shared" si="107"/>
        <v>69.399775300000002</v>
      </c>
    </row>
    <row r="2248" spans="1:26" x14ac:dyDescent="0.3">
      <c r="A2248" t="s">
        <v>2338</v>
      </c>
      <c r="B2248" t="s">
        <v>82</v>
      </c>
      <c r="C2248" t="s">
        <v>74</v>
      </c>
      <c r="D2248" t="s">
        <v>69</v>
      </c>
      <c r="E2248">
        <v>22</v>
      </c>
      <c r="F2248" s="3">
        <v>6.36</v>
      </c>
      <c r="G2248" s="4">
        <v>99.1</v>
      </c>
      <c r="H2248">
        <v>1</v>
      </c>
      <c r="I2248">
        <v>0</v>
      </c>
      <c r="J2248">
        <v>3</v>
      </c>
      <c r="K2248" s="4">
        <v>40</v>
      </c>
      <c r="L2248" s="4">
        <v>72.5</v>
      </c>
      <c r="M2248" s="4">
        <v>79.3</v>
      </c>
      <c r="N2248">
        <v>0</v>
      </c>
      <c r="O2248" t="s">
        <v>58</v>
      </c>
      <c r="P2248" t="s">
        <v>79</v>
      </c>
      <c r="Q2248" t="s">
        <v>71</v>
      </c>
      <c r="R2248" t="s">
        <v>85</v>
      </c>
      <c r="S2248" s="3">
        <v>5.32</v>
      </c>
      <c r="T2248" s="5">
        <v>44793</v>
      </c>
      <c r="U2248">
        <v>2</v>
      </c>
      <c r="V2248">
        <v>2022</v>
      </c>
      <c r="X2248">
        <f t="shared" si="105"/>
        <v>6.3597752000000005</v>
      </c>
      <c r="Y2248">
        <f t="shared" si="106"/>
        <v>5.3197752000000005</v>
      </c>
      <c r="Z2248">
        <f t="shared" si="107"/>
        <v>72.499775200000002</v>
      </c>
    </row>
    <row r="2249" spans="1:26" x14ac:dyDescent="0.3">
      <c r="A2249" t="s">
        <v>2339</v>
      </c>
      <c r="B2249" t="s">
        <v>63</v>
      </c>
      <c r="C2249" t="s">
        <v>101</v>
      </c>
      <c r="D2249" t="s">
        <v>69</v>
      </c>
      <c r="E2249">
        <v>22</v>
      </c>
      <c r="F2249" s="3">
        <v>9.5399999999999991</v>
      </c>
      <c r="G2249" s="4">
        <v>77.2</v>
      </c>
      <c r="H2249">
        <v>2</v>
      </c>
      <c r="I2249">
        <v>3</v>
      </c>
      <c r="J2249">
        <v>4</v>
      </c>
      <c r="K2249" s="4">
        <v>68</v>
      </c>
      <c r="L2249" s="4">
        <v>49.5</v>
      </c>
      <c r="M2249" s="4">
        <v>64.599999999999994</v>
      </c>
      <c r="N2249">
        <v>0</v>
      </c>
      <c r="O2249" t="s">
        <v>58</v>
      </c>
      <c r="P2249" t="s">
        <v>90</v>
      </c>
      <c r="Q2249" t="s">
        <v>60</v>
      </c>
      <c r="R2249" t="s">
        <v>61</v>
      </c>
      <c r="S2249" s="3">
        <v>9.18</v>
      </c>
      <c r="T2249" s="5">
        <v>45915</v>
      </c>
      <c r="U2249">
        <v>2</v>
      </c>
      <c r="V2249">
        <v>2025</v>
      </c>
      <c r="X2249">
        <f t="shared" si="105"/>
        <v>9.5397751</v>
      </c>
      <c r="Y2249">
        <f t="shared" si="106"/>
        <v>9.1797751000000005</v>
      </c>
      <c r="Z2249">
        <f t="shared" si="107"/>
        <v>49.499775100000001</v>
      </c>
    </row>
    <row r="2250" spans="1:26" x14ac:dyDescent="0.3">
      <c r="A2250" t="s">
        <v>2340</v>
      </c>
      <c r="B2250" t="s">
        <v>107</v>
      </c>
      <c r="C2250" t="s">
        <v>78</v>
      </c>
      <c r="D2250" t="s">
        <v>69</v>
      </c>
      <c r="E2250">
        <v>23</v>
      </c>
      <c r="F2250" s="3">
        <v>7.99</v>
      </c>
      <c r="G2250" s="4">
        <v>72.599999999999994</v>
      </c>
      <c r="H2250">
        <v>1</v>
      </c>
      <c r="I2250">
        <v>0</v>
      </c>
      <c r="J2250">
        <v>1</v>
      </c>
      <c r="K2250" s="4">
        <v>88.8</v>
      </c>
      <c r="L2250" s="4">
        <v>95.4</v>
      </c>
      <c r="M2250" s="4">
        <v>60.5</v>
      </c>
      <c r="N2250">
        <v>0</v>
      </c>
      <c r="O2250" t="s">
        <v>58</v>
      </c>
      <c r="P2250" t="s">
        <v>112</v>
      </c>
      <c r="Q2250" t="s">
        <v>93</v>
      </c>
      <c r="R2250" t="s">
        <v>76</v>
      </c>
      <c r="S2250" s="3">
        <v>8.52</v>
      </c>
      <c r="T2250" s="5">
        <v>44468</v>
      </c>
      <c r="U2250">
        <v>1</v>
      </c>
      <c r="V2250">
        <v>2021</v>
      </c>
      <c r="X2250">
        <f t="shared" si="105"/>
        <v>7.9897749999999998</v>
      </c>
      <c r="Y2250">
        <f t="shared" si="106"/>
        <v>8.5197749999999992</v>
      </c>
      <c r="Z2250">
        <f t="shared" si="107"/>
        <v>95.399775000000005</v>
      </c>
    </row>
    <row r="2251" spans="1:26" x14ac:dyDescent="0.3">
      <c r="A2251" t="s">
        <v>2341</v>
      </c>
      <c r="B2251" t="s">
        <v>107</v>
      </c>
      <c r="C2251" t="s">
        <v>101</v>
      </c>
      <c r="D2251" t="s">
        <v>57</v>
      </c>
      <c r="E2251">
        <v>23</v>
      </c>
      <c r="F2251" s="3">
        <v>8.69</v>
      </c>
      <c r="G2251" s="4">
        <v>81.099999999999994</v>
      </c>
      <c r="H2251">
        <v>2</v>
      </c>
      <c r="I2251">
        <v>1</v>
      </c>
      <c r="J2251">
        <v>6</v>
      </c>
      <c r="K2251" s="4">
        <v>62.3</v>
      </c>
      <c r="L2251" s="4">
        <v>60.1</v>
      </c>
      <c r="M2251" s="4">
        <v>67.5</v>
      </c>
      <c r="N2251">
        <v>0</v>
      </c>
      <c r="O2251" t="s">
        <v>58</v>
      </c>
      <c r="P2251" t="s">
        <v>112</v>
      </c>
      <c r="Q2251" t="s">
        <v>93</v>
      </c>
      <c r="R2251" t="s">
        <v>85</v>
      </c>
      <c r="S2251" s="3">
        <v>8.16</v>
      </c>
      <c r="T2251" s="5">
        <v>44487</v>
      </c>
      <c r="U2251">
        <v>1</v>
      </c>
      <c r="V2251">
        <v>2021</v>
      </c>
      <c r="X2251">
        <f t="shared" si="105"/>
        <v>8.6897748999999997</v>
      </c>
      <c r="Y2251">
        <f t="shared" si="106"/>
        <v>8.1597749000000004</v>
      </c>
      <c r="Z2251">
        <f t="shared" si="107"/>
        <v>60.0997749</v>
      </c>
    </row>
    <row r="2252" spans="1:26" x14ac:dyDescent="0.3">
      <c r="A2252" t="s">
        <v>2342</v>
      </c>
      <c r="B2252" t="s">
        <v>107</v>
      </c>
      <c r="C2252" t="s">
        <v>56</v>
      </c>
      <c r="D2252" t="s">
        <v>69</v>
      </c>
      <c r="E2252">
        <v>20</v>
      </c>
      <c r="F2252" s="3">
        <v>8.26</v>
      </c>
      <c r="G2252" s="4">
        <v>74.400000000000006</v>
      </c>
      <c r="H2252">
        <v>2</v>
      </c>
      <c r="I2252">
        <v>2</v>
      </c>
      <c r="J2252">
        <v>3</v>
      </c>
      <c r="K2252" s="4">
        <v>60.9</v>
      </c>
      <c r="L2252" s="4">
        <v>63.7</v>
      </c>
      <c r="M2252" s="4">
        <v>79.099999999999994</v>
      </c>
      <c r="N2252">
        <v>0</v>
      </c>
      <c r="O2252" t="s">
        <v>58</v>
      </c>
      <c r="P2252" t="s">
        <v>87</v>
      </c>
      <c r="Q2252" t="s">
        <v>71</v>
      </c>
      <c r="R2252" t="s">
        <v>72</v>
      </c>
      <c r="S2252" s="3">
        <v>7.38</v>
      </c>
      <c r="T2252" s="5">
        <v>44476</v>
      </c>
      <c r="U2252">
        <v>1</v>
      </c>
      <c r="V2252">
        <v>2021</v>
      </c>
      <c r="X2252">
        <f t="shared" si="105"/>
        <v>8.2597748000000006</v>
      </c>
      <c r="Y2252">
        <f t="shared" si="106"/>
        <v>7.3797747999999999</v>
      </c>
      <c r="Z2252">
        <f t="shared" si="107"/>
        <v>63.6997748</v>
      </c>
    </row>
    <row r="2253" spans="1:26" x14ac:dyDescent="0.3">
      <c r="A2253" t="s">
        <v>2343</v>
      </c>
      <c r="B2253" t="s">
        <v>107</v>
      </c>
      <c r="C2253" t="s">
        <v>56</v>
      </c>
      <c r="D2253" t="s">
        <v>57</v>
      </c>
      <c r="E2253">
        <v>21</v>
      </c>
      <c r="F2253" s="3">
        <v>7.68</v>
      </c>
      <c r="G2253" s="4">
        <v>84.2</v>
      </c>
      <c r="H2253">
        <v>2</v>
      </c>
      <c r="I2253">
        <v>2</v>
      </c>
      <c r="J2253">
        <v>4</v>
      </c>
      <c r="K2253" s="4">
        <v>60.5</v>
      </c>
      <c r="L2253" s="4">
        <v>81.900000000000006</v>
      </c>
      <c r="M2253" s="4">
        <v>49.2</v>
      </c>
      <c r="N2253">
        <v>0</v>
      </c>
      <c r="O2253" t="s">
        <v>58</v>
      </c>
      <c r="P2253" t="s">
        <v>59</v>
      </c>
      <c r="Q2253" t="s">
        <v>60</v>
      </c>
      <c r="R2253" t="s">
        <v>80</v>
      </c>
      <c r="S2253" s="3">
        <v>20.53</v>
      </c>
      <c r="T2253" s="5">
        <v>44425</v>
      </c>
      <c r="U2253">
        <v>1</v>
      </c>
      <c r="V2253">
        <v>2021</v>
      </c>
      <c r="X2253">
        <f t="shared" si="105"/>
        <v>7.6797746999999994</v>
      </c>
      <c r="Y2253">
        <f t="shared" si="106"/>
        <v>20.529774700000001</v>
      </c>
      <c r="Z2253">
        <f t="shared" si="107"/>
        <v>81.899774700000009</v>
      </c>
    </row>
    <row r="2254" spans="1:26" x14ac:dyDescent="0.3">
      <c r="A2254" t="s">
        <v>2344</v>
      </c>
      <c r="B2254" t="s">
        <v>107</v>
      </c>
      <c r="C2254" t="s">
        <v>74</v>
      </c>
      <c r="D2254" t="s">
        <v>57</v>
      </c>
      <c r="E2254">
        <v>20</v>
      </c>
      <c r="F2254" s="3">
        <v>7.16</v>
      </c>
      <c r="G2254" s="4">
        <v>82.7</v>
      </c>
      <c r="H2254">
        <v>1</v>
      </c>
      <c r="I2254">
        <v>1</v>
      </c>
      <c r="J2254">
        <v>6</v>
      </c>
      <c r="K2254" s="4">
        <v>79.8</v>
      </c>
      <c r="L2254" s="4">
        <v>74.2</v>
      </c>
      <c r="M2254" s="4">
        <v>76.5</v>
      </c>
      <c r="N2254">
        <v>0</v>
      </c>
      <c r="O2254" t="s">
        <v>58</v>
      </c>
      <c r="P2254" t="s">
        <v>70</v>
      </c>
      <c r="Q2254" t="s">
        <v>71</v>
      </c>
      <c r="R2254" t="s">
        <v>61</v>
      </c>
      <c r="S2254" s="3">
        <v>5.48</v>
      </c>
      <c r="T2254" s="5">
        <v>44473</v>
      </c>
      <c r="U2254">
        <v>1</v>
      </c>
      <c r="V2254">
        <v>2021</v>
      </c>
      <c r="X2254">
        <f t="shared" si="105"/>
        <v>7.1597746000000004</v>
      </c>
      <c r="Y2254">
        <f t="shared" si="106"/>
        <v>5.4797746000000007</v>
      </c>
      <c r="Z2254">
        <f t="shared" si="107"/>
        <v>74.199774599999998</v>
      </c>
    </row>
    <row r="2255" spans="1:26" x14ac:dyDescent="0.3">
      <c r="A2255" t="s">
        <v>2345</v>
      </c>
      <c r="B2255" t="s">
        <v>107</v>
      </c>
      <c r="C2255" t="s">
        <v>68</v>
      </c>
      <c r="D2255" t="s">
        <v>57</v>
      </c>
      <c r="E2255">
        <v>21</v>
      </c>
      <c r="F2255" s="3">
        <v>6.99</v>
      </c>
      <c r="G2255" s="4">
        <v>92.4</v>
      </c>
      <c r="H2255">
        <v>1</v>
      </c>
      <c r="I2255">
        <v>4</v>
      </c>
      <c r="J2255">
        <v>4</v>
      </c>
      <c r="K2255" s="4">
        <v>73.400000000000006</v>
      </c>
      <c r="L2255" s="4">
        <v>78.2</v>
      </c>
      <c r="M2255" s="4">
        <v>82.2</v>
      </c>
      <c r="N2255">
        <v>1</v>
      </c>
      <c r="O2255" t="s">
        <v>64</v>
      </c>
      <c r="P2255" t="s">
        <v>65</v>
      </c>
      <c r="S2255" s="3">
        <v>0</v>
      </c>
      <c r="T2255" s="5"/>
      <c r="U2255">
        <v>0</v>
      </c>
      <c r="V2255">
        <v>2021</v>
      </c>
      <c r="X2255">
        <f t="shared" si="105"/>
        <v>6.9897745000000002</v>
      </c>
      <c r="Y2255">
        <f t="shared" si="106"/>
        <v>-2.2549999999999998E-4</v>
      </c>
      <c r="Z2255">
        <f t="shared" si="107"/>
        <v>78.199774500000004</v>
      </c>
    </row>
    <row r="2256" spans="1:26" x14ac:dyDescent="0.3">
      <c r="A2256" t="s">
        <v>2346</v>
      </c>
      <c r="B2256" t="s">
        <v>82</v>
      </c>
      <c r="C2256" t="s">
        <v>78</v>
      </c>
      <c r="D2256" t="s">
        <v>57</v>
      </c>
      <c r="E2256">
        <v>21</v>
      </c>
      <c r="F2256" s="3">
        <v>8.35</v>
      </c>
      <c r="G2256" s="4">
        <v>77.900000000000006</v>
      </c>
      <c r="H2256">
        <v>1</v>
      </c>
      <c r="I2256">
        <v>4</v>
      </c>
      <c r="J2256">
        <v>6</v>
      </c>
      <c r="K2256" s="4">
        <v>75.5</v>
      </c>
      <c r="L2256" s="4">
        <v>80.2</v>
      </c>
      <c r="M2256" s="4">
        <v>63.4</v>
      </c>
      <c r="N2256">
        <v>2</v>
      </c>
      <c r="O2256" t="s">
        <v>58</v>
      </c>
      <c r="P2256" t="s">
        <v>87</v>
      </c>
      <c r="Q2256" t="s">
        <v>71</v>
      </c>
      <c r="R2256" t="s">
        <v>80</v>
      </c>
      <c r="S2256" s="3">
        <v>7.57</v>
      </c>
      <c r="T2256" s="5">
        <v>44792</v>
      </c>
      <c r="U2256">
        <v>1</v>
      </c>
      <c r="V2256">
        <v>2022</v>
      </c>
      <c r="X2256">
        <f t="shared" si="105"/>
        <v>8.3497743999999994</v>
      </c>
      <c r="Y2256">
        <f t="shared" si="106"/>
        <v>7.5697744</v>
      </c>
      <c r="Z2256">
        <f t="shared" si="107"/>
        <v>80.19977440000001</v>
      </c>
    </row>
    <row r="2257" spans="1:26" x14ac:dyDescent="0.3">
      <c r="A2257" t="s">
        <v>2347</v>
      </c>
      <c r="B2257" t="s">
        <v>55</v>
      </c>
      <c r="C2257" t="s">
        <v>101</v>
      </c>
      <c r="D2257" t="s">
        <v>57</v>
      </c>
      <c r="E2257">
        <v>20</v>
      </c>
      <c r="F2257" s="3">
        <v>8.3000000000000007</v>
      </c>
      <c r="G2257" s="4">
        <v>85</v>
      </c>
      <c r="H2257">
        <v>3</v>
      </c>
      <c r="I2257">
        <v>2</v>
      </c>
      <c r="J2257">
        <v>6</v>
      </c>
      <c r="K2257" s="4">
        <v>65.2</v>
      </c>
      <c r="L2257" s="4">
        <v>69.900000000000006</v>
      </c>
      <c r="M2257" s="4">
        <v>76.900000000000006</v>
      </c>
      <c r="N2257">
        <v>0</v>
      </c>
      <c r="O2257" t="s">
        <v>58</v>
      </c>
      <c r="P2257" t="s">
        <v>87</v>
      </c>
      <c r="Q2257" t="s">
        <v>71</v>
      </c>
      <c r="R2257" t="s">
        <v>130</v>
      </c>
      <c r="S2257" s="3">
        <v>8.7899999999999991</v>
      </c>
      <c r="T2257" s="5">
        <v>45509</v>
      </c>
      <c r="U2257">
        <v>3</v>
      </c>
      <c r="V2257">
        <v>2024</v>
      </c>
      <c r="X2257">
        <f t="shared" si="105"/>
        <v>8.299774300000001</v>
      </c>
      <c r="Y2257">
        <f t="shared" si="106"/>
        <v>8.7897742999999995</v>
      </c>
      <c r="Z2257">
        <f t="shared" si="107"/>
        <v>69.899774300000004</v>
      </c>
    </row>
    <row r="2258" spans="1:26" x14ac:dyDescent="0.3">
      <c r="A2258" t="s">
        <v>2348</v>
      </c>
      <c r="B2258" t="s">
        <v>63</v>
      </c>
      <c r="C2258" t="s">
        <v>78</v>
      </c>
      <c r="D2258" t="s">
        <v>57</v>
      </c>
      <c r="E2258">
        <v>20</v>
      </c>
      <c r="F2258" s="3">
        <v>8.15</v>
      </c>
      <c r="G2258" s="4">
        <v>83.7</v>
      </c>
      <c r="H2258">
        <v>3</v>
      </c>
      <c r="I2258">
        <v>1</v>
      </c>
      <c r="J2258">
        <v>6</v>
      </c>
      <c r="K2258" s="4">
        <v>92.5</v>
      </c>
      <c r="L2258" s="4">
        <v>83.2</v>
      </c>
      <c r="M2258" s="4">
        <v>76</v>
      </c>
      <c r="N2258">
        <v>0</v>
      </c>
      <c r="O2258" t="s">
        <v>64</v>
      </c>
      <c r="P2258" t="s">
        <v>65</v>
      </c>
      <c r="S2258" s="3">
        <v>0</v>
      </c>
      <c r="T2258" s="5"/>
      <c r="U2258">
        <v>0</v>
      </c>
      <c r="V2258">
        <v>2025</v>
      </c>
      <c r="X2258">
        <f t="shared" si="105"/>
        <v>8.1497741999999995</v>
      </c>
      <c r="Y2258">
        <f t="shared" si="106"/>
        <v>-2.2579999999999999E-4</v>
      </c>
      <c r="Z2258">
        <f t="shared" si="107"/>
        <v>83.199774200000007</v>
      </c>
    </row>
    <row r="2259" spans="1:26" x14ac:dyDescent="0.3">
      <c r="A2259" t="s">
        <v>2349</v>
      </c>
      <c r="B2259" t="s">
        <v>107</v>
      </c>
      <c r="C2259" t="s">
        <v>84</v>
      </c>
      <c r="D2259" t="s">
        <v>57</v>
      </c>
      <c r="E2259">
        <v>21</v>
      </c>
      <c r="F2259" s="3">
        <v>7.54</v>
      </c>
      <c r="G2259" s="4">
        <v>89.5</v>
      </c>
      <c r="H2259">
        <v>2</v>
      </c>
      <c r="I2259">
        <v>1</v>
      </c>
      <c r="J2259">
        <v>5</v>
      </c>
      <c r="K2259" s="4">
        <v>63.6</v>
      </c>
      <c r="L2259" s="4">
        <v>44.4</v>
      </c>
      <c r="M2259" s="4">
        <v>63.6</v>
      </c>
      <c r="N2259">
        <v>0</v>
      </c>
      <c r="O2259" t="s">
        <v>64</v>
      </c>
      <c r="P2259" t="s">
        <v>65</v>
      </c>
      <c r="S2259" s="3">
        <v>0</v>
      </c>
      <c r="T2259" s="5"/>
      <c r="U2259">
        <v>0</v>
      </c>
      <c r="V2259">
        <v>2021</v>
      </c>
      <c r="X2259">
        <f t="shared" si="105"/>
        <v>7.5397740999999998</v>
      </c>
      <c r="Y2259">
        <f t="shared" si="106"/>
        <v>-2.2589999999999999E-4</v>
      </c>
      <c r="Z2259">
        <f t="shared" si="107"/>
        <v>44.399774100000002</v>
      </c>
    </row>
    <row r="2260" spans="1:26" x14ac:dyDescent="0.3">
      <c r="A2260" t="s">
        <v>2350</v>
      </c>
      <c r="B2260" t="s">
        <v>82</v>
      </c>
      <c r="C2260" t="s">
        <v>78</v>
      </c>
      <c r="D2260" t="s">
        <v>57</v>
      </c>
      <c r="E2260">
        <v>21</v>
      </c>
      <c r="F2260" s="3">
        <v>8.02</v>
      </c>
      <c r="G2260" s="4">
        <v>71.8</v>
      </c>
      <c r="H2260">
        <v>3</v>
      </c>
      <c r="I2260">
        <v>3</v>
      </c>
      <c r="J2260">
        <v>3</v>
      </c>
      <c r="K2260" s="4">
        <v>80.3</v>
      </c>
      <c r="L2260" s="4">
        <v>94.5</v>
      </c>
      <c r="M2260" s="4">
        <v>72.2</v>
      </c>
      <c r="N2260">
        <v>0</v>
      </c>
      <c r="O2260" t="s">
        <v>58</v>
      </c>
      <c r="P2260" t="s">
        <v>79</v>
      </c>
      <c r="Q2260" t="s">
        <v>71</v>
      </c>
      <c r="R2260" t="s">
        <v>72</v>
      </c>
      <c r="S2260" s="3">
        <v>7.63</v>
      </c>
      <c r="T2260" s="5">
        <v>44828</v>
      </c>
      <c r="U2260">
        <v>1</v>
      </c>
      <c r="V2260">
        <v>2022</v>
      </c>
      <c r="X2260">
        <f t="shared" si="105"/>
        <v>8.019774</v>
      </c>
      <c r="Y2260">
        <f t="shared" si="106"/>
        <v>7.6297740000000003</v>
      </c>
      <c r="Z2260">
        <f t="shared" si="107"/>
        <v>94.499774000000002</v>
      </c>
    </row>
    <row r="2261" spans="1:26" x14ac:dyDescent="0.3">
      <c r="A2261" t="s">
        <v>2351</v>
      </c>
      <c r="B2261" t="s">
        <v>82</v>
      </c>
      <c r="C2261" t="s">
        <v>74</v>
      </c>
      <c r="D2261" t="s">
        <v>69</v>
      </c>
      <c r="E2261">
        <v>21</v>
      </c>
      <c r="F2261" s="3">
        <v>7.27</v>
      </c>
      <c r="G2261" s="4">
        <v>73.900000000000006</v>
      </c>
      <c r="H2261">
        <v>2</v>
      </c>
      <c r="I2261">
        <v>2</v>
      </c>
      <c r="J2261">
        <v>3</v>
      </c>
      <c r="K2261" s="4">
        <v>38.9</v>
      </c>
      <c r="L2261" s="4">
        <v>67.3</v>
      </c>
      <c r="M2261" s="4">
        <v>73.8</v>
      </c>
      <c r="N2261">
        <v>0</v>
      </c>
      <c r="O2261" t="s">
        <v>58</v>
      </c>
      <c r="P2261" t="s">
        <v>75</v>
      </c>
      <c r="Q2261" t="s">
        <v>71</v>
      </c>
      <c r="R2261" t="s">
        <v>109</v>
      </c>
      <c r="S2261" s="3">
        <v>6.34</v>
      </c>
      <c r="T2261" s="5">
        <v>44879</v>
      </c>
      <c r="U2261">
        <v>3</v>
      </c>
      <c r="V2261">
        <v>2022</v>
      </c>
      <c r="X2261">
        <f t="shared" si="105"/>
        <v>7.2697738999999997</v>
      </c>
      <c r="Y2261">
        <f t="shared" si="106"/>
        <v>6.3397739</v>
      </c>
      <c r="Z2261">
        <f t="shared" si="107"/>
        <v>67.299773899999991</v>
      </c>
    </row>
    <row r="2262" spans="1:26" x14ac:dyDescent="0.3">
      <c r="A2262" t="s">
        <v>2352</v>
      </c>
      <c r="B2262" t="s">
        <v>82</v>
      </c>
      <c r="C2262" t="s">
        <v>74</v>
      </c>
      <c r="D2262" t="s">
        <v>69</v>
      </c>
      <c r="E2262">
        <v>22</v>
      </c>
      <c r="F2262" s="3">
        <v>7.04</v>
      </c>
      <c r="G2262" s="4">
        <v>76.8</v>
      </c>
      <c r="H2262">
        <v>1</v>
      </c>
      <c r="I2262">
        <v>0</v>
      </c>
      <c r="J2262">
        <v>3</v>
      </c>
      <c r="K2262" s="4">
        <v>67.5</v>
      </c>
      <c r="L2262" s="4">
        <v>83.1</v>
      </c>
      <c r="M2262" s="4">
        <v>63.5</v>
      </c>
      <c r="N2262">
        <v>0</v>
      </c>
      <c r="O2262" t="s">
        <v>64</v>
      </c>
      <c r="P2262" t="s">
        <v>65</v>
      </c>
      <c r="S2262" s="3">
        <v>0</v>
      </c>
      <c r="T2262" s="5"/>
      <c r="U2262">
        <v>0</v>
      </c>
      <c r="V2262">
        <v>2022</v>
      </c>
      <c r="X2262">
        <f t="shared" si="105"/>
        <v>7.0397737999999999</v>
      </c>
      <c r="Y2262">
        <f t="shared" si="106"/>
        <v>-2.262E-4</v>
      </c>
      <c r="Z2262">
        <f t="shared" si="107"/>
        <v>83.099773799999994</v>
      </c>
    </row>
    <row r="2263" spans="1:26" x14ac:dyDescent="0.3">
      <c r="A2263" t="s">
        <v>2353</v>
      </c>
      <c r="B2263" t="s">
        <v>55</v>
      </c>
      <c r="C2263" t="s">
        <v>78</v>
      </c>
      <c r="D2263" t="s">
        <v>57</v>
      </c>
      <c r="E2263">
        <v>21</v>
      </c>
      <c r="F2263" s="3">
        <v>7.4</v>
      </c>
      <c r="G2263" s="4">
        <v>72.2</v>
      </c>
      <c r="H2263">
        <v>2</v>
      </c>
      <c r="I2263">
        <v>3</v>
      </c>
      <c r="J2263">
        <v>6</v>
      </c>
      <c r="K2263" s="4">
        <v>61.4</v>
      </c>
      <c r="L2263" s="4">
        <v>77.400000000000006</v>
      </c>
      <c r="M2263" s="4">
        <v>69.8</v>
      </c>
      <c r="N2263">
        <v>1</v>
      </c>
      <c r="O2263" t="s">
        <v>58</v>
      </c>
      <c r="P2263" t="s">
        <v>112</v>
      </c>
      <c r="Q2263" t="s">
        <v>93</v>
      </c>
      <c r="R2263" t="s">
        <v>61</v>
      </c>
      <c r="S2263" s="3">
        <v>7.01</v>
      </c>
      <c r="T2263" s="5">
        <v>45508</v>
      </c>
      <c r="U2263">
        <v>1</v>
      </c>
      <c r="V2263">
        <v>2024</v>
      </c>
      <c r="X2263">
        <f t="shared" si="105"/>
        <v>7.3997737000000008</v>
      </c>
      <c r="Y2263">
        <f t="shared" si="106"/>
        <v>7.0097737000000002</v>
      </c>
      <c r="Z2263">
        <f t="shared" si="107"/>
        <v>77.399773700000011</v>
      </c>
    </row>
    <row r="2264" spans="1:26" x14ac:dyDescent="0.3">
      <c r="A2264" t="s">
        <v>2354</v>
      </c>
      <c r="B2264" t="s">
        <v>63</v>
      </c>
      <c r="C2264" t="s">
        <v>56</v>
      </c>
      <c r="D2264" t="s">
        <v>57</v>
      </c>
      <c r="E2264">
        <v>23</v>
      </c>
      <c r="F2264" s="3">
        <v>7.44</v>
      </c>
      <c r="G2264" s="4">
        <v>87.5</v>
      </c>
      <c r="H2264">
        <v>1</v>
      </c>
      <c r="I2264">
        <v>2</v>
      </c>
      <c r="J2264">
        <v>3</v>
      </c>
      <c r="K2264" s="4">
        <v>69.400000000000006</v>
      </c>
      <c r="L2264" s="4">
        <v>40</v>
      </c>
      <c r="M2264" s="4">
        <v>73.7</v>
      </c>
      <c r="N2264">
        <v>0</v>
      </c>
      <c r="O2264" t="s">
        <v>58</v>
      </c>
      <c r="P2264" t="s">
        <v>70</v>
      </c>
      <c r="Q2264" t="s">
        <v>71</v>
      </c>
      <c r="R2264" t="s">
        <v>72</v>
      </c>
      <c r="S2264" s="3">
        <v>4.01</v>
      </c>
      <c r="T2264" s="5">
        <v>45921</v>
      </c>
      <c r="U2264">
        <v>1</v>
      </c>
      <c r="V2264">
        <v>2025</v>
      </c>
      <c r="X2264">
        <f t="shared" si="105"/>
        <v>7.4397736000000005</v>
      </c>
      <c r="Y2264">
        <f t="shared" si="106"/>
        <v>4.0097735999999999</v>
      </c>
      <c r="Z2264">
        <f t="shared" si="107"/>
        <v>39.999773599999997</v>
      </c>
    </row>
    <row r="2265" spans="1:26" x14ac:dyDescent="0.3">
      <c r="A2265" t="s">
        <v>2355</v>
      </c>
      <c r="B2265" t="s">
        <v>55</v>
      </c>
      <c r="C2265" t="s">
        <v>56</v>
      </c>
      <c r="D2265" t="s">
        <v>69</v>
      </c>
      <c r="E2265">
        <v>23</v>
      </c>
      <c r="F2265" s="3">
        <v>8.9700000000000006</v>
      </c>
      <c r="G2265" s="4">
        <v>87.6</v>
      </c>
      <c r="H2265">
        <v>1</v>
      </c>
      <c r="I2265">
        <v>2</v>
      </c>
      <c r="J2265">
        <v>2</v>
      </c>
      <c r="K2265" s="4">
        <v>45.3</v>
      </c>
      <c r="L2265" s="4">
        <v>73.3</v>
      </c>
      <c r="M2265" s="4">
        <v>77.400000000000006</v>
      </c>
      <c r="N2265">
        <v>0</v>
      </c>
      <c r="O2265" t="s">
        <v>64</v>
      </c>
      <c r="P2265" t="s">
        <v>65</v>
      </c>
      <c r="S2265" s="3">
        <v>0</v>
      </c>
      <c r="T2265" s="5"/>
      <c r="U2265">
        <v>0</v>
      </c>
      <c r="V2265">
        <v>2024</v>
      </c>
      <c r="X2265">
        <f t="shared" si="105"/>
        <v>8.9697735000000005</v>
      </c>
      <c r="Y2265">
        <f t="shared" si="106"/>
        <v>-2.265E-4</v>
      </c>
      <c r="Z2265">
        <f t="shared" si="107"/>
        <v>73.299773500000001</v>
      </c>
    </row>
    <row r="2266" spans="1:26" x14ac:dyDescent="0.3">
      <c r="A2266" t="s">
        <v>2356</v>
      </c>
      <c r="B2266" t="s">
        <v>67</v>
      </c>
      <c r="C2266" t="s">
        <v>68</v>
      </c>
      <c r="D2266" t="s">
        <v>57</v>
      </c>
      <c r="E2266">
        <v>23</v>
      </c>
      <c r="F2266" s="3">
        <v>6.42</v>
      </c>
      <c r="G2266" s="4">
        <v>91.8</v>
      </c>
      <c r="H2266">
        <v>1</v>
      </c>
      <c r="I2266">
        <v>1</v>
      </c>
      <c r="J2266">
        <v>5</v>
      </c>
      <c r="K2266" s="4">
        <v>90.9</v>
      </c>
      <c r="L2266" s="4">
        <v>38.299999999999997</v>
      </c>
      <c r="M2266" s="4">
        <v>96.7</v>
      </c>
      <c r="N2266">
        <v>0</v>
      </c>
      <c r="O2266" t="s">
        <v>58</v>
      </c>
      <c r="P2266" t="s">
        <v>104</v>
      </c>
      <c r="Q2266" t="s">
        <v>105</v>
      </c>
      <c r="R2266" t="s">
        <v>85</v>
      </c>
      <c r="S2266" s="3">
        <v>11.59</v>
      </c>
      <c r="T2266" s="5">
        <v>45169</v>
      </c>
      <c r="U2266">
        <v>2</v>
      </c>
      <c r="V2266">
        <v>2023</v>
      </c>
      <c r="X2266">
        <f t="shared" si="105"/>
        <v>6.4197733999999995</v>
      </c>
      <c r="Y2266">
        <f t="shared" si="106"/>
        <v>11.5897734</v>
      </c>
      <c r="Z2266">
        <f t="shared" si="107"/>
        <v>38.299773399999999</v>
      </c>
    </row>
    <row r="2267" spans="1:26" x14ac:dyDescent="0.3">
      <c r="A2267" t="s">
        <v>2357</v>
      </c>
      <c r="B2267" t="s">
        <v>82</v>
      </c>
      <c r="C2267" t="s">
        <v>101</v>
      </c>
      <c r="D2267" t="s">
        <v>57</v>
      </c>
      <c r="E2267">
        <v>20</v>
      </c>
      <c r="F2267" s="3">
        <v>7.62</v>
      </c>
      <c r="G2267" s="4">
        <v>80.7</v>
      </c>
      <c r="H2267">
        <v>1</v>
      </c>
      <c r="I2267">
        <v>0</v>
      </c>
      <c r="J2267">
        <v>3</v>
      </c>
      <c r="K2267" s="4">
        <v>70.3</v>
      </c>
      <c r="L2267" s="4">
        <v>77.400000000000006</v>
      </c>
      <c r="M2267" s="4">
        <v>62.4</v>
      </c>
      <c r="N2267">
        <v>0</v>
      </c>
      <c r="O2267" t="s">
        <v>64</v>
      </c>
      <c r="P2267" t="s">
        <v>65</v>
      </c>
      <c r="S2267" s="3">
        <v>0</v>
      </c>
      <c r="T2267" s="5"/>
      <c r="U2267">
        <v>0</v>
      </c>
      <c r="V2267">
        <v>2022</v>
      </c>
      <c r="X2267">
        <f t="shared" si="105"/>
        <v>7.6197733000000003</v>
      </c>
      <c r="Y2267">
        <f t="shared" si="106"/>
        <v>-2.2669999999999998E-4</v>
      </c>
      <c r="Z2267">
        <f t="shared" si="107"/>
        <v>77.399773300000007</v>
      </c>
    </row>
    <row r="2268" spans="1:26" x14ac:dyDescent="0.3">
      <c r="A2268" t="s">
        <v>2358</v>
      </c>
      <c r="B2268" t="s">
        <v>67</v>
      </c>
      <c r="C2268" t="s">
        <v>56</v>
      </c>
      <c r="D2268" t="s">
        <v>69</v>
      </c>
      <c r="E2268">
        <v>20</v>
      </c>
      <c r="F2268" s="3">
        <v>8.2200000000000006</v>
      </c>
      <c r="G2268" s="4">
        <v>77.8</v>
      </c>
      <c r="H2268">
        <v>2</v>
      </c>
      <c r="I2268">
        <v>4</v>
      </c>
      <c r="J2268">
        <v>4</v>
      </c>
      <c r="K2268" s="4">
        <v>99.5</v>
      </c>
      <c r="L2268" s="4">
        <v>73.3</v>
      </c>
      <c r="M2268" s="4">
        <v>90.2</v>
      </c>
      <c r="N2268">
        <v>0</v>
      </c>
      <c r="O2268" t="s">
        <v>58</v>
      </c>
      <c r="P2268" t="s">
        <v>75</v>
      </c>
      <c r="Q2268" t="s">
        <v>71</v>
      </c>
      <c r="R2268" t="s">
        <v>72</v>
      </c>
      <c r="S2268" s="3">
        <v>7.38</v>
      </c>
      <c r="T2268" s="5">
        <v>45252</v>
      </c>
      <c r="U2268">
        <v>1</v>
      </c>
      <c r="V2268">
        <v>2023</v>
      </c>
      <c r="X2268">
        <f t="shared" si="105"/>
        <v>8.2197732000000006</v>
      </c>
      <c r="Y2268">
        <f t="shared" si="106"/>
        <v>7.3797731999999998</v>
      </c>
      <c r="Z2268">
        <f t="shared" si="107"/>
        <v>73.299773200000004</v>
      </c>
    </row>
    <row r="2269" spans="1:26" x14ac:dyDescent="0.3">
      <c r="A2269" t="s">
        <v>2359</v>
      </c>
      <c r="B2269" t="s">
        <v>107</v>
      </c>
      <c r="C2269" t="s">
        <v>101</v>
      </c>
      <c r="D2269" t="s">
        <v>69</v>
      </c>
      <c r="E2269">
        <v>20</v>
      </c>
      <c r="F2269" s="3">
        <v>9.44</v>
      </c>
      <c r="G2269" s="4">
        <v>73.5</v>
      </c>
      <c r="H2269">
        <v>0</v>
      </c>
      <c r="I2269">
        <v>3</v>
      </c>
      <c r="J2269">
        <v>6</v>
      </c>
      <c r="K2269" s="4">
        <v>79</v>
      </c>
      <c r="L2269" s="4">
        <v>50.8</v>
      </c>
      <c r="M2269" s="4">
        <v>63.2</v>
      </c>
      <c r="N2269">
        <v>0</v>
      </c>
      <c r="O2269" t="s">
        <v>58</v>
      </c>
      <c r="P2269" t="s">
        <v>70</v>
      </c>
      <c r="Q2269" t="s">
        <v>71</v>
      </c>
      <c r="R2269" t="s">
        <v>85</v>
      </c>
      <c r="S2269" s="3">
        <v>6.71</v>
      </c>
      <c r="T2269" s="5">
        <v>44475</v>
      </c>
      <c r="U2269">
        <v>1</v>
      </c>
      <c r="V2269">
        <v>2021</v>
      </c>
      <c r="X2269">
        <f t="shared" si="105"/>
        <v>9.4397731</v>
      </c>
      <c r="Y2269">
        <f t="shared" si="106"/>
        <v>6.7097730999999996</v>
      </c>
      <c r="Z2269">
        <f t="shared" si="107"/>
        <v>50.799773099999996</v>
      </c>
    </row>
    <row r="2270" spans="1:26" x14ac:dyDescent="0.3">
      <c r="A2270" t="s">
        <v>2360</v>
      </c>
      <c r="B2270" t="s">
        <v>107</v>
      </c>
      <c r="C2270" t="s">
        <v>101</v>
      </c>
      <c r="D2270" t="s">
        <v>57</v>
      </c>
      <c r="E2270">
        <v>21</v>
      </c>
      <c r="F2270" s="3">
        <v>7.1</v>
      </c>
      <c r="G2270" s="4">
        <v>93.7</v>
      </c>
      <c r="H2270">
        <v>0</v>
      </c>
      <c r="I2270">
        <v>0</v>
      </c>
      <c r="J2270">
        <v>4</v>
      </c>
      <c r="K2270" s="4">
        <v>71.7</v>
      </c>
      <c r="L2270" s="4">
        <v>72.8</v>
      </c>
      <c r="M2270" s="4">
        <v>74</v>
      </c>
      <c r="N2270">
        <v>0</v>
      </c>
      <c r="O2270" t="s">
        <v>58</v>
      </c>
      <c r="P2270" t="s">
        <v>70</v>
      </c>
      <c r="Q2270" t="s">
        <v>71</v>
      </c>
      <c r="R2270" t="s">
        <v>109</v>
      </c>
      <c r="S2270" s="3">
        <v>5.14</v>
      </c>
      <c r="T2270" s="5">
        <v>44437</v>
      </c>
      <c r="U2270">
        <v>1</v>
      </c>
      <c r="V2270">
        <v>2021</v>
      </c>
      <c r="X2270">
        <f t="shared" si="105"/>
        <v>7.0997729999999999</v>
      </c>
      <c r="Y2270">
        <f t="shared" si="106"/>
        <v>5.1397729999999999</v>
      </c>
      <c r="Z2270">
        <f t="shared" si="107"/>
        <v>72.799773000000002</v>
      </c>
    </row>
    <row r="2271" spans="1:26" x14ac:dyDescent="0.3">
      <c r="A2271" t="s">
        <v>2361</v>
      </c>
      <c r="B2271" t="s">
        <v>55</v>
      </c>
      <c r="C2271" t="s">
        <v>68</v>
      </c>
      <c r="D2271" t="s">
        <v>57</v>
      </c>
      <c r="E2271">
        <v>23</v>
      </c>
      <c r="F2271" s="3">
        <v>6.65</v>
      </c>
      <c r="G2271" s="4">
        <v>80</v>
      </c>
      <c r="H2271">
        <v>2</v>
      </c>
      <c r="I2271">
        <v>2</v>
      </c>
      <c r="J2271">
        <v>4</v>
      </c>
      <c r="K2271" s="4">
        <v>68.2</v>
      </c>
      <c r="L2271" s="4">
        <v>62.9</v>
      </c>
      <c r="M2271" s="4">
        <v>85</v>
      </c>
      <c r="N2271">
        <v>2</v>
      </c>
      <c r="O2271" t="s">
        <v>64</v>
      </c>
      <c r="P2271" t="s">
        <v>65</v>
      </c>
      <c r="S2271" s="3">
        <v>0</v>
      </c>
      <c r="T2271" s="5"/>
      <c r="U2271">
        <v>0</v>
      </c>
      <c r="V2271">
        <v>2024</v>
      </c>
      <c r="X2271">
        <f t="shared" si="105"/>
        <v>6.6497729000000003</v>
      </c>
      <c r="Y2271">
        <f t="shared" si="106"/>
        <v>-2.2709999999999999E-4</v>
      </c>
      <c r="Z2271">
        <f t="shared" si="107"/>
        <v>62.899772900000002</v>
      </c>
    </row>
    <row r="2272" spans="1:26" x14ac:dyDescent="0.3">
      <c r="A2272" t="s">
        <v>2362</v>
      </c>
      <c r="B2272" t="s">
        <v>63</v>
      </c>
      <c r="C2272" t="s">
        <v>56</v>
      </c>
      <c r="D2272" t="s">
        <v>57</v>
      </c>
      <c r="E2272">
        <v>21</v>
      </c>
      <c r="F2272" s="3">
        <v>8.3000000000000007</v>
      </c>
      <c r="G2272" s="4">
        <v>75.5</v>
      </c>
      <c r="H2272">
        <v>2</v>
      </c>
      <c r="I2272">
        <v>2</v>
      </c>
      <c r="J2272">
        <v>4</v>
      </c>
      <c r="K2272" s="4">
        <v>77.3</v>
      </c>
      <c r="L2272" s="4">
        <v>67.5</v>
      </c>
      <c r="M2272" s="4">
        <v>79.3</v>
      </c>
      <c r="N2272">
        <v>0</v>
      </c>
      <c r="O2272" t="s">
        <v>58</v>
      </c>
      <c r="P2272" t="s">
        <v>59</v>
      </c>
      <c r="Q2272" t="s">
        <v>60</v>
      </c>
      <c r="R2272" t="s">
        <v>80</v>
      </c>
      <c r="S2272" s="3">
        <v>20.52</v>
      </c>
      <c r="T2272" s="5">
        <v>45877</v>
      </c>
      <c r="U2272">
        <v>2</v>
      </c>
      <c r="V2272">
        <v>2025</v>
      </c>
      <c r="X2272">
        <f t="shared" si="105"/>
        <v>8.2997728000000013</v>
      </c>
      <c r="Y2272">
        <f t="shared" si="106"/>
        <v>20.519772799999998</v>
      </c>
      <c r="Z2272">
        <f t="shared" si="107"/>
        <v>67.499772800000002</v>
      </c>
    </row>
    <row r="2273" spans="1:26" x14ac:dyDescent="0.3">
      <c r="A2273" t="s">
        <v>2363</v>
      </c>
      <c r="B2273" t="s">
        <v>67</v>
      </c>
      <c r="C2273" t="s">
        <v>56</v>
      </c>
      <c r="D2273" t="s">
        <v>57</v>
      </c>
      <c r="E2273">
        <v>22</v>
      </c>
      <c r="F2273" s="3">
        <v>7.8</v>
      </c>
      <c r="G2273" s="4">
        <v>88.8</v>
      </c>
      <c r="H2273">
        <v>1</v>
      </c>
      <c r="I2273">
        <v>1</v>
      </c>
      <c r="J2273">
        <v>4</v>
      </c>
      <c r="K2273" s="4">
        <v>78.599999999999994</v>
      </c>
      <c r="L2273" s="4">
        <v>31.2</v>
      </c>
      <c r="M2273" s="4">
        <v>45.7</v>
      </c>
      <c r="N2273">
        <v>0</v>
      </c>
      <c r="O2273" t="s">
        <v>58</v>
      </c>
      <c r="P2273" t="s">
        <v>112</v>
      </c>
      <c r="Q2273" t="s">
        <v>93</v>
      </c>
      <c r="R2273" t="s">
        <v>85</v>
      </c>
      <c r="S2273" s="3">
        <v>6.16</v>
      </c>
      <c r="T2273" s="5">
        <v>45258</v>
      </c>
      <c r="U2273">
        <v>1</v>
      </c>
      <c r="V2273">
        <v>2023</v>
      </c>
      <c r="X2273">
        <f t="shared" si="105"/>
        <v>7.7997727000000001</v>
      </c>
      <c r="Y2273">
        <f t="shared" si="106"/>
        <v>6.1597727000000004</v>
      </c>
      <c r="Z2273">
        <f t="shared" si="107"/>
        <v>31.1997727</v>
      </c>
    </row>
    <row r="2274" spans="1:26" x14ac:dyDescent="0.3">
      <c r="A2274" t="s">
        <v>2364</v>
      </c>
      <c r="B2274" t="s">
        <v>63</v>
      </c>
      <c r="C2274" t="s">
        <v>78</v>
      </c>
      <c r="D2274" t="s">
        <v>57</v>
      </c>
      <c r="E2274">
        <v>22</v>
      </c>
      <c r="F2274" s="3">
        <v>7.45</v>
      </c>
      <c r="G2274" s="4">
        <v>78.900000000000006</v>
      </c>
      <c r="H2274">
        <v>1</v>
      </c>
      <c r="I2274">
        <v>2</v>
      </c>
      <c r="J2274">
        <v>2</v>
      </c>
      <c r="K2274" s="4">
        <v>75.099999999999994</v>
      </c>
      <c r="L2274" s="4">
        <v>51.4</v>
      </c>
      <c r="M2274" s="4">
        <v>87</v>
      </c>
      <c r="N2274">
        <v>1</v>
      </c>
      <c r="O2274" t="s">
        <v>64</v>
      </c>
      <c r="P2274" t="s">
        <v>65</v>
      </c>
      <c r="S2274" s="3">
        <v>0</v>
      </c>
      <c r="T2274" s="5"/>
      <c r="U2274">
        <v>0</v>
      </c>
      <c r="V2274">
        <v>2025</v>
      </c>
      <c r="X2274">
        <f t="shared" si="105"/>
        <v>7.4497726000000002</v>
      </c>
      <c r="Y2274">
        <f t="shared" si="106"/>
        <v>-2.274E-4</v>
      </c>
      <c r="Z2274">
        <f t="shared" si="107"/>
        <v>51.399772599999999</v>
      </c>
    </row>
    <row r="2275" spans="1:26" x14ac:dyDescent="0.3">
      <c r="A2275" t="s">
        <v>2365</v>
      </c>
      <c r="B2275" t="s">
        <v>55</v>
      </c>
      <c r="C2275" t="s">
        <v>78</v>
      </c>
      <c r="D2275" t="s">
        <v>57</v>
      </c>
      <c r="E2275">
        <v>20</v>
      </c>
      <c r="F2275" s="3">
        <v>8.0399999999999991</v>
      </c>
      <c r="G2275" s="4">
        <v>72.400000000000006</v>
      </c>
      <c r="H2275">
        <v>1</v>
      </c>
      <c r="I2275">
        <v>2</v>
      </c>
      <c r="J2275">
        <v>3</v>
      </c>
      <c r="K2275" s="4">
        <v>99.7</v>
      </c>
      <c r="L2275" s="4">
        <v>58.2</v>
      </c>
      <c r="M2275" s="4">
        <v>77.900000000000006</v>
      </c>
      <c r="N2275">
        <v>0</v>
      </c>
      <c r="O2275" t="s">
        <v>58</v>
      </c>
      <c r="P2275" t="s">
        <v>112</v>
      </c>
      <c r="Q2275" t="s">
        <v>93</v>
      </c>
      <c r="R2275" t="s">
        <v>109</v>
      </c>
      <c r="S2275" s="3">
        <v>7.7</v>
      </c>
      <c r="T2275" s="5">
        <v>45568</v>
      </c>
      <c r="U2275">
        <v>1</v>
      </c>
      <c r="V2275">
        <v>2024</v>
      </c>
      <c r="X2275">
        <f t="shared" si="105"/>
        <v>8.0397724999999998</v>
      </c>
      <c r="Y2275">
        <f t="shared" si="106"/>
        <v>7.6997724999999999</v>
      </c>
      <c r="Z2275">
        <f t="shared" si="107"/>
        <v>58.199772500000002</v>
      </c>
    </row>
    <row r="2276" spans="1:26" x14ac:dyDescent="0.3">
      <c r="A2276" t="s">
        <v>2366</v>
      </c>
      <c r="B2276" t="s">
        <v>107</v>
      </c>
      <c r="C2276" t="s">
        <v>84</v>
      </c>
      <c r="D2276" t="s">
        <v>57</v>
      </c>
      <c r="E2276">
        <v>22</v>
      </c>
      <c r="F2276" s="3">
        <v>8.43</v>
      </c>
      <c r="G2276" s="4">
        <v>74.2</v>
      </c>
      <c r="H2276">
        <v>2</v>
      </c>
      <c r="I2276">
        <v>1</v>
      </c>
      <c r="J2276">
        <v>1</v>
      </c>
      <c r="K2276" s="4">
        <v>84.2</v>
      </c>
      <c r="L2276" s="4">
        <v>52.9</v>
      </c>
      <c r="M2276" s="4">
        <v>67.3</v>
      </c>
      <c r="N2276">
        <v>0</v>
      </c>
      <c r="O2276" t="s">
        <v>58</v>
      </c>
      <c r="P2276" t="s">
        <v>112</v>
      </c>
      <c r="Q2276" t="s">
        <v>93</v>
      </c>
      <c r="R2276" t="s">
        <v>61</v>
      </c>
      <c r="S2276" s="3">
        <v>6.59</v>
      </c>
      <c r="T2276" s="5">
        <v>44503</v>
      </c>
      <c r="U2276">
        <v>1</v>
      </c>
      <c r="V2276">
        <v>2021</v>
      </c>
      <c r="X2276">
        <f t="shared" si="105"/>
        <v>8.4297723999999992</v>
      </c>
      <c r="Y2276">
        <f t="shared" si="106"/>
        <v>6.5897724000000002</v>
      </c>
      <c r="Z2276">
        <f t="shared" si="107"/>
        <v>52.899772399999996</v>
      </c>
    </row>
    <row r="2277" spans="1:26" x14ac:dyDescent="0.3">
      <c r="A2277" t="s">
        <v>2367</v>
      </c>
      <c r="B2277" t="s">
        <v>63</v>
      </c>
      <c r="C2277" t="s">
        <v>89</v>
      </c>
      <c r="D2277" t="s">
        <v>69</v>
      </c>
      <c r="E2277">
        <v>23</v>
      </c>
      <c r="F2277" s="3">
        <v>8.31</v>
      </c>
      <c r="G2277" s="4">
        <v>82.8</v>
      </c>
      <c r="H2277">
        <v>2</v>
      </c>
      <c r="I2277">
        <v>1</v>
      </c>
      <c r="J2277">
        <v>4</v>
      </c>
      <c r="K2277" s="4">
        <v>59.1</v>
      </c>
      <c r="L2277" s="4">
        <v>62.1</v>
      </c>
      <c r="M2277" s="4">
        <v>72.400000000000006</v>
      </c>
      <c r="N2277">
        <v>0</v>
      </c>
      <c r="O2277" t="s">
        <v>58</v>
      </c>
      <c r="P2277" t="s">
        <v>59</v>
      </c>
      <c r="Q2277" t="s">
        <v>60</v>
      </c>
      <c r="R2277" t="s">
        <v>76</v>
      </c>
      <c r="S2277" s="3">
        <v>21.14</v>
      </c>
      <c r="T2277" s="5">
        <v>45896</v>
      </c>
      <c r="U2277">
        <v>1</v>
      </c>
      <c r="V2277">
        <v>2025</v>
      </c>
      <c r="X2277">
        <f t="shared" si="105"/>
        <v>8.3097723000000006</v>
      </c>
      <c r="Y2277">
        <f t="shared" si="106"/>
        <v>21.139772300000001</v>
      </c>
      <c r="Z2277">
        <f t="shared" si="107"/>
        <v>62.099772299999998</v>
      </c>
    </row>
    <row r="2278" spans="1:26" x14ac:dyDescent="0.3">
      <c r="A2278" t="s">
        <v>2368</v>
      </c>
      <c r="B2278" t="s">
        <v>63</v>
      </c>
      <c r="C2278" t="s">
        <v>56</v>
      </c>
      <c r="D2278" t="s">
        <v>69</v>
      </c>
      <c r="E2278">
        <v>22</v>
      </c>
      <c r="F2278" s="3">
        <v>7.92</v>
      </c>
      <c r="G2278" s="4">
        <v>72.3</v>
      </c>
      <c r="H2278">
        <v>0</v>
      </c>
      <c r="I2278">
        <v>0</v>
      </c>
      <c r="J2278">
        <v>4</v>
      </c>
      <c r="K2278" s="4">
        <v>56.9</v>
      </c>
      <c r="L2278" s="4">
        <v>59.9</v>
      </c>
      <c r="M2278" s="4">
        <v>79.099999999999994</v>
      </c>
      <c r="N2278">
        <v>0</v>
      </c>
      <c r="O2278" t="s">
        <v>58</v>
      </c>
      <c r="P2278" t="s">
        <v>92</v>
      </c>
      <c r="Q2278" t="s">
        <v>93</v>
      </c>
      <c r="R2278" t="s">
        <v>72</v>
      </c>
      <c r="S2278" s="3">
        <v>8.01</v>
      </c>
      <c r="T2278" s="5">
        <v>45902</v>
      </c>
      <c r="U2278">
        <v>1</v>
      </c>
      <c r="V2278">
        <v>2025</v>
      </c>
      <c r="X2278">
        <f t="shared" si="105"/>
        <v>7.9197721999999997</v>
      </c>
      <c r="Y2278">
        <f t="shared" si="106"/>
        <v>8.0097722000000005</v>
      </c>
      <c r="Z2278">
        <f t="shared" si="107"/>
        <v>59.899772200000001</v>
      </c>
    </row>
    <row r="2279" spans="1:26" x14ac:dyDescent="0.3">
      <c r="A2279" t="s">
        <v>2369</v>
      </c>
      <c r="B2279" t="s">
        <v>107</v>
      </c>
      <c r="C2279" t="s">
        <v>56</v>
      </c>
      <c r="D2279" t="s">
        <v>69</v>
      </c>
      <c r="E2279">
        <v>20</v>
      </c>
      <c r="F2279" s="3">
        <v>8.84</v>
      </c>
      <c r="G2279" s="4">
        <v>81.2</v>
      </c>
      <c r="H2279">
        <v>3</v>
      </c>
      <c r="I2279">
        <v>2</v>
      </c>
      <c r="J2279">
        <v>3</v>
      </c>
      <c r="K2279" s="4">
        <v>74.2</v>
      </c>
      <c r="L2279" s="4">
        <v>74.5</v>
      </c>
      <c r="M2279" s="4">
        <v>81</v>
      </c>
      <c r="N2279">
        <v>0</v>
      </c>
      <c r="O2279" t="s">
        <v>58</v>
      </c>
      <c r="P2279" t="s">
        <v>112</v>
      </c>
      <c r="Q2279" t="s">
        <v>93</v>
      </c>
      <c r="R2279" t="s">
        <v>76</v>
      </c>
      <c r="S2279" s="3">
        <v>8.01</v>
      </c>
      <c r="T2279" s="5">
        <v>44466</v>
      </c>
      <c r="U2279">
        <v>1</v>
      </c>
      <c r="V2279">
        <v>2021</v>
      </c>
      <c r="X2279">
        <f t="shared" si="105"/>
        <v>8.8397720999999994</v>
      </c>
      <c r="Y2279">
        <f t="shared" si="106"/>
        <v>8.0097720999999993</v>
      </c>
      <c r="Z2279">
        <f t="shared" si="107"/>
        <v>74.499772100000001</v>
      </c>
    </row>
    <row r="2280" spans="1:26" x14ac:dyDescent="0.3">
      <c r="A2280" t="s">
        <v>2370</v>
      </c>
      <c r="B2280" t="s">
        <v>67</v>
      </c>
      <c r="C2280" t="s">
        <v>78</v>
      </c>
      <c r="D2280" t="s">
        <v>69</v>
      </c>
      <c r="E2280">
        <v>21</v>
      </c>
      <c r="F2280" s="3">
        <v>7.83</v>
      </c>
      <c r="G2280" s="4">
        <v>74.2</v>
      </c>
      <c r="H2280">
        <v>1</v>
      </c>
      <c r="I2280">
        <v>2</v>
      </c>
      <c r="J2280">
        <v>4</v>
      </c>
      <c r="K2280" s="4">
        <v>70.599999999999994</v>
      </c>
      <c r="L2280" s="4">
        <v>29</v>
      </c>
      <c r="M2280" s="4">
        <v>80.599999999999994</v>
      </c>
      <c r="N2280">
        <v>0</v>
      </c>
      <c r="O2280" t="s">
        <v>64</v>
      </c>
      <c r="P2280" t="s">
        <v>65</v>
      </c>
      <c r="S2280" s="3">
        <v>0</v>
      </c>
      <c r="T2280" s="5"/>
      <c r="U2280">
        <v>0</v>
      </c>
      <c r="V2280">
        <v>2023</v>
      </c>
      <c r="X2280">
        <f t="shared" si="105"/>
        <v>7.8297720000000002</v>
      </c>
      <c r="Y2280">
        <f t="shared" si="106"/>
        <v>-2.2799999999999999E-4</v>
      </c>
      <c r="Z2280">
        <f t="shared" si="107"/>
        <v>28.999772</v>
      </c>
    </row>
    <row r="2281" spans="1:26" x14ac:dyDescent="0.3">
      <c r="A2281" t="s">
        <v>2371</v>
      </c>
      <c r="B2281" t="s">
        <v>107</v>
      </c>
      <c r="C2281" t="s">
        <v>56</v>
      </c>
      <c r="D2281" t="s">
        <v>57</v>
      </c>
      <c r="E2281">
        <v>22</v>
      </c>
      <c r="F2281" s="3">
        <v>7.69</v>
      </c>
      <c r="G2281" s="4">
        <v>73.5</v>
      </c>
      <c r="H2281">
        <v>1</v>
      </c>
      <c r="I2281">
        <v>0</v>
      </c>
      <c r="J2281">
        <v>4</v>
      </c>
      <c r="K2281" s="4">
        <v>71.900000000000006</v>
      </c>
      <c r="L2281" s="4">
        <v>99.9</v>
      </c>
      <c r="M2281" s="4">
        <v>65.400000000000006</v>
      </c>
      <c r="N2281">
        <v>0</v>
      </c>
      <c r="O2281" t="s">
        <v>58</v>
      </c>
      <c r="P2281" t="s">
        <v>90</v>
      </c>
      <c r="Q2281" t="s">
        <v>60</v>
      </c>
      <c r="R2281" t="s">
        <v>109</v>
      </c>
      <c r="S2281" s="3">
        <v>8.4499999999999993</v>
      </c>
      <c r="T2281" s="5">
        <v>44490</v>
      </c>
      <c r="U2281">
        <v>3</v>
      </c>
      <c r="V2281">
        <v>2021</v>
      </c>
      <c r="X2281">
        <f t="shared" si="105"/>
        <v>7.6897719000000002</v>
      </c>
      <c r="Y2281">
        <f t="shared" si="106"/>
        <v>8.4497719</v>
      </c>
      <c r="Z2281">
        <f t="shared" si="107"/>
        <v>99.899771900000005</v>
      </c>
    </row>
    <row r="2282" spans="1:26" x14ac:dyDescent="0.3">
      <c r="A2282" t="s">
        <v>2372</v>
      </c>
      <c r="B2282" t="s">
        <v>63</v>
      </c>
      <c r="C2282" t="s">
        <v>74</v>
      </c>
      <c r="D2282" t="s">
        <v>69</v>
      </c>
      <c r="E2282">
        <v>23</v>
      </c>
      <c r="F2282" s="3">
        <v>8.2899999999999991</v>
      </c>
      <c r="G2282" s="4">
        <v>77.599999999999994</v>
      </c>
      <c r="H2282">
        <v>1</v>
      </c>
      <c r="I2282">
        <v>2</v>
      </c>
      <c r="J2282">
        <v>3</v>
      </c>
      <c r="K2282" s="4">
        <v>45.3</v>
      </c>
      <c r="L2282" s="4">
        <v>60.8</v>
      </c>
      <c r="M2282" s="4">
        <v>73.900000000000006</v>
      </c>
      <c r="N2282">
        <v>0</v>
      </c>
      <c r="O2282" t="s">
        <v>58</v>
      </c>
      <c r="P2282" t="s">
        <v>79</v>
      </c>
      <c r="Q2282" t="s">
        <v>71</v>
      </c>
      <c r="R2282" t="s">
        <v>85</v>
      </c>
      <c r="S2282" s="3">
        <v>5.79</v>
      </c>
      <c r="T2282" s="5">
        <v>45957</v>
      </c>
      <c r="U2282">
        <v>3</v>
      </c>
      <c r="V2282">
        <v>2025</v>
      </c>
      <c r="X2282">
        <f t="shared" si="105"/>
        <v>8.2897717999999987</v>
      </c>
      <c r="Y2282">
        <f t="shared" si="106"/>
        <v>5.7897718000000005</v>
      </c>
      <c r="Z2282">
        <f t="shared" si="107"/>
        <v>60.799771799999995</v>
      </c>
    </row>
    <row r="2283" spans="1:26" x14ac:dyDescent="0.3">
      <c r="A2283" t="s">
        <v>2373</v>
      </c>
      <c r="B2283" t="s">
        <v>67</v>
      </c>
      <c r="C2283" t="s">
        <v>68</v>
      </c>
      <c r="D2283" t="s">
        <v>69</v>
      </c>
      <c r="E2283">
        <v>23</v>
      </c>
      <c r="F2283" s="3">
        <v>6.52</v>
      </c>
      <c r="G2283" s="4">
        <v>83.4</v>
      </c>
      <c r="H2283">
        <v>1</v>
      </c>
      <c r="I2283">
        <v>1</v>
      </c>
      <c r="J2283">
        <v>3</v>
      </c>
      <c r="K2283" s="4">
        <v>80.5</v>
      </c>
      <c r="L2283" s="4">
        <v>65.400000000000006</v>
      </c>
      <c r="M2283" s="4">
        <v>63.9</v>
      </c>
      <c r="N2283">
        <v>1</v>
      </c>
      <c r="O2283" t="s">
        <v>58</v>
      </c>
      <c r="P2283" t="s">
        <v>90</v>
      </c>
      <c r="Q2283" t="s">
        <v>60</v>
      </c>
      <c r="R2283" t="s">
        <v>130</v>
      </c>
      <c r="S2283" s="3">
        <v>7.08</v>
      </c>
      <c r="T2283" s="5">
        <v>45164</v>
      </c>
      <c r="U2283">
        <v>1</v>
      </c>
      <c r="V2283">
        <v>2023</v>
      </c>
      <c r="X2283">
        <f t="shared" si="105"/>
        <v>6.5197716999999997</v>
      </c>
      <c r="Y2283">
        <f t="shared" si="106"/>
        <v>7.0797717000000002</v>
      </c>
      <c r="Z2283">
        <f t="shared" si="107"/>
        <v>65.399771700000002</v>
      </c>
    </row>
    <row r="2284" spans="1:26" x14ac:dyDescent="0.3">
      <c r="A2284" t="s">
        <v>2374</v>
      </c>
      <c r="B2284" t="s">
        <v>67</v>
      </c>
      <c r="C2284" t="s">
        <v>56</v>
      </c>
      <c r="D2284" t="s">
        <v>57</v>
      </c>
      <c r="E2284">
        <v>23</v>
      </c>
      <c r="F2284" s="3">
        <v>8.1999999999999993</v>
      </c>
      <c r="G2284" s="4">
        <v>84.9</v>
      </c>
      <c r="H2284">
        <v>3</v>
      </c>
      <c r="I2284">
        <v>2</v>
      </c>
      <c r="J2284">
        <v>5</v>
      </c>
      <c r="K2284" s="4">
        <v>62.8</v>
      </c>
      <c r="L2284" s="4">
        <v>78.900000000000006</v>
      </c>
      <c r="M2284" s="4">
        <v>83.2</v>
      </c>
      <c r="N2284">
        <v>2</v>
      </c>
      <c r="O2284" t="s">
        <v>58</v>
      </c>
      <c r="P2284" t="s">
        <v>70</v>
      </c>
      <c r="Q2284" t="s">
        <v>71</v>
      </c>
      <c r="R2284" t="s">
        <v>61</v>
      </c>
      <c r="S2284" s="3">
        <v>7.18</v>
      </c>
      <c r="T2284" s="5">
        <v>45233</v>
      </c>
      <c r="U2284">
        <v>1</v>
      </c>
      <c r="V2284">
        <v>2023</v>
      </c>
      <c r="X2284">
        <f t="shared" si="105"/>
        <v>8.1997716</v>
      </c>
      <c r="Y2284">
        <f t="shared" si="106"/>
        <v>7.1797715999999996</v>
      </c>
      <c r="Z2284">
        <f t="shared" si="107"/>
        <v>78.899771600000008</v>
      </c>
    </row>
    <row r="2285" spans="1:26" x14ac:dyDescent="0.3">
      <c r="A2285" t="s">
        <v>2375</v>
      </c>
      <c r="B2285" t="s">
        <v>107</v>
      </c>
      <c r="C2285" t="s">
        <v>56</v>
      </c>
      <c r="D2285" t="s">
        <v>69</v>
      </c>
      <c r="E2285">
        <v>21</v>
      </c>
      <c r="F2285" s="3">
        <v>7.38</v>
      </c>
      <c r="G2285" s="4">
        <v>90.3</v>
      </c>
      <c r="H2285">
        <v>0</v>
      </c>
      <c r="I2285">
        <v>1</v>
      </c>
      <c r="J2285">
        <v>5</v>
      </c>
      <c r="K2285" s="4">
        <v>99.2</v>
      </c>
      <c r="L2285" s="4">
        <v>96.1</v>
      </c>
      <c r="M2285" s="4">
        <v>71.099999999999994</v>
      </c>
      <c r="N2285">
        <v>0</v>
      </c>
      <c r="O2285" t="s">
        <v>58</v>
      </c>
      <c r="P2285" t="s">
        <v>87</v>
      </c>
      <c r="Q2285" t="s">
        <v>71</v>
      </c>
      <c r="R2285" t="s">
        <v>130</v>
      </c>
      <c r="S2285" s="3">
        <v>7.31</v>
      </c>
      <c r="T2285" s="5">
        <v>44422</v>
      </c>
      <c r="U2285">
        <v>1</v>
      </c>
      <c r="V2285">
        <v>2021</v>
      </c>
      <c r="X2285">
        <f t="shared" si="105"/>
        <v>7.3797714999999995</v>
      </c>
      <c r="Y2285">
        <f t="shared" si="106"/>
        <v>7.3097714999999992</v>
      </c>
      <c r="Z2285">
        <f t="shared" si="107"/>
        <v>96.099771499999989</v>
      </c>
    </row>
    <row r="2286" spans="1:26" x14ac:dyDescent="0.3">
      <c r="A2286" t="s">
        <v>2376</v>
      </c>
      <c r="B2286" t="s">
        <v>63</v>
      </c>
      <c r="C2286" t="s">
        <v>74</v>
      </c>
      <c r="D2286" t="s">
        <v>69</v>
      </c>
      <c r="E2286">
        <v>23</v>
      </c>
      <c r="F2286" s="3">
        <v>6.45</v>
      </c>
      <c r="G2286" s="4">
        <v>75</v>
      </c>
      <c r="H2286">
        <v>1</v>
      </c>
      <c r="I2286">
        <v>2</v>
      </c>
      <c r="J2286">
        <v>3</v>
      </c>
      <c r="K2286" s="4">
        <v>71.3</v>
      </c>
      <c r="L2286" s="4">
        <v>61.2</v>
      </c>
      <c r="M2286" s="4">
        <v>79.2</v>
      </c>
      <c r="N2286">
        <v>0</v>
      </c>
      <c r="O2286" t="s">
        <v>58</v>
      </c>
      <c r="P2286" t="s">
        <v>92</v>
      </c>
      <c r="Q2286" t="s">
        <v>93</v>
      </c>
      <c r="R2286" t="s">
        <v>80</v>
      </c>
      <c r="S2286" s="3">
        <v>8.27</v>
      </c>
      <c r="T2286" s="5">
        <v>45958</v>
      </c>
      <c r="U2286">
        <v>3</v>
      </c>
      <c r="V2286">
        <v>2025</v>
      </c>
      <c r="X2286">
        <f t="shared" si="105"/>
        <v>6.4497714000000004</v>
      </c>
      <c r="Y2286">
        <f t="shared" si="106"/>
        <v>8.2697713999999998</v>
      </c>
      <c r="Z2286">
        <f t="shared" si="107"/>
        <v>61.199771400000003</v>
      </c>
    </row>
    <row r="2287" spans="1:26" x14ac:dyDescent="0.3">
      <c r="A2287" t="s">
        <v>2377</v>
      </c>
      <c r="B2287" t="s">
        <v>55</v>
      </c>
      <c r="C2287" t="s">
        <v>74</v>
      </c>
      <c r="D2287" t="s">
        <v>69</v>
      </c>
      <c r="E2287">
        <v>20</v>
      </c>
      <c r="F2287" s="3">
        <v>8.0299999999999994</v>
      </c>
      <c r="G2287" s="4">
        <v>94.5</v>
      </c>
      <c r="H2287">
        <v>1</v>
      </c>
      <c r="I2287">
        <v>2</v>
      </c>
      <c r="J2287">
        <v>4</v>
      </c>
      <c r="K2287" s="4">
        <v>66.5</v>
      </c>
      <c r="L2287" s="4">
        <v>80.3</v>
      </c>
      <c r="M2287" s="4">
        <v>67.8</v>
      </c>
      <c r="N2287">
        <v>0</v>
      </c>
      <c r="O2287" t="s">
        <v>58</v>
      </c>
      <c r="P2287" t="s">
        <v>70</v>
      </c>
      <c r="Q2287" t="s">
        <v>71</v>
      </c>
      <c r="R2287" t="s">
        <v>109</v>
      </c>
      <c r="S2287" s="3">
        <v>6.13</v>
      </c>
      <c r="T2287" s="5">
        <v>45536</v>
      </c>
      <c r="U2287">
        <v>1</v>
      </c>
      <c r="V2287">
        <v>2024</v>
      </c>
      <c r="X2287">
        <f t="shared" si="105"/>
        <v>8.0297713000000002</v>
      </c>
      <c r="Y2287">
        <f t="shared" si="106"/>
        <v>6.1297712999999998</v>
      </c>
      <c r="Z2287">
        <f t="shared" si="107"/>
        <v>80.299771300000003</v>
      </c>
    </row>
    <row r="2288" spans="1:26" x14ac:dyDescent="0.3">
      <c r="A2288" t="s">
        <v>2378</v>
      </c>
      <c r="B2288" t="s">
        <v>63</v>
      </c>
      <c r="C2288" t="s">
        <v>56</v>
      </c>
      <c r="D2288" t="s">
        <v>57</v>
      </c>
      <c r="E2288">
        <v>20</v>
      </c>
      <c r="F2288" s="3">
        <v>7.24</v>
      </c>
      <c r="G2288" s="4">
        <v>100</v>
      </c>
      <c r="H2288">
        <v>1</v>
      </c>
      <c r="I2288">
        <v>3</v>
      </c>
      <c r="J2288">
        <v>3</v>
      </c>
      <c r="K2288" s="4">
        <v>74.900000000000006</v>
      </c>
      <c r="L2288" s="4">
        <v>59.9</v>
      </c>
      <c r="M2288" s="4">
        <v>75</v>
      </c>
      <c r="N2288">
        <v>0</v>
      </c>
      <c r="O2288" t="s">
        <v>58</v>
      </c>
      <c r="P2288" t="s">
        <v>79</v>
      </c>
      <c r="Q2288" t="s">
        <v>71</v>
      </c>
      <c r="R2288" t="s">
        <v>72</v>
      </c>
      <c r="S2288" s="3">
        <v>5.77</v>
      </c>
      <c r="T2288" s="5">
        <v>45972</v>
      </c>
      <c r="U2288">
        <v>3</v>
      </c>
      <c r="V2288">
        <v>2025</v>
      </c>
      <c r="X2288">
        <f t="shared" si="105"/>
        <v>7.2397711999999999</v>
      </c>
      <c r="Y2288">
        <f t="shared" si="106"/>
        <v>5.7697711999999992</v>
      </c>
      <c r="Z2288">
        <f t="shared" si="107"/>
        <v>59.899771199999996</v>
      </c>
    </row>
    <row r="2289" spans="1:26" x14ac:dyDescent="0.3">
      <c r="A2289" t="s">
        <v>2379</v>
      </c>
      <c r="B2289" t="s">
        <v>82</v>
      </c>
      <c r="C2289" t="s">
        <v>78</v>
      </c>
      <c r="D2289" t="s">
        <v>69</v>
      </c>
      <c r="E2289">
        <v>23</v>
      </c>
      <c r="F2289" s="3">
        <v>6.2</v>
      </c>
      <c r="G2289" s="4">
        <v>78.2</v>
      </c>
      <c r="H2289">
        <v>0</v>
      </c>
      <c r="I2289">
        <v>3</v>
      </c>
      <c r="J2289">
        <v>5</v>
      </c>
      <c r="K2289" s="4">
        <v>58.8</v>
      </c>
      <c r="L2289" s="4">
        <v>84.1</v>
      </c>
      <c r="M2289" s="4">
        <v>71.7</v>
      </c>
      <c r="N2289">
        <v>0</v>
      </c>
      <c r="O2289" t="s">
        <v>58</v>
      </c>
      <c r="P2289" t="s">
        <v>75</v>
      </c>
      <c r="Q2289" t="s">
        <v>71</v>
      </c>
      <c r="R2289" t="s">
        <v>72</v>
      </c>
      <c r="S2289" s="3">
        <v>6.57</v>
      </c>
      <c r="T2289" s="5">
        <v>44814</v>
      </c>
      <c r="U2289">
        <v>1</v>
      </c>
      <c r="V2289">
        <v>2022</v>
      </c>
      <c r="X2289">
        <f t="shared" si="105"/>
        <v>6.1997711000000004</v>
      </c>
      <c r="Y2289">
        <f t="shared" si="106"/>
        <v>6.5697711000000005</v>
      </c>
      <c r="Z2289">
        <f t="shared" si="107"/>
        <v>84.099771099999998</v>
      </c>
    </row>
    <row r="2290" spans="1:26" x14ac:dyDescent="0.3">
      <c r="A2290" t="s">
        <v>2380</v>
      </c>
      <c r="B2290" t="s">
        <v>55</v>
      </c>
      <c r="C2290" t="s">
        <v>101</v>
      </c>
      <c r="D2290" t="s">
        <v>69</v>
      </c>
      <c r="E2290">
        <v>22</v>
      </c>
      <c r="F2290" s="3">
        <v>6.87</v>
      </c>
      <c r="G2290" s="4">
        <v>66.099999999999994</v>
      </c>
      <c r="H2290">
        <v>0</v>
      </c>
      <c r="I2290">
        <v>0</v>
      </c>
      <c r="J2290">
        <v>3</v>
      </c>
      <c r="K2290" s="4">
        <v>91.5</v>
      </c>
      <c r="L2290" s="4">
        <v>80.5</v>
      </c>
      <c r="M2290" s="4">
        <v>59.4</v>
      </c>
      <c r="N2290">
        <v>0</v>
      </c>
      <c r="O2290" t="s">
        <v>58</v>
      </c>
      <c r="P2290" t="s">
        <v>95</v>
      </c>
      <c r="Q2290" t="s">
        <v>93</v>
      </c>
      <c r="R2290" t="s">
        <v>85</v>
      </c>
      <c r="S2290" s="3">
        <v>4.8600000000000003</v>
      </c>
      <c r="T2290" s="5">
        <v>45518</v>
      </c>
      <c r="U2290">
        <v>2</v>
      </c>
      <c r="V2290">
        <v>2024</v>
      </c>
      <c r="X2290">
        <f t="shared" si="105"/>
        <v>6.8697710000000001</v>
      </c>
      <c r="Y2290">
        <f t="shared" si="106"/>
        <v>4.8597710000000003</v>
      </c>
      <c r="Z2290">
        <f t="shared" si="107"/>
        <v>80.499770999999996</v>
      </c>
    </row>
    <row r="2291" spans="1:26" x14ac:dyDescent="0.3">
      <c r="A2291" t="s">
        <v>2381</v>
      </c>
      <c r="B2291" t="s">
        <v>67</v>
      </c>
      <c r="C2291" t="s">
        <v>74</v>
      </c>
      <c r="D2291" t="s">
        <v>57</v>
      </c>
      <c r="E2291">
        <v>23</v>
      </c>
      <c r="F2291" s="3">
        <v>9.17</v>
      </c>
      <c r="G2291" s="4">
        <v>66.3</v>
      </c>
      <c r="H2291">
        <v>1</v>
      </c>
      <c r="I2291">
        <v>5</v>
      </c>
      <c r="J2291">
        <v>6</v>
      </c>
      <c r="K2291" s="4">
        <v>100</v>
      </c>
      <c r="L2291" s="4">
        <v>54</v>
      </c>
      <c r="M2291" s="4">
        <v>87.1</v>
      </c>
      <c r="N2291">
        <v>0</v>
      </c>
      <c r="O2291" t="s">
        <v>58</v>
      </c>
      <c r="P2291" t="s">
        <v>92</v>
      </c>
      <c r="Q2291" t="s">
        <v>93</v>
      </c>
      <c r="R2291" t="s">
        <v>109</v>
      </c>
      <c r="S2291" s="3">
        <v>8.4600000000000009</v>
      </c>
      <c r="T2291" s="5">
        <v>45186</v>
      </c>
      <c r="U2291">
        <v>2</v>
      </c>
      <c r="V2291">
        <v>2023</v>
      </c>
      <c r="X2291">
        <f t="shared" si="105"/>
        <v>9.1697708999999996</v>
      </c>
      <c r="Y2291">
        <f t="shared" si="106"/>
        <v>8.4597709000000005</v>
      </c>
      <c r="Z2291">
        <f t="shared" si="107"/>
        <v>53.999770900000001</v>
      </c>
    </row>
    <row r="2292" spans="1:26" x14ac:dyDescent="0.3">
      <c r="A2292" t="s">
        <v>2382</v>
      </c>
      <c r="B2292" t="s">
        <v>55</v>
      </c>
      <c r="C2292" t="s">
        <v>78</v>
      </c>
      <c r="D2292" t="s">
        <v>57</v>
      </c>
      <c r="E2292">
        <v>20</v>
      </c>
      <c r="F2292" s="3">
        <v>7.15</v>
      </c>
      <c r="G2292" s="4">
        <v>77.5</v>
      </c>
      <c r="H2292">
        <v>1</v>
      </c>
      <c r="I2292">
        <v>3</v>
      </c>
      <c r="J2292">
        <v>4</v>
      </c>
      <c r="K2292" s="4">
        <v>78.2</v>
      </c>
      <c r="L2292" s="4">
        <v>78.7</v>
      </c>
      <c r="M2292" s="4">
        <v>82</v>
      </c>
      <c r="N2292">
        <v>0</v>
      </c>
      <c r="O2292" t="s">
        <v>58</v>
      </c>
      <c r="P2292" t="s">
        <v>112</v>
      </c>
      <c r="Q2292" t="s">
        <v>93</v>
      </c>
      <c r="R2292" t="s">
        <v>72</v>
      </c>
      <c r="S2292" s="3">
        <v>6.75</v>
      </c>
      <c r="T2292" s="5">
        <v>45552</v>
      </c>
      <c r="U2292">
        <v>2</v>
      </c>
      <c r="V2292">
        <v>2024</v>
      </c>
      <c r="X2292">
        <f t="shared" si="105"/>
        <v>7.1497708000000006</v>
      </c>
      <c r="Y2292">
        <f t="shared" si="106"/>
        <v>6.7497708000000003</v>
      </c>
      <c r="Z2292">
        <f t="shared" si="107"/>
        <v>78.699770799999996</v>
      </c>
    </row>
    <row r="2293" spans="1:26" x14ac:dyDescent="0.3">
      <c r="A2293" t="s">
        <v>2383</v>
      </c>
      <c r="B2293" t="s">
        <v>67</v>
      </c>
      <c r="C2293" t="s">
        <v>74</v>
      </c>
      <c r="D2293" t="s">
        <v>57</v>
      </c>
      <c r="E2293">
        <v>20</v>
      </c>
      <c r="F2293" s="3">
        <v>7.94</v>
      </c>
      <c r="G2293" s="4">
        <v>75.8</v>
      </c>
      <c r="H2293">
        <v>2</v>
      </c>
      <c r="I2293">
        <v>2</v>
      </c>
      <c r="J2293">
        <v>4</v>
      </c>
      <c r="K2293" s="4">
        <v>77.3</v>
      </c>
      <c r="L2293" s="4">
        <v>48.6</v>
      </c>
      <c r="M2293" s="4">
        <v>58.8</v>
      </c>
      <c r="N2293">
        <v>1</v>
      </c>
      <c r="O2293" t="s">
        <v>58</v>
      </c>
      <c r="P2293" t="s">
        <v>92</v>
      </c>
      <c r="Q2293" t="s">
        <v>93</v>
      </c>
      <c r="R2293" t="s">
        <v>80</v>
      </c>
      <c r="S2293" s="3">
        <v>10.83</v>
      </c>
      <c r="T2293" s="5">
        <v>45229</v>
      </c>
      <c r="U2293">
        <v>1</v>
      </c>
      <c r="V2293">
        <v>2023</v>
      </c>
      <c r="X2293">
        <f t="shared" si="105"/>
        <v>7.9397707000000004</v>
      </c>
      <c r="Y2293">
        <f t="shared" si="106"/>
        <v>10.829770699999999</v>
      </c>
      <c r="Z2293">
        <f t="shared" si="107"/>
        <v>48.599770700000001</v>
      </c>
    </row>
    <row r="2294" spans="1:26" x14ac:dyDescent="0.3">
      <c r="A2294" t="s">
        <v>2384</v>
      </c>
      <c r="B2294" t="s">
        <v>67</v>
      </c>
      <c r="C2294" t="s">
        <v>68</v>
      </c>
      <c r="D2294" t="s">
        <v>69</v>
      </c>
      <c r="E2294">
        <v>20</v>
      </c>
      <c r="F2294" s="3">
        <v>6.67</v>
      </c>
      <c r="G2294" s="4">
        <v>82</v>
      </c>
      <c r="H2294">
        <v>2</v>
      </c>
      <c r="I2294">
        <v>4</v>
      </c>
      <c r="J2294">
        <v>4</v>
      </c>
      <c r="K2294" s="4">
        <v>59.8</v>
      </c>
      <c r="L2294" s="4">
        <v>58.9</v>
      </c>
      <c r="M2294" s="4">
        <v>64.2</v>
      </c>
      <c r="N2294">
        <v>0</v>
      </c>
      <c r="O2294" t="s">
        <v>58</v>
      </c>
      <c r="P2294" t="s">
        <v>70</v>
      </c>
      <c r="Q2294" t="s">
        <v>71</v>
      </c>
      <c r="R2294" t="s">
        <v>72</v>
      </c>
      <c r="S2294" s="3">
        <v>4.47</v>
      </c>
      <c r="T2294" s="5">
        <v>45224</v>
      </c>
      <c r="U2294">
        <v>3</v>
      </c>
      <c r="V2294">
        <v>2023</v>
      </c>
      <c r="X2294">
        <f t="shared" si="105"/>
        <v>6.6697705999999997</v>
      </c>
      <c r="Y2294">
        <f t="shared" si="106"/>
        <v>4.4697705999999995</v>
      </c>
      <c r="Z2294">
        <f t="shared" si="107"/>
        <v>58.899770599999997</v>
      </c>
    </row>
    <row r="2295" spans="1:26" x14ac:dyDescent="0.3">
      <c r="A2295" t="s">
        <v>2385</v>
      </c>
      <c r="B2295" t="s">
        <v>55</v>
      </c>
      <c r="C2295" t="s">
        <v>101</v>
      </c>
      <c r="D2295" t="s">
        <v>57</v>
      </c>
      <c r="E2295">
        <v>22</v>
      </c>
      <c r="F2295" s="3">
        <v>9.5399999999999991</v>
      </c>
      <c r="G2295" s="4">
        <v>86.6</v>
      </c>
      <c r="H2295">
        <v>1</v>
      </c>
      <c r="I2295">
        <v>1</v>
      </c>
      <c r="J2295">
        <v>3</v>
      </c>
      <c r="K2295" s="4">
        <v>67.900000000000006</v>
      </c>
      <c r="L2295" s="4">
        <v>49.9</v>
      </c>
      <c r="M2295" s="4">
        <v>66.900000000000006</v>
      </c>
      <c r="N2295">
        <v>0</v>
      </c>
      <c r="O2295" t="s">
        <v>58</v>
      </c>
      <c r="P2295" t="s">
        <v>75</v>
      </c>
      <c r="Q2295" t="s">
        <v>71</v>
      </c>
      <c r="R2295" t="s">
        <v>72</v>
      </c>
      <c r="S2295" s="3">
        <v>6.01</v>
      </c>
      <c r="T2295" s="5">
        <v>45542</v>
      </c>
      <c r="U2295">
        <v>1</v>
      </c>
      <c r="V2295">
        <v>2024</v>
      </c>
      <c r="X2295">
        <f t="shared" si="105"/>
        <v>9.5397704999999995</v>
      </c>
      <c r="Y2295">
        <f t="shared" si="106"/>
        <v>6.0097705000000001</v>
      </c>
      <c r="Z2295">
        <f t="shared" si="107"/>
        <v>49.899770499999995</v>
      </c>
    </row>
    <row r="2296" spans="1:26" x14ac:dyDescent="0.3">
      <c r="A2296" t="s">
        <v>2386</v>
      </c>
      <c r="B2296" t="s">
        <v>67</v>
      </c>
      <c r="C2296" t="s">
        <v>78</v>
      </c>
      <c r="D2296" t="s">
        <v>57</v>
      </c>
      <c r="E2296">
        <v>22</v>
      </c>
      <c r="F2296" s="3">
        <v>7.71</v>
      </c>
      <c r="G2296" s="4">
        <v>70.400000000000006</v>
      </c>
      <c r="H2296">
        <v>1</v>
      </c>
      <c r="I2296">
        <v>0</v>
      </c>
      <c r="J2296">
        <v>4</v>
      </c>
      <c r="K2296" s="4">
        <v>75.599999999999994</v>
      </c>
      <c r="L2296" s="4">
        <v>70</v>
      </c>
      <c r="M2296" s="4">
        <v>89.8</v>
      </c>
      <c r="N2296">
        <v>0</v>
      </c>
      <c r="O2296" t="s">
        <v>58</v>
      </c>
      <c r="P2296" t="s">
        <v>112</v>
      </c>
      <c r="Q2296" t="s">
        <v>93</v>
      </c>
      <c r="R2296" t="s">
        <v>130</v>
      </c>
      <c r="S2296" s="3">
        <v>7.24</v>
      </c>
      <c r="T2296" s="5">
        <v>45145</v>
      </c>
      <c r="U2296">
        <v>2</v>
      </c>
      <c r="V2296">
        <v>2023</v>
      </c>
      <c r="X2296">
        <f t="shared" si="105"/>
        <v>7.7097704</v>
      </c>
      <c r="Y2296">
        <f t="shared" si="106"/>
        <v>7.2397704000000003</v>
      </c>
      <c r="Z2296">
        <f t="shared" si="107"/>
        <v>69.999770400000003</v>
      </c>
    </row>
    <row r="2297" spans="1:26" x14ac:dyDescent="0.3">
      <c r="A2297" t="s">
        <v>2387</v>
      </c>
      <c r="B2297" t="s">
        <v>67</v>
      </c>
      <c r="C2297" t="s">
        <v>101</v>
      </c>
      <c r="D2297" t="s">
        <v>57</v>
      </c>
      <c r="E2297">
        <v>22</v>
      </c>
      <c r="F2297" s="3">
        <v>7.03</v>
      </c>
      <c r="G2297" s="4">
        <v>80.5</v>
      </c>
      <c r="H2297">
        <v>2</v>
      </c>
      <c r="I2297">
        <v>3</v>
      </c>
      <c r="J2297">
        <v>3</v>
      </c>
      <c r="K2297" s="4">
        <v>51.9</v>
      </c>
      <c r="L2297" s="4">
        <v>85</v>
      </c>
      <c r="M2297" s="4">
        <v>84.4</v>
      </c>
      <c r="N2297">
        <v>0</v>
      </c>
      <c r="O2297" t="s">
        <v>64</v>
      </c>
      <c r="P2297" t="s">
        <v>65</v>
      </c>
      <c r="S2297" s="3">
        <v>0</v>
      </c>
      <c r="T2297" s="5"/>
      <c r="U2297">
        <v>0</v>
      </c>
      <c r="V2297">
        <v>2023</v>
      </c>
      <c r="X2297">
        <f t="shared" si="105"/>
        <v>7.0297703</v>
      </c>
      <c r="Y2297">
        <f t="shared" si="106"/>
        <v>-2.297E-4</v>
      </c>
      <c r="Z2297">
        <f t="shared" si="107"/>
        <v>84.999770299999994</v>
      </c>
    </row>
    <row r="2298" spans="1:26" x14ac:dyDescent="0.3">
      <c r="A2298" t="s">
        <v>2388</v>
      </c>
      <c r="B2298" t="s">
        <v>82</v>
      </c>
      <c r="C2298" t="s">
        <v>56</v>
      </c>
      <c r="D2298" t="s">
        <v>57</v>
      </c>
      <c r="E2298">
        <v>20</v>
      </c>
      <c r="F2298" s="3">
        <v>8.4499999999999993</v>
      </c>
      <c r="G2298" s="4">
        <v>77.400000000000006</v>
      </c>
      <c r="H2298">
        <v>1</v>
      </c>
      <c r="I2298">
        <v>4</v>
      </c>
      <c r="J2298">
        <v>3</v>
      </c>
      <c r="K2298" s="4">
        <v>90.1</v>
      </c>
      <c r="L2298" s="4">
        <v>51.4</v>
      </c>
      <c r="M2298" s="4">
        <v>76.599999999999994</v>
      </c>
      <c r="N2298">
        <v>1</v>
      </c>
      <c r="O2298" t="s">
        <v>58</v>
      </c>
      <c r="P2298" t="s">
        <v>87</v>
      </c>
      <c r="Q2298" t="s">
        <v>71</v>
      </c>
      <c r="R2298" t="s">
        <v>72</v>
      </c>
      <c r="S2298" s="3">
        <v>6.17</v>
      </c>
      <c r="T2298" s="5">
        <v>44880</v>
      </c>
      <c r="U2298">
        <v>2</v>
      </c>
      <c r="V2298">
        <v>2022</v>
      </c>
      <c r="X2298">
        <f t="shared" si="105"/>
        <v>8.4497701999999997</v>
      </c>
      <c r="Y2298">
        <f t="shared" si="106"/>
        <v>6.1697702000000003</v>
      </c>
      <c r="Z2298">
        <f t="shared" si="107"/>
        <v>51.399770199999999</v>
      </c>
    </row>
    <row r="2299" spans="1:26" x14ac:dyDescent="0.3">
      <c r="A2299" t="s">
        <v>2389</v>
      </c>
      <c r="B2299" t="s">
        <v>63</v>
      </c>
      <c r="C2299" t="s">
        <v>56</v>
      </c>
      <c r="D2299" t="s">
        <v>69</v>
      </c>
      <c r="E2299">
        <v>21</v>
      </c>
      <c r="F2299" s="3">
        <v>9.5</v>
      </c>
      <c r="G2299" s="4">
        <v>100</v>
      </c>
      <c r="H2299">
        <v>1</v>
      </c>
      <c r="I2299">
        <v>1</v>
      </c>
      <c r="J2299">
        <v>4</v>
      </c>
      <c r="K2299" s="4">
        <v>46.5</v>
      </c>
      <c r="L2299" s="4">
        <v>76</v>
      </c>
      <c r="M2299" s="4">
        <v>55</v>
      </c>
      <c r="N2299">
        <v>0</v>
      </c>
      <c r="O2299" t="s">
        <v>58</v>
      </c>
      <c r="P2299" t="s">
        <v>59</v>
      </c>
      <c r="Q2299" t="s">
        <v>60</v>
      </c>
      <c r="R2299" t="s">
        <v>61</v>
      </c>
      <c r="S2299" s="3">
        <v>20.94</v>
      </c>
      <c r="T2299" s="5">
        <v>45974</v>
      </c>
      <c r="U2299">
        <v>2</v>
      </c>
      <c r="V2299">
        <v>2025</v>
      </c>
      <c r="X2299">
        <f t="shared" si="105"/>
        <v>9.4997700999999992</v>
      </c>
      <c r="Y2299">
        <f t="shared" si="106"/>
        <v>20.9397701</v>
      </c>
      <c r="Z2299">
        <f t="shared" si="107"/>
        <v>75.999770100000006</v>
      </c>
    </row>
    <row r="2300" spans="1:26" x14ac:dyDescent="0.3">
      <c r="A2300" t="s">
        <v>2390</v>
      </c>
      <c r="B2300" t="s">
        <v>63</v>
      </c>
      <c r="C2300" t="s">
        <v>84</v>
      </c>
      <c r="D2300" t="s">
        <v>57</v>
      </c>
      <c r="E2300">
        <v>23</v>
      </c>
      <c r="F2300" s="3">
        <v>7.28</v>
      </c>
      <c r="G2300" s="4">
        <v>69.599999999999994</v>
      </c>
      <c r="H2300">
        <v>2</v>
      </c>
      <c r="I2300">
        <v>2</v>
      </c>
      <c r="J2300">
        <v>3</v>
      </c>
      <c r="K2300" s="4">
        <v>39</v>
      </c>
      <c r="L2300" s="4">
        <v>66.400000000000006</v>
      </c>
      <c r="M2300" s="4">
        <v>79.5</v>
      </c>
      <c r="N2300">
        <v>0</v>
      </c>
      <c r="O2300" t="s">
        <v>58</v>
      </c>
      <c r="P2300" t="s">
        <v>79</v>
      </c>
      <c r="Q2300" t="s">
        <v>71</v>
      </c>
      <c r="R2300" t="s">
        <v>130</v>
      </c>
      <c r="S2300" s="3">
        <v>6.11</v>
      </c>
      <c r="T2300" s="5">
        <v>45966</v>
      </c>
      <c r="U2300">
        <v>3</v>
      </c>
      <c r="V2300">
        <v>2025</v>
      </c>
      <c r="X2300">
        <f t="shared" si="105"/>
        <v>7.2797700000000001</v>
      </c>
      <c r="Y2300">
        <f t="shared" si="106"/>
        <v>6.1097700000000001</v>
      </c>
      <c r="Z2300">
        <f t="shared" si="107"/>
        <v>66.399770000000004</v>
      </c>
    </row>
    <row r="2301" spans="1:26" x14ac:dyDescent="0.3">
      <c r="A2301" t="s">
        <v>2391</v>
      </c>
      <c r="B2301" t="s">
        <v>82</v>
      </c>
      <c r="C2301" t="s">
        <v>74</v>
      </c>
      <c r="D2301" t="s">
        <v>69</v>
      </c>
      <c r="E2301">
        <v>23</v>
      </c>
      <c r="F2301" s="3">
        <v>7.02</v>
      </c>
      <c r="G2301" s="4">
        <v>75.2</v>
      </c>
      <c r="H2301">
        <v>2</v>
      </c>
      <c r="I2301">
        <v>3</v>
      </c>
      <c r="J2301">
        <v>2</v>
      </c>
      <c r="K2301" s="4">
        <v>92.4</v>
      </c>
      <c r="L2301" s="4">
        <v>54.6</v>
      </c>
      <c r="M2301" s="4">
        <v>76</v>
      </c>
      <c r="N2301">
        <v>0</v>
      </c>
      <c r="O2301" t="s">
        <v>58</v>
      </c>
      <c r="P2301" t="s">
        <v>95</v>
      </c>
      <c r="Q2301" t="s">
        <v>93</v>
      </c>
      <c r="R2301" t="s">
        <v>76</v>
      </c>
      <c r="S2301" s="3">
        <v>6.07</v>
      </c>
      <c r="T2301" s="5">
        <v>44797</v>
      </c>
      <c r="U2301">
        <v>1</v>
      </c>
      <c r="V2301">
        <v>2022</v>
      </c>
      <c r="X2301">
        <f t="shared" si="105"/>
        <v>7.0197699</v>
      </c>
      <c r="Y2301">
        <f t="shared" si="106"/>
        <v>6.0697699000000007</v>
      </c>
      <c r="Z2301">
        <f t="shared" si="107"/>
        <v>54.599769899999998</v>
      </c>
    </row>
    <row r="2302" spans="1:26" x14ac:dyDescent="0.3">
      <c r="A2302" t="s">
        <v>2392</v>
      </c>
      <c r="B2302" t="s">
        <v>55</v>
      </c>
      <c r="C2302" t="s">
        <v>74</v>
      </c>
      <c r="D2302" t="s">
        <v>69</v>
      </c>
      <c r="E2302">
        <v>20</v>
      </c>
      <c r="F2302" s="3">
        <v>9.7200000000000006</v>
      </c>
      <c r="G2302" s="4">
        <v>82.3</v>
      </c>
      <c r="H2302">
        <v>1</v>
      </c>
      <c r="I2302">
        <v>4</v>
      </c>
      <c r="J2302">
        <v>5</v>
      </c>
      <c r="K2302" s="4">
        <v>78.900000000000006</v>
      </c>
      <c r="L2302" s="4">
        <v>63.7</v>
      </c>
      <c r="M2302" s="4">
        <v>69.900000000000006</v>
      </c>
      <c r="N2302">
        <v>0</v>
      </c>
      <c r="O2302" t="s">
        <v>58</v>
      </c>
      <c r="P2302" t="s">
        <v>75</v>
      </c>
      <c r="Q2302" t="s">
        <v>71</v>
      </c>
      <c r="R2302" t="s">
        <v>72</v>
      </c>
      <c r="S2302" s="3">
        <v>5.92</v>
      </c>
      <c r="T2302" s="5">
        <v>45530</v>
      </c>
      <c r="U2302">
        <v>1</v>
      </c>
      <c r="V2302">
        <v>2024</v>
      </c>
      <c r="X2302">
        <f t="shared" si="105"/>
        <v>9.7197697999999999</v>
      </c>
      <c r="Y2302">
        <f t="shared" si="106"/>
        <v>5.9197698000000001</v>
      </c>
      <c r="Z2302">
        <f t="shared" si="107"/>
        <v>63.699769800000006</v>
      </c>
    </row>
    <row r="2303" spans="1:26" x14ac:dyDescent="0.3">
      <c r="A2303" t="s">
        <v>2393</v>
      </c>
      <c r="B2303" t="s">
        <v>107</v>
      </c>
      <c r="C2303" t="s">
        <v>78</v>
      </c>
      <c r="D2303" t="s">
        <v>69</v>
      </c>
      <c r="E2303">
        <v>22</v>
      </c>
      <c r="F2303" s="3">
        <v>7.54</v>
      </c>
      <c r="G2303" s="4">
        <v>75.2</v>
      </c>
      <c r="H2303">
        <v>0</v>
      </c>
      <c r="I2303">
        <v>1</v>
      </c>
      <c r="J2303">
        <v>6</v>
      </c>
      <c r="K2303" s="4">
        <v>54.8</v>
      </c>
      <c r="L2303" s="4">
        <v>78.7</v>
      </c>
      <c r="M2303" s="4">
        <v>89.9</v>
      </c>
      <c r="N2303">
        <v>0</v>
      </c>
      <c r="O2303" t="s">
        <v>64</v>
      </c>
      <c r="P2303" t="s">
        <v>65</v>
      </c>
      <c r="S2303" s="3">
        <v>0</v>
      </c>
      <c r="T2303" s="5"/>
      <c r="U2303">
        <v>0</v>
      </c>
      <c r="V2303">
        <v>2021</v>
      </c>
      <c r="X2303">
        <f t="shared" si="105"/>
        <v>7.5397696999999999</v>
      </c>
      <c r="Y2303">
        <f t="shared" si="106"/>
        <v>-2.3029999999999999E-4</v>
      </c>
      <c r="Z2303">
        <f t="shared" si="107"/>
        <v>78.699769700000004</v>
      </c>
    </row>
    <row r="2304" spans="1:26" x14ac:dyDescent="0.3">
      <c r="A2304" t="s">
        <v>2394</v>
      </c>
      <c r="B2304" t="s">
        <v>107</v>
      </c>
      <c r="C2304" t="s">
        <v>101</v>
      </c>
      <c r="D2304" t="s">
        <v>57</v>
      </c>
      <c r="E2304">
        <v>21</v>
      </c>
      <c r="F2304" s="3">
        <v>7.44</v>
      </c>
      <c r="G2304" s="4">
        <v>92.2</v>
      </c>
      <c r="H2304">
        <v>0</v>
      </c>
      <c r="I2304">
        <v>0</v>
      </c>
      <c r="J2304">
        <v>4</v>
      </c>
      <c r="K2304" s="4">
        <v>70.2</v>
      </c>
      <c r="L2304" s="4">
        <v>84.1</v>
      </c>
      <c r="M2304" s="4">
        <v>71.599999999999994</v>
      </c>
      <c r="N2304">
        <v>2</v>
      </c>
      <c r="O2304" t="s">
        <v>58</v>
      </c>
      <c r="P2304" t="s">
        <v>104</v>
      </c>
      <c r="Q2304" t="s">
        <v>105</v>
      </c>
      <c r="R2304" t="s">
        <v>130</v>
      </c>
      <c r="S2304" s="3">
        <v>15.18</v>
      </c>
      <c r="T2304" s="5">
        <v>44450</v>
      </c>
      <c r="U2304">
        <v>2</v>
      </c>
      <c r="V2304">
        <v>2021</v>
      </c>
      <c r="X2304">
        <f t="shared" si="105"/>
        <v>7.4397696</v>
      </c>
      <c r="Y2304">
        <f t="shared" si="106"/>
        <v>15.1797696</v>
      </c>
      <c r="Z2304">
        <f t="shared" si="107"/>
        <v>84.099769599999988</v>
      </c>
    </row>
    <row r="2305" spans="1:26" x14ac:dyDescent="0.3">
      <c r="A2305" t="s">
        <v>2395</v>
      </c>
      <c r="B2305" t="s">
        <v>107</v>
      </c>
      <c r="C2305" t="s">
        <v>101</v>
      </c>
      <c r="D2305" t="s">
        <v>57</v>
      </c>
      <c r="E2305">
        <v>21</v>
      </c>
      <c r="F2305" s="3">
        <v>5.72</v>
      </c>
      <c r="G2305" s="4">
        <v>72.8</v>
      </c>
      <c r="H2305">
        <v>2</v>
      </c>
      <c r="I2305">
        <v>1</v>
      </c>
      <c r="J2305">
        <v>5</v>
      </c>
      <c r="K2305" s="4">
        <v>71.3</v>
      </c>
      <c r="L2305" s="4">
        <v>74.599999999999994</v>
      </c>
      <c r="M2305" s="4">
        <v>88.2</v>
      </c>
      <c r="N2305">
        <v>0</v>
      </c>
      <c r="O2305" t="s">
        <v>58</v>
      </c>
      <c r="P2305" t="s">
        <v>79</v>
      </c>
      <c r="Q2305" t="s">
        <v>71</v>
      </c>
      <c r="R2305" t="s">
        <v>130</v>
      </c>
      <c r="S2305" s="3">
        <v>5.61</v>
      </c>
      <c r="T2305" s="5">
        <v>44503</v>
      </c>
      <c r="U2305">
        <v>3</v>
      </c>
      <c r="V2305">
        <v>2021</v>
      </c>
      <c r="X2305">
        <f t="shared" si="105"/>
        <v>5.7197695</v>
      </c>
      <c r="Y2305">
        <f t="shared" si="106"/>
        <v>5.6097695000000005</v>
      </c>
      <c r="Z2305">
        <f t="shared" si="107"/>
        <v>74.599769499999994</v>
      </c>
    </row>
    <row r="2306" spans="1:26" x14ac:dyDescent="0.3">
      <c r="A2306" t="s">
        <v>2396</v>
      </c>
      <c r="B2306" t="s">
        <v>82</v>
      </c>
      <c r="C2306" t="s">
        <v>74</v>
      </c>
      <c r="D2306" t="s">
        <v>57</v>
      </c>
      <c r="E2306">
        <v>22</v>
      </c>
      <c r="F2306" s="3">
        <v>7.62</v>
      </c>
      <c r="G2306" s="4">
        <v>73.8</v>
      </c>
      <c r="H2306">
        <v>0</v>
      </c>
      <c r="I2306">
        <v>2</v>
      </c>
      <c r="J2306">
        <v>6</v>
      </c>
      <c r="K2306" s="4">
        <v>69.400000000000006</v>
      </c>
      <c r="L2306" s="4">
        <v>69.400000000000006</v>
      </c>
      <c r="M2306" s="4">
        <v>69.599999999999994</v>
      </c>
      <c r="N2306">
        <v>0</v>
      </c>
      <c r="O2306" t="s">
        <v>58</v>
      </c>
      <c r="P2306" t="s">
        <v>59</v>
      </c>
      <c r="Q2306" t="s">
        <v>60</v>
      </c>
      <c r="R2306" t="s">
        <v>72</v>
      </c>
      <c r="S2306" s="3">
        <v>18.329999999999998</v>
      </c>
      <c r="T2306" s="5">
        <v>44864</v>
      </c>
      <c r="U2306">
        <v>1</v>
      </c>
      <c r="V2306">
        <v>2022</v>
      </c>
      <c r="X2306">
        <f t="shared" ref="X2306:X2369" si="108">F2306-ROW()*0.0000001</f>
        <v>7.6197694</v>
      </c>
      <c r="Y2306">
        <f t="shared" ref="Y2306:Y2369" si="109">S2306-ROW()*0.0000001</f>
        <v>18.3297694</v>
      </c>
      <c r="Z2306">
        <f t="shared" ref="Z2306:Z2369" si="110">L2306-ROW()*0.0000001</f>
        <v>69.399769400000011</v>
      </c>
    </row>
    <row r="2307" spans="1:26" x14ac:dyDescent="0.3">
      <c r="A2307" t="s">
        <v>2397</v>
      </c>
      <c r="B2307" t="s">
        <v>82</v>
      </c>
      <c r="C2307" t="s">
        <v>101</v>
      </c>
      <c r="D2307" t="s">
        <v>57</v>
      </c>
      <c r="E2307">
        <v>23</v>
      </c>
      <c r="F2307" s="3">
        <v>6.43</v>
      </c>
      <c r="G2307" s="4">
        <v>93</v>
      </c>
      <c r="H2307">
        <v>1</v>
      </c>
      <c r="I2307">
        <v>4</v>
      </c>
      <c r="J2307">
        <v>4</v>
      </c>
      <c r="K2307" s="4">
        <v>53.5</v>
      </c>
      <c r="L2307" s="4">
        <v>70.3</v>
      </c>
      <c r="M2307" s="4">
        <v>63.7</v>
      </c>
      <c r="N2307">
        <v>0</v>
      </c>
      <c r="O2307" t="s">
        <v>58</v>
      </c>
      <c r="P2307" t="s">
        <v>75</v>
      </c>
      <c r="Q2307" t="s">
        <v>71</v>
      </c>
      <c r="R2307" t="s">
        <v>130</v>
      </c>
      <c r="S2307" s="3">
        <v>5.41</v>
      </c>
      <c r="T2307" s="5">
        <v>44786</v>
      </c>
      <c r="U2307">
        <v>2</v>
      </c>
      <c r="V2307">
        <v>2022</v>
      </c>
      <c r="X2307">
        <f t="shared" si="108"/>
        <v>6.4297692999999994</v>
      </c>
      <c r="Y2307">
        <f t="shared" si="109"/>
        <v>5.4097692999999998</v>
      </c>
      <c r="Z2307">
        <f t="shared" si="110"/>
        <v>70.299769299999994</v>
      </c>
    </row>
    <row r="2308" spans="1:26" x14ac:dyDescent="0.3">
      <c r="A2308" t="s">
        <v>2398</v>
      </c>
      <c r="B2308" t="s">
        <v>67</v>
      </c>
      <c r="C2308" t="s">
        <v>56</v>
      </c>
      <c r="D2308" t="s">
        <v>57</v>
      </c>
      <c r="E2308">
        <v>23</v>
      </c>
      <c r="F2308" s="3">
        <v>7.15</v>
      </c>
      <c r="G2308" s="4">
        <v>71.3</v>
      </c>
      <c r="H2308">
        <v>1</v>
      </c>
      <c r="I2308">
        <v>2</v>
      </c>
      <c r="J2308">
        <v>6</v>
      </c>
      <c r="K2308" s="4">
        <v>72.400000000000006</v>
      </c>
      <c r="L2308" s="4">
        <v>59</v>
      </c>
      <c r="M2308" s="4">
        <v>59</v>
      </c>
      <c r="N2308">
        <v>0</v>
      </c>
      <c r="O2308" t="s">
        <v>58</v>
      </c>
      <c r="P2308" t="s">
        <v>92</v>
      </c>
      <c r="Q2308" t="s">
        <v>93</v>
      </c>
      <c r="R2308" t="s">
        <v>72</v>
      </c>
      <c r="S2308" s="3">
        <v>8.67</v>
      </c>
      <c r="T2308" s="5">
        <v>45169</v>
      </c>
      <c r="U2308">
        <v>1</v>
      </c>
      <c r="V2308">
        <v>2023</v>
      </c>
      <c r="X2308">
        <f t="shared" si="108"/>
        <v>7.1497692000000006</v>
      </c>
      <c r="Y2308">
        <f t="shared" si="109"/>
        <v>8.6697691999999993</v>
      </c>
      <c r="Z2308">
        <f t="shared" si="110"/>
        <v>58.999769200000003</v>
      </c>
    </row>
    <row r="2309" spans="1:26" x14ac:dyDescent="0.3">
      <c r="A2309" t="s">
        <v>2399</v>
      </c>
      <c r="B2309" t="s">
        <v>107</v>
      </c>
      <c r="C2309" t="s">
        <v>56</v>
      </c>
      <c r="D2309" t="s">
        <v>69</v>
      </c>
      <c r="E2309">
        <v>21</v>
      </c>
      <c r="F2309" s="3">
        <v>5.84</v>
      </c>
      <c r="G2309" s="4">
        <v>89.5</v>
      </c>
      <c r="H2309">
        <v>1</v>
      </c>
      <c r="I2309">
        <v>4</v>
      </c>
      <c r="J2309">
        <v>3</v>
      </c>
      <c r="K2309" s="4">
        <v>84.3</v>
      </c>
      <c r="L2309" s="4">
        <v>71.5</v>
      </c>
      <c r="M2309" s="4">
        <v>73</v>
      </c>
      <c r="N2309">
        <v>2</v>
      </c>
      <c r="O2309" t="s">
        <v>58</v>
      </c>
      <c r="P2309" t="s">
        <v>70</v>
      </c>
      <c r="Q2309" t="s">
        <v>71</v>
      </c>
      <c r="R2309" t="s">
        <v>130</v>
      </c>
      <c r="S2309" s="3">
        <v>6.56</v>
      </c>
      <c r="T2309" s="5">
        <v>44504</v>
      </c>
      <c r="U2309">
        <v>1</v>
      </c>
      <c r="V2309">
        <v>2021</v>
      </c>
      <c r="X2309">
        <f t="shared" si="108"/>
        <v>5.8397690999999998</v>
      </c>
      <c r="Y2309">
        <f t="shared" si="109"/>
        <v>6.5597690999999996</v>
      </c>
      <c r="Z2309">
        <f t="shared" si="110"/>
        <v>71.499769099999995</v>
      </c>
    </row>
    <row r="2310" spans="1:26" x14ac:dyDescent="0.3">
      <c r="A2310" t="s">
        <v>2400</v>
      </c>
      <c r="B2310" t="s">
        <v>55</v>
      </c>
      <c r="C2310" t="s">
        <v>89</v>
      </c>
      <c r="D2310" t="s">
        <v>57</v>
      </c>
      <c r="E2310">
        <v>21</v>
      </c>
      <c r="F2310" s="3">
        <v>8.76</v>
      </c>
      <c r="G2310" s="4">
        <v>77.900000000000006</v>
      </c>
      <c r="H2310">
        <v>1</v>
      </c>
      <c r="I2310">
        <v>3</v>
      </c>
      <c r="J2310">
        <v>4</v>
      </c>
      <c r="K2310" s="4">
        <v>43.8</v>
      </c>
      <c r="L2310" s="4">
        <v>47.9</v>
      </c>
      <c r="M2310" s="4">
        <v>74.5</v>
      </c>
      <c r="N2310">
        <v>0</v>
      </c>
      <c r="O2310" t="s">
        <v>58</v>
      </c>
      <c r="P2310" t="s">
        <v>87</v>
      </c>
      <c r="Q2310" t="s">
        <v>71</v>
      </c>
      <c r="R2310" t="s">
        <v>61</v>
      </c>
      <c r="S2310" s="3">
        <v>5.88</v>
      </c>
      <c r="T2310" s="5">
        <v>45527</v>
      </c>
      <c r="U2310">
        <v>1</v>
      </c>
      <c r="V2310">
        <v>2024</v>
      </c>
      <c r="X2310">
        <f t="shared" si="108"/>
        <v>8.7597690000000004</v>
      </c>
      <c r="Y2310">
        <f t="shared" si="109"/>
        <v>5.8797689999999996</v>
      </c>
      <c r="Z2310">
        <f t="shared" si="110"/>
        <v>47.899768999999999</v>
      </c>
    </row>
    <row r="2311" spans="1:26" x14ac:dyDescent="0.3">
      <c r="A2311" t="s">
        <v>2401</v>
      </c>
      <c r="B2311" t="s">
        <v>55</v>
      </c>
      <c r="C2311" t="s">
        <v>56</v>
      </c>
      <c r="D2311" t="s">
        <v>57</v>
      </c>
      <c r="E2311">
        <v>22</v>
      </c>
      <c r="F2311" s="3">
        <v>6.33</v>
      </c>
      <c r="G2311" s="4">
        <v>76.400000000000006</v>
      </c>
      <c r="H2311">
        <v>0</v>
      </c>
      <c r="I2311">
        <v>2</v>
      </c>
      <c r="J2311">
        <v>2</v>
      </c>
      <c r="K2311" s="4">
        <v>61.2</v>
      </c>
      <c r="L2311" s="4">
        <v>68.2</v>
      </c>
      <c r="M2311" s="4">
        <v>62.5</v>
      </c>
      <c r="N2311">
        <v>1</v>
      </c>
      <c r="O2311" t="s">
        <v>64</v>
      </c>
      <c r="P2311" t="s">
        <v>65</v>
      </c>
      <c r="S2311" s="3">
        <v>0</v>
      </c>
      <c r="T2311" s="5"/>
      <c r="U2311">
        <v>0</v>
      </c>
      <c r="V2311">
        <v>2024</v>
      </c>
      <c r="X2311">
        <f t="shared" si="108"/>
        <v>6.3297689000000004</v>
      </c>
      <c r="Y2311">
        <f t="shared" si="109"/>
        <v>-2.3109999999999998E-4</v>
      </c>
      <c r="Z2311">
        <f t="shared" si="110"/>
        <v>68.199768900000009</v>
      </c>
    </row>
    <row r="2312" spans="1:26" x14ac:dyDescent="0.3">
      <c r="A2312" t="s">
        <v>2402</v>
      </c>
      <c r="B2312" t="s">
        <v>107</v>
      </c>
      <c r="C2312" t="s">
        <v>74</v>
      </c>
      <c r="D2312" t="s">
        <v>57</v>
      </c>
      <c r="E2312">
        <v>23</v>
      </c>
      <c r="F2312" s="3">
        <v>5.9</v>
      </c>
      <c r="G2312" s="4">
        <v>77.400000000000006</v>
      </c>
      <c r="H2312">
        <v>0</v>
      </c>
      <c r="I2312">
        <v>0</v>
      </c>
      <c r="J2312">
        <v>5</v>
      </c>
      <c r="K2312" s="4">
        <v>51.8</v>
      </c>
      <c r="L2312" s="4">
        <v>95.5</v>
      </c>
      <c r="M2312" s="4">
        <v>63.1</v>
      </c>
      <c r="N2312">
        <v>0</v>
      </c>
      <c r="O2312" t="s">
        <v>64</v>
      </c>
      <c r="P2312" t="s">
        <v>65</v>
      </c>
      <c r="S2312" s="3">
        <v>0</v>
      </c>
      <c r="T2312" s="5"/>
      <c r="U2312">
        <v>0</v>
      </c>
      <c r="V2312">
        <v>2021</v>
      </c>
      <c r="X2312">
        <f t="shared" si="108"/>
        <v>5.8997688000000004</v>
      </c>
      <c r="Y2312">
        <f t="shared" si="109"/>
        <v>-2.3119999999999998E-4</v>
      </c>
      <c r="Z2312">
        <f t="shared" si="110"/>
        <v>95.499768799999998</v>
      </c>
    </row>
    <row r="2313" spans="1:26" x14ac:dyDescent="0.3">
      <c r="A2313" t="s">
        <v>2403</v>
      </c>
      <c r="B2313" t="s">
        <v>107</v>
      </c>
      <c r="C2313" t="s">
        <v>78</v>
      </c>
      <c r="D2313" t="s">
        <v>57</v>
      </c>
      <c r="E2313">
        <v>21</v>
      </c>
      <c r="F2313" s="3">
        <v>6.83</v>
      </c>
      <c r="G2313" s="4">
        <v>71.900000000000006</v>
      </c>
      <c r="H2313">
        <v>2</v>
      </c>
      <c r="I2313">
        <v>1</v>
      </c>
      <c r="J2313">
        <v>5</v>
      </c>
      <c r="K2313" s="4">
        <v>57.3</v>
      </c>
      <c r="L2313" s="4">
        <v>63.4</v>
      </c>
      <c r="M2313" s="4">
        <v>88.1</v>
      </c>
      <c r="N2313">
        <v>0</v>
      </c>
      <c r="O2313" t="s">
        <v>58</v>
      </c>
      <c r="P2313" t="s">
        <v>87</v>
      </c>
      <c r="Q2313" t="s">
        <v>71</v>
      </c>
      <c r="R2313" t="s">
        <v>85</v>
      </c>
      <c r="S2313" s="3">
        <v>6.32</v>
      </c>
      <c r="T2313" s="5">
        <v>44517</v>
      </c>
      <c r="U2313">
        <v>1</v>
      </c>
      <c r="V2313">
        <v>2021</v>
      </c>
      <c r="X2313">
        <f t="shared" si="108"/>
        <v>6.8297686999999998</v>
      </c>
      <c r="Y2313">
        <f t="shared" si="109"/>
        <v>6.3197687</v>
      </c>
      <c r="Z2313">
        <f t="shared" si="110"/>
        <v>63.399768699999996</v>
      </c>
    </row>
    <row r="2314" spans="1:26" x14ac:dyDescent="0.3">
      <c r="A2314" t="s">
        <v>2404</v>
      </c>
      <c r="B2314" t="s">
        <v>107</v>
      </c>
      <c r="C2314" t="s">
        <v>74</v>
      </c>
      <c r="D2314" t="s">
        <v>69</v>
      </c>
      <c r="E2314">
        <v>23</v>
      </c>
      <c r="F2314" s="3">
        <v>8.77</v>
      </c>
      <c r="G2314" s="4">
        <v>90.2</v>
      </c>
      <c r="H2314">
        <v>1</v>
      </c>
      <c r="I2314">
        <v>0</v>
      </c>
      <c r="J2314">
        <v>3</v>
      </c>
      <c r="K2314" s="4">
        <v>73.3</v>
      </c>
      <c r="L2314" s="4">
        <v>86.8</v>
      </c>
      <c r="M2314" s="4">
        <v>82.9</v>
      </c>
      <c r="N2314">
        <v>0</v>
      </c>
      <c r="O2314" t="s">
        <v>58</v>
      </c>
      <c r="P2314" t="s">
        <v>90</v>
      </c>
      <c r="Q2314" t="s">
        <v>60</v>
      </c>
      <c r="R2314" t="s">
        <v>61</v>
      </c>
      <c r="S2314" s="3">
        <v>9.7200000000000006</v>
      </c>
      <c r="T2314" s="5">
        <v>44467</v>
      </c>
      <c r="U2314">
        <v>1</v>
      </c>
      <c r="V2314">
        <v>2021</v>
      </c>
      <c r="X2314">
        <f t="shared" si="108"/>
        <v>8.769768599999999</v>
      </c>
      <c r="Y2314">
        <f t="shared" si="109"/>
        <v>9.7197686000000001</v>
      </c>
      <c r="Z2314">
        <f t="shared" si="110"/>
        <v>86.799768599999993</v>
      </c>
    </row>
    <row r="2315" spans="1:26" x14ac:dyDescent="0.3">
      <c r="A2315" t="s">
        <v>2405</v>
      </c>
      <c r="B2315" t="s">
        <v>82</v>
      </c>
      <c r="C2315" t="s">
        <v>56</v>
      </c>
      <c r="D2315" t="s">
        <v>57</v>
      </c>
      <c r="E2315">
        <v>21</v>
      </c>
      <c r="F2315" s="3">
        <v>7.25</v>
      </c>
      <c r="G2315" s="4">
        <v>83.2</v>
      </c>
      <c r="H2315">
        <v>2</v>
      </c>
      <c r="I2315">
        <v>1</v>
      </c>
      <c r="J2315">
        <v>4</v>
      </c>
      <c r="K2315" s="4">
        <v>49.9</v>
      </c>
      <c r="L2315" s="4">
        <v>80.099999999999994</v>
      </c>
      <c r="M2315" s="4">
        <v>96</v>
      </c>
      <c r="N2315">
        <v>0</v>
      </c>
      <c r="O2315" t="s">
        <v>58</v>
      </c>
      <c r="P2315" t="s">
        <v>95</v>
      </c>
      <c r="Q2315" t="s">
        <v>93</v>
      </c>
      <c r="R2315" t="s">
        <v>109</v>
      </c>
      <c r="S2315" s="3">
        <v>7.08</v>
      </c>
      <c r="T2315" s="5">
        <v>44831</v>
      </c>
      <c r="U2315">
        <v>2</v>
      </c>
      <c r="V2315">
        <v>2022</v>
      </c>
      <c r="X2315">
        <f t="shared" si="108"/>
        <v>7.2497685000000001</v>
      </c>
      <c r="Y2315">
        <f t="shared" si="109"/>
        <v>7.0797685000000001</v>
      </c>
      <c r="Z2315">
        <f t="shared" si="110"/>
        <v>80.099768499999996</v>
      </c>
    </row>
    <row r="2316" spans="1:26" x14ac:dyDescent="0.3">
      <c r="A2316" t="s">
        <v>2406</v>
      </c>
      <c r="B2316" t="s">
        <v>82</v>
      </c>
      <c r="C2316" t="s">
        <v>74</v>
      </c>
      <c r="D2316" t="s">
        <v>57</v>
      </c>
      <c r="E2316">
        <v>22</v>
      </c>
      <c r="F2316" s="3">
        <v>7.37</v>
      </c>
      <c r="G2316" s="4">
        <v>90</v>
      </c>
      <c r="H2316">
        <v>0</v>
      </c>
      <c r="I2316">
        <v>0</v>
      </c>
      <c r="J2316">
        <v>5</v>
      </c>
      <c r="K2316" s="4">
        <v>92.3</v>
      </c>
      <c r="L2316" s="4">
        <v>91.6</v>
      </c>
      <c r="M2316" s="4">
        <v>54.6</v>
      </c>
      <c r="N2316">
        <v>0</v>
      </c>
      <c r="O2316" t="s">
        <v>64</v>
      </c>
      <c r="P2316" t="s">
        <v>65</v>
      </c>
      <c r="S2316" s="3">
        <v>0</v>
      </c>
      <c r="T2316" s="5"/>
      <c r="U2316">
        <v>0</v>
      </c>
      <c r="V2316">
        <v>2022</v>
      </c>
      <c r="X2316">
        <f t="shared" si="108"/>
        <v>7.3697683999999999</v>
      </c>
      <c r="Y2316">
        <f t="shared" si="109"/>
        <v>-2.3159999999999999E-4</v>
      </c>
      <c r="Z2316">
        <f t="shared" si="110"/>
        <v>91.599768399999988</v>
      </c>
    </row>
    <row r="2317" spans="1:26" x14ac:dyDescent="0.3">
      <c r="A2317" t="s">
        <v>2407</v>
      </c>
      <c r="B2317" t="s">
        <v>82</v>
      </c>
      <c r="C2317" t="s">
        <v>68</v>
      </c>
      <c r="D2317" t="s">
        <v>69</v>
      </c>
      <c r="E2317">
        <v>23</v>
      </c>
      <c r="F2317" s="3">
        <v>8.08</v>
      </c>
      <c r="G2317" s="4">
        <v>92.6</v>
      </c>
      <c r="H2317">
        <v>2</v>
      </c>
      <c r="I2317">
        <v>1</v>
      </c>
      <c r="J2317">
        <v>5</v>
      </c>
      <c r="K2317" s="4">
        <v>69</v>
      </c>
      <c r="L2317" s="4">
        <v>23.1</v>
      </c>
      <c r="M2317" s="4">
        <v>94.5</v>
      </c>
      <c r="N2317">
        <v>0</v>
      </c>
      <c r="O2317" t="s">
        <v>58</v>
      </c>
      <c r="P2317" t="s">
        <v>75</v>
      </c>
      <c r="Q2317" t="s">
        <v>71</v>
      </c>
      <c r="R2317" t="s">
        <v>80</v>
      </c>
      <c r="S2317" s="3">
        <v>3.72</v>
      </c>
      <c r="T2317" s="5">
        <v>44812</v>
      </c>
      <c r="U2317">
        <v>1</v>
      </c>
      <c r="V2317">
        <v>2022</v>
      </c>
      <c r="X2317">
        <f t="shared" si="108"/>
        <v>8.0797682999999996</v>
      </c>
      <c r="Y2317">
        <f t="shared" si="109"/>
        <v>3.7197683000000001</v>
      </c>
      <c r="Z2317">
        <f t="shared" si="110"/>
        <v>23.099768300000001</v>
      </c>
    </row>
    <row r="2318" spans="1:26" x14ac:dyDescent="0.3">
      <c r="A2318" t="s">
        <v>2408</v>
      </c>
      <c r="B2318" t="s">
        <v>63</v>
      </c>
      <c r="C2318" t="s">
        <v>68</v>
      </c>
      <c r="D2318" t="s">
        <v>57</v>
      </c>
      <c r="E2318">
        <v>21</v>
      </c>
      <c r="F2318" s="3">
        <v>7.51</v>
      </c>
      <c r="G2318" s="4">
        <v>86.9</v>
      </c>
      <c r="H2318">
        <v>3</v>
      </c>
      <c r="I2318">
        <v>2</v>
      </c>
      <c r="J2318">
        <v>2</v>
      </c>
      <c r="K2318" s="4">
        <v>62.6</v>
      </c>
      <c r="L2318" s="4">
        <v>72.7</v>
      </c>
      <c r="M2318" s="4">
        <v>64.599999999999994</v>
      </c>
      <c r="N2318">
        <v>0</v>
      </c>
      <c r="O2318" t="s">
        <v>58</v>
      </c>
      <c r="P2318" t="s">
        <v>87</v>
      </c>
      <c r="Q2318" t="s">
        <v>71</v>
      </c>
      <c r="R2318" t="s">
        <v>76</v>
      </c>
      <c r="S2318" s="3">
        <v>8.15</v>
      </c>
      <c r="T2318" s="5">
        <v>45941</v>
      </c>
      <c r="U2318">
        <v>1</v>
      </c>
      <c r="V2318">
        <v>2025</v>
      </c>
      <c r="X2318">
        <f t="shared" si="108"/>
        <v>7.5097681999999999</v>
      </c>
      <c r="Y2318">
        <f t="shared" si="109"/>
        <v>8.1497682000000005</v>
      </c>
      <c r="Z2318">
        <f t="shared" si="110"/>
        <v>72.699768200000008</v>
      </c>
    </row>
    <row r="2319" spans="1:26" x14ac:dyDescent="0.3">
      <c r="A2319" t="s">
        <v>2409</v>
      </c>
      <c r="B2319" t="s">
        <v>55</v>
      </c>
      <c r="C2319" t="s">
        <v>101</v>
      </c>
      <c r="D2319" t="s">
        <v>57</v>
      </c>
      <c r="E2319">
        <v>21</v>
      </c>
      <c r="F2319" s="3">
        <v>8.76</v>
      </c>
      <c r="G2319" s="4">
        <v>68.900000000000006</v>
      </c>
      <c r="H2319">
        <v>0</v>
      </c>
      <c r="I2319">
        <v>2</v>
      </c>
      <c r="J2319">
        <v>5</v>
      </c>
      <c r="K2319" s="4">
        <v>41.5</v>
      </c>
      <c r="L2319" s="4">
        <v>78.8</v>
      </c>
      <c r="M2319" s="4">
        <v>58.2</v>
      </c>
      <c r="N2319">
        <v>0</v>
      </c>
      <c r="O2319" t="s">
        <v>58</v>
      </c>
      <c r="P2319" t="s">
        <v>92</v>
      </c>
      <c r="Q2319" t="s">
        <v>93</v>
      </c>
      <c r="R2319" t="s">
        <v>85</v>
      </c>
      <c r="S2319" s="3">
        <v>10.68</v>
      </c>
      <c r="T2319" s="5">
        <v>45586</v>
      </c>
      <c r="U2319">
        <v>2</v>
      </c>
      <c r="V2319">
        <v>2024</v>
      </c>
      <c r="X2319">
        <f t="shared" si="108"/>
        <v>8.7597681000000005</v>
      </c>
      <c r="Y2319">
        <f t="shared" si="109"/>
        <v>10.6797681</v>
      </c>
      <c r="Z2319">
        <f t="shared" si="110"/>
        <v>78.799768099999994</v>
      </c>
    </row>
    <row r="2320" spans="1:26" x14ac:dyDescent="0.3">
      <c r="A2320" t="s">
        <v>2410</v>
      </c>
      <c r="B2320" t="s">
        <v>55</v>
      </c>
      <c r="C2320" t="s">
        <v>78</v>
      </c>
      <c r="D2320" t="s">
        <v>57</v>
      </c>
      <c r="E2320">
        <v>21</v>
      </c>
      <c r="F2320" s="3">
        <v>7.43</v>
      </c>
      <c r="G2320" s="4">
        <v>73.3</v>
      </c>
      <c r="H2320">
        <v>3</v>
      </c>
      <c r="I2320">
        <v>1</v>
      </c>
      <c r="J2320">
        <v>3</v>
      </c>
      <c r="K2320" s="4">
        <v>70</v>
      </c>
      <c r="L2320" s="4">
        <v>82</v>
      </c>
      <c r="M2320" s="4">
        <v>77</v>
      </c>
      <c r="N2320">
        <v>0</v>
      </c>
      <c r="O2320" t="s">
        <v>64</v>
      </c>
      <c r="P2320" t="s">
        <v>65</v>
      </c>
      <c r="S2320" s="3">
        <v>0</v>
      </c>
      <c r="T2320" s="5"/>
      <c r="U2320">
        <v>0</v>
      </c>
      <c r="V2320">
        <v>2024</v>
      </c>
      <c r="X2320">
        <f t="shared" si="108"/>
        <v>7.4297680000000001</v>
      </c>
      <c r="Y2320">
        <f t="shared" si="109"/>
        <v>-2.32E-4</v>
      </c>
      <c r="Z2320">
        <f t="shared" si="110"/>
        <v>81.999768000000003</v>
      </c>
    </row>
    <row r="2321" spans="1:26" x14ac:dyDescent="0.3">
      <c r="A2321" t="s">
        <v>2411</v>
      </c>
      <c r="B2321" t="s">
        <v>67</v>
      </c>
      <c r="C2321" t="s">
        <v>68</v>
      </c>
      <c r="D2321" t="s">
        <v>57</v>
      </c>
      <c r="E2321">
        <v>21</v>
      </c>
      <c r="F2321" s="3">
        <v>7.45</v>
      </c>
      <c r="G2321" s="4">
        <v>89.7</v>
      </c>
      <c r="H2321">
        <v>1</v>
      </c>
      <c r="I2321">
        <v>3</v>
      </c>
      <c r="J2321">
        <v>4</v>
      </c>
      <c r="K2321" s="4">
        <v>68.8</v>
      </c>
      <c r="L2321" s="4">
        <v>88</v>
      </c>
      <c r="M2321" s="4">
        <v>51.7</v>
      </c>
      <c r="N2321">
        <v>0</v>
      </c>
      <c r="O2321" t="s">
        <v>58</v>
      </c>
      <c r="P2321" t="s">
        <v>90</v>
      </c>
      <c r="Q2321" t="s">
        <v>60</v>
      </c>
      <c r="R2321" t="s">
        <v>72</v>
      </c>
      <c r="S2321" s="3">
        <v>8.26</v>
      </c>
      <c r="T2321" s="5">
        <v>45147</v>
      </c>
      <c r="U2321">
        <v>1</v>
      </c>
      <c r="V2321">
        <v>2023</v>
      </c>
      <c r="X2321">
        <f t="shared" si="108"/>
        <v>7.4497679000000003</v>
      </c>
      <c r="Y2321">
        <f t="shared" si="109"/>
        <v>8.2597678999999999</v>
      </c>
      <c r="Z2321">
        <f t="shared" si="110"/>
        <v>87.999767899999995</v>
      </c>
    </row>
    <row r="2322" spans="1:26" x14ac:dyDescent="0.3">
      <c r="A2322" t="s">
        <v>2412</v>
      </c>
      <c r="B2322" t="s">
        <v>82</v>
      </c>
      <c r="C2322" t="s">
        <v>101</v>
      </c>
      <c r="D2322" t="s">
        <v>57</v>
      </c>
      <c r="E2322">
        <v>22</v>
      </c>
      <c r="F2322" s="3">
        <v>9.69</v>
      </c>
      <c r="G2322" s="4">
        <v>82.5</v>
      </c>
      <c r="H2322">
        <v>2</v>
      </c>
      <c r="I2322">
        <v>2</v>
      </c>
      <c r="J2322">
        <v>3</v>
      </c>
      <c r="K2322" s="4">
        <v>49.5</v>
      </c>
      <c r="L2322" s="4">
        <v>80.400000000000006</v>
      </c>
      <c r="M2322" s="4">
        <v>87</v>
      </c>
      <c r="N2322">
        <v>1</v>
      </c>
      <c r="O2322" t="s">
        <v>58</v>
      </c>
      <c r="P2322" t="s">
        <v>79</v>
      </c>
      <c r="Q2322" t="s">
        <v>71</v>
      </c>
      <c r="R2322" t="s">
        <v>109</v>
      </c>
      <c r="S2322" s="3">
        <v>7.03</v>
      </c>
      <c r="T2322" s="5">
        <v>44837</v>
      </c>
      <c r="U2322">
        <v>3</v>
      </c>
      <c r="V2322">
        <v>2022</v>
      </c>
      <c r="X2322">
        <f t="shared" si="108"/>
        <v>9.6897678000000003</v>
      </c>
      <c r="Y2322">
        <f t="shared" si="109"/>
        <v>7.0297678000000001</v>
      </c>
      <c r="Z2322">
        <f t="shared" si="110"/>
        <v>80.399767800000006</v>
      </c>
    </row>
    <row r="2323" spans="1:26" x14ac:dyDescent="0.3">
      <c r="A2323" t="s">
        <v>2413</v>
      </c>
      <c r="B2323" t="s">
        <v>63</v>
      </c>
      <c r="C2323" t="s">
        <v>56</v>
      </c>
      <c r="D2323" t="s">
        <v>57</v>
      </c>
      <c r="E2323">
        <v>23</v>
      </c>
      <c r="F2323" s="3">
        <v>7.7</v>
      </c>
      <c r="G2323" s="4">
        <v>87.9</v>
      </c>
      <c r="H2323">
        <v>1</v>
      </c>
      <c r="I2323">
        <v>3</v>
      </c>
      <c r="J2323">
        <v>2</v>
      </c>
      <c r="K2323" s="4">
        <v>54.1</v>
      </c>
      <c r="L2323" s="4">
        <v>73.5</v>
      </c>
      <c r="M2323" s="4">
        <v>76.099999999999994</v>
      </c>
      <c r="N2323">
        <v>1</v>
      </c>
      <c r="O2323" t="s">
        <v>58</v>
      </c>
      <c r="P2323" t="s">
        <v>95</v>
      </c>
      <c r="Q2323" t="s">
        <v>93</v>
      </c>
      <c r="R2323" t="s">
        <v>72</v>
      </c>
      <c r="S2323" s="3">
        <v>6.29</v>
      </c>
      <c r="T2323" s="5">
        <v>45961</v>
      </c>
      <c r="U2323">
        <v>1</v>
      </c>
      <c r="V2323">
        <v>2025</v>
      </c>
      <c r="X2323">
        <f t="shared" si="108"/>
        <v>7.6997676999999998</v>
      </c>
      <c r="Y2323">
        <f t="shared" si="109"/>
        <v>6.2897676999999996</v>
      </c>
      <c r="Z2323">
        <f t="shared" si="110"/>
        <v>73.499767700000007</v>
      </c>
    </row>
    <row r="2324" spans="1:26" x14ac:dyDescent="0.3">
      <c r="A2324" t="s">
        <v>2414</v>
      </c>
      <c r="B2324" t="s">
        <v>63</v>
      </c>
      <c r="C2324" t="s">
        <v>74</v>
      </c>
      <c r="D2324" t="s">
        <v>69</v>
      </c>
      <c r="E2324">
        <v>23</v>
      </c>
      <c r="F2324" s="3">
        <v>7.86</v>
      </c>
      <c r="G2324" s="4">
        <v>81.2</v>
      </c>
      <c r="H2324">
        <v>1</v>
      </c>
      <c r="I2324">
        <v>3</v>
      </c>
      <c r="J2324">
        <v>3</v>
      </c>
      <c r="K2324" s="4">
        <v>92.1</v>
      </c>
      <c r="L2324" s="4">
        <v>55.6</v>
      </c>
      <c r="M2324" s="4">
        <v>65.599999999999994</v>
      </c>
      <c r="N2324">
        <v>1</v>
      </c>
      <c r="O2324" t="s">
        <v>58</v>
      </c>
      <c r="P2324" t="s">
        <v>75</v>
      </c>
      <c r="Q2324" t="s">
        <v>71</v>
      </c>
      <c r="R2324" t="s">
        <v>72</v>
      </c>
      <c r="S2324" s="3">
        <v>5.77</v>
      </c>
      <c r="T2324" s="5">
        <v>45891</v>
      </c>
      <c r="U2324">
        <v>2</v>
      </c>
      <c r="V2324">
        <v>2025</v>
      </c>
      <c r="X2324">
        <f t="shared" si="108"/>
        <v>7.8597676000000005</v>
      </c>
      <c r="Y2324">
        <f t="shared" si="109"/>
        <v>5.7697675999999998</v>
      </c>
      <c r="Z2324">
        <f t="shared" si="110"/>
        <v>55.5997676</v>
      </c>
    </row>
    <row r="2325" spans="1:26" x14ac:dyDescent="0.3">
      <c r="A2325" t="s">
        <v>2415</v>
      </c>
      <c r="B2325" t="s">
        <v>55</v>
      </c>
      <c r="C2325" t="s">
        <v>101</v>
      </c>
      <c r="D2325" t="s">
        <v>57</v>
      </c>
      <c r="E2325">
        <v>20</v>
      </c>
      <c r="F2325" s="3">
        <v>7.46</v>
      </c>
      <c r="G2325" s="4">
        <v>78.099999999999994</v>
      </c>
      <c r="H2325">
        <v>1</v>
      </c>
      <c r="I2325">
        <v>3</v>
      </c>
      <c r="J2325">
        <v>3</v>
      </c>
      <c r="K2325" s="4">
        <v>62.5</v>
      </c>
      <c r="L2325" s="4">
        <v>41.5</v>
      </c>
      <c r="M2325" s="4">
        <v>86</v>
      </c>
      <c r="N2325">
        <v>0</v>
      </c>
      <c r="O2325" t="s">
        <v>64</v>
      </c>
      <c r="P2325" t="s">
        <v>65</v>
      </c>
      <c r="S2325" s="3">
        <v>0</v>
      </c>
      <c r="T2325" s="5"/>
      <c r="U2325">
        <v>0</v>
      </c>
      <c r="V2325">
        <v>2024</v>
      </c>
      <c r="X2325">
        <f t="shared" si="108"/>
        <v>7.4597674999999999</v>
      </c>
      <c r="Y2325">
        <f t="shared" si="109"/>
        <v>-2.3249999999999999E-4</v>
      </c>
      <c r="Z2325">
        <f t="shared" si="110"/>
        <v>41.499767499999997</v>
      </c>
    </row>
    <row r="2326" spans="1:26" x14ac:dyDescent="0.3">
      <c r="A2326" t="s">
        <v>2416</v>
      </c>
      <c r="B2326" t="s">
        <v>82</v>
      </c>
      <c r="C2326" t="s">
        <v>74</v>
      </c>
      <c r="D2326" t="s">
        <v>69</v>
      </c>
      <c r="E2326">
        <v>23</v>
      </c>
      <c r="F2326" s="3">
        <v>5.46</v>
      </c>
      <c r="G2326" s="4">
        <v>87.9</v>
      </c>
      <c r="H2326">
        <v>1</v>
      </c>
      <c r="I2326">
        <v>4</v>
      </c>
      <c r="J2326">
        <v>5</v>
      </c>
      <c r="K2326" s="4">
        <v>68.599999999999994</v>
      </c>
      <c r="L2326" s="4">
        <v>90.1</v>
      </c>
      <c r="M2326" s="4">
        <v>72.400000000000006</v>
      </c>
      <c r="N2326">
        <v>0</v>
      </c>
      <c r="O2326" t="s">
        <v>64</v>
      </c>
      <c r="P2326" t="s">
        <v>65</v>
      </c>
      <c r="S2326" s="3">
        <v>0</v>
      </c>
      <c r="T2326" s="5"/>
      <c r="U2326">
        <v>0</v>
      </c>
      <c r="V2326">
        <v>2022</v>
      </c>
      <c r="X2326">
        <f t="shared" si="108"/>
        <v>5.4597673999999996</v>
      </c>
      <c r="Y2326">
        <f t="shared" si="109"/>
        <v>-2.3259999999999999E-4</v>
      </c>
      <c r="Z2326">
        <f t="shared" si="110"/>
        <v>90.09976739999999</v>
      </c>
    </row>
    <row r="2327" spans="1:26" x14ac:dyDescent="0.3">
      <c r="A2327" t="s">
        <v>2417</v>
      </c>
      <c r="B2327" t="s">
        <v>67</v>
      </c>
      <c r="C2327" t="s">
        <v>84</v>
      </c>
      <c r="D2327" t="s">
        <v>69</v>
      </c>
      <c r="E2327">
        <v>20</v>
      </c>
      <c r="F2327" s="3">
        <v>8.44</v>
      </c>
      <c r="G2327" s="4">
        <v>66.5</v>
      </c>
      <c r="H2327">
        <v>2</v>
      </c>
      <c r="I2327">
        <v>1</v>
      </c>
      <c r="J2327">
        <v>2</v>
      </c>
      <c r="K2327" s="4">
        <v>75.7</v>
      </c>
      <c r="L2327" s="4">
        <v>60.9</v>
      </c>
      <c r="M2327" s="4">
        <v>74.400000000000006</v>
      </c>
      <c r="N2327">
        <v>0</v>
      </c>
      <c r="O2327" t="s">
        <v>58</v>
      </c>
      <c r="P2327" t="s">
        <v>104</v>
      </c>
      <c r="Q2327" t="s">
        <v>105</v>
      </c>
      <c r="R2327" t="s">
        <v>109</v>
      </c>
      <c r="S2327" s="3">
        <v>15.19</v>
      </c>
      <c r="T2327" s="5">
        <v>45160</v>
      </c>
      <c r="U2327">
        <v>1</v>
      </c>
      <c r="V2327">
        <v>2023</v>
      </c>
      <c r="X2327">
        <f t="shared" si="108"/>
        <v>8.4397672999999998</v>
      </c>
      <c r="Y2327">
        <f t="shared" si="109"/>
        <v>15.1897673</v>
      </c>
      <c r="Z2327">
        <f t="shared" si="110"/>
        <v>60.899767300000001</v>
      </c>
    </row>
    <row r="2328" spans="1:26" x14ac:dyDescent="0.3">
      <c r="A2328" t="s">
        <v>2418</v>
      </c>
      <c r="B2328" t="s">
        <v>82</v>
      </c>
      <c r="C2328" t="s">
        <v>68</v>
      </c>
      <c r="D2328" t="s">
        <v>57</v>
      </c>
      <c r="E2328">
        <v>21</v>
      </c>
      <c r="F2328" s="3">
        <v>9.14</v>
      </c>
      <c r="G2328" s="4">
        <v>79.099999999999994</v>
      </c>
      <c r="H2328">
        <v>1</v>
      </c>
      <c r="I2328">
        <v>1</v>
      </c>
      <c r="J2328">
        <v>5</v>
      </c>
      <c r="K2328" s="4">
        <v>65.8</v>
      </c>
      <c r="L2328" s="4">
        <v>64.7</v>
      </c>
      <c r="M2328" s="4">
        <v>81.5</v>
      </c>
      <c r="N2328">
        <v>0</v>
      </c>
      <c r="O2328" t="s">
        <v>58</v>
      </c>
      <c r="P2328" t="s">
        <v>59</v>
      </c>
      <c r="Q2328" t="s">
        <v>60</v>
      </c>
      <c r="R2328" t="s">
        <v>76</v>
      </c>
      <c r="S2328" s="3">
        <v>20.62</v>
      </c>
      <c r="T2328" s="5">
        <v>44886</v>
      </c>
      <c r="U2328">
        <v>1</v>
      </c>
      <c r="V2328">
        <v>2022</v>
      </c>
      <c r="X2328">
        <f t="shared" si="108"/>
        <v>9.1397672000000014</v>
      </c>
      <c r="Y2328">
        <f t="shared" si="109"/>
        <v>20.619767200000002</v>
      </c>
      <c r="Z2328">
        <f t="shared" si="110"/>
        <v>64.699767199999997</v>
      </c>
    </row>
    <row r="2329" spans="1:26" x14ac:dyDescent="0.3">
      <c r="A2329" t="s">
        <v>2419</v>
      </c>
      <c r="B2329" t="s">
        <v>107</v>
      </c>
      <c r="C2329" t="s">
        <v>101</v>
      </c>
      <c r="D2329" t="s">
        <v>57</v>
      </c>
      <c r="E2329">
        <v>22</v>
      </c>
      <c r="F2329" s="3">
        <v>8.7799999999999994</v>
      </c>
      <c r="G2329" s="4">
        <v>82.6</v>
      </c>
      <c r="H2329">
        <v>1</v>
      </c>
      <c r="I2329">
        <v>0</v>
      </c>
      <c r="J2329">
        <v>6</v>
      </c>
      <c r="K2329" s="4">
        <v>86.9</v>
      </c>
      <c r="L2329" s="4">
        <v>83.6</v>
      </c>
      <c r="M2329" s="4">
        <v>66.400000000000006</v>
      </c>
      <c r="N2329">
        <v>0</v>
      </c>
      <c r="O2329" t="s">
        <v>58</v>
      </c>
      <c r="P2329" t="s">
        <v>112</v>
      </c>
      <c r="Q2329" t="s">
        <v>93</v>
      </c>
      <c r="R2329" t="s">
        <v>76</v>
      </c>
      <c r="S2329" s="3">
        <v>8.27</v>
      </c>
      <c r="T2329" s="5">
        <v>44422</v>
      </c>
      <c r="U2329">
        <v>1</v>
      </c>
      <c r="V2329">
        <v>2021</v>
      </c>
      <c r="X2329">
        <f t="shared" si="108"/>
        <v>8.779767099999999</v>
      </c>
      <c r="Y2329">
        <f t="shared" si="109"/>
        <v>8.2697670999999993</v>
      </c>
      <c r="Z2329">
        <f t="shared" si="110"/>
        <v>83.599767099999994</v>
      </c>
    </row>
    <row r="2330" spans="1:26" x14ac:dyDescent="0.3">
      <c r="A2330" t="s">
        <v>2420</v>
      </c>
      <c r="B2330" t="s">
        <v>82</v>
      </c>
      <c r="C2330" t="s">
        <v>74</v>
      </c>
      <c r="D2330" t="s">
        <v>57</v>
      </c>
      <c r="E2330">
        <v>22</v>
      </c>
      <c r="F2330" s="3">
        <v>7.15</v>
      </c>
      <c r="G2330" s="4">
        <v>83.9</v>
      </c>
      <c r="H2330">
        <v>3</v>
      </c>
      <c r="I2330">
        <v>2</v>
      </c>
      <c r="J2330">
        <v>5</v>
      </c>
      <c r="K2330" s="4">
        <v>57.8</v>
      </c>
      <c r="L2330" s="4">
        <v>69.7</v>
      </c>
      <c r="M2330" s="4">
        <v>61.3</v>
      </c>
      <c r="N2330">
        <v>0</v>
      </c>
      <c r="O2330" t="s">
        <v>58</v>
      </c>
      <c r="P2330" t="s">
        <v>112</v>
      </c>
      <c r="Q2330" t="s">
        <v>93</v>
      </c>
      <c r="R2330" t="s">
        <v>85</v>
      </c>
      <c r="S2330" s="3">
        <v>7.02</v>
      </c>
      <c r="T2330" s="5">
        <v>44860</v>
      </c>
      <c r="U2330">
        <v>2</v>
      </c>
      <c r="V2330">
        <v>2022</v>
      </c>
      <c r="X2330">
        <f t="shared" si="108"/>
        <v>7.1497670000000006</v>
      </c>
      <c r="Y2330">
        <f t="shared" si="109"/>
        <v>7.0197669999999999</v>
      </c>
      <c r="Z2330">
        <f t="shared" si="110"/>
        <v>69.699767000000008</v>
      </c>
    </row>
    <row r="2331" spans="1:26" x14ac:dyDescent="0.3">
      <c r="A2331" t="s">
        <v>2421</v>
      </c>
      <c r="B2331" t="s">
        <v>107</v>
      </c>
      <c r="C2331" t="s">
        <v>68</v>
      </c>
      <c r="D2331" t="s">
        <v>69</v>
      </c>
      <c r="E2331">
        <v>21</v>
      </c>
      <c r="F2331" s="3">
        <v>7.49</v>
      </c>
      <c r="G2331" s="4">
        <v>70.3</v>
      </c>
      <c r="H2331">
        <v>3</v>
      </c>
      <c r="I2331">
        <v>1</v>
      </c>
      <c r="J2331">
        <v>3</v>
      </c>
      <c r="K2331" s="4">
        <v>62</v>
      </c>
      <c r="L2331" s="4">
        <v>52.6</v>
      </c>
      <c r="M2331" s="4">
        <v>72.400000000000006</v>
      </c>
      <c r="N2331">
        <v>0</v>
      </c>
      <c r="O2331" t="s">
        <v>58</v>
      </c>
      <c r="P2331" t="s">
        <v>112</v>
      </c>
      <c r="Q2331" t="s">
        <v>93</v>
      </c>
      <c r="R2331" t="s">
        <v>109</v>
      </c>
      <c r="S2331" s="3">
        <v>6.73</v>
      </c>
      <c r="T2331" s="5">
        <v>44474</v>
      </c>
      <c r="U2331">
        <v>1</v>
      </c>
      <c r="V2331">
        <v>2021</v>
      </c>
      <c r="X2331">
        <f t="shared" si="108"/>
        <v>7.4897669000000002</v>
      </c>
      <c r="Y2331">
        <f t="shared" si="109"/>
        <v>6.7297669000000004</v>
      </c>
      <c r="Z2331">
        <f t="shared" si="110"/>
        <v>52.599766899999999</v>
      </c>
    </row>
    <row r="2332" spans="1:26" x14ac:dyDescent="0.3">
      <c r="A2332" t="s">
        <v>2422</v>
      </c>
      <c r="B2332" t="s">
        <v>107</v>
      </c>
      <c r="C2332" t="s">
        <v>74</v>
      </c>
      <c r="D2332" t="s">
        <v>69</v>
      </c>
      <c r="E2332">
        <v>20</v>
      </c>
      <c r="F2332" s="3">
        <v>7.96</v>
      </c>
      <c r="G2332" s="4">
        <v>70.7</v>
      </c>
      <c r="H2332">
        <v>3</v>
      </c>
      <c r="I2332">
        <v>2</v>
      </c>
      <c r="J2332">
        <v>4</v>
      </c>
      <c r="K2332" s="4">
        <v>62.2</v>
      </c>
      <c r="L2332" s="4">
        <v>44.4</v>
      </c>
      <c r="M2332" s="4">
        <v>57.8</v>
      </c>
      <c r="N2332">
        <v>1</v>
      </c>
      <c r="O2332" t="s">
        <v>58</v>
      </c>
      <c r="P2332" t="s">
        <v>104</v>
      </c>
      <c r="Q2332" t="s">
        <v>105</v>
      </c>
      <c r="R2332" t="s">
        <v>109</v>
      </c>
      <c r="S2332" s="3">
        <v>16.05</v>
      </c>
      <c r="T2332" s="5">
        <v>44487</v>
      </c>
      <c r="U2332">
        <v>1</v>
      </c>
      <c r="V2332">
        <v>2021</v>
      </c>
      <c r="X2332">
        <f t="shared" si="108"/>
        <v>7.9597667999999997</v>
      </c>
      <c r="Y2332">
        <f t="shared" si="109"/>
        <v>16.0497668</v>
      </c>
      <c r="Z2332">
        <f t="shared" si="110"/>
        <v>44.399766800000002</v>
      </c>
    </row>
    <row r="2333" spans="1:26" x14ac:dyDescent="0.3">
      <c r="A2333" t="s">
        <v>2423</v>
      </c>
      <c r="B2333" t="s">
        <v>67</v>
      </c>
      <c r="C2333" t="s">
        <v>78</v>
      </c>
      <c r="D2333" t="s">
        <v>69</v>
      </c>
      <c r="E2333">
        <v>21</v>
      </c>
      <c r="F2333" s="3">
        <v>7.93</v>
      </c>
      <c r="G2333" s="4">
        <v>78.5</v>
      </c>
      <c r="H2333">
        <v>2</v>
      </c>
      <c r="I2333">
        <v>1</v>
      </c>
      <c r="J2333">
        <v>1</v>
      </c>
      <c r="K2333" s="4">
        <v>56.9</v>
      </c>
      <c r="L2333" s="4">
        <v>64.599999999999994</v>
      </c>
      <c r="M2333" s="4">
        <v>68.8</v>
      </c>
      <c r="N2333">
        <v>0</v>
      </c>
      <c r="O2333" t="s">
        <v>58</v>
      </c>
      <c r="P2333" t="s">
        <v>104</v>
      </c>
      <c r="Q2333" t="s">
        <v>105</v>
      </c>
      <c r="R2333" t="s">
        <v>85</v>
      </c>
      <c r="S2333" s="3">
        <v>17.89</v>
      </c>
      <c r="T2333" s="5">
        <v>45188</v>
      </c>
      <c r="U2333">
        <v>2</v>
      </c>
      <c r="V2333">
        <v>2023</v>
      </c>
      <c r="X2333">
        <f t="shared" si="108"/>
        <v>7.9297667000000001</v>
      </c>
      <c r="Y2333">
        <f t="shared" si="109"/>
        <v>17.889766699999999</v>
      </c>
      <c r="Z2333">
        <f t="shared" si="110"/>
        <v>64.599766699999989</v>
      </c>
    </row>
    <row r="2334" spans="1:26" x14ac:dyDescent="0.3">
      <c r="A2334" t="s">
        <v>2424</v>
      </c>
      <c r="B2334" t="s">
        <v>55</v>
      </c>
      <c r="C2334" t="s">
        <v>68</v>
      </c>
      <c r="D2334" t="s">
        <v>57</v>
      </c>
      <c r="E2334">
        <v>22</v>
      </c>
      <c r="F2334" s="3">
        <v>8.26</v>
      </c>
      <c r="G2334" s="4">
        <v>81.400000000000006</v>
      </c>
      <c r="H2334">
        <v>1</v>
      </c>
      <c r="I2334">
        <v>2</v>
      </c>
      <c r="J2334">
        <v>3</v>
      </c>
      <c r="K2334" s="4">
        <v>55.7</v>
      </c>
      <c r="L2334" s="4">
        <v>71.400000000000006</v>
      </c>
      <c r="M2334" s="4">
        <v>62</v>
      </c>
      <c r="N2334">
        <v>0</v>
      </c>
      <c r="O2334" t="s">
        <v>58</v>
      </c>
      <c r="P2334" t="s">
        <v>92</v>
      </c>
      <c r="Q2334" t="s">
        <v>93</v>
      </c>
      <c r="R2334" t="s">
        <v>109</v>
      </c>
      <c r="S2334" s="3">
        <v>9.1300000000000008</v>
      </c>
      <c r="T2334" s="5">
        <v>45509</v>
      </c>
      <c r="U2334">
        <v>1</v>
      </c>
      <c r="V2334">
        <v>2024</v>
      </c>
      <c r="X2334">
        <f t="shared" si="108"/>
        <v>8.259766599999999</v>
      </c>
      <c r="Y2334">
        <f t="shared" si="109"/>
        <v>9.1297666</v>
      </c>
      <c r="Z2334">
        <f t="shared" si="110"/>
        <v>71.399766600000007</v>
      </c>
    </row>
    <row r="2335" spans="1:26" x14ac:dyDescent="0.3">
      <c r="A2335" t="s">
        <v>2425</v>
      </c>
      <c r="B2335" t="s">
        <v>82</v>
      </c>
      <c r="C2335" t="s">
        <v>84</v>
      </c>
      <c r="D2335" t="s">
        <v>69</v>
      </c>
      <c r="E2335">
        <v>22</v>
      </c>
      <c r="F2335" s="3">
        <v>7.83</v>
      </c>
      <c r="G2335" s="4">
        <v>96</v>
      </c>
      <c r="H2335">
        <v>1</v>
      </c>
      <c r="I2335">
        <v>2</v>
      </c>
      <c r="J2335">
        <v>5</v>
      </c>
      <c r="K2335" s="4">
        <v>68.400000000000006</v>
      </c>
      <c r="L2335" s="4">
        <v>81.900000000000006</v>
      </c>
      <c r="M2335" s="4">
        <v>70.3</v>
      </c>
      <c r="N2335">
        <v>0</v>
      </c>
      <c r="O2335" t="s">
        <v>58</v>
      </c>
      <c r="P2335" t="s">
        <v>70</v>
      </c>
      <c r="Q2335" t="s">
        <v>71</v>
      </c>
      <c r="R2335" t="s">
        <v>80</v>
      </c>
      <c r="S2335" s="3">
        <v>7.09</v>
      </c>
      <c r="T2335" s="5">
        <v>44866</v>
      </c>
      <c r="U2335">
        <v>1</v>
      </c>
      <c r="V2335">
        <v>2022</v>
      </c>
      <c r="X2335">
        <f t="shared" si="108"/>
        <v>7.8297664999999999</v>
      </c>
      <c r="Y2335">
        <f t="shared" si="109"/>
        <v>7.0897664999999996</v>
      </c>
      <c r="Z2335">
        <f t="shared" si="110"/>
        <v>81.899766500000013</v>
      </c>
    </row>
    <row r="2336" spans="1:26" x14ac:dyDescent="0.3">
      <c r="A2336" t="s">
        <v>2426</v>
      </c>
      <c r="B2336" t="s">
        <v>107</v>
      </c>
      <c r="C2336" t="s">
        <v>74</v>
      </c>
      <c r="D2336" t="s">
        <v>57</v>
      </c>
      <c r="E2336">
        <v>23</v>
      </c>
      <c r="F2336" s="3">
        <v>7.32</v>
      </c>
      <c r="G2336" s="4">
        <v>74.099999999999994</v>
      </c>
      <c r="H2336">
        <v>1</v>
      </c>
      <c r="I2336">
        <v>1</v>
      </c>
      <c r="J2336">
        <v>1</v>
      </c>
      <c r="K2336" s="4">
        <v>86.9</v>
      </c>
      <c r="L2336" s="4">
        <v>68.099999999999994</v>
      </c>
      <c r="M2336" s="4">
        <v>63.2</v>
      </c>
      <c r="N2336">
        <v>2</v>
      </c>
      <c r="O2336" t="s">
        <v>58</v>
      </c>
      <c r="P2336" t="s">
        <v>75</v>
      </c>
      <c r="Q2336" t="s">
        <v>71</v>
      </c>
      <c r="R2336" t="s">
        <v>61</v>
      </c>
      <c r="S2336" s="3">
        <v>6.86</v>
      </c>
      <c r="T2336" s="5">
        <v>44526</v>
      </c>
      <c r="U2336">
        <v>2</v>
      </c>
      <c r="V2336">
        <v>2021</v>
      </c>
      <c r="X2336">
        <f t="shared" si="108"/>
        <v>7.3197664000000007</v>
      </c>
      <c r="Y2336">
        <f t="shared" si="109"/>
        <v>6.8597664000000007</v>
      </c>
      <c r="Z2336">
        <f t="shared" si="110"/>
        <v>68.099766399999993</v>
      </c>
    </row>
    <row r="2337" spans="1:26" x14ac:dyDescent="0.3">
      <c r="A2337" t="s">
        <v>2427</v>
      </c>
      <c r="B2337" t="s">
        <v>82</v>
      </c>
      <c r="C2337" t="s">
        <v>56</v>
      </c>
      <c r="D2337" t="s">
        <v>57</v>
      </c>
      <c r="E2337">
        <v>20</v>
      </c>
      <c r="F2337" s="3">
        <v>7.77</v>
      </c>
      <c r="G2337" s="4">
        <v>77.599999999999994</v>
      </c>
      <c r="H2337">
        <v>3</v>
      </c>
      <c r="I2337">
        <v>2</v>
      </c>
      <c r="J2337">
        <v>6</v>
      </c>
      <c r="K2337" s="4">
        <v>51.5</v>
      </c>
      <c r="L2337" s="4">
        <v>70.3</v>
      </c>
      <c r="M2337" s="4">
        <v>69.900000000000006</v>
      </c>
      <c r="N2337">
        <v>0</v>
      </c>
      <c r="O2337" t="s">
        <v>58</v>
      </c>
      <c r="P2337" t="s">
        <v>92</v>
      </c>
      <c r="Q2337" t="s">
        <v>93</v>
      </c>
      <c r="R2337" t="s">
        <v>72</v>
      </c>
      <c r="S2337" s="3">
        <v>9.2200000000000006</v>
      </c>
      <c r="T2337" s="5">
        <v>44870</v>
      </c>
      <c r="U2337">
        <v>1</v>
      </c>
      <c r="V2337">
        <v>2022</v>
      </c>
      <c r="X2337">
        <f t="shared" si="108"/>
        <v>7.7697662999999997</v>
      </c>
      <c r="Y2337">
        <f t="shared" si="109"/>
        <v>9.2197662999999999</v>
      </c>
      <c r="Z2337">
        <f t="shared" si="110"/>
        <v>70.299766300000002</v>
      </c>
    </row>
    <row r="2338" spans="1:26" x14ac:dyDescent="0.3">
      <c r="A2338" t="s">
        <v>2428</v>
      </c>
      <c r="B2338" t="s">
        <v>55</v>
      </c>
      <c r="C2338" t="s">
        <v>74</v>
      </c>
      <c r="D2338" t="s">
        <v>57</v>
      </c>
      <c r="E2338">
        <v>23</v>
      </c>
      <c r="F2338" s="3">
        <v>8.5500000000000007</v>
      </c>
      <c r="G2338" s="4">
        <v>96.3</v>
      </c>
      <c r="H2338">
        <v>0</v>
      </c>
      <c r="I2338">
        <v>4</v>
      </c>
      <c r="J2338">
        <v>2</v>
      </c>
      <c r="K2338" s="4">
        <v>65.400000000000006</v>
      </c>
      <c r="L2338" s="4">
        <v>50.2</v>
      </c>
      <c r="M2338" s="4">
        <v>86.3</v>
      </c>
      <c r="N2338">
        <v>2</v>
      </c>
      <c r="O2338" t="s">
        <v>58</v>
      </c>
      <c r="P2338" t="s">
        <v>95</v>
      </c>
      <c r="Q2338" t="s">
        <v>93</v>
      </c>
      <c r="R2338" t="s">
        <v>72</v>
      </c>
      <c r="S2338" s="3">
        <v>5.23</v>
      </c>
      <c r="T2338" s="5">
        <v>45616</v>
      </c>
      <c r="U2338">
        <v>2</v>
      </c>
      <c r="V2338">
        <v>2024</v>
      </c>
      <c r="X2338">
        <f t="shared" si="108"/>
        <v>8.5497662000000005</v>
      </c>
      <c r="Y2338">
        <f t="shared" si="109"/>
        <v>5.2297662000000003</v>
      </c>
      <c r="Z2338">
        <f t="shared" si="110"/>
        <v>50.199766200000006</v>
      </c>
    </row>
    <row r="2339" spans="1:26" x14ac:dyDescent="0.3">
      <c r="A2339" t="s">
        <v>2429</v>
      </c>
      <c r="B2339" t="s">
        <v>55</v>
      </c>
      <c r="C2339" t="s">
        <v>89</v>
      </c>
      <c r="D2339" t="s">
        <v>57</v>
      </c>
      <c r="E2339">
        <v>22</v>
      </c>
      <c r="F2339" s="3">
        <v>10</v>
      </c>
      <c r="G2339" s="4">
        <v>91.6</v>
      </c>
      <c r="H2339">
        <v>1</v>
      </c>
      <c r="I2339">
        <v>3</v>
      </c>
      <c r="J2339">
        <v>2</v>
      </c>
      <c r="K2339" s="4">
        <v>78.7</v>
      </c>
      <c r="L2339" s="4">
        <v>85.6</v>
      </c>
      <c r="M2339" s="4">
        <v>65.099999999999994</v>
      </c>
      <c r="N2339">
        <v>3</v>
      </c>
      <c r="O2339" t="s">
        <v>58</v>
      </c>
      <c r="P2339" t="s">
        <v>90</v>
      </c>
      <c r="Q2339" t="s">
        <v>60</v>
      </c>
      <c r="R2339" t="s">
        <v>85</v>
      </c>
      <c r="S2339" s="3">
        <v>10.45</v>
      </c>
      <c r="T2339" s="5">
        <v>45612</v>
      </c>
      <c r="U2339">
        <v>2</v>
      </c>
      <c r="V2339">
        <v>2024</v>
      </c>
      <c r="X2339">
        <f t="shared" si="108"/>
        <v>9.9997661000000004</v>
      </c>
      <c r="Y2339">
        <f t="shared" si="109"/>
        <v>10.4497661</v>
      </c>
      <c r="Z2339">
        <f t="shared" si="110"/>
        <v>85.599766099999997</v>
      </c>
    </row>
    <row r="2340" spans="1:26" x14ac:dyDescent="0.3">
      <c r="A2340" t="s">
        <v>2430</v>
      </c>
      <c r="B2340" t="s">
        <v>63</v>
      </c>
      <c r="C2340" t="s">
        <v>101</v>
      </c>
      <c r="D2340" t="s">
        <v>57</v>
      </c>
      <c r="E2340">
        <v>22</v>
      </c>
      <c r="F2340" s="3">
        <v>7.2</v>
      </c>
      <c r="G2340" s="4">
        <v>72</v>
      </c>
      <c r="H2340">
        <v>1</v>
      </c>
      <c r="I2340">
        <v>1</v>
      </c>
      <c r="J2340">
        <v>2</v>
      </c>
      <c r="K2340" s="4">
        <v>95.7</v>
      </c>
      <c r="L2340" s="4">
        <v>100</v>
      </c>
      <c r="M2340" s="4">
        <v>78.599999999999994</v>
      </c>
      <c r="N2340">
        <v>1</v>
      </c>
      <c r="O2340" t="s">
        <v>64</v>
      </c>
      <c r="P2340" t="s">
        <v>65</v>
      </c>
      <c r="S2340" s="3">
        <v>0</v>
      </c>
      <c r="T2340" s="5"/>
      <c r="U2340">
        <v>0</v>
      </c>
      <c r="V2340">
        <v>2025</v>
      </c>
      <c r="X2340">
        <f t="shared" si="108"/>
        <v>7.1997660000000003</v>
      </c>
      <c r="Y2340">
        <f t="shared" si="109"/>
        <v>-2.34E-4</v>
      </c>
      <c r="Z2340">
        <f t="shared" si="110"/>
        <v>99.999765999999994</v>
      </c>
    </row>
    <row r="2341" spans="1:26" x14ac:dyDescent="0.3">
      <c r="A2341" t="s">
        <v>2431</v>
      </c>
      <c r="B2341" t="s">
        <v>55</v>
      </c>
      <c r="C2341" t="s">
        <v>74</v>
      </c>
      <c r="D2341" t="s">
        <v>69</v>
      </c>
      <c r="E2341">
        <v>23</v>
      </c>
      <c r="F2341" s="3">
        <v>7.85</v>
      </c>
      <c r="G2341" s="4">
        <v>88.1</v>
      </c>
      <c r="H2341">
        <v>1</v>
      </c>
      <c r="I2341">
        <v>4</v>
      </c>
      <c r="J2341">
        <v>5</v>
      </c>
      <c r="K2341" s="4">
        <v>81.099999999999994</v>
      </c>
      <c r="L2341" s="4">
        <v>89.5</v>
      </c>
      <c r="M2341" s="4">
        <v>52.3</v>
      </c>
      <c r="N2341">
        <v>1</v>
      </c>
      <c r="O2341" t="s">
        <v>58</v>
      </c>
      <c r="P2341" t="s">
        <v>95</v>
      </c>
      <c r="Q2341" t="s">
        <v>93</v>
      </c>
      <c r="R2341" t="s">
        <v>109</v>
      </c>
      <c r="S2341" s="3">
        <v>7.68</v>
      </c>
      <c r="T2341" s="5">
        <v>45614</v>
      </c>
      <c r="U2341">
        <v>1</v>
      </c>
      <c r="V2341">
        <v>2024</v>
      </c>
      <c r="X2341">
        <f t="shared" si="108"/>
        <v>7.8497658999999995</v>
      </c>
      <c r="Y2341">
        <f t="shared" si="109"/>
        <v>7.6797658999999996</v>
      </c>
      <c r="Z2341">
        <f t="shared" si="110"/>
        <v>89.4997659</v>
      </c>
    </row>
    <row r="2342" spans="1:26" x14ac:dyDescent="0.3">
      <c r="A2342" t="s">
        <v>2432</v>
      </c>
      <c r="B2342" t="s">
        <v>67</v>
      </c>
      <c r="C2342" t="s">
        <v>89</v>
      </c>
      <c r="D2342" t="s">
        <v>69</v>
      </c>
      <c r="E2342">
        <v>23</v>
      </c>
      <c r="F2342" s="3">
        <v>7.32</v>
      </c>
      <c r="G2342" s="4">
        <v>89.5</v>
      </c>
      <c r="H2342">
        <v>1</v>
      </c>
      <c r="I2342">
        <v>0</v>
      </c>
      <c r="J2342">
        <v>3</v>
      </c>
      <c r="K2342" s="4">
        <v>65.099999999999994</v>
      </c>
      <c r="L2342" s="4">
        <v>88.2</v>
      </c>
      <c r="M2342" s="4">
        <v>70</v>
      </c>
      <c r="N2342">
        <v>2</v>
      </c>
      <c r="O2342" t="s">
        <v>58</v>
      </c>
      <c r="P2342" t="s">
        <v>70</v>
      </c>
      <c r="Q2342" t="s">
        <v>71</v>
      </c>
      <c r="R2342" t="s">
        <v>80</v>
      </c>
      <c r="S2342" s="3">
        <v>5.52</v>
      </c>
      <c r="T2342" s="5">
        <v>45155</v>
      </c>
      <c r="U2342">
        <v>1</v>
      </c>
      <c r="V2342">
        <v>2023</v>
      </c>
      <c r="X2342">
        <f t="shared" si="108"/>
        <v>7.3197657999999999</v>
      </c>
      <c r="Y2342">
        <f t="shared" si="109"/>
        <v>5.5197657999999992</v>
      </c>
      <c r="Z2342">
        <f t="shared" si="110"/>
        <v>88.199765800000009</v>
      </c>
    </row>
    <row r="2343" spans="1:26" x14ac:dyDescent="0.3">
      <c r="A2343" t="s">
        <v>2433</v>
      </c>
      <c r="B2343" t="s">
        <v>107</v>
      </c>
      <c r="C2343" t="s">
        <v>74</v>
      </c>
      <c r="D2343" t="s">
        <v>69</v>
      </c>
      <c r="E2343">
        <v>22</v>
      </c>
      <c r="F2343" s="3">
        <v>7.93</v>
      </c>
      <c r="G2343" s="4">
        <v>83.8</v>
      </c>
      <c r="H2343">
        <v>2</v>
      </c>
      <c r="I2343">
        <v>2</v>
      </c>
      <c r="J2343">
        <v>2</v>
      </c>
      <c r="K2343" s="4">
        <v>60.2</v>
      </c>
      <c r="L2343" s="4">
        <v>75.2</v>
      </c>
      <c r="M2343" s="4">
        <v>64.099999999999994</v>
      </c>
      <c r="N2343">
        <v>0</v>
      </c>
      <c r="O2343" t="s">
        <v>58</v>
      </c>
      <c r="P2343" t="s">
        <v>92</v>
      </c>
      <c r="Q2343" t="s">
        <v>93</v>
      </c>
      <c r="R2343" t="s">
        <v>130</v>
      </c>
      <c r="S2343" s="3">
        <v>10.18</v>
      </c>
      <c r="T2343" s="5">
        <v>44409</v>
      </c>
      <c r="U2343">
        <v>1</v>
      </c>
      <c r="V2343">
        <v>2021</v>
      </c>
      <c r="X2343">
        <f t="shared" si="108"/>
        <v>7.9297656999999999</v>
      </c>
      <c r="Y2343">
        <f t="shared" si="109"/>
        <v>10.179765699999999</v>
      </c>
      <c r="Z2343">
        <f t="shared" si="110"/>
        <v>75.1997657</v>
      </c>
    </row>
    <row r="2344" spans="1:26" x14ac:dyDescent="0.3">
      <c r="A2344" t="s">
        <v>2434</v>
      </c>
      <c r="B2344" t="s">
        <v>63</v>
      </c>
      <c r="C2344" t="s">
        <v>89</v>
      </c>
      <c r="D2344" t="s">
        <v>57</v>
      </c>
      <c r="E2344">
        <v>23</v>
      </c>
      <c r="F2344" s="3">
        <v>8.5299999999999994</v>
      </c>
      <c r="G2344" s="4">
        <v>71.400000000000006</v>
      </c>
      <c r="H2344">
        <v>0</v>
      </c>
      <c r="I2344">
        <v>0</v>
      </c>
      <c r="J2344">
        <v>4</v>
      </c>
      <c r="K2344" s="4">
        <v>83.8</v>
      </c>
      <c r="L2344" s="4">
        <v>54.3</v>
      </c>
      <c r="M2344" s="4">
        <v>74.7</v>
      </c>
      <c r="N2344">
        <v>0</v>
      </c>
      <c r="O2344" t="s">
        <v>58</v>
      </c>
      <c r="P2344" t="s">
        <v>112</v>
      </c>
      <c r="Q2344" t="s">
        <v>93</v>
      </c>
      <c r="R2344" t="s">
        <v>85</v>
      </c>
      <c r="S2344" s="3">
        <v>5.48</v>
      </c>
      <c r="T2344" s="5">
        <v>45883</v>
      </c>
      <c r="U2344">
        <v>1</v>
      </c>
      <c r="V2344">
        <v>2025</v>
      </c>
      <c r="X2344">
        <f t="shared" si="108"/>
        <v>8.5297655999999993</v>
      </c>
      <c r="Y2344">
        <f t="shared" si="109"/>
        <v>5.4797656000000003</v>
      </c>
      <c r="Z2344">
        <f t="shared" si="110"/>
        <v>54.299765600000001</v>
      </c>
    </row>
    <row r="2345" spans="1:26" x14ac:dyDescent="0.3">
      <c r="A2345" t="s">
        <v>2435</v>
      </c>
      <c r="B2345" t="s">
        <v>67</v>
      </c>
      <c r="C2345" t="s">
        <v>84</v>
      </c>
      <c r="D2345" t="s">
        <v>69</v>
      </c>
      <c r="E2345">
        <v>23</v>
      </c>
      <c r="F2345" s="3">
        <v>7.46</v>
      </c>
      <c r="G2345" s="4">
        <v>76.599999999999994</v>
      </c>
      <c r="H2345">
        <v>1</v>
      </c>
      <c r="I2345">
        <v>4</v>
      </c>
      <c r="J2345">
        <v>6</v>
      </c>
      <c r="K2345" s="4">
        <v>80.400000000000006</v>
      </c>
      <c r="L2345" s="4">
        <v>57.1</v>
      </c>
      <c r="M2345" s="4">
        <v>67.400000000000006</v>
      </c>
      <c r="N2345">
        <v>1</v>
      </c>
      <c r="O2345" t="s">
        <v>58</v>
      </c>
      <c r="P2345" t="s">
        <v>70</v>
      </c>
      <c r="Q2345" t="s">
        <v>71</v>
      </c>
      <c r="R2345" t="s">
        <v>61</v>
      </c>
      <c r="S2345" s="3">
        <v>5.16</v>
      </c>
      <c r="T2345" s="5">
        <v>45249</v>
      </c>
      <c r="U2345">
        <v>1</v>
      </c>
      <c r="V2345">
        <v>2023</v>
      </c>
      <c r="X2345">
        <f t="shared" si="108"/>
        <v>7.4597654999999996</v>
      </c>
      <c r="Y2345">
        <f t="shared" si="109"/>
        <v>5.1597654999999998</v>
      </c>
      <c r="Z2345">
        <f t="shared" si="110"/>
        <v>57.099765500000004</v>
      </c>
    </row>
    <row r="2346" spans="1:26" x14ac:dyDescent="0.3">
      <c r="A2346" t="s">
        <v>2436</v>
      </c>
      <c r="B2346" t="s">
        <v>82</v>
      </c>
      <c r="C2346" t="s">
        <v>56</v>
      </c>
      <c r="D2346" t="s">
        <v>57</v>
      </c>
      <c r="E2346">
        <v>20</v>
      </c>
      <c r="F2346" s="3">
        <v>5.81</v>
      </c>
      <c r="G2346" s="4">
        <v>76.3</v>
      </c>
      <c r="H2346">
        <v>2</v>
      </c>
      <c r="I2346">
        <v>0</v>
      </c>
      <c r="J2346">
        <v>4</v>
      </c>
      <c r="K2346" s="4">
        <v>68.2</v>
      </c>
      <c r="L2346" s="4">
        <v>79.900000000000006</v>
      </c>
      <c r="M2346" s="4">
        <v>84.4</v>
      </c>
      <c r="N2346">
        <v>0</v>
      </c>
      <c r="O2346" t="s">
        <v>64</v>
      </c>
      <c r="P2346" t="s">
        <v>65</v>
      </c>
      <c r="S2346" s="3">
        <v>0</v>
      </c>
      <c r="T2346" s="5"/>
      <c r="U2346">
        <v>0</v>
      </c>
      <c r="V2346">
        <v>2022</v>
      </c>
      <c r="X2346">
        <f t="shared" si="108"/>
        <v>5.8097653999999999</v>
      </c>
      <c r="Y2346">
        <f t="shared" si="109"/>
        <v>-2.3459999999999998E-4</v>
      </c>
      <c r="Z2346">
        <f t="shared" si="110"/>
        <v>79.899765400000007</v>
      </c>
    </row>
    <row r="2347" spans="1:26" x14ac:dyDescent="0.3">
      <c r="A2347" t="s">
        <v>2437</v>
      </c>
      <c r="B2347" t="s">
        <v>107</v>
      </c>
      <c r="C2347" t="s">
        <v>74</v>
      </c>
      <c r="D2347" t="s">
        <v>57</v>
      </c>
      <c r="E2347">
        <v>22</v>
      </c>
      <c r="F2347" s="3">
        <v>8.58</v>
      </c>
      <c r="G2347" s="4">
        <v>86.8</v>
      </c>
      <c r="H2347">
        <v>2</v>
      </c>
      <c r="I2347">
        <v>1</v>
      </c>
      <c r="J2347">
        <v>2</v>
      </c>
      <c r="K2347" s="4">
        <v>65.099999999999994</v>
      </c>
      <c r="L2347" s="4">
        <v>83.4</v>
      </c>
      <c r="M2347" s="4">
        <v>69.8</v>
      </c>
      <c r="N2347">
        <v>0</v>
      </c>
      <c r="O2347" t="s">
        <v>58</v>
      </c>
      <c r="P2347" t="s">
        <v>112</v>
      </c>
      <c r="Q2347" t="s">
        <v>93</v>
      </c>
      <c r="R2347" t="s">
        <v>130</v>
      </c>
      <c r="S2347" s="3">
        <v>7.23</v>
      </c>
      <c r="T2347" s="5">
        <v>44516</v>
      </c>
      <c r="U2347">
        <v>1</v>
      </c>
      <c r="V2347">
        <v>2021</v>
      </c>
      <c r="X2347">
        <f t="shared" si="108"/>
        <v>8.5797653</v>
      </c>
      <c r="Y2347">
        <f t="shared" si="109"/>
        <v>7.2297653000000004</v>
      </c>
      <c r="Z2347">
        <f t="shared" si="110"/>
        <v>83.399765300000013</v>
      </c>
    </row>
    <row r="2348" spans="1:26" x14ac:dyDescent="0.3">
      <c r="A2348" t="s">
        <v>2438</v>
      </c>
      <c r="B2348" t="s">
        <v>55</v>
      </c>
      <c r="C2348" t="s">
        <v>84</v>
      </c>
      <c r="D2348" t="s">
        <v>57</v>
      </c>
      <c r="E2348">
        <v>21</v>
      </c>
      <c r="F2348" s="3">
        <v>7.77</v>
      </c>
      <c r="G2348" s="4">
        <v>78.099999999999994</v>
      </c>
      <c r="H2348">
        <v>0</v>
      </c>
      <c r="I2348">
        <v>4</v>
      </c>
      <c r="J2348">
        <v>2</v>
      </c>
      <c r="K2348" s="4">
        <v>96.2</v>
      </c>
      <c r="L2348" s="4">
        <v>55.9</v>
      </c>
      <c r="M2348" s="4">
        <v>87.5</v>
      </c>
      <c r="N2348">
        <v>0</v>
      </c>
      <c r="O2348" t="s">
        <v>58</v>
      </c>
      <c r="P2348" t="s">
        <v>79</v>
      </c>
      <c r="Q2348" t="s">
        <v>71</v>
      </c>
      <c r="R2348" t="s">
        <v>130</v>
      </c>
      <c r="S2348" s="3">
        <v>5.54</v>
      </c>
      <c r="T2348" s="5">
        <v>45521</v>
      </c>
      <c r="U2348">
        <v>3</v>
      </c>
      <c r="V2348">
        <v>2024</v>
      </c>
      <c r="X2348">
        <f t="shared" si="108"/>
        <v>7.7697651999999993</v>
      </c>
      <c r="Y2348">
        <f t="shared" si="109"/>
        <v>5.5397651999999997</v>
      </c>
      <c r="Z2348">
        <f t="shared" si="110"/>
        <v>55.899765199999997</v>
      </c>
    </row>
    <row r="2349" spans="1:26" x14ac:dyDescent="0.3">
      <c r="A2349" t="s">
        <v>2439</v>
      </c>
      <c r="B2349" t="s">
        <v>107</v>
      </c>
      <c r="C2349" t="s">
        <v>101</v>
      </c>
      <c r="D2349" t="s">
        <v>57</v>
      </c>
      <c r="E2349">
        <v>20</v>
      </c>
      <c r="F2349" s="3">
        <v>7.34</v>
      </c>
      <c r="G2349" s="4">
        <v>79.599999999999994</v>
      </c>
      <c r="H2349">
        <v>3</v>
      </c>
      <c r="I2349">
        <v>2</v>
      </c>
      <c r="J2349">
        <v>5</v>
      </c>
      <c r="K2349" s="4">
        <v>94.1</v>
      </c>
      <c r="L2349" s="4">
        <v>76.8</v>
      </c>
      <c r="M2349" s="4">
        <v>48.9</v>
      </c>
      <c r="N2349">
        <v>0</v>
      </c>
      <c r="O2349" t="s">
        <v>58</v>
      </c>
      <c r="P2349" t="s">
        <v>87</v>
      </c>
      <c r="Q2349" t="s">
        <v>71</v>
      </c>
      <c r="R2349" t="s">
        <v>130</v>
      </c>
      <c r="S2349" s="3">
        <v>7</v>
      </c>
      <c r="T2349" s="5">
        <v>44417</v>
      </c>
      <c r="U2349">
        <v>1</v>
      </c>
      <c r="V2349">
        <v>2021</v>
      </c>
      <c r="X2349">
        <f t="shared" si="108"/>
        <v>7.3397651000000002</v>
      </c>
      <c r="Y2349">
        <f t="shared" si="109"/>
        <v>6.9997651000000003</v>
      </c>
      <c r="Z2349">
        <f t="shared" si="110"/>
        <v>76.799765100000002</v>
      </c>
    </row>
    <row r="2350" spans="1:26" x14ac:dyDescent="0.3">
      <c r="A2350" t="s">
        <v>2440</v>
      </c>
      <c r="B2350" t="s">
        <v>82</v>
      </c>
      <c r="C2350" t="s">
        <v>89</v>
      </c>
      <c r="D2350" t="s">
        <v>57</v>
      </c>
      <c r="E2350">
        <v>21</v>
      </c>
      <c r="F2350" s="3">
        <v>7.14</v>
      </c>
      <c r="G2350" s="4">
        <v>76.599999999999994</v>
      </c>
      <c r="H2350">
        <v>2</v>
      </c>
      <c r="I2350">
        <v>3</v>
      </c>
      <c r="J2350">
        <v>4</v>
      </c>
      <c r="K2350" s="4">
        <v>73.5</v>
      </c>
      <c r="L2350" s="4">
        <v>71.7</v>
      </c>
      <c r="M2350" s="4">
        <v>74.5</v>
      </c>
      <c r="N2350">
        <v>0</v>
      </c>
      <c r="O2350" t="s">
        <v>58</v>
      </c>
      <c r="P2350" t="s">
        <v>70</v>
      </c>
      <c r="Q2350" t="s">
        <v>71</v>
      </c>
      <c r="R2350" t="s">
        <v>72</v>
      </c>
      <c r="S2350" s="3">
        <v>5.54</v>
      </c>
      <c r="T2350" s="5">
        <v>44872</v>
      </c>
      <c r="U2350">
        <v>3</v>
      </c>
      <c r="V2350">
        <v>2022</v>
      </c>
      <c r="X2350">
        <f t="shared" si="108"/>
        <v>7.1397649999999997</v>
      </c>
      <c r="Y2350">
        <f t="shared" si="109"/>
        <v>5.5397650000000001</v>
      </c>
      <c r="Z2350">
        <f t="shared" si="110"/>
        <v>71.699764999999999</v>
      </c>
    </row>
    <row r="2351" spans="1:26" x14ac:dyDescent="0.3">
      <c r="A2351" t="s">
        <v>2441</v>
      </c>
      <c r="B2351" t="s">
        <v>63</v>
      </c>
      <c r="C2351" t="s">
        <v>68</v>
      </c>
      <c r="D2351" t="s">
        <v>57</v>
      </c>
      <c r="E2351">
        <v>23</v>
      </c>
      <c r="F2351" s="3">
        <v>7.93</v>
      </c>
      <c r="G2351" s="4">
        <v>68</v>
      </c>
      <c r="H2351">
        <v>0</v>
      </c>
      <c r="I2351">
        <v>0</v>
      </c>
      <c r="J2351">
        <v>6</v>
      </c>
      <c r="K2351" s="4">
        <v>70.900000000000006</v>
      </c>
      <c r="L2351" s="4">
        <v>77.400000000000006</v>
      </c>
      <c r="M2351" s="4">
        <v>75.599999999999994</v>
      </c>
      <c r="N2351">
        <v>0</v>
      </c>
      <c r="O2351" t="s">
        <v>58</v>
      </c>
      <c r="P2351" t="s">
        <v>70</v>
      </c>
      <c r="Q2351" t="s">
        <v>71</v>
      </c>
      <c r="R2351" t="s">
        <v>130</v>
      </c>
      <c r="S2351" s="3">
        <v>6.01</v>
      </c>
      <c r="T2351" s="5">
        <v>45964</v>
      </c>
      <c r="U2351">
        <v>2</v>
      </c>
      <c r="V2351">
        <v>2025</v>
      </c>
      <c r="X2351">
        <f t="shared" si="108"/>
        <v>7.9297648999999995</v>
      </c>
      <c r="Y2351">
        <f t="shared" si="109"/>
        <v>6.0097648999999995</v>
      </c>
      <c r="Z2351">
        <f t="shared" si="110"/>
        <v>77.399764900000008</v>
      </c>
    </row>
    <row r="2352" spans="1:26" x14ac:dyDescent="0.3">
      <c r="A2352" t="s">
        <v>2442</v>
      </c>
      <c r="B2352" t="s">
        <v>63</v>
      </c>
      <c r="C2352" t="s">
        <v>74</v>
      </c>
      <c r="D2352" t="s">
        <v>57</v>
      </c>
      <c r="E2352">
        <v>23</v>
      </c>
      <c r="F2352" s="3">
        <v>7.02</v>
      </c>
      <c r="G2352" s="4">
        <v>100</v>
      </c>
      <c r="H2352">
        <v>2</v>
      </c>
      <c r="I2352">
        <v>2</v>
      </c>
      <c r="J2352">
        <v>4</v>
      </c>
      <c r="K2352" s="4">
        <v>51.9</v>
      </c>
      <c r="L2352" s="4">
        <v>75.400000000000006</v>
      </c>
      <c r="M2352" s="4">
        <v>62.8</v>
      </c>
      <c r="N2352">
        <v>0</v>
      </c>
      <c r="O2352" t="s">
        <v>58</v>
      </c>
      <c r="P2352" t="s">
        <v>87</v>
      </c>
      <c r="Q2352" t="s">
        <v>71</v>
      </c>
      <c r="R2352" t="s">
        <v>76</v>
      </c>
      <c r="S2352" s="3">
        <v>5.28</v>
      </c>
      <c r="T2352" s="5">
        <v>45881</v>
      </c>
      <c r="U2352">
        <v>1</v>
      </c>
      <c r="V2352">
        <v>2025</v>
      </c>
      <c r="X2352">
        <f t="shared" si="108"/>
        <v>7.0197647999999999</v>
      </c>
      <c r="Y2352">
        <f t="shared" si="109"/>
        <v>5.2797648000000006</v>
      </c>
      <c r="Z2352">
        <f t="shared" si="110"/>
        <v>75.3997648</v>
      </c>
    </row>
    <row r="2353" spans="1:26" x14ac:dyDescent="0.3">
      <c r="A2353" t="s">
        <v>2443</v>
      </c>
      <c r="B2353" t="s">
        <v>63</v>
      </c>
      <c r="C2353" t="s">
        <v>68</v>
      </c>
      <c r="D2353" t="s">
        <v>69</v>
      </c>
      <c r="E2353">
        <v>21</v>
      </c>
      <c r="F2353" s="3">
        <v>7.13</v>
      </c>
      <c r="G2353" s="4">
        <v>85.6</v>
      </c>
      <c r="H2353">
        <v>2</v>
      </c>
      <c r="I2353">
        <v>5</v>
      </c>
      <c r="J2353">
        <v>2</v>
      </c>
      <c r="K2353" s="4">
        <v>68.599999999999994</v>
      </c>
      <c r="L2353" s="4">
        <v>76.099999999999994</v>
      </c>
      <c r="M2353" s="4">
        <v>74</v>
      </c>
      <c r="N2353">
        <v>0</v>
      </c>
      <c r="O2353" t="s">
        <v>58</v>
      </c>
      <c r="P2353" t="s">
        <v>79</v>
      </c>
      <c r="Q2353" t="s">
        <v>71</v>
      </c>
      <c r="R2353" t="s">
        <v>61</v>
      </c>
      <c r="S2353" s="3">
        <v>6.68</v>
      </c>
      <c r="T2353" s="5">
        <v>45978</v>
      </c>
      <c r="U2353">
        <v>2</v>
      </c>
      <c r="V2353">
        <v>2025</v>
      </c>
      <c r="X2353">
        <f t="shared" si="108"/>
        <v>7.1297647</v>
      </c>
      <c r="Y2353">
        <f t="shared" si="109"/>
        <v>6.6797646999999998</v>
      </c>
      <c r="Z2353">
        <f t="shared" si="110"/>
        <v>76.099764699999994</v>
      </c>
    </row>
    <row r="2354" spans="1:26" x14ac:dyDescent="0.3">
      <c r="A2354" t="s">
        <v>2444</v>
      </c>
      <c r="B2354" t="s">
        <v>55</v>
      </c>
      <c r="C2354" t="s">
        <v>101</v>
      </c>
      <c r="D2354" t="s">
        <v>57</v>
      </c>
      <c r="E2354">
        <v>23</v>
      </c>
      <c r="F2354" s="3">
        <v>6.53</v>
      </c>
      <c r="G2354" s="4">
        <v>95.2</v>
      </c>
      <c r="H2354">
        <v>1</v>
      </c>
      <c r="I2354">
        <v>2</v>
      </c>
      <c r="J2354">
        <v>3</v>
      </c>
      <c r="K2354" s="4">
        <v>84.9</v>
      </c>
      <c r="L2354" s="4">
        <v>40.799999999999997</v>
      </c>
      <c r="M2354" s="4">
        <v>79.8</v>
      </c>
      <c r="N2354">
        <v>2</v>
      </c>
      <c r="O2354" t="s">
        <v>64</v>
      </c>
      <c r="P2354" t="s">
        <v>65</v>
      </c>
      <c r="S2354" s="3">
        <v>0</v>
      </c>
      <c r="T2354" s="5"/>
      <c r="U2354">
        <v>0</v>
      </c>
      <c r="V2354">
        <v>2024</v>
      </c>
      <c r="X2354">
        <f t="shared" si="108"/>
        <v>6.5297646</v>
      </c>
      <c r="Y2354">
        <f t="shared" si="109"/>
        <v>-2.354E-4</v>
      </c>
      <c r="Z2354">
        <f t="shared" si="110"/>
        <v>40.799764599999996</v>
      </c>
    </row>
    <row r="2355" spans="1:26" x14ac:dyDescent="0.3">
      <c r="A2355" t="s">
        <v>2445</v>
      </c>
      <c r="B2355" t="s">
        <v>67</v>
      </c>
      <c r="C2355" t="s">
        <v>78</v>
      </c>
      <c r="D2355" t="s">
        <v>69</v>
      </c>
      <c r="E2355">
        <v>23</v>
      </c>
      <c r="F2355" s="3">
        <v>7.04</v>
      </c>
      <c r="G2355" s="4">
        <v>72</v>
      </c>
      <c r="H2355">
        <v>0</v>
      </c>
      <c r="I2355">
        <v>3</v>
      </c>
      <c r="J2355">
        <v>4</v>
      </c>
      <c r="K2355" s="4">
        <v>41</v>
      </c>
      <c r="L2355" s="4">
        <v>97.4</v>
      </c>
      <c r="M2355" s="4">
        <v>87</v>
      </c>
      <c r="N2355">
        <v>0</v>
      </c>
      <c r="O2355" t="s">
        <v>58</v>
      </c>
      <c r="P2355" t="s">
        <v>59</v>
      </c>
      <c r="Q2355" t="s">
        <v>60</v>
      </c>
      <c r="R2355" t="s">
        <v>80</v>
      </c>
      <c r="S2355" s="3">
        <v>19.62</v>
      </c>
      <c r="T2355" s="5">
        <v>45256</v>
      </c>
      <c r="U2355">
        <v>1</v>
      </c>
      <c r="V2355">
        <v>2023</v>
      </c>
      <c r="X2355">
        <f t="shared" si="108"/>
        <v>7.0397645000000004</v>
      </c>
      <c r="Y2355">
        <f t="shared" si="109"/>
        <v>19.619764500000002</v>
      </c>
      <c r="Z2355">
        <f t="shared" si="110"/>
        <v>97.399764500000003</v>
      </c>
    </row>
    <row r="2356" spans="1:26" x14ac:dyDescent="0.3">
      <c r="A2356" t="s">
        <v>2446</v>
      </c>
      <c r="B2356" t="s">
        <v>67</v>
      </c>
      <c r="C2356" t="s">
        <v>74</v>
      </c>
      <c r="D2356" t="s">
        <v>69</v>
      </c>
      <c r="E2356">
        <v>20</v>
      </c>
      <c r="F2356" s="3">
        <v>8.2200000000000006</v>
      </c>
      <c r="G2356" s="4">
        <v>95.7</v>
      </c>
      <c r="H2356">
        <v>1</v>
      </c>
      <c r="I2356">
        <v>5</v>
      </c>
      <c r="J2356">
        <v>3</v>
      </c>
      <c r="K2356" s="4">
        <v>76.400000000000006</v>
      </c>
      <c r="L2356" s="4">
        <v>91.2</v>
      </c>
      <c r="M2356" s="4">
        <v>70.599999999999994</v>
      </c>
      <c r="N2356">
        <v>0</v>
      </c>
      <c r="O2356" t="s">
        <v>58</v>
      </c>
      <c r="P2356" t="s">
        <v>104</v>
      </c>
      <c r="Q2356" t="s">
        <v>105</v>
      </c>
      <c r="R2356" t="s">
        <v>85</v>
      </c>
      <c r="S2356" s="3">
        <v>16.48</v>
      </c>
      <c r="T2356" s="5">
        <v>45153</v>
      </c>
      <c r="U2356">
        <v>1</v>
      </c>
      <c r="V2356">
        <v>2023</v>
      </c>
      <c r="X2356">
        <f t="shared" si="108"/>
        <v>8.2197644000000007</v>
      </c>
      <c r="Y2356">
        <f t="shared" si="109"/>
        <v>16.479764400000001</v>
      </c>
      <c r="Z2356">
        <f t="shared" si="110"/>
        <v>91.199764400000007</v>
      </c>
    </row>
    <row r="2357" spans="1:26" x14ac:dyDescent="0.3">
      <c r="A2357" t="s">
        <v>2447</v>
      </c>
      <c r="B2357" t="s">
        <v>107</v>
      </c>
      <c r="C2357" t="s">
        <v>56</v>
      </c>
      <c r="D2357" t="s">
        <v>57</v>
      </c>
      <c r="E2357">
        <v>21</v>
      </c>
      <c r="F2357" s="3">
        <v>6.41</v>
      </c>
      <c r="G2357" s="4">
        <v>78.400000000000006</v>
      </c>
      <c r="H2357">
        <v>2</v>
      </c>
      <c r="I2357">
        <v>3</v>
      </c>
      <c r="J2357">
        <v>6</v>
      </c>
      <c r="K2357" s="4">
        <v>77.599999999999994</v>
      </c>
      <c r="L2357" s="4">
        <v>69.8</v>
      </c>
      <c r="M2357" s="4">
        <v>68.7</v>
      </c>
      <c r="N2357">
        <v>0</v>
      </c>
      <c r="O2357" t="s">
        <v>58</v>
      </c>
      <c r="P2357" t="s">
        <v>95</v>
      </c>
      <c r="Q2357" t="s">
        <v>93</v>
      </c>
      <c r="R2357" t="s">
        <v>80</v>
      </c>
      <c r="S2357" s="3">
        <v>7.23</v>
      </c>
      <c r="T2357" s="5">
        <v>44442</v>
      </c>
      <c r="U2357">
        <v>1</v>
      </c>
      <c r="V2357">
        <v>2021</v>
      </c>
      <c r="X2357">
        <f t="shared" si="108"/>
        <v>6.4097643</v>
      </c>
      <c r="Y2357">
        <f t="shared" si="109"/>
        <v>7.2297643000000003</v>
      </c>
      <c r="Z2357">
        <f t="shared" si="110"/>
        <v>69.799764299999993</v>
      </c>
    </row>
    <row r="2358" spans="1:26" x14ac:dyDescent="0.3">
      <c r="A2358" t="s">
        <v>2448</v>
      </c>
      <c r="B2358" t="s">
        <v>55</v>
      </c>
      <c r="C2358" t="s">
        <v>74</v>
      </c>
      <c r="D2358" t="s">
        <v>69</v>
      </c>
      <c r="E2358">
        <v>20</v>
      </c>
      <c r="F2358" s="3">
        <v>8.69</v>
      </c>
      <c r="G2358" s="4">
        <v>86.8</v>
      </c>
      <c r="H2358">
        <v>1</v>
      </c>
      <c r="I2358">
        <v>1</v>
      </c>
      <c r="J2358">
        <v>3</v>
      </c>
      <c r="K2358" s="4">
        <v>77.7</v>
      </c>
      <c r="L2358" s="4">
        <v>52.3</v>
      </c>
      <c r="M2358" s="4">
        <v>66.8</v>
      </c>
      <c r="N2358">
        <v>3</v>
      </c>
      <c r="O2358" t="s">
        <v>58</v>
      </c>
      <c r="P2358" t="s">
        <v>112</v>
      </c>
      <c r="Q2358" t="s">
        <v>93</v>
      </c>
      <c r="R2358" t="s">
        <v>72</v>
      </c>
      <c r="S2358" s="3">
        <v>8.07</v>
      </c>
      <c r="T2358" s="5">
        <v>45541</v>
      </c>
      <c r="U2358">
        <v>2</v>
      </c>
      <c r="V2358">
        <v>2024</v>
      </c>
      <c r="X2358">
        <f t="shared" si="108"/>
        <v>8.6897641999999991</v>
      </c>
      <c r="Y2358">
        <f t="shared" si="109"/>
        <v>8.0697641999999998</v>
      </c>
      <c r="Z2358">
        <f t="shared" si="110"/>
        <v>52.299764199999998</v>
      </c>
    </row>
    <row r="2359" spans="1:26" x14ac:dyDescent="0.3">
      <c r="A2359" t="s">
        <v>2449</v>
      </c>
      <c r="B2359" t="s">
        <v>63</v>
      </c>
      <c r="C2359" t="s">
        <v>56</v>
      </c>
      <c r="D2359" t="s">
        <v>57</v>
      </c>
      <c r="E2359">
        <v>21</v>
      </c>
      <c r="F2359" s="3">
        <v>6.59</v>
      </c>
      <c r="G2359" s="4">
        <v>90.9</v>
      </c>
      <c r="H2359">
        <v>2</v>
      </c>
      <c r="I2359">
        <v>1</v>
      </c>
      <c r="J2359">
        <v>4</v>
      </c>
      <c r="K2359" s="4">
        <v>58.9</v>
      </c>
      <c r="L2359" s="4">
        <v>78.400000000000006</v>
      </c>
      <c r="M2359" s="4">
        <v>74.599999999999994</v>
      </c>
      <c r="N2359">
        <v>0</v>
      </c>
      <c r="O2359" t="s">
        <v>58</v>
      </c>
      <c r="P2359" t="s">
        <v>95</v>
      </c>
      <c r="Q2359" t="s">
        <v>93</v>
      </c>
      <c r="R2359" t="s">
        <v>76</v>
      </c>
      <c r="S2359" s="3">
        <v>7.07</v>
      </c>
      <c r="T2359" s="5">
        <v>45922</v>
      </c>
      <c r="U2359">
        <v>3</v>
      </c>
      <c r="V2359">
        <v>2025</v>
      </c>
      <c r="X2359">
        <f t="shared" si="108"/>
        <v>6.5897641</v>
      </c>
      <c r="Y2359">
        <f t="shared" si="109"/>
        <v>7.0697641000000004</v>
      </c>
      <c r="Z2359">
        <f t="shared" si="110"/>
        <v>78.399764099999999</v>
      </c>
    </row>
    <row r="2360" spans="1:26" x14ac:dyDescent="0.3">
      <c r="A2360" t="s">
        <v>2450</v>
      </c>
      <c r="B2360" t="s">
        <v>63</v>
      </c>
      <c r="C2360" t="s">
        <v>56</v>
      </c>
      <c r="D2360" t="s">
        <v>69</v>
      </c>
      <c r="E2360">
        <v>20</v>
      </c>
      <c r="F2360" s="3">
        <v>7.78</v>
      </c>
      <c r="G2360" s="4">
        <v>95.6</v>
      </c>
      <c r="H2360">
        <v>1</v>
      </c>
      <c r="I2360">
        <v>0</v>
      </c>
      <c r="J2360">
        <v>3</v>
      </c>
      <c r="K2360" s="4">
        <v>63.5</v>
      </c>
      <c r="L2360" s="4">
        <v>48.1</v>
      </c>
      <c r="M2360" s="4">
        <v>62.8</v>
      </c>
      <c r="N2360">
        <v>0</v>
      </c>
      <c r="O2360" t="s">
        <v>58</v>
      </c>
      <c r="P2360" t="s">
        <v>92</v>
      </c>
      <c r="Q2360" t="s">
        <v>93</v>
      </c>
      <c r="R2360" t="s">
        <v>130</v>
      </c>
      <c r="S2360" s="3">
        <v>8.02</v>
      </c>
      <c r="T2360" s="5">
        <v>45910</v>
      </c>
      <c r="U2360">
        <v>3</v>
      </c>
      <c r="V2360">
        <v>2025</v>
      </c>
      <c r="X2360">
        <f t="shared" si="108"/>
        <v>7.7797640000000001</v>
      </c>
      <c r="Y2360">
        <f t="shared" si="109"/>
        <v>8.0197640000000003</v>
      </c>
      <c r="Z2360">
        <f t="shared" si="110"/>
        <v>48.099764</v>
      </c>
    </row>
    <row r="2361" spans="1:26" x14ac:dyDescent="0.3">
      <c r="A2361" t="s">
        <v>2451</v>
      </c>
      <c r="B2361" t="s">
        <v>82</v>
      </c>
      <c r="C2361" t="s">
        <v>68</v>
      </c>
      <c r="D2361" t="s">
        <v>69</v>
      </c>
      <c r="E2361">
        <v>22</v>
      </c>
      <c r="F2361" s="3">
        <v>8.09</v>
      </c>
      <c r="G2361" s="4">
        <v>81.599999999999994</v>
      </c>
      <c r="H2361">
        <v>1</v>
      </c>
      <c r="I2361">
        <v>2</v>
      </c>
      <c r="J2361">
        <v>2</v>
      </c>
      <c r="K2361" s="4">
        <v>59.3</v>
      </c>
      <c r="L2361" s="4">
        <v>95.2</v>
      </c>
      <c r="M2361" s="4">
        <v>83</v>
      </c>
      <c r="N2361">
        <v>0</v>
      </c>
      <c r="O2361" t="s">
        <v>58</v>
      </c>
      <c r="P2361" t="s">
        <v>92</v>
      </c>
      <c r="Q2361" t="s">
        <v>93</v>
      </c>
      <c r="R2361" t="s">
        <v>109</v>
      </c>
      <c r="S2361" s="3">
        <v>9.94</v>
      </c>
      <c r="T2361" s="5">
        <v>44867</v>
      </c>
      <c r="U2361">
        <v>1</v>
      </c>
      <c r="V2361">
        <v>2022</v>
      </c>
      <c r="X2361">
        <f t="shared" si="108"/>
        <v>8.0897638999999995</v>
      </c>
      <c r="Y2361">
        <f t="shared" si="109"/>
        <v>9.9397638999999991</v>
      </c>
      <c r="Z2361">
        <f t="shared" si="110"/>
        <v>95.199763900000008</v>
      </c>
    </row>
    <row r="2362" spans="1:26" x14ac:dyDescent="0.3">
      <c r="A2362" t="s">
        <v>2452</v>
      </c>
      <c r="B2362" t="s">
        <v>82</v>
      </c>
      <c r="C2362" t="s">
        <v>56</v>
      </c>
      <c r="D2362" t="s">
        <v>69</v>
      </c>
      <c r="E2362">
        <v>22</v>
      </c>
      <c r="F2362" s="3">
        <v>8.39</v>
      </c>
      <c r="G2362" s="4">
        <v>73</v>
      </c>
      <c r="H2362">
        <v>1</v>
      </c>
      <c r="I2362">
        <v>4</v>
      </c>
      <c r="J2362">
        <v>4</v>
      </c>
      <c r="K2362" s="4">
        <v>95.8</v>
      </c>
      <c r="L2362" s="4">
        <v>67.599999999999994</v>
      </c>
      <c r="M2362" s="4">
        <v>54.5</v>
      </c>
      <c r="N2362">
        <v>0</v>
      </c>
      <c r="O2362" t="s">
        <v>58</v>
      </c>
      <c r="P2362" t="s">
        <v>92</v>
      </c>
      <c r="Q2362" t="s">
        <v>93</v>
      </c>
      <c r="R2362" t="s">
        <v>85</v>
      </c>
      <c r="S2362" s="3">
        <v>8.27</v>
      </c>
      <c r="T2362" s="5">
        <v>44851</v>
      </c>
      <c r="U2362">
        <v>2</v>
      </c>
      <c r="V2362">
        <v>2022</v>
      </c>
      <c r="X2362">
        <f t="shared" si="108"/>
        <v>8.3897638000000008</v>
      </c>
      <c r="Y2362">
        <f t="shared" si="109"/>
        <v>8.2697637999999998</v>
      </c>
      <c r="Z2362">
        <f t="shared" si="110"/>
        <v>67.599763799999991</v>
      </c>
    </row>
    <row r="2363" spans="1:26" x14ac:dyDescent="0.3">
      <c r="A2363" t="s">
        <v>2453</v>
      </c>
      <c r="B2363" t="s">
        <v>63</v>
      </c>
      <c r="C2363" t="s">
        <v>56</v>
      </c>
      <c r="D2363" t="s">
        <v>69</v>
      </c>
      <c r="E2363">
        <v>21</v>
      </c>
      <c r="F2363" s="3">
        <v>8.39</v>
      </c>
      <c r="G2363" s="4">
        <v>81.900000000000006</v>
      </c>
      <c r="H2363">
        <v>1</v>
      </c>
      <c r="I2363">
        <v>2</v>
      </c>
      <c r="J2363">
        <v>4</v>
      </c>
      <c r="K2363" s="4">
        <v>89.8</v>
      </c>
      <c r="L2363" s="4">
        <v>61.1</v>
      </c>
      <c r="M2363" s="4">
        <v>73.2</v>
      </c>
      <c r="N2363">
        <v>0</v>
      </c>
      <c r="O2363" t="s">
        <v>58</v>
      </c>
      <c r="P2363" t="s">
        <v>87</v>
      </c>
      <c r="Q2363" t="s">
        <v>71</v>
      </c>
      <c r="R2363" t="s">
        <v>61</v>
      </c>
      <c r="S2363" s="3">
        <v>5.0199999999999996</v>
      </c>
      <c r="T2363" s="5">
        <v>45978</v>
      </c>
      <c r="U2363">
        <v>1</v>
      </c>
      <c r="V2363">
        <v>2025</v>
      </c>
      <c r="X2363">
        <f t="shared" si="108"/>
        <v>8.3897637000000014</v>
      </c>
      <c r="Y2363">
        <f t="shared" si="109"/>
        <v>5.0197636999999995</v>
      </c>
      <c r="Z2363">
        <f t="shared" si="110"/>
        <v>61.099763700000004</v>
      </c>
    </row>
    <row r="2364" spans="1:26" x14ac:dyDescent="0.3">
      <c r="A2364" t="s">
        <v>2454</v>
      </c>
      <c r="B2364" t="s">
        <v>63</v>
      </c>
      <c r="C2364" t="s">
        <v>68</v>
      </c>
      <c r="D2364" t="s">
        <v>69</v>
      </c>
      <c r="E2364">
        <v>22</v>
      </c>
      <c r="F2364" s="3">
        <v>7.57</v>
      </c>
      <c r="G2364" s="4">
        <v>87.3</v>
      </c>
      <c r="H2364">
        <v>2</v>
      </c>
      <c r="I2364">
        <v>4</v>
      </c>
      <c r="J2364">
        <v>1</v>
      </c>
      <c r="K2364" s="4">
        <v>73.2</v>
      </c>
      <c r="L2364" s="4">
        <v>78.8</v>
      </c>
      <c r="M2364" s="4">
        <v>57.4</v>
      </c>
      <c r="N2364">
        <v>1</v>
      </c>
      <c r="O2364" t="s">
        <v>58</v>
      </c>
      <c r="P2364" t="s">
        <v>95</v>
      </c>
      <c r="Q2364" t="s">
        <v>93</v>
      </c>
      <c r="R2364" t="s">
        <v>85</v>
      </c>
      <c r="S2364" s="3">
        <v>8.02</v>
      </c>
      <c r="T2364" s="5">
        <v>45873</v>
      </c>
      <c r="U2364">
        <v>1</v>
      </c>
      <c r="V2364">
        <v>2025</v>
      </c>
      <c r="X2364">
        <f t="shared" si="108"/>
        <v>7.5697635999999999</v>
      </c>
      <c r="Y2364">
        <f t="shared" si="109"/>
        <v>8.0197635999999992</v>
      </c>
      <c r="Z2364">
        <f t="shared" si="110"/>
        <v>78.799763599999991</v>
      </c>
    </row>
    <row r="2365" spans="1:26" x14ac:dyDescent="0.3">
      <c r="A2365" t="s">
        <v>2455</v>
      </c>
      <c r="B2365" t="s">
        <v>55</v>
      </c>
      <c r="C2365" t="s">
        <v>56</v>
      </c>
      <c r="D2365" t="s">
        <v>69</v>
      </c>
      <c r="E2365">
        <v>20</v>
      </c>
      <c r="F2365" s="3">
        <v>7.5</v>
      </c>
      <c r="G2365" s="4">
        <v>77.2</v>
      </c>
      <c r="H2365">
        <v>2</v>
      </c>
      <c r="I2365">
        <v>3</v>
      </c>
      <c r="J2365">
        <v>3</v>
      </c>
      <c r="K2365" s="4">
        <v>68.5</v>
      </c>
      <c r="L2365" s="4">
        <v>63</v>
      </c>
      <c r="M2365" s="4">
        <v>73.400000000000006</v>
      </c>
      <c r="N2365">
        <v>0</v>
      </c>
      <c r="O2365" t="s">
        <v>58</v>
      </c>
      <c r="P2365" t="s">
        <v>95</v>
      </c>
      <c r="Q2365" t="s">
        <v>93</v>
      </c>
      <c r="R2365" t="s">
        <v>72</v>
      </c>
      <c r="S2365" s="3">
        <v>6.21</v>
      </c>
      <c r="T2365" s="5">
        <v>45512</v>
      </c>
      <c r="U2365">
        <v>3</v>
      </c>
      <c r="V2365">
        <v>2024</v>
      </c>
      <c r="X2365">
        <f t="shared" si="108"/>
        <v>7.4997635000000002</v>
      </c>
      <c r="Y2365">
        <f t="shared" si="109"/>
        <v>6.2097635000000002</v>
      </c>
      <c r="Z2365">
        <f t="shared" si="110"/>
        <v>62.9997635</v>
      </c>
    </row>
    <row r="2366" spans="1:26" x14ac:dyDescent="0.3">
      <c r="A2366" t="s">
        <v>2456</v>
      </c>
      <c r="B2366" t="s">
        <v>67</v>
      </c>
      <c r="C2366" t="s">
        <v>56</v>
      </c>
      <c r="D2366" t="s">
        <v>57</v>
      </c>
      <c r="E2366">
        <v>21</v>
      </c>
      <c r="F2366" s="3">
        <v>8.19</v>
      </c>
      <c r="G2366" s="4">
        <v>78.2</v>
      </c>
      <c r="H2366">
        <v>1</v>
      </c>
      <c r="I2366">
        <v>5</v>
      </c>
      <c r="J2366">
        <v>4</v>
      </c>
      <c r="K2366" s="4">
        <v>67.900000000000006</v>
      </c>
      <c r="L2366" s="4">
        <v>65.8</v>
      </c>
      <c r="M2366" s="4">
        <v>83.7</v>
      </c>
      <c r="N2366">
        <v>0</v>
      </c>
      <c r="O2366" t="s">
        <v>58</v>
      </c>
      <c r="P2366" t="s">
        <v>79</v>
      </c>
      <c r="Q2366" t="s">
        <v>71</v>
      </c>
      <c r="R2366" t="s">
        <v>85</v>
      </c>
      <c r="S2366" s="3">
        <v>5.58</v>
      </c>
      <c r="T2366" s="5">
        <v>45225</v>
      </c>
      <c r="U2366">
        <v>1</v>
      </c>
      <c r="V2366">
        <v>2023</v>
      </c>
      <c r="X2366">
        <f t="shared" si="108"/>
        <v>8.1897634000000004</v>
      </c>
      <c r="Y2366">
        <f t="shared" si="109"/>
        <v>5.5797634</v>
      </c>
      <c r="Z2366">
        <f t="shared" si="110"/>
        <v>65.799763400000003</v>
      </c>
    </row>
    <row r="2367" spans="1:26" x14ac:dyDescent="0.3">
      <c r="A2367" t="s">
        <v>2457</v>
      </c>
      <c r="B2367" t="s">
        <v>82</v>
      </c>
      <c r="C2367" t="s">
        <v>74</v>
      </c>
      <c r="D2367" t="s">
        <v>57</v>
      </c>
      <c r="E2367">
        <v>22</v>
      </c>
      <c r="F2367" s="3">
        <v>7.9</v>
      </c>
      <c r="G2367" s="4">
        <v>68.099999999999994</v>
      </c>
      <c r="H2367">
        <v>1</v>
      </c>
      <c r="I2367">
        <v>4</v>
      </c>
      <c r="J2367">
        <v>5</v>
      </c>
      <c r="K2367" s="4">
        <v>63.6</v>
      </c>
      <c r="L2367" s="4">
        <v>58.1</v>
      </c>
      <c r="M2367" s="4">
        <v>76.2</v>
      </c>
      <c r="N2367">
        <v>0</v>
      </c>
      <c r="O2367" t="s">
        <v>58</v>
      </c>
      <c r="P2367" t="s">
        <v>75</v>
      </c>
      <c r="Q2367" t="s">
        <v>71</v>
      </c>
      <c r="R2367" t="s">
        <v>80</v>
      </c>
      <c r="S2367" s="3">
        <v>4.2</v>
      </c>
      <c r="T2367" s="5">
        <v>44844</v>
      </c>
      <c r="U2367">
        <v>2</v>
      </c>
      <c r="V2367">
        <v>2022</v>
      </c>
      <c r="X2367">
        <f t="shared" si="108"/>
        <v>7.8997633</v>
      </c>
      <c r="Y2367">
        <f t="shared" si="109"/>
        <v>4.1997632999999999</v>
      </c>
      <c r="Z2367">
        <f t="shared" si="110"/>
        <v>58.099763299999999</v>
      </c>
    </row>
    <row r="2368" spans="1:26" x14ac:dyDescent="0.3">
      <c r="A2368" t="s">
        <v>2458</v>
      </c>
      <c r="B2368" t="s">
        <v>67</v>
      </c>
      <c r="C2368" t="s">
        <v>56</v>
      </c>
      <c r="D2368" t="s">
        <v>57</v>
      </c>
      <c r="E2368">
        <v>22</v>
      </c>
      <c r="F2368" s="3">
        <v>7.34</v>
      </c>
      <c r="G2368" s="4">
        <v>73.2</v>
      </c>
      <c r="H2368">
        <v>2</v>
      </c>
      <c r="I2368">
        <v>3</v>
      </c>
      <c r="J2368">
        <v>3</v>
      </c>
      <c r="K2368" s="4">
        <v>41.7</v>
      </c>
      <c r="L2368" s="4">
        <v>79.400000000000006</v>
      </c>
      <c r="M2368" s="4">
        <v>66.8</v>
      </c>
      <c r="N2368">
        <v>0</v>
      </c>
      <c r="O2368" t="s">
        <v>58</v>
      </c>
      <c r="P2368" t="s">
        <v>79</v>
      </c>
      <c r="Q2368" t="s">
        <v>71</v>
      </c>
      <c r="R2368" t="s">
        <v>109</v>
      </c>
      <c r="S2368" s="3">
        <v>6.72</v>
      </c>
      <c r="T2368" s="5">
        <v>45155</v>
      </c>
      <c r="U2368">
        <v>1</v>
      </c>
      <c r="V2368">
        <v>2023</v>
      </c>
      <c r="X2368">
        <f t="shared" si="108"/>
        <v>7.3397632000000002</v>
      </c>
      <c r="Y2368">
        <f t="shared" si="109"/>
        <v>6.7197632</v>
      </c>
      <c r="Z2368">
        <f t="shared" si="110"/>
        <v>79.39976320000001</v>
      </c>
    </row>
    <row r="2369" spans="1:26" x14ac:dyDescent="0.3">
      <c r="A2369" t="s">
        <v>2459</v>
      </c>
      <c r="B2369" t="s">
        <v>55</v>
      </c>
      <c r="C2369" t="s">
        <v>68</v>
      </c>
      <c r="D2369" t="s">
        <v>57</v>
      </c>
      <c r="E2369">
        <v>21</v>
      </c>
      <c r="F2369" s="3">
        <v>7.98</v>
      </c>
      <c r="G2369" s="4">
        <v>86</v>
      </c>
      <c r="H2369">
        <v>2</v>
      </c>
      <c r="I2369">
        <v>4</v>
      </c>
      <c r="J2369">
        <v>4</v>
      </c>
      <c r="K2369" s="4">
        <v>68.599999999999994</v>
      </c>
      <c r="L2369" s="4">
        <v>74.599999999999994</v>
      </c>
      <c r="M2369" s="4">
        <v>82.6</v>
      </c>
      <c r="N2369">
        <v>0</v>
      </c>
      <c r="O2369" t="s">
        <v>58</v>
      </c>
      <c r="P2369" t="s">
        <v>75</v>
      </c>
      <c r="Q2369" t="s">
        <v>71</v>
      </c>
      <c r="R2369" t="s">
        <v>130</v>
      </c>
      <c r="S2369" s="3">
        <v>6.48</v>
      </c>
      <c r="T2369" s="5">
        <v>45526</v>
      </c>
      <c r="U2369">
        <v>1</v>
      </c>
      <c r="V2369">
        <v>2024</v>
      </c>
      <c r="X2369">
        <f t="shared" si="108"/>
        <v>7.9797631000000004</v>
      </c>
      <c r="Y2369">
        <f t="shared" si="109"/>
        <v>6.4797631000000004</v>
      </c>
      <c r="Z2369">
        <f t="shared" si="110"/>
        <v>74.59976309999999</v>
      </c>
    </row>
    <row r="2370" spans="1:26" x14ac:dyDescent="0.3">
      <c r="A2370" t="s">
        <v>2460</v>
      </c>
      <c r="B2370" t="s">
        <v>63</v>
      </c>
      <c r="C2370" t="s">
        <v>56</v>
      </c>
      <c r="D2370" t="s">
        <v>57</v>
      </c>
      <c r="E2370">
        <v>22</v>
      </c>
      <c r="F2370" s="3">
        <v>7.5</v>
      </c>
      <c r="G2370" s="4">
        <v>89.9</v>
      </c>
      <c r="H2370">
        <v>2</v>
      </c>
      <c r="I2370">
        <v>3</v>
      </c>
      <c r="J2370">
        <v>3</v>
      </c>
      <c r="K2370" s="4">
        <v>96.4</v>
      </c>
      <c r="L2370" s="4">
        <v>85.8</v>
      </c>
      <c r="M2370" s="4">
        <v>41.2</v>
      </c>
      <c r="N2370">
        <v>0</v>
      </c>
      <c r="O2370" t="s">
        <v>58</v>
      </c>
      <c r="P2370" t="s">
        <v>59</v>
      </c>
      <c r="Q2370" t="s">
        <v>60</v>
      </c>
      <c r="R2370" t="s">
        <v>61</v>
      </c>
      <c r="S2370" s="3">
        <v>19.61</v>
      </c>
      <c r="T2370" s="5">
        <v>45971</v>
      </c>
      <c r="U2370">
        <v>1</v>
      </c>
      <c r="V2370">
        <v>2025</v>
      </c>
      <c r="X2370">
        <f t="shared" ref="X2370:X2433" si="111">F2370-ROW()*0.0000001</f>
        <v>7.4997629999999997</v>
      </c>
      <c r="Y2370">
        <f t="shared" ref="Y2370:Y2433" si="112">S2370-ROW()*0.0000001</f>
        <v>19.609763000000001</v>
      </c>
      <c r="Z2370">
        <f t="shared" ref="Z2370:Z2433" si="113">L2370-ROW()*0.0000001</f>
        <v>85.799762999999999</v>
      </c>
    </row>
    <row r="2371" spans="1:26" x14ac:dyDescent="0.3">
      <c r="A2371" t="s">
        <v>2461</v>
      </c>
      <c r="B2371" t="s">
        <v>67</v>
      </c>
      <c r="C2371" t="s">
        <v>78</v>
      </c>
      <c r="D2371" t="s">
        <v>69</v>
      </c>
      <c r="E2371">
        <v>22</v>
      </c>
      <c r="F2371" s="3">
        <v>7.11</v>
      </c>
      <c r="G2371" s="4">
        <v>91.9</v>
      </c>
      <c r="H2371">
        <v>1</v>
      </c>
      <c r="I2371">
        <v>3</v>
      </c>
      <c r="J2371">
        <v>4</v>
      </c>
      <c r="K2371" s="4">
        <v>72.099999999999994</v>
      </c>
      <c r="L2371" s="4">
        <v>45.6</v>
      </c>
      <c r="M2371" s="4">
        <v>73.2</v>
      </c>
      <c r="N2371">
        <v>1</v>
      </c>
      <c r="O2371" t="s">
        <v>58</v>
      </c>
      <c r="P2371" t="s">
        <v>95</v>
      </c>
      <c r="Q2371" t="s">
        <v>93</v>
      </c>
      <c r="R2371" t="s">
        <v>85</v>
      </c>
      <c r="S2371" s="3">
        <v>4.6399999999999997</v>
      </c>
      <c r="T2371" s="5">
        <v>45228</v>
      </c>
      <c r="U2371">
        <v>2</v>
      </c>
      <c r="V2371">
        <v>2023</v>
      </c>
      <c r="X2371">
        <f t="shared" si="111"/>
        <v>7.1097629000000007</v>
      </c>
      <c r="Y2371">
        <f t="shared" si="112"/>
        <v>4.6397629</v>
      </c>
      <c r="Z2371">
        <f t="shared" si="113"/>
        <v>45.599762900000002</v>
      </c>
    </row>
    <row r="2372" spans="1:26" x14ac:dyDescent="0.3">
      <c r="A2372" t="s">
        <v>2462</v>
      </c>
      <c r="B2372" t="s">
        <v>63</v>
      </c>
      <c r="C2372" t="s">
        <v>84</v>
      </c>
      <c r="D2372" t="s">
        <v>57</v>
      </c>
      <c r="E2372">
        <v>21</v>
      </c>
      <c r="F2372" s="3">
        <v>7.31</v>
      </c>
      <c r="G2372" s="4">
        <v>100</v>
      </c>
      <c r="H2372">
        <v>3</v>
      </c>
      <c r="I2372">
        <v>3</v>
      </c>
      <c r="J2372">
        <v>4</v>
      </c>
      <c r="K2372" s="4">
        <v>59.3</v>
      </c>
      <c r="L2372" s="4">
        <v>51.7</v>
      </c>
      <c r="M2372" s="4">
        <v>64</v>
      </c>
      <c r="N2372">
        <v>0</v>
      </c>
      <c r="O2372" t="s">
        <v>58</v>
      </c>
      <c r="P2372" t="s">
        <v>112</v>
      </c>
      <c r="Q2372" t="s">
        <v>93</v>
      </c>
      <c r="R2372" t="s">
        <v>76</v>
      </c>
      <c r="S2372" s="3">
        <v>6.99</v>
      </c>
      <c r="T2372" s="5">
        <v>45877</v>
      </c>
      <c r="U2372">
        <v>2</v>
      </c>
      <c r="V2372">
        <v>2025</v>
      </c>
      <c r="X2372">
        <f t="shared" si="111"/>
        <v>7.3097627999999997</v>
      </c>
      <c r="Y2372">
        <f t="shared" si="112"/>
        <v>6.9897628000000003</v>
      </c>
      <c r="Z2372">
        <f t="shared" si="113"/>
        <v>51.699762800000002</v>
      </c>
    </row>
    <row r="2373" spans="1:26" x14ac:dyDescent="0.3">
      <c r="A2373" t="s">
        <v>2463</v>
      </c>
      <c r="B2373" t="s">
        <v>63</v>
      </c>
      <c r="C2373" t="s">
        <v>78</v>
      </c>
      <c r="D2373" t="s">
        <v>69</v>
      </c>
      <c r="E2373">
        <v>22</v>
      </c>
      <c r="F2373" s="3">
        <v>8.09</v>
      </c>
      <c r="G2373" s="4">
        <v>95.4</v>
      </c>
      <c r="H2373">
        <v>2</v>
      </c>
      <c r="I2373">
        <v>3</v>
      </c>
      <c r="J2373">
        <v>2</v>
      </c>
      <c r="K2373" s="4">
        <v>71.599999999999994</v>
      </c>
      <c r="L2373" s="4">
        <v>62.2</v>
      </c>
      <c r="M2373" s="4">
        <v>79.900000000000006</v>
      </c>
      <c r="N2373">
        <v>1</v>
      </c>
      <c r="O2373" t="s">
        <v>58</v>
      </c>
      <c r="P2373" t="s">
        <v>92</v>
      </c>
      <c r="Q2373" t="s">
        <v>93</v>
      </c>
      <c r="R2373" t="s">
        <v>76</v>
      </c>
      <c r="S2373" s="3">
        <v>9.2799999999999994</v>
      </c>
      <c r="T2373" s="5">
        <v>45891</v>
      </c>
      <c r="U2373">
        <v>1</v>
      </c>
      <c r="V2373">
        <v>2025</v>
      </c>
      <c r="X2373">
        <f t="shared" si="111"/>
        <v>8.0897626999999996</v>
      </c>
      <c r="Y2373">
        <f t="shared" si="112"/>
        <v>9.2797626999999991</v>
      </c>
      <c r="Z2373">
        <f t="shared" si="113"/>
        <v>62.199762700000001</v>
      </c>
    </row>
    <row r="2374" spans="1:26" x14ac:dyDescent="0.3">
      <c r="A2374" t="s">
        <v>2464</v>
      </c>
      <c r="B2374" t="s">
        <v>107</v>
      </c>
      <c r="C2374" t="s">
        <v>68</v>
      </c>
      <c r="D2374" t="s">
        <v>69</v>
      </c>
      <c r="E2374">
        <v>22</v>
      </c>
      <c r="F2374" s="3">
        <v>6.81</v>
      </c>
      <c r="G2374" s="4">
        <v>80.599999999999994</v>
      </c>
      <c r="H2374">
        <v>0</v>
      </c>
      <c r="I2374">
        <v>1</v>
      </c>
      <c r="J2374">
        <v>4</v>
      </c>
      <c r="K2374" s="4">
        <v>64.900000000000006</v>
      </c>
      <c r="L2374" s="4">
        <v>86.7</v>
      </c>
      <c r="M2374" s="4">
        <v>43.6</v>
      </c>
      <c r="N2374">
        <v>0</v>
      </c>
      <c r="O2374" t="s">
        <v>58</v>
      </c>
      <c r="P2374" t="s">
        <v>95</v>
      </c>
      <c r="Q2374" t="s">
        <v>93</v>
      </c>
      <c r="R2374" t="s">
        <v>72</v>
      </c>
      <c r="S2374" s="3">
        <v>4.62</v>
      </c>
      <c r="T2374" s="5">
        <v>44448</v>
      </c>
      <c r="U2374">
        <v>1</v>
      </c>
      <c r="V2374">
        <v>2021</v>
      </c>
      <c r="X2374">
        <f t="shared" si="111"/>
        <v>6.8097626</v>
      </c>
      <c r="Y2374">
        <f t="shared" si="112"/>
        <v>4.6197626000000005</v>
      </c>
      <c r="Z2374">
        <f t="shared" si="113"/>
        <v>86.6997626</v>
      </c>
    </row>
    <row r="2375" spans="1:26" x14ac:dyDescent="0.3">
      <c r="A2375" t="s">
        <v>2465</v>
      </c>
      <c r="B2375" t="s">
        <v>67</v>
      </c>
      <c r="C2375" t="s">
        <v>101</v>
      </c>
      <c r="D2375" t="s">
        <v>57</v>
      </c>
      <c r="E2375">
        <v>22</v>
      </c>
      <c r="F2375" s="3">
        <v>8.65</v>
      </c>
      <c r="G2375" s="4">
        <v>73.599999999999994</v>
      </c>
      <c r="H2375">
        <v>1</v>
      </c>
      <c r="I2375">
        <v>2</v>
      </c>
      <c r="J2375">
        <v>3</v>
      </c>
      <c r="K2375" s="4">
        <v>54.1</v>
      </c>
      <c r="L2375" s="4">
        <v>48.6</v>
      </c>
      <c r="M2375" s="4">
        <v>68.400000000000006</v>
      </c>
      <c r="N2375">
        <v>0</v>
      </c>
      <c r="O2375" t="s">
        <v>58</v>
      </c>
      <c r="P2375" t="s">
        <v>104</v>
      </c>
      <c r="Q2375" t="s">
        <v>105</v>
      </c>
      <c r="R2375" t="s">
        <v>109</v>
      </c>
      <c r="S2375" s="3">
        <v>14.49</v>
      </c>
      <c r="T2375" s="5">
        <v>45247</v>
      </c>
      <c r="U2375">
        <v>3</v>
      </c>
      <c r="V2375">
        <v>2023</v>
      </c>
      <c r="X2375">
        <f t="shared" si="111"/>
        <v>8.6497624999999996</v>
      </c>
      <c r="Y2375">
        <f t="shared" si="112"/>
        <v>14.489762499999999</v>
      </c>
      <c r="Z2375">
        <f t="shared" si="113"/>
        <v>48.599762500000004</v>
      </c>
    </row>
    <row r="2376" spans="1:26" x14ac:dyDescent="0.3">
      <c r="A2376" t="s">
        <v>2466</v>
      </c>
      <c r="B2376" t="s">
        <v>67</v>
      </c>
      <c r="C2376" t="s">
        <v>78</v>
      </c>
      <c r="D2376" t="s">
        <v>69</v>
      </c>
      <c r="E2376">
        <v>22</v>
      </c>
      <c r="F2376" s="3">
        <v>7.15</v>
      </c>
      <c r="G2376" s="4">
        <v>79.7</v>
      </c>
      <c r="H2376">
        <v>1</v>
      </c>
      <c r="I2376">
        <v>1</v>
      </c>
      <c r="J2376">
        <v>2</v>
      </c>
      <c r="K2376" s="4">
        <v>52.3</v>
      </c>
      <c r="L2376" s="4">
        <v>57.3</v>
      </c>
      <c r="M2376" s="4">
        <v>66.3</v>
      </c>
      <c r="N2376">
        <v>0</v>
      </c>
      <c r="O2376" t="s">
        <v>58</v>
      </c>
      <c r="P2376" t="s">
        <v>90</v>
      </c>
      <c r="Q2376" t="s">
        <v>60</v>
      </c>
      <c r="R2376" t="s">
        <v>130</v>
      </c>
      <c r="S2376" s="3">
        <v>8.15</v>
      </c>
      <c r="T2376" s="5">
        <v>45160</v>
      </c>
      <c r="U2376">
        <v>1</v>
      </c>
      <c r="V2376">
        <v>2023</v>
      </c>
      <c r="X2376">
        <f t="shared" si="111"/>
        <v>7.1497624000000002</v>
      </c>
      <c r="Y2376">
        <f t="shared" si="112"/>
        <v>8.1497624000000002</v>
      </c>
      <c r="Z2376">
        <f t="shared" si="113"/>
        <v>57.299762399999999</v>
      </c>
    </row>
    <row r="2377" spans="1:26" x14ac:dyDescent="0.3">
      <c r="A2377" t="s">
        <v>2467</v>
      </c>
      <c r="B2377" t="s">
        <v>63</v>
      </c>
      <c r="C2377" t="s">
        <v>56</v>
      </c>
      <c r="D2377" t="s">
        <v>57</v>
      </c>
      <c r="E2377">
        <v>23</v>
      </c>
      <c r="F2377" s="3">
        <v>5.62</v>
      </c>
      <c r="G2377" s="4">
        <v>77</v>
      </c>
      <c r="H2377">
        <v>2</v>
      </c>
      <c r="I2377">
        <v>0</v>
      </c>
      <c r="J2377">
        <v>4</v>
      </c>
      <c r="K2377" s="4">
        <v>68.5</v>
      </c>
      <c r="L2377" s="4">
        <v>91.3</v>
      </c>
      <c r="M2377" s="4">
        <v>84.9</v>
      </c>
      <c r="N2377">
        <v>0</v>
      </c>
      <c r="O2377" t="s">
        <v>64</v>
      </c>
      <c r="P2377" t="s">
        <v>65</v>
      </c>
      <c r="S2377" s="3">
        <v>0</v>
      </c>
      <c r="T2377" s="5"/>
      <c r="U2377">
        <v>0</v>
      </c>
      <c r="V2377">
        <v>2025</v>
      </c>
      <c r="X2377">
        <f t="shared" si="111"/>
        <v>5.6197623000000005</v>
      </c>
      <c r="Y2377">
        <f t="shared" si="112"/>
        <v>-2.3769999999999998E-4</v>
      </c>
      <c r="Z2377">
        <f t="shared" si="113"/>
        <v>91.299762299999998</v>
      </c>
    </row>
    <row r="2378" spans="1:26" x14ac:dyDescent="0.3">
      <c r="A2378" t="s">
        <v>2468</v>
      </c>
      <c r="B2378" t="s">
        <v>55</v>
      </c>
      <c r="C2378" t="s">
        <v>74</v>
      </c>
      <c r="D2378" t="s">
        <v>69</v>
      </c>
      <c r="E2378">
        <v>21</v>
      </c>
      <c r="F2378" s="3">
        <v>8.15</v>
      </c>
      <c r="G2378" s="4">
        <v>83.5</v>
      </c>
      <c r="H2378">
        <v>0</v>
      </c>
      <c r="I2378">
        <v>2</v>
      </c>
      <c r="J2378">
        <v>3</v>
      </c>
      <c r="K2378" s="4">
        <v>47.5</v>
      </c>
      <c r="L2378" s="4">
        <v>77.900000000000006</v>
      </c>
      <c r="M2378" s="4">
        <v>64.5</v>
      </c>
      <c r="N2378">
        <v>1</v>
      </c>
      <c r="O2378" t="s">
        <v>58</v>
      </c>
      <c r="P2378" t="s">
        <v>112</v>
      </c>
      <c r="Q2378" t="s">
        <v>93</v>
      </c>
      <c r="R2378" t="s">
        <v>72</v>
      </c>
      <c r="S2378" s="3">
        <v>7.66</v>
      </c>
      <c r="T2378" s="5">
        <v>45509</v>
      </c>
      <c r="U2378">
        <v>1</v>
      </c>
      <c r="V2378">
        <v>2024</v>
      </c>
      <c r="X2378">
        <f t="shared" si="111"/>
        <v>8.1497621999999996</v>
      </c>
      <c r="Y2378">
        <f t="shared" si="112"/>
        <v>7.6597622000000003</v>
      </c>
      <c r="Z2378">
        <f t="shared" si="113"/>
        <v>77.899762200000012</v>
      </c>
    </row>
    <row r="2379" spans="1:26" x14ac:dyDescent="0.3">
      <c r="A2379" t="s">
        <v>2469</v>
      </c>
      <c r="B2379" t="s">
        <v>107</v>
      </c>
      <c r="C2379" t="s">
        <v>101</v>
      </c>
      <c r="D2379" t="s">
        <v>57</v>
      </c>
      <c r="E2379">
        <v>23</v>
      </c>
      <c r="F2379" s="3">
        <v>5.22</v>
      </c>
      <c r="G2379" s="4">
        <v>90</v>
      </c>
      <c r="H2379">
        <v>1</v>
      </c>
      <c r="I2379">
        <v>4</v>
      </c>
      <c r="J2379">
        <v>5</v>
      </c>
      <c r="K2379" s="4">
        <v>68.2</v>
      </c>
      <c r="L2379" s="4">
        <v>86.2</v>
      </c>
      <c r="M2379" s="4">
        <v>71.3</v>
      </c>
      <c r="N2379">
        <v>0</v>
      </c>
      <c r="O2379" t="s">
        <v>64</v>
      </c>
      <c r="P2379" t="s">
        <v>65</v>
      </c>
      <c r="S2379" s="3">
        <v>0</v>
      </c>
      <c r="T2379" s="5"/>
      <c r="U2379">
        <v>0</v>
      </c>
      <c r="V2379">
        <v>2021</v>
      </c>
      <c r="X2379">
        <f t="shared" si="111"/>
        <v>5.2197620999999996</v>
      </c>
      <c r="Y2379">
        <f t="shared" si="112"/>
        <v>-2.3789999999999998E-4</v>
      </c>
      <c r="Z2379">
        <f t="shared" si="113"/>
        <v>86.199762100000001</v>
      </c>
    </row>
    <row r="2380" spans="1:26" x14ac:dyDescent="0.3">
      <c r="A2380" t="s">
        <v>2470</v>
      </c>
      <c r="B2380" t="s">
        <v>63</v>
      </c>
      <c r="C2380" t="s">
        <v>74</v>
      </c>
      <c r="D2380" t="s">
        <v>57</v>
      </c>
      <c r="E2380">
        <v>23</v>
      </c>
      <c r="F2380" s="3">
        <v>6.74</v>
      </c>
      <c r="G2380" s="4">
        <v>86.3</v>
      </c>
      <c r="H2380">
        <v>1</v>
      </c>
      <c r="I2380">
        <v>2</v>
      </c>
      <c r="J2380">
        <v>2</v>
      </c>
      <c r="K2380" s="4">
        <v>66.8</v>
      </c>
      <c r="L2380" s="4">
        <v>68.599999999999994</v>
      </c>
      <c r="M2380" s="4">
        <v>74.900000000000006</v>
      </c>
      <c r="N2380">
        <v>0</v>
      </c>
      <c r="O2380" t="s">
        <v>58</v>
      </c>
      <c r="P2380" t="s">
        <v>87</v>
      </c>
      <c r="Q2380" t="s">
        <v>71</v>
      </c>
      <c r="R2380" t="s">
        <v>109</v>
      </c>
      <c r="S2380" s="3">
        <v>5.18</v>
      </c>
      <c r="T2380" s="5">
        <v>45929</v>
      </c>
      <c r="U2380">
        <v>2</v>
      </c>
      <c r="V2380">
        <v>2025</v>
      </c>
      <c r="X2380">
        <f t="shared" si="111"/>
        <v>6.7397619999999998</v>
      </c>
      <c r="Y2380">
        <f t="shared" si="112"/>
        <v>5.1797619999999993</v>
      </c>
      <c r="Z2380">
        <f t="shared" si="113"/>
        <v>68.599761999999998</v>
      </c>
    </row>
    <row r="2381" spans="1:26" x14ac:dyDescent="0.3">
      <c r="A2381" t="s">
        <v>2471</v>
      </c>
      <c r="B2381" t="s">
        <v>82</v>
      </c>
      <c r="C2381" t="s">
        <v>56</v>
      </c>
      <c r="D2381" t="s">
        <v>57</v>
      </c>
      <c r="E2381">
        <v>20</v>
      </c>
      <c r="F2381" s="3">
        <v>9.83</v>
      </c>
      <c r="G2381" s="4">
        <v>96.2</v>
      </c>
      <c r="H2381">
        <v>0</v>
      </c>
      <c r="I2381">
        <v>0</v>
      </c>
      <c r="J2381">
        <v>5</v>
      </c>
      <c r="K2381" s="4">
        <v>78.099999999999994</v>
      </c>
      <c r="L2381" s="4">
        <v>96.5</v>
      </c>
      <c r="M2381" s="4">
        <v>73.7</v>
      </c>
      <c r="N2381">
        <v>2</v>
      </c>
      <c r="O2381" t="s">
        <v>58</v>
      </c>
      <c r="P2381" t="s">
        <v>104</v>
      </c>
      <c r="Q2381" t="s">
        <v>105</v>
      </c>
      <c r="R2381" t="s">
        <v>85</v>
      </c>
      <c r="S2381" s="3">
        <v>16.93</v>
      </c>
      <c r="T2381" s="5">
        <v>44793</v>
      </c>
      <c r="U2381">
        <v>2</v>
      </c>
      <c r="V2381">
        <v>2022</v>
      </c>
      <c r="X2381">
        <f t="shared" si="111"/>
        <v>9.8297618999999994</v>
      </c>
      <c r="Y2381">
        <f t="shared" si="112"/>
        <v>16.929761899999999</v>
      </c>
      <c r="Z2381">
        <f t="shared" si="113"/>
        <v>96.499761899999996</v>
      </c>
    </row>
    <row r="2382" spans="1:26" x14ac:dyDescent="0.3">
      <c r="A2382" t="s">
        <v>2472</v>
      </c>
      <c r="B2382" t="s">
        <v>82</v>
      </c>
      <c r="C2382" t="s">
        <v>78</v>
      </c>
      <c r="D2382" t="s">
        <v>57</v>
      </c>
      <c r="E2382">
        <v>23</v>
      </c>
      <c r="F2382" s="3">
        <v>8.6</v>
      </c>
      <c r="G2382" s="4">
        <v>85.6</v>
      </c>
      <c r="H2382">
        <v>1</v>
      </c>
      <c r="I2382">
        <v>3</v>
      </c>
      <c r="J2382">
        <v>2</v>
      </c>
      <c r="K2382" s="4">
        <v>65.8</v>
      </c>
      <c r="L2382" s="4">
        <v>48.2</v>
      </c>
      <c r="M2382" s="4">
        <v>73.5</v>
      </c>
      <c r="N2382">
        <v>0</v>
      </c>
      <c r="O2382" t="s">
        <v>64</v>
      </c>
      <c r="P2382" t="s">
        <v>65</v>
      </c>
      <c r="S2382" s="3">
        <v>0</v>
      </c>
      <c r="T2382" s="5"/>
      <c r="U2382">
        <v>0</v>
      </c>
      <c r="V2382">
        <v>2022</v>
      </c>
      <c r="X2382">
        <f t="shared" si="111"/>
        <v>8.5997617999999996</v>
      </c>
      <c r="Y2382">
        <f t="shared" si="112"/>
        <v>-2.3819999999999999E-4</v>
      </c>
      <c r="Z2382">
        <f t="shared" si="113"/>
        <v>48.199761800000005</v>
      </c>
    </row>
    <row r="2383" spans="1:26" x14ac:dyDescent="0.3">
      <c r="A2383" t="s">
        <v>2473</v>
      </c>
      <c r="B2383" t="s">
        <v>107</v>
      </c>
      <c r="C2383" t="s">
        <v>101</v>
      </c>
      <c r="D2383" t="s">
        <v>57</v>
      </c>
      <c r="E2383">
        <v>23</v>
      </c>
      <c r="F2383" s="3">
        <v>8.5299999999999994</v>
      </c>
      <c r="G2383" s="4">
        <v>70.5</v>
      </c>
      <c r="H2383">
        <v>2</v>
      </c>
      <c r="I2383">
        <v>4</v>
      </c>
      <c r="J2383">
        <v>3</v>
      </c>
      <c r="K2383" s="4">
        <v>53.3</v>
      </c>
      <c r="L2383" s="4">
        <v>66.8</v>
      </c>
      <c r="M2383" s="4">
        <v>74.7</v>
      </c>
      <c r="N2383">
        <v>0</v>
      </c>
      <c r="O2383" t="s">
        <v>58</v>
      </c>
      <c r="P2383" t="s">
        <v>92</v>
      </c>
      <c r="Q2383" t="s">
        <v>93</v>
      </c>
      <c r="R2383" t="s">
        <v>130</v>
      </c>
      <c r="S2383" s="3">
        <v>8.9499999999999993</v>
      </c>
      <c r="T2383" s="5">
        <v>44442</v>
      </c>
      <c r="U2383">
        <v>1</v>
      </c>
      <c r="V2383">
        <v>2021</v>
      </c>
      <c r="X2383">
        <f t="shared" si="111"/>
        <v>8.5297616999999999</v>
      </c>
      <c r="Y2383">
        <f t="shared" si="112"/>
        <v>8.9497616999999998</v>
      </c>
      <c r="Z2383">
        <f t="shared" si="113"/>
        <v>66.799761699999991</v>
      </c>
    </row>
    <row r="2384" spans="1:26" x14ac:dyDescent="0.3">
      <c r="A2384" t="s">
        <v>2474</v>
      </c>
      <c r="B2384" t="s">
        <v>55</v>
      </c>
      <c r="C2384" t="s">
        <v>56</v>
      </c>
      <c r="D2384" t="s">
        <v>57</v>
      </c>
      <c r="E2384">
        <v>20</v>
      </c>
      <c r="F2384" s="3">
        <v>6.64</v>
      </c>
      <c r="G2384" s="4">
        <v>76.900000000000006</v>
      </c>
      <c r="H2384">
        <v>1</v>
      </c>
      <c r="I2384">
        <v>3</v>
      </c>
      <c r="J2384">
        <v>4</v>
      </c>
      <c r="K2384" s="4">
        <v>70.2</v>
      </c>
      <c r="L2384" s="4">
        <v>65.599999999999994</v>
      </c>
      <c r="M2384" s="4">
        <v>74</v>
      </c>
      <c r="N2384">
        <v>0</v>
      </c>
      <c r="O2384" t="s">
        <v>58</v>
      </c>
      <c r="P2384" t="s">
        <v>75</v>
      </c>
      <c r="Q2384" t="s">
        <v>71</v>
      </c>
      <c r="R2384" t="s">
        <v>85</v>
      </c>
      <c r="S2384" s="3">
        <v>3.92</v>
      </c>
      <c r="T2384" s="5">
        <v>45603</v>
      </c>
      <c r="U2384">
        <v>1</v>
      </c>
      <c r="V2384">
        <v>2024</v>
      </c>
      <c r="X2384">
        <f t="shared" si="111"/>
        <v>6.6397615999999999</v>
      </c>
      <c r="Y2384">
        <f t="shared" si="112"/>
        <v>3.9197615999999997</v>
      </c>
      <c r="Z2384">
        <f t="shared" si="113"/>
        <v>65.599761599999994</v>
      </c>
    </row>
    <row r="2385" spans="1:26" x14ac:dyDescent="0.3">
      <c r="A2385" t="s">
        <v>2475</v>
      </c>
      <c r="B2385" t="s">
        <v>63</v>
      </c>
      <c r="C2385" t="s">
        <v>68</v>
      </c>
      <c r="D2385" t="s">
        <v>57</v>
      </c>
      <c r="E2385">
        <v>22</v>
      </c>
      <c r="F2385" s="3">
        <v>7.48</v>
      </c>
      <c r="G2385" s="4">
        <v>85.6</v>
      </c>
      <c r="H2385">
        <v>1</v>
      </c>
      <c r="I2385">
        <v>3</v>
      </c>
      <c r="J2385">
        <v>3</v>
      </c>
      <c r="K2385" s="4">
        <v>82.6</v>
      </c>
      <c r="L2385" s="4">
        <v>65.7</v>
      </c>
      <c r="M2385" s="4">
        <v>100</v>
      </c>
      <c r="N2385">
        <v>0</v>
      </c>
      <c r="O2385" t="s">
        <v>58</v>
      </c>
      <c r="P2385" t="s">
        <v>75</v>
      </c>
      <c r="Q2385" t="s">
        <v>71</v>
      </c>
      <c r="R2385" t="s">
        <v>61</v>
      </c>
      <c r="S2385" s="3">
        <v>5</v>
      </c>
      <c r="T2385" s="5">
        <v>45905</v>
      </c>
      <c r="U2385">
        <v>3</v>
      </c>
      <c r="V2385">
        <v>2025</v>
      </c>
      <c r="X2385">
        <f t="shared" si="111"/>
        <v>7.4797615000000004</v>
      </c>
      <c r="Y2385">
        <f t="shared" si="112"/>
        <v>4.9997615</v>
      </c>
      <c r="Z2385">
        <f t="shared" si="113"/>
        <v>65.699761500000008</v>
      </c>
    </row>
    <row r="2386" spans="1:26" x14ac:dyDescent="0.3">
      <c r="A2386" t="s">
        <v>2476</v>
      </c>
      <c r="B2386" t="s">
        <v>67</v>
      </c>
      <c r="C2386" t="s">
        <v>56</v>
      </c>
      <c r="D2386" t="s">
        <v>69</v>
      </c>
      <c r="E2386">
        <v>22</v>
      </c>
      <c r="F2386" s="3">
        <v>8.77</v>
      </c>
      <c r="G2386" s="4">
        <v>84.1</v>
      </c>
      <c r="H2386">
        <v>1</v>
      </c>
      <c r="I2386">
        <v>1</v>
      </c>
      <c r="J2386">
        <v>6</v>
      </c>
      <c r="K2386" s="4">
        <v>60.6</v>
      </c>
      <c r="L2386" s="4">
        <v>51.2</v>
      </c>
      <c r="M2386" s="4">
        <v>52.5</v>
      </c>
      <c r="N2386">
        <v>0</v>
      </c>
      <c r="O2386" t="s">
        <v>58</v>
      </c>
      <c r="P2386" t="s">
        <v>87</v>
      </c>
      <c r="Q2386" t="s">
        <v>71</v>
      </c>
      <c r="R2386" t="s">
        <v>76</v>
      </c>
      <c r="S2386" s="3">
        <v>5.37</v>
      </c>
      <c r="T2386" s="5">
        <v>45221</v>
      </c>
      <c r="U2386">
        <v>2</v>
      </c>
      <c r="V2386">
        <v>2023</v>
      </c>
      <c r="X2386">
        <f t="shared" si="111"/>
        <v>8.7697614000000002</v>
      </c>
      <c r="Y2386">
        <f t="shared" si="112"/>
        <v>5.3697613999999998</v>
      </c>
      <c r="Z2386">
        <f t="shared" si="113"/>
        <v>51.1997614</v>
      </c>
    </row>
    <row r="2387" spans="1:26" x14ac:dyDescent="0.3">
      <c r="A2387" t="s">
        <v>2477</v>
      </c>
      <c r="B2387" t="s">
        <v>107</v>
      </c>
      <c r="C2387" t="s">
        <v>78</v>
      </c>
      <c r="D2387" t="s">
        <v>69</v>
      </c>
      <c r="E2387">
        <v>23</v>
      </c>
      <c r="F2387" s="3">
        <v>8.23</v>
      </c>
      <c r="G2387" s="4">
        <v>93.8</v>
      </c>
      <c r="H2387">
        <v>1</v>
      </c>
      <c r="I2387">
        <v>1</v>
      </c>
      <c r="J2387">
        <v>4</v>
      </c>
      <c r="K2387" s="4">
        <v>90.5</v>
      </c>
      <c r="L2387" s="4">
        <v>78.3</v>
      </c>
      <c r="M2387" s="4">
        <v>64.5</v>
      </c>
      <c r="N2387">
        <v>1</v>
      </c>
      <c r="O2387" t="s">
        <v>58</v>
      </c>
      <c r="P2387" t="s">
        <v>59</v>
      </c>
      <c r="Q2387" t="s">
        <v>60</v>
      </c>
      <c r="R2387" t="s">
        <v>72</v>
      </c>
      <c r="S2387" s="3">
        <v>19.09</v>
      </c>
      <c r="T2387" s="5">
        <v>44500</v>
      </c>
      <c r="U2387">
        <v>3</v>
      </c>
      <c r="V2387">
        <v>2021</v>
      </c>
      <c r="X2387">
        <f t="shared" si="111"/>
        <v>8.2297612999999998</v>
      </c>
      <c r="Y2387">
        <f t="shared" si="112"/>
        <v>19.089761299999999</v>
      </c>
      <c r="Z2387">
        <f t="shared" si="113"/>
        <v>78.2997613</v>
      </c>
    </row>
    <row r="2388" spans="1:26" x14ac:dyDescent="0.3">
      <c r="A2388" t="s">
        <v>2478</v>
      </c>
      <c r="B2388" t="s">
        <v>55</v>
      </c>
      <c r="C2388" t="s">
        <v>74</v>
      </c>
      <c r="D2388" t="s">
        <v>57</v>
      </c>
      <c r="E2388">
        <v>20</v>
      </c>
      <c r="F2388" s="3">
        <v>8.67</v>
      </c>
      <c r="G2388" s="4">
        <v>82.1</v>
      </c>
      <c r="H2388">
        <v>1</v>
      </c>
      <c r="I2388">
        <v>2</v>
      </c>
      <c r="J2388">
        <v>3</v>
      </c>
      <c r="K2388" s="4">
        <v>69.599999999999994</v>
      </c>
      <c r="L2388" s="4">
        <v>51.6</v>
      </c>
      <c r="M2388" s="4">
        <v>73.400000000000006</v>
      </c>
      <c r="N2388">
        <v>0</v>
      </c>
      <c r="O2388" t="s">
        <v>58</v>
      </c>
      <c r="P2388" t="s">
        <v>87</v>
      </c>
      <c r="Q2388" t="s">
        <v>71</v>
      </c>
      <c r="R2388" t="s">
        <v>109</v>
      </c>
      <c r="S2388" s="3">
        <v>5.45</v>
      </c>
      <c r="T2388" s="5">
        <v>45575</v>
      </c>
      <c r="U2388">
        <v>1</v>
      </c>
      <c r="V2388">
        <v>2024</v>
      </c>
      <c r="X2388">
        <f t="shared" si="111"/>
        <v>8.6697611999999999</v>
      </c>
      <c r="Y2388">
        <f t="shared" si="112"/>
        <v>5.4497612000000002</v>
      </c>
      <c r="Z2388">
        <f t="shared" si="113"/>
        <v>51.599761200000003</v>
      </c>
    </row>
    <row r="2389" spans="1:26" x14ac:dyDescent="0.3">
      <c r="A2389" t="s">
        <v>2479</v>
      </c>
      <c r="B2389" t="s">
        <v>67</v>
      </c>
      <c r="C2389" t="s">
        <v>74</v>
      </c>
      <c r="D2389" t="s">
        <v>69</v>
      </c>
      <c r="E2389">
        <v>22</v>
      </c>
      <c r="F2389" s="3">
        <v>9.25</v>
      </c>
      <c r="G2389" s="4">
        <v>80.400000000000006</v>
      </c>
      <c r="H2389">
        <v>0</v>
      </c>
      <c r="I2389">
        <v>0</v>
      </c>
      <c r="J2389">
        <v>6</v>
      </c>
      <c r="K2389" s="4">
        <v>63</v>
      </c>
      <c r="L2389" s="4">
        <v>50</v>
      </c>
      <c r="M2389" s="4">
        <v>87.4</v>
      </c>
      <c r="N2389">
        <v>0</v>
      </c>
      <c r="O2389" t="s">
        <v>58</v>
      </c>
      <c r="P2389" t="s">
        <v>70</v>
      </c>
      <c r="Q2389" t="s">
        <v>71</v>
      </c>
      <c r="R2389" t="s">
        <v>80</v>
      </c>
      <c r="S2389" s="3">
        <v>5.83</v>
      </c>
      <c r="T2389" s="5">
        <v>45243</v>
      </c>
      <c r="U2389">
        <v>3</v>
      </c>
      <c r="V2389">
        <v>2023</v>
      </c>
      <c r="X2389">
        <f t="shared" si="111"/>
        <v>9.2497611000000006</v>
      </c>
      <c r="Y2389">
        <f t="shared" si="112"/>
        <v>5.8297610999999998</v>
      </c>
      <c r="Z2389">
        <f t="shared" si="113"/>
        <v>49.999761100000001</v>
      </c>
    </row>
    <row r="2390" spans="1:26" x14ac:dyDescent="0.3">
      <c r="A2390" t="s">
        <v>2480</v>
      </c>
      <c r="B2390" t="s">
        <v>82</v>
      </c>
      <c r="C2390" t="s">
        <v>101</v>
      </c>
      <c r="D2390" t="s">
        <v>69</v>
      </c>
      <c r="E2390">
        <v>20</v>
      </c>
      <c r="F2390" s="3">
        <v>8.24</v>
      </c>
      <c r="G2390" s="4">
        <v>67.8</v>
      </c>
      <c r="H2390">
        <v>1</v>
      </c>
      <c r="I2390">
        <v>0</v>
      </c>
      <c r="J2390">
        <v>3</v>
      </c>
      <c r="K2390" s="4">
        <v>59.2</v>
      </c>
      <c r="L2390" s="4">
        <v>31.1</v>
      </c>
      <c r="M2390" s="4">
        <v>85.4</v>
      </c>
      <c r="N2390">
        <v>0</v>
      </c>
      <c r="O2390" t="s">
        <v>58</v>
      </c>
      <c r="P2390" t="s">
        <v>87</v>
      </c>
      <c r="Q2390" t="s">
        <v>71</v>
      </c>
      <c r="R2390" t="s">
        <v>109</v>
      </c>
      <c r="S2390" s="3">
        <v>3.73</v>
      </c>
      <c r="T2390" s="5">
        <v>44811</v>
      </c>
      <c r="U2390">
        <v>1</v>
      </c>
      <c r="V2390">
        <v>2022</v>
      </c>
      <c r="X2390">
        <f t="shared" si="111"/>
        <v>8.2397609999999997</v>
      </c>
      <c r="Y2390">
        <f t="shared" si="112"/>
        <v>3.7297609999999999</v>
      </c>
      <c r="Z2390">
        <f t="shared" si="113"/>
        <v>31.099761000000001</v>
      </c>
    </row>
    <row r="2391" spans="1:26" x14ac:dyDescent="0.3">
      <c r="A2391" t="s">
        <v>2481</v>
      </c>
      <c r="B2391" t="s">
        <v>82</v>
      </c>
      <c r="C2391" t="s">
        <v>68</v>
      </c>
      <c r="D2391" t="s">
        <v>69</v>
      </c>
      <c r="E2391">
        <v>21</v>
      </c>
      <c r="F2391" s="3">
        <v>6.54</v>
      </c>
      <c r="G2391" s="4">
        <v>74.7</v>
      </c>
      <c r="H2391">
        <v>2</v>
      </c>
      <c r="I2391">
        <v>4</v>
      </c>
      <c r="J2391">
        <v>3</v>
      </c>
      <c r="K2391" s="4">
        <v>70.7</v>
      </c>
      <c r="L2391" s="4">
        <v>58.9</v>
      </c>
      <c r="M2391" s="4">
        <v>86.5</v>
      </c>
      <c r="N2391">
        <v>0</v>
      </c>
      <c r="O2391" t="s">
        <v>58</v>
      </c>
      <c r="P2391" t="s">
        <v>59</v>
      </c>
      <c r="Q2391" t="s">
        <v>60</v>
      </c>
      <c r="R2391" t="s">
        <v>130</v>
      </c>
      <c r="S2391" s="3">
        <v>18.61</v>
      </c>
      <c r="T2391" s="5">
        <v>44840</v>
      </c>
      <c r="U2391">
        <v>1</v>
      </c>
      <c r="V2391">
        <v>2022</v>
      </c>
      <c r="X2391">
        <f t="shared" si="111"/>
        <v>6.5397609000000001</v>
      </c>
      <c r="Y2391">
        <f t="shared" si="112"/>
        <v>18.609760899999998</v>
      </c>
      <c r="Z2391">
        <f t="shared" si="113"/>
        <v>58.899760899999997</v>
      </c>
    </row>
    <row r="2392" spans="1:26" x14ac:dyDescent="0.3">
      <c r="A2392" t="s">
        <v>2482</v>
      </c>
      <c r="B2392" t="s">
        <v>67</v>
      </c>
      <c r="C2392" t="s">
        <v>78</v>
      </c>
      <c r="D2392" t="s">
        <v>57</v>
      </c>
      <c r="E2392">
        <v>21</v>
      </c>
      <c r="F2392" s="3">
        <v>8.19</v>
      </c>
      <c r="G2392" s="4">
        <v>84.8</v>
      </c>
      <c r="H2392">
        <v>1</v>
      </c>
      <c r="I2392">
        <v>3</v>
      </c>
      <c r="J2392">
        <v>4</v>
      </c>
      <c r="K2392" s="4">
        <v>66.7</v>
      </c>
      <c r="L2392" s="4">
        <v>72.2</v>
      </c>
      <c r="M2392" s="4">
        <v>73.599999999999994</v>
      </c>
      <c r="N2392">
        <v>2</v>
      </c>
      <c r="O2392" t="s">
        <v>58</v>
      </c>
      <c r="P2392" t="s">
        <v>95</v>
      </c>
      <c r="Q2392" t="s">
        <v>93</v>
      </c>
      <c r="R2392" t="s">
        <v>61</v>
      </c>
      <c r="S2392" s="3">
        <v>6.81</v>
      </c>
      <c r="T2392" s="5">
        <v>45170</v>
      </c>
      <c r="U2392">
        <v>1</v>
      </c>
      <c r="V2392">
        <v>2023</v>
      </c>
      <c r="X2392">
        <f t="shared" si="111"/>
        <v>8.1897608000000002</v>
      </c>
      <c r="Y2392">
        <f t="shared" si="112"/>
        <v>6.8097607999999994</v>
      </c>
      <c r="Z2392">
        <f t="shared" si="113"/>
        <v>72.199760800000007</v>
      </c>
    </row>
    <row r="2393" spans="1:26" x14ac:dyDescent="0.3">
      <c r="A2393" t="s">
        <v>2483</v>
      </c>
      <c r="B2393" t="s">
        <v>107</v>
      </c>
      <c r="C2393" t="s">
        <v>74</v>
      </c>
      <c r="D2393" t="s">
        <v>57</v>
      </c>
      <c r="E2393">
        <v>21</v>
      </c>
      <c r="F2393" s="3">
        <v>7.44</v>
      </c>
      <c r="G2393" s="4">
        <v>83.9</v>
      </c>
      <c r="H2393">
        <v>2</v>
      </c>
      <c r="I2393">
        <v>1</v>
      </c>
      <c r="J2393">
        <v>6</v>
      </c>
      <c r="K2393" s="4">
        <v>50</v>
      </c>
      <c r="L2393" s="4">
        <v>74.3</v>
      </c>
      <c r="M2393" s="4">
        <v>88.9</v>
      </c>
      <c r="N2393">
        <v>0</v>
      </c>
      <c r="O2393" t="s">
        <v>58</v>
      </c>
      <c r="P2393" t="s">
        <v>59</v>
      </c>
      <c r="Q2393" t="s">
        <v>60</v>
      </c>
      <c r="R2393" t="s">
        <v>76</v>
      </c>
      <c r="S2393" s="3">
        <v>20.27</v>
      </c>
      <c r="T2393" s="5">
        <v>44454</v>
      </c>
      <c r="U2393">
        <v>1</v>
      </c>
      <c r="V2393">
        <v>2021</v>
      </c>
      <c r="X2393">
        <f t="shared" si="111"/>
        <v>7.4397607000000008</v>
      </c>
      <c r="Y2393">
        <f t="shared" si="112"/>
        <v>20.269760699999999</v>
      </c>
      <c r="Z2393">
        <f t="shared" si="113"/>
        <v>74.299760699999993</v>
      </c>
    </row>
    <row r="2394" spans="1:26" x14ac:dyDescent="0.3">
      <c r="A2394" t="s">
        <v>2484</v>
      </c>
      <c r="B2394" t="s">
        <v>82</v>
      </c>
      <c r="C2394" t="s">
        <v>74</v>
      </c>
      <c r="D2394" t="s">
        <v>57</v>
      </c>
      <c r="E2394">
        <v>21</v>
      </c>
      <c r="F2394" s="3">
        <v>6.49</v>
      </c>
      <c r="G2394" s="4">
        <v>87.4</v>
      </c>
      <c r="H2394">
        <v>1</v>
      </c>
      <c r="I2394">
        <v>1</v>
      </c>
      <c r="J2394">
        <v>4</v>
      </c>
      <c r="K2394" s="4">
        <v>90.3</v>
      </c>
      <c r="L2394" s="4">
        <v>66.599999999999994</v>
      </c>
      <c r="M2394" s="4">
        <v>66.8</v>
      </c>
      <c r="N2394">
        <v>3</v>
      </c>
      <c r="O2394" t="s">
        <v>64</v>
      </c>
      <c r="P2394" t="s">
        <v>65</v>
      </c>
      <c r="S2394" s="3">
        <v>0</v>
      </c>
      <c r="T2394" s="5"/>
      <c r="U2394">
        <v>0</v>
      </c>
      <c r="V2394">
        <v>2022</v>
      </c>
      <c r="X2394">
        <f t="shared" si="111"/>
        <v>6.4897606000000003</v>
      </c>
      <c r="Y2394">
        <f t="shared" si="112"/>
        <v>-2.3939999999999999E-4</v>
      </c>
      <c r="Z2394">
        <f t="shared" si="113"/>
        <v>66.599760599999996</v>
      </c>
    </row>
    <row r="2395" spans="1:26" x14ac:dyDescent="0.3">
      <c r="A2395" t="s">
        <v>2485</v>
      </c>
      <c r="B2395" t="s">
        <v>63</v>
      </c>
      <c r="C2395" t="s">
        <v>89</v>
      </c>
      <c r="D2395" t="s">
        <v>57</v>
      </c>
      <c r="E2395">
        <v>23</v>
      </c>
      <c r="F2395" s="3">
        <v>8.4600000000000009</v>
      </c>
      <c r="G2395" s="4">
        <v>86.1</v>
      </c>
      <c r="H2395">
        <v>0</v>
      </c>
      <c r="I2395">
        <v>1</v>
      </c>
      <c r="J2395">
        <v>4</v>
      </c>
      <c r="K2395" s="4">
        <v>63.3</v>
      </c>
      <c r="L2395" s="4">
        <v>60</v>
      </c>
      <c r="M2395" s="4">
        <v>85</v>
      </c>
      <c r="N2395">
        <v>0</v>
      </c>
      <c r="O2395" t="s">
        <v>58</v>
      </c>
      <c r="P2395" t="s">
        <v>104</v>
      </c>
      <c r="Q2395" t="s">
        <v>105</v>
      </c>
      <c r="R2395" t="s">
        <v>72</v>
      </c>
      <c r="S2395" s="3">
        <v>15.23</v>
      </c>
      <c r="T2395" s="5">
        <v>45964</v>
      </c>
      <c r="U2395">
        <v>1</v>
      </c>
      <c r="V2395">
        <v>2025</v>
      </c>
      <c r="X2395">
        <f t="shared" si="111"/>
        <v>8.4597605000000016</v>
      </c>
      <c r="Y2395">
        <f t="shared" si="112"/>
        <v>15.229760500000001</v>
      </c>
      <c r="Z2395">
        <f t="shared" si="113"/>
        <v>59.999760500000001</v>
      </c>
    </row>
    <row r="2396" spans="1:26" x14ac:dyDescent="0.3">
      <c r="A2396" t="s">
        <v>2486</v>
      </c>
      <c r="B2396" t="s">
        <v>67</v>
      </c>
      <c r="C2396" t="s">
        <v>56</v>
      </c>
      <c r="D2396" t="s">
        <v>69</v>
      </c>
      <c r="E2396">
        <v>21</v>
      </c>
      <c r="F2396" s="3">
        <v>8.73</v>
      </c>
      <c r="G2396" s="4">
        <v>81</v>
      </c>
      <c r="H2396">
        <v>2</v>
      </c>
      <c r="I2396">
        <v>0</v>
      </c>
      <c r="J2396">
        <v>4</v>
      </c>
      <c r="K2396" s="4">
        <v>90.2</v>
      </c>
      <c r="L2396" s="4">
        <v>63.9</v>
      </c>
      <c r="M2396" s="4">
        <v>76.3</v>
      </c>
      <c r="N2396">
        <v>0</v>
      </c>
      <c r="O2396" t="s">
        <v>58</v>
      </c>
      <c r="P2396" t="s">
        <v>104</v>
      </c>
      <c r="Q2396" t="s">
        <v>105</v>
      </c>
      <c r="R2396" t="s">
        <v>61</v>
      </c>
      <c r="S2396" s="3">
        <v>15.44</v>
      </c>
      <c r="T2396" s="5">
        <v>45247</v>
      </c>
      <c r="U2396">
        <v>1</v>
      </c>
      <c r="V2396">
        <v>2023</v>
      </c>
      <c r="X2396">
        <f t="shared" si="111"/>
        <v>8.7297604</v>
      </c>
      <c r="Y2396">
        <f t="shared" si="112"/>
        <v>15.439760399999999</v>
      </c>
      <c r="Z2396">
        <f t="shared" si="113"/>
        <v>63.899760399999998</v>
      </c>
    </row>
    <row r="2397" spans="1:26" x14ac:dyDescent="0.3">
      <c r="A2397" t="s">
        <v>2487</v>
      </c>
      <c r="B2397" t="s">
        <v>67</v>
      </c>
      <c r="C2397" t="s">
        <v>74</v>
      </c>
      <c r="D2397" t="s">
        <v>57</v>
      </c>
      <c r="E2397">
        <v>21</v>
      </c>
      <c r="F2397" s="3">
        <v>7.57</v>
      </c>
      <c r="G2397" s="4">
        <v>73</v>
      </c>
      <c r="H2397">
        <v>0</v>
      </c>
      <c r="I2397">
        <v>3</v>
      </c>
      <c r="J2397">
        <v>4</v>
      </c>
      <c r="K2397" s="4">
        <v>52.7</v>
      </c>
      <c r="L2397" s="4">
        <v>59.9</v>
      </c>
      <c r="M2397" s="4">
        <v>76.5</v>
      </c>
      <c r="N2397">
        <v>0</v>
      </c>
      <c r="O2397" t="s">
        <v>58</v>
      </c>
      <c r="P2397" t="s">
        <v>87</v>
      </c>
      <c r="Q2397" t="s">
        <v>71</v>
      </c>
      <c r="R2397" t="s">
        <v>109</v>
      </c>
      <c r="S2397" s="3">
        <v>5.05</v>
      </c>
      <c r="T2397" s="5">
        <v>45163</v>
      </c>
      <c r="U2397">
        <v>2</v>
      </c>
      <c r="V2397">
        <v>2023</v>
      </c>
      <c r="X2397">
        <f t="shared" si="111"/>
        <v>7.5697603000000004</v>
      </c>
      <c r="Y2397">
        <f t="shared" si="112"/>
        <v>5.0497603</v>
      </c>
      <c r="Z2397">
        <f t="shared" si="113"/>
        <v>59.899760299999997</v>
      </c>
    </row>
    <row r="2398" spans="1:26" x14ac:dyDescent="0.3">
      <c r="A2398" t="s">
        <v>2488</v>
      </c>
      <c r="B2398" t="s">
        <v>82</v>
      </c>
      <c r="C2398" t="s">
        <v>56</v>
      </c>
      <c r="D2398" t="s">
        <v>69</v>
      </c>
      <c r="E2398">
        <v>20</v>
      </c>
      <c r="F2398" s="3">
        <v>7.94</v>
      </c>
      <c r="G2398" s="4">
        <v>82</v>
      </c>
      <c r="H2398">
        <v>3</v>
      </c>
      <c r="I2398">
        <v>1</v>
      </c>
      <c r="J2398">
        <v>5</v>
      </c>
      <c r="K2398" s="4">
        <v>81.5</v>
      </c>
      <c r="L2398" s="4">
        <v>100</v>
      </c>
      <c r="M2398" s="4">
        <v>58.1</v>
      </c>
      <c r="N2398">
        <v>1</v>
      </c>
      <c r="O2398" t="s">
        <v>58</v>
      </c>
      <c r="P2398" t="s">
        <v>75</v>
      </c>
      <c r="Q2398" t="s">
        <v>71</v>
      </c>
      <c r="R2398" t="s">
        <v>72</v>
      </c>
      <c r="S2398" s="3">
        <v>6.78</v>
      </c>
      <c r="T2398" s="5">
        <v>44837</v>
      </c>
      <c r="U2398">
        <v>1</v>
      </c>
      <c r="V2398">
        <v>2022</v>
      </c>
      <c r="X2398">
        <f t="shared" si="111"/>
        <v>7.9397602000000003</v>
      </c>
      <c r="Y2398">
        <f t="shared" si="112"/>
        <v>6.7797602000000001</v>
      </c>
      <c r="Z2398">
        <f t="shared" si="113"/>
        <v>99.999760199999997</v>
      </c>
    </row>
    <row r="2399" spans="1:26" x14ac:dyDescent="0.3">
      <c r="A2399" t="s">
        <v>2489</v>
      </c>
      <c r="B2399" t="s">
        <v>107</v>
      </c>
      <c r="C2399" t="s">
        <v>78</v>
      </c>
      <c r="D2399" t="s">
        <v>57</v>
      </c>
      <c r="E2399">
        <v>22</v>
      </c>
      <c r="F2399" s="3">
        <v>5.78</v>
      </c>
      <c r="G2399" s="4">
        <v>81.599999999999994</v>
      </c>
      <c r="H2399">
        <v>1</v>
      </c>
      <c r="I2399">
        <v>3</v>
      </c>
      <c r="J2399">
        <v>2</v>
      </c>
      <c r="K2399" s="4">
        <v>87</v>
      </c>
      <c r="L2399" s="4">
        <v>51.6</v>
      </c>
      <c r="M2399" s="4">
        <v>52.8</v>
      </c>
      <c r="N2399">
        <v>0</v>
      </c>
      <c r="O2399" t="s">
        <v>64</v>
      </c>
      <c r="P2399" t="s">
        <v>65</v>
      </c>
      <c r="S2399" s="3">
        <v>0</v>
      </c>
      <c r="T2399" s="5"/>
      <c r="U2399">
        <v>0</v>
      </c>
      <c r="V2399">
        <v>2021</v>
      </c>
      <c r="X2399">
        <f t="shared" si="111"/>
        <v>5.7797600999999998</v>
      </c>
      <c r="Y2399">
        <f t="shared" si="112"/>
        <v>-2.3989999999999998E-4</v>
      </c>
      <c r="Z2399">
        <f t="shared" si="113"/>
        <v>51.599760100000005</v>
      </c>
    </row>
    <row r="2400" spans="1:26" x14ac:dyDescent="0.3">
      <c r="A2400" t="s">
        <v>2490</v>
      </c>
      <c r="B2400" t="s">
        <v>63</v>
      </c>
      <c r="C2400" t="s">
        <v>84</v>
      </c>
      <c r="D2400" t="s">
        <v>69</v>
      </c>
      <c r="E2400">
        <v>20</v>
      </c>
      <c r="F2400" s="3">
        <v>8.66</v>
      </c>
      <c r="G2400" s="4">
        <v>94.3</v>
      </c>
      <c r="H2400">
        <v>1</v>
      </c>
      <c r="I2400">
        <v>3</v>
      </c>
      <c r="J2400">
        <v>2</v>
      </c>
      <c r="K2400" s="4">
        <v>85.8</v>
      </c>
      <c r="L2400" s="4">
        <v>58.4</v>
      </c>
      <c r="M2400" s="4">
        <v>70.5</v>
      </c>
      <c r="N2400">
        <v>1</v>
      </c>
      <c r="O2400" t="s">
        <v>64</v>
      </c>
      <c r="P2400" t="s">
        <v>65</v>
      </c>
      <c r="S2400" s="3">
        <v>0</v>
      </c>
      <c r="T2400" s="5"/>
      <c r="U2400">
        <v>0</v>
      </c>
      <c r="V2400">
        <v>2025</v>
      </c>
      <c r="X2400">
        <f t="shared" si="111"/>
        <v>8.6597600000000003</v>
      </c>
      <c r="Y2400">
        <f t="shared" si="112"/>
        <v>-2.3999999999999998E-4</v>
      </c>
      <c r="Z2400">
        <f t="shared" si="113"/>
        <v>58.399760000000001</v>
      </c>
    </row>
    <row r="2401" spans="1:26" x14ac:dyDescent="0.3">
      <c r="A2401" t="s">
        <v>2491</v>
      </c>
      <c r="B2401" t="s">
        <v>107</v>
      </c>
      <c r="C2401" t="s">
        <v>84</v>
      </c>
      <c r="D2401" t="s">
        <v>57</v>
      </c>
      <c r="E2401">
        <v>23</v>
      </c>
      <c r="F2401" s="3">
        <v>8.36</v>
      </c>
      <c r="G2401" s="4">
        <v>94</v>
      </c>
      <c r="H2401">
        <v>0</v>
      </c>
      <c r="I2401">
        <v>2</v>
      </c>
      <c r="J2401">
        <v>3</v>
      </c>
      <c r="K2401" s="4">
        <v>73.599999999999994</v>
      </c>
      <c r="L2401" s="4">
        <v>70</v>
      </c>
      <c r="M2401" s="4">
        <v>72.900000000000006</v>
      </c>
      <c r="N2401">
        <v>0</v>
      </c>
      <c r="O2401" t="s">
        <v>64</v>
      </c>
      <c r="P2401" t="s">
        <v>65</v>
      </c>
      <c r="S2401" s="3">
        <v>0</v>
      </c>
      <c r="T2401" s="5"/>
      <c r="U2401">
        <v>0</v>
      </c>
      <c r="V2401">
        <v>2021</v>
      </c>
      <c r="X2401">
        <f t="shared" si="111"/>
        <v>8.3597599000000002</v>
      </c>
      <c r="Y2401">
        <f t="shared" si="112"/>
        <v>-2.4009999999999998E-4</v>
      </c>
      <c r="Z2401">
        <f t="shared" si="113"/>
        <v>69.999759900000001</v>
      </c>
    </row>
    <row r="2402" spans="1:26" x14ac:dyDescent="0.3">
      <c r="A2402" t="s">
        <v>2492</v>
      </c>
      <c r="B2402" t="s">
        <v>55</v>
      </c>
      <c r="C2402" t="s">
        <v>68</v>
      </c>
      <c r="D2402" t="s">
        <v>69</v>
      </c>
      <c r="E2402">
        <v>21</v>
      </c>
      <c r="F2402" s="3">
        <v>7.88</v>
      </c>
      <c r="G2402" s="4">
        <v>77.7</v>
      </c>
      <c r="H2402">
        <v>2</v>
      </c>
      <c r="I2402">
        <v>3</v>
      </c>
      <c r="J2402">
        <v>5</v>
      </c>
      <c r="K2402" s="4">
        <v>81.900000000000006</v>
      </c>
      <c r="L2402" s="4">
        <v>53.6</v>
      </c>
      <c r="M2402" s="4">
        <v>60.5</v>
      </c>
      <c r="N2402">
        <v>0</v>
      </c>
      <c r="O2402" t="s">
        <v>58</v>
      </c>
      <c r="P2402" t="s">
        <v>79</v>
      </c>
      <c r="Q2402" t="s">
        <v>71</v>
      </c>
      <c r="R2402" t="s">
        <v>109</v>
      </c>
      <c r="S2402" s="3">
        <v>5.1100000000000003</v>
      </c>
      <c r="T2402" s="5">
        <v>45533</v>
      </c>
      <c r="U2402">
        <v>3</v>
      </c>
      <c r="V2402">
        <v>2024</v>
      </c>
      <c r="X2402">
        <f t="shared" si="111"/>
        <v>7.8797597999999995</v>
      </c>
      <c r="Y2402">
        <f t="shared" si="112"/>
        <v>5.1097598</v>
      </c>
      <c r="Z2402">
        <f t="shared" si="113"/>
        <v>53.599759800000001</v>
      </c>
    </row>
    <row r="2403" spans="1:26" x14ac:dyDescent="0.3">
      <c r="A2403" t="s">
        <v>2493</v>
      </c>
      <c r="B2403" t="s">
        <v>55</v>
      </c>
      <c r="C2403" t="s">
        <v>74</v>
      </c>
      <c r="D2403" t="s">
        <v>69</v>
      </c>
      <c r="E2403">
        <v>22</v>
      </c>
      <c r="F2403" s="3">
        <v>6.52</v>
      </c>
      <c r="G2403" s="4">
        <v>76.400000000000006</v>
      </c>
      <c r="H2403">
        <v>3</v>
      </c>
      <c r="I2403">
        <v>1</v>
      </c>
      <c r="J2403">
        <v>4</v>
      </c>
      <c r="K2403" s="4">
        <v>74.599999999999994</v>
      </c>
      <c r="L2403" s="4">
        <v>70.7</v>
      </c>
      <c r="M2403" s="4">
        <v>85.1</v>
      </c>
      <c r="N2403">
        <v>0</v>
      </c>
      <c r="O2403" t="s">
        <v>58</v>
      </c>
      <c r="P2403" t="s">
        <v>59</v>
      </c>
      <c r="Q2403" t="s">
        <v>60</v>
      </c>
      <c r="R2403" t="s">
        <v>80</v>
      </c>
      <c r="S2403" s="3">
        <v>19.89</v>
      </c>
      <c r="T2403" s="5">
        <v>45563</v>
      </c>
      <c r="U2403">
        <v>1</v>
      </c>
      <c r="V2403">
        <v>2024</v>
      </c>
      <c r="X2403">
        <f t="shared" si="111"/>
        <v>6.5197596999999998</v>
      </c>
      <c r="Y2403">
        <f t="shared" si="112"/>
        <v>19.889759699999999</v>
      </c>
      <c r="Z2403">
        <f t="shared" si="113"/>
        <v>70.699759700000001</v>
      </c>
    </row>
    <row r="2404" spans="1:26" x14ac:dyDescent="0.3">
      <c r="A2404" t="s">
        <v>2494</v>
      </c>
      <c r="B2404" t="s">
        <v>82</v>
      </c>
      <c r="C2404" t="s">
        <v>68</v>
      </c>
      <c r="D2404" t="s">
        <v>69</v>
      </c>
      <c r="E2404">
        <v>22</v>
      </c>
      <c r="F2404" s="3">
        <v>6.17</v>
      </c>
      <c r="G2404" s="4">
        <v>69.8</v>
      </c>
      <c r="H2404">
        <v>0</v>
      </c>
      <c r="I2404">
        <v>2</v>
      </c>
      <c r="J2404">
        <v>4</v>
      </c>
      <c r="K2404" s="4">
        <v>53.6</v>
      </c>
      <c r="L2404" s="4">
        <v>45.4</v>
      </c>
      <c r="M2404" s="4">
        <v>64.099999999999994</v>
      </c>
      <c r="N2404">
        <v>0</v>
      </c>
      <c r="O2404" t="s">
        <v>64</v>
      </c>
      <c r="P2404" t="s">
        <v>65</v>
      </c>
      <c r="S2404" s="3">
        <v>0</v>
      </c>
      <c r="T2404" s="5"/>
      <c r="U2404">
        <v>0</v>
      </c>
      <c r="V2404">
        <v>2022</v>
      </c>
      <c r="X2404">
        <f t="shared" si="111"/>
        <v>6.1697595999999999</v>
      </c>
      <c r="Y2404">
        <f t="shared" si="112"/>
        <v>-2.4039999999999999E-4</v>
      </c>
      <c r="Z2404">
        <f t="shared" si="113"/>
        <v>45.399759599999996</v>
      </c>
    </row>
    <row r="2405" spans="1:26" x14ac:dyDescent="0.3">
      <c r="A2405" t="s">
        <v>2495</v>
      </c>
      <c r="B2405" t="s">
        <v>82</v>
      </c>
      <c r="C2405" t="s">
        <v>101</v>
      </c>
      <c r="D2405" t="s">
        <v>57</v>
      </c>
      <c r="E2405">
        <v>21</v>
      </c>
      <c r="F2405" s="3">
        <v>9.4700000000000006</v>
      </c>
      <c r="G2405" s="4">
        <v>80.5</v>
      </c>
      <c r="H2405">
        <v>1</v>
      </c>
      <c r="I2405">
        <v>2</v>
      </c>
      <c r="J2405">
        <v>1</v>
      </c>
      <c r="K2405" s="4">
        <v>73.8</v>
      </c>
      <c r="L2405" s="4">
        <v>71.900000000000006</v>
      </c>
      <c r="M2405" s="4">
        <v>80.900000000000006</v>
      </c>
      <c r="N2405">
        <v>0</v>
      </c>
      <c r="O2405" t="s">
        <v>58</v>
      </c>
      <c r="P2405" t="s">
        <v>87</v>
      </c>
      <c r="Q2405" t="s">
        <v>71</v>
      </c>
      <c r="R2405" t="s">
        <v>85</v>
      </c>
      <c r="S2405" s="3">
        <v>6.25</v>
      </c>
      <c r="T2405" s="5">
        <v>44799</v>
      </c>
      <c r="U2405">
        <v>1</v>
      </c>
      <c r="V2405">
        <v>2022</v>
      </c>
      <c r="X2405">
        <f t="shared" si="111"/>
        <v>9.4697595000000003</v>
      </c>
      <c r="Y2405">
        <f t="shared" si="112"/>
        <v>6.2497594999999997</v>
      </c>
      <c r="Z2405">
        <f t="shared" si="113"/>
        <v>71.899759500000002</v>
      </c>
    </row>
    <row r="2406" spans="1:26" x14ac:dyDescent="0.3">
      <c r="A2406" t="s">
        <v>2496</v>
      </c>
      <c r="B2406" t="s">
        <v>82</v>
      </c>
      <c r="C2406" t="s">
        <v>56</v>
      </c>
      <c r="D2406" t="s">
        <v>57</v>
      </c>
      <c r="E2406">
        <v>21</v>
      </c>
      <c r="F2406" s="3">
        <v>6.75</v>
      </c>
      <c r="G2406" s="4">
        <v>77.7</v>
      </c>
      <c r="H2406">
        <v>0</v>
      </c>
      <c r="I2406">
        <v>2</v>
      </c>
      <c r="J2406">
        <v>3</v>
      </c>
      <c r="K2406" s="4">
        <v>52.7</v>
      </c>
      <c r="L2406" s="4">
        <v>63.3</v>
      </c>
      <c r="M2406" s="4">
        <v>70.5</v>
      </c>
      <c r="N2406">
        <v>0</v>
      </c>
      <c r="O2406" t="s">
        <v>64</v>
      </c>
      <c r="P2406" t="s">
        <v>65</v>
      </c>
      <c r="S2406" s="3">
        <v>0</v>
      </c>
      <c r="T2406" s="5"/>
      <c r="U2406">
        <v>0</v>
      </c>
      <c r="V2406">
        <v>2022</v>
      </c>
      <c r="X2406">
        <f t="shared" si="111"/>
        <v>6.7497594000000003</v>
      </c>
      <c r="Y2406">
        <f t="shared" si="112"/>
        <v>-2.4059999999999999E-4</v>
      </c>
      <c r="Z2406">
        <f t="shared" si="113"/>
        <v>63.299759399999999</v>
      </c>
    </row>
    <row r="2407" spans="1:26" x14ac:dyDescent="0.3">
      <c r="A2407" t="s">
        <v>2497</v>
      </c>
      <c r="B2407" t="s">
        <v>55</v>
      </c>
      <c r="C2407" t="s">
        <v>84</v>
      </c>
      <c r="D2407" t="s">
        <v>69</v>
      </c>
      <c r="E2407">
        <v>23</v>
      </c>
      <c r="F2407" s="3">
        <v>7.77</v>
      </c>
      <c r="G2407" s="4">
        <v>100</v>
      </c>
      <c r="H2407">
        <v>2</v>
      </c>
      <c r="I2407">
        <v>0</v>
      </c>
      <c r="J2407">
        <v>5</v>
      </c>
      <c r="K2407" s="4">
        <v>50.8</v>
      </c>
      <c r="L2407" s="4">
        <v>58.8</v>
      </c>
      <c r="M2407" s="4">
        <v>83.4</v>
      </c>
      <c r="N2407">
        <v>0</v>
      </c>
      <c r="O2407" t="s">
        <v>58</v>
      </c>
      <c r="P2407" t="s">
        <v>70</v>
      </c>
      <c r="Q2407" t="s">
        <v>71</v>
      </c>
      <c r="R2407" t="s">
        <v>85</v>
      </c>
      <c r="S2407" s="3">
        <v>6.71</v>
      </c>
      <c r="T2407" s="5">
        <v>45562</v>
      </c>
      <c r="U2407">
        <v>2</v>
      </c>
      <c r="V2407">
        <v>2024</v>
      </c>
      <c r="X2407">
        <f t="shared" si="111"/>
        <v>7.7697592999999996</v>
      </c>
      <c r="Y2407">
        <f t="shared" si="112"/>
        <v>6.7097593</v>
      </c>
      <c r="Z2407">
        <f t="shared" si="113"/>
        <v>58.799759299999998</v>
      </c>
    </row>
    <row r="2408" spans="1:26" x14ac:dyDescent="0.3">
      <c r="A2408" t="s">
        <v>2498</v>
      </c>
      <c r="B2408" t="s">
        <v>107</v>
      </c>
      <c r="C2408" t="s">
        <v>74</v>
      </c>
      <c r="D2408" t="s">
        <v>57</v>
      </c>
      <c r="E2408">
        <v>23</v>
      </c>
      <c r="F2408" s="3">
        <v>6.78</v>
      </c>
      <c r="G2408" s="4">
        <v>72</v>
      </c>
      <c r="H2408">
        <v>1</v>
      </c>
      <c r="I2408">
        <v>1</v>
      </c>
      <c r="J2408">
        <v>3</v>
      </c>
      <c r="K2408" s="4">
        <v>71.900000000000006</v>
      </c>
      <c r="L2408" s="4">
        <v>65.599999999999994</v>
      </c>
      <c r="M2408" s="4">
        <v>59.6</v>
      </c>
      <c r="N2408">
        <v>0</v>
      </c>
      <c r="O2408" t="s">
        <v>64</v>
      </c>
      <c r="P2408" t="s">
        <v>65</v>
      </c>
      <c r="S2408" s="3">
        <v>0</v>
      </c>
      <c r="T2408" s="5"/>
      <c r="U2408">
        <v>0</v>
      </c>
      <c r="V2408">
        <v>2021</v>
      </c>
      <c r="X2408">
        <f t="shared" si="111"/>
        <v>6.7797592</v>
      </c>
      <c r="Y2408">
        <f t="shared" si="112"/>
        <v>-2.408E-4</v>
      </c>
      <c r="Z2408">
        <f t="shared" si="113"/>
        <v>65.599759199999994</v>
      </c>
    </row>
    <row r="2409" spans="1:26" x14ac:dyDescent="0.3">
      <c r="A2409" t="s">
        <v>2499</v>
      </c>
      <c r="B2409" t="s">
        <v>107</v>
      </c>
      <c r="C2409" t="s">
        <v>84</v>
      </c>
      <c r="D2409" t="s">
        <v>57</v>
      </c>
      <c r="E2409">
        <v>21</v>
      </c>
      <c r="F2409" s="3">
        <v>5.59</v>
      </c>
      <c r="G2409" s="4">
        <v>82.5</v>
      </c>
      <c r="H2409">
        <v>1</v>
      </c>
      <c r="I2409">
        <v>1</v>
      </c>
      <c r="J2409">
        <v>5</v>
      </c>
      <c r="K2409" s="4">
        <v>59.7</v>
      </c>
      <c r="L2409" s="4">
        <v>61.9</v>
      </c>
      <c r="M2409" s="4">
        <v>54.7</v>
      </c>
      <c r="N2409">
        <v>0</v>
      </c>
      <c r="O2409" t="s">
        <v>64</v>
      </c>
      <c r="P2409" t="s">
        <v>65</v>
      </c>
      <c r="S2409" s="3">
        <v>0</v>
      </c>
      <c r="T2409" s="5"/>
      <c r="U2409">
        <v>0</v>
      </c>
      <c r="V2409">
        <v>2021</v>
      </c>
      <c r="X2409">
        <f t="shared" si="111"/>
        <v>5.5897591000000002</v>
      </c>
      <c r="Y2409">
        <f t="shared" si="112"/>
        <v>-2.409E-4</v>
      </c>
      <c r="Z2409">
        <f t="shared" si="113"/>
        <v>61.899759099999997</v>
      </c>
    </row>
    <row r="2410" spans="1:26" x14ac:dyDescent="0.3">
      <c r="A2410" t="s">
        <v>2500</v>
      </c>
      <c r="B2410" t="s">
        <v>82</v>
      </c>
      <c r="C2410" t="s">
        <v>101</v>
      </c>
      <c r="D2410" t="s">
        <v>57</v>
      </c>
      <c r="E2410">
        <v>21</v>
      </c>
      <c r="F2410" s="3">
        <v>8.0500000000000007</v>
      </c>
      <c r="G2410" s="4">
        <v>76.2</v>
      </c>
      <c r="H2410">
        <v>0</v>
      </c>
      <c r="I2410">
        <v>2</v>
      </c>
      <c r="J2410">
        <v>2</v>
      </c>
      <c r="K2410" s="4">
        <v>90.3</v>
      </c>
      <c r="L2410" s="4">
        <v>64</v>
      </c>
      <c r="M2410" s="4">
        <v>80.5</v>
      </c>
      <c r="N2410">
        <v>0</v>
      </c>
      <c r="O2410" t="s">
        <v>58</v>
      </c>
      <c r="P2410" t="s">
        <v>79</v>
      </c>
      <c r="Q2410" t="s">
        <v>71</v>
      </c>
      <c r="R2410" t="s">
        <v>61</v>
      </c>
      <c r="S2410" s="3">
        <v>4.7</v>
      </c>
      <c r="T2410" s="5">
        <v>44874</v>
      </c>
      <c r="U2410">
        <v>1</v>
      </c>
      <c r="V2410">
        <v>2022</v>
      </c>
      <c r="X2410">
        <f t="shared" si="111"/>
        <v>8.0497589999999999</v>
      </c>
      <c r="Y2410">
        <f t="shared" si="112"/>
        <v>4.6997590000000002</v>
      </c>
      <c r="Z2410">
        <f t="shared" si="113"/>
        <v>63.999758999999997</v>
      </c>
    </row>
    <row r="2411" spans="1:26" x14ac:dyDescent="0.3">
      <c r="A2411" t="s">
        <v>2501</v>
      </c>
      <c r="B2411" t="s">
        <v>63</v>
      </c>
      <c r="C2411" t="s">
        <v>101</v>
      </c>
      <c r="D2411" t="s">
        <v>57</v>
      </c>
      <c r="E2411">
        <v>21</v>
      </c>
      <c r="F2411" s="3">
        <v>8.19</v>
      </c>
      <c r="G2411" s="4">
        <v>82.2</v>
      </c>
      <c r="H2411">
        <v>2</v>
      </c>
      <c r="I2411">
        <v>3</v>
      </c>
      <c r="J2411">
        <v>4</v>
      </c>
      <c r="K2411" s="4">
        <v>91.6</v>
      </c>
      <c r="L2411" s="4">
        <v>81.5</v>
      </c>
      <c r="M2411" s="4">
        <v>84.2</v>
      </c>
      <c r="N2411">
        <v>0</v>
      </c>
      <c r="O2411" t="s">
        <v>58</v>
      </c>
      <c r="P2411" t="s">
        <v>79</v>
      </c>
      <c r="Q2411" t="s">
        <v>71</v>
      </c>
      <c r="R2411" t="s">
        <v>61</v>
      </c>
      <c r="S2411" s="3">
        <v>7.08</v>
      </c>
      <c r="T2411" s="5">
        <v>45918</v>
      </c>
      <c r="U2411">
        <v>1</v>
      </c>
      <c r="V2411">
        <v>2025</v>
      </c>
      <c r="X2411">
        <f t="shared" si="111"/>
        <v>8.1897588999999993</v>
      </c>
      <c r="Y2411">
        <f t="shared" si="112"/>
        <v>7.0797588999999999</v>
      </c>
      <c r="Z2411">
        <f t="shared" si="113"/>
        <v>81.499758900000003</v>
      </c>
    </row>
    <row r="2412" spans="1:26" x14ac:dyDescent="0.3">
      <c r="A2412" t="s">
        <v>2502</v>
      </c>
      <c r="B2412" t="s">
        <v>107</v>
      </c>
      <c r="C2412" t="s">
        <v>74</v>
      </c>
      <c r="D2412" t="s">
        <v>57</v>
      </c>
      <c r="E2412">
        <v>21</v>
      </c>
      <c r="F2412" s="3">
        <v>6.15</v>
      </c>
      <c r="G2412" s="4">
        <v>79</v>
      </c>
      <c r="H2412">
        <v>1</v>
      </c>
      <c r="I2412">
        <v>2</v>
      </c>
      <c r="J2412">
        <v>4</v>
      </c>
      <c r="K2412" s="4">
        <v>100</v>
      </c>
      <c r="L2412" s="4">
        <v>97</v>
      </c>
      <c r="M2412" s="4">
        <v>77.8</v>
      </c>
      <c r="N2412">
        <v>0</v>
      </c>
      <c r="O2412" t="s">
        <v>58</v>
      </c>
      <c r="P2412" t="s">
        <v>112</v>
      </c>
      <c r="Q2412" t="s">
        <v>93</v>
      </c>
      <c r="R2412" t="s">
        <v>72</v>
      </c>
      <c r="S2412" s="3">
        <v>6.42</v>
      </c>
      <c r="T2412" s="5">
        <v>44473</v>
      </c>
      <c r="U2412">
        <v>2</v>
      </c>
      <c r="V2412">
        <v>2021</v>
      </c>
      <c r="X2412">
        <f t="shared" si="111"/>
        <v>6.1497588000000007</v>
      </c>
      <c r="Y2412">
        <f t="shared" si="112"/>
        <v>6.4197588000000003</v>
      </c>
      <c r="Z2412">
        <f t="shared" si="113"/>
        <v>96.999758799999995</v>
      </c>
    </row>
    <row r="2413" spans="1:26" x14ac:dyDescent="0.3">
      <c r="A2413" t="s">
        <v>2503</v>
      </c>
      <c r="B2413" t="s">
        <v>55</v>
      </c>
      <c r="C2413" t="s">
        <v>56</v>
      </c>
      <c r="D2413" t="s">
        <v>57</v>
      </c>
      <c r="E2413">
        <v>22</v>
      </c>
      <c r="F2413" s="3">
        <v>8.65</v>
      </c>
      <c r="G2413" s="4">
        <v>89.3</v>
      </c>
      <c r="H2413">
        <v>2</v>
      </c>
      <c r="I2413">
        <v>3</v>
      </c>
      <c r="J2413">
        <v>5</v>
      </c>
      <c r="K2413" s="4">
        <v>48.9</v>
      </c>
      <c r="L2413" s="4">
        <v>29.4</v>
      </c>
      <c r="M2413" s="4">
        <v>63.4</v>
      </c>
      <c r="N2413">
        <v>0</v>
      </c>
      <c r="O2413" t="s">
        <v>58</v>
      </c>
      <c r="P2413" t="s">
        <v>90</v>
      </c>
      <c r="Q2413" t="s">
        <v>60</v>
      </c>
      <c r="R2413" t="s">
        <v>130</v>
      </c>
      <c r="S2413" s="3">
        <v>7.15</v>
      </c>
      <c r="T2413" s="5">
        <v>45563</v>
      </c>
      <c r="U2413">
        <v>2</v>
      </c>
      <c r="V2413">
        <v>2024</v>
      </c>
      <c r="X2413">
        <f t="shared" si="111"/>
        <v>8.6497586999999996</v>
      </c>
      <c r="Y2413">
        <f t="shared" si="112"/>
        <v>7.1497587000000005</v>
      </c>
      <c r="Z2413">
        <f t="shared" si="113"/>
        <v>29.3997587</v>
      </c>
    </row>
    <row r="2414" spans="1:26" x14ac:dyDescent="0.3">
      <c r="A2414" t="s">
        <v>2504</v>
      </c>
      <c r="B2414" t="s">
        <v>67</v>
      </c>
      <c r="C2414" t="s">
        <v>74</v>
      </c>
      <c r="D2414" t="s">
        <v>57</v>
      </c>
      <c r="E2414">
        <v>23</v>
      </c>
      <c r="F2414" s="3">
        <v>7.18</v>
      </c>
      <c r="G2414" s="4">
        <v>86</v>
      </c>
      <c r="H2414">
        <v>2</v>
      </c>
      <c r="I2414">
        <v>0</v>
      </c>
      <c r="J2414">
        <v>3</v>
      </c>
      <c r="K2414" s="4">
        <v>52.2</v>
      </c>
      <c r="L2414" s="4">
        <v>66.5</v>
      </c>
      <c r="M2414" s="4">
        <v>82.1</v>
      </c>
      <c r="N2414">
        <v>0</v>
      </c>
      <c r="O2414" t="s">
        <v>58</v>
      </c>
      <c r="P2414" t="s">
        <v>92</v>
      </c>
      <c r="Q2414" t="s">
        <v>93</v>
      </c>
      <c r="R2414" t="s">
        <v>72</v>
      </c>
      <c r="S2414" s="3">
        <v>8.89</v>
      </c>
      <c r="T2414" s="5">
        <v>45200</v>
      </c>
      <c r="U2414">
        <v>1</v>
      </c>
      <c r="V2414">
        <v>2023</v>
      </c>
      <c r="X2414">
        <f t="shared" si="111"/>
        <v>7.1797585999999995</v>
      </c>
      <c r="Y2414">
        <f t="shared" si="112"/>
        <v>8.8897586000000004</v>
      </c>
      <c r="Z2414">
        <f t="shared" si="113"/>
        <v>66.499758600000007</v>
      </c>
    </row>
    <row r="2415" spans="1:26" x14ac:dyDescent="0.3">
      <c r="A2415" t="s">
        <v>2505</v>
      </c>
      <c r="B2415" t="s">
        <v>67</v>
      </c>
      <c r="C2415" t="s">
        <v>74</v>
      </c>
      <c r="D2415" t="s">
        <v>57</v>
      </c>
      <c r="E2415">
        <v>21</v>
      </c>
      <c r="F2415" s="3">
        <v>6.68</v>
      </c>
      <c r="G2415" s="4">
        <v>89</v>
      </c>
      <c r="H2415">
        <v>0</v>
      </c>
      <c r="I2415">
        <v>4</v>
      </c>
      <c r="J2415">
        <v>4</v>
      </c>
      <c r="K2415" s="4">
        <v>80.2</v>
      </c>
      <c r="L2415" s="4">
        <v>50.8</v>
      </c>
      <c r="M2415" s="4">
        <v>80.8</v>
      </c>
      <c r="N2415">
        <v>0</v>
      </c>
      <c r="O2415" t="s">
        <v>64</v>
      </c>
      <c r="P2415" t="s">
        <v>65</v>
      </c>
      <c r="S2415" s="3">
        <v>0</v>
      </c>
      <c r="T2415" s="5"/>
      <c r="U2415">
        <v>0</v>
      </c>
      <c r="V2415">
        <v>2023</v>
      </c>
      <c r="X2415">
        <f t="shared" si="111"/>
        <v>6.6797585000000002</v>
      </c>
      <c r="Y2415">
        <f t="shared" si="112"/>
        <v>-2.4149999999999999E-4</v>
      </c>
      <c r="Z2415">
        <f t="shared" si="113"/>
        <v>50.799758499999996</v>
      </c>
    </row>
    <row r="2416" spans="1:26" x14ac:dyDescent="0.3">
      <c r="A2416" t="s">
        <v>2506</v>
      </c>
      <c r="B2416" t="s">
        <v>67</v>
      </c>
      <c r="C2416" t="s">
        <v>56</v>
      </c>
      <c r="D2416" t="s">
        <v>69</v>
      </c>
      <c r="E2416">
        <v>21</v>
      </c>
      <c r="F2416" s="3">
        <v>6.62</v>
      </c>
      <c r="G2416" s="4">
        <v>75.2</v>
      </c>
      <c r="H2416">
        <v>1</v>
      </c>
      <c r="I2416">
        <v>2</v>
      </c>
      <c r="J2416">
        <v>4</v>
      </c>
      <c r="K2416" s="4">
        <v>63.6</v>
      </c>
      <c r="L2416" s="4">
        <v>64.900000000000006</v>
      </c>
      <c r="M2416" s="4">
        <v>60.3</v>
      </c>
      <c r="N2416">
        <v>0</v>
      </c>
      <c r="O2416" t="s">
        <v>58</v>
      </c>
      <c r="P2416" t="s">
        <v>75</v>
      </c>
      <c r="Q2416" t="s">
        <v>71</v>
      </c>
      <c r="R2416" t="s">
        <v>61</v>
      </c>
      <c r="S2416" s="3">
        <v>5.38</v>
      </c>
      <c r="T2416" s="5">
        <v>45249</v>
      </c>
      <c r="U2416">
        <v>1</v>
      </c>
      <c r="V2416">
        <v>2023</v>
      </c>
      <c r="X2416">
        <f t="shared" si="111"/>
        <v>6.6197584000000003</v>
      </c>
      <c r="Y2416">
        <f t="shared" si="112"/>
        <v>5.3797584000000001</v>
      </c>
      <c r="Z2416">
        <f t="shared" si="113"/>
        <v>64.89975840000001</v>
      </c>
    </row>
    <row r="2417" spans="1:26" x14ac:dyDescent="0.3">
      <c r="A2417" t="s">
        <v>2507</v>
      </c>
      <c r="B2417" t="s">
        <v>63</v>
      </c>
      <c r="C2417" t="s">
        <v>68</v>
      </c>
      <c r="D2417" t="s">
        <v>57</v>
      </c>
      <c r="E2417">
        <v>22</v>
      </c>
      <c r="F2417" s="3">
        <v>8.43</v>
      </c>
      <c r="G2417" s="4">
        <v>91.7</v>
      </c>
      <c r="H2417">
        <v>2</v>
      </c>
      <c r="I2417">
        <v>0</v>
      </c>
      <c r="J2417">
        <v>6</v>
      </c>
      <c r="K2417" s="4">
        <v>57.9</v>
      </c>
      <c r="L2417" s="4">
        <v>76</v>
      </c>
      <c r="M2417" s="4">
        <v>79.400000000000006</v>
      </c>
      <c r="N2417">
        <v>0</v>
      </c>
      <c r="O2417" t="s">
        <v>58</v>
      </c>
      <c r="P2417" t="s">
        <v>104</v>
      </c>
      <c r="Q2417" t="s">
        <v>105</v>
      </c>
      <c r="R2417" t="s">
        <v>72</v>
      </c>
      <c r="S2417" s="3">
        <v>16.03</v>
      </c>
      <c r="T2417" s="5">
        <v>45916</v>
      </c>
      <c r="U2417">
        <v>1</v>
      </c>
      <c r="V2417">
        <v>2025</v>
      </c>
      <c r="X2417">
        <f t="shared" si="111"/>
        <v>8.4297582999999996</v>
      </c>
      <c r="Y2417">
        <f t="shared" si="112"/>
        <v>16.029758300000001</v>
      </c>
      <c r="Z2417">
        <f t="shared" si="113"/>
        <v>75.999758299999996</v>
      </c>
    </row>
    <row r="2418" spans="1:26" x14ac:dyDescent="0.3">
      <c r="A2418" t="s">
        <v>2508</v>
      </c>
      <c r="B2418" t="s">
        <v>82</v>
      </c>
      <c r="C2418" t="s">
        <v>74</v>
      </c>
      <c r="D2418" t="s">
        <v>57</v>
      </c>
      <c r="E2418">
        <v>20</v>
      </c>
      <c r="F2418" s="3">
        <v>5.92</v>
      </c>
      <c r="G2418" s="4">
        <v>77.7</v>
      </c>
      <c r="H2418">
        <v>1</v>
      </c>
      <c r="I2418">
        <v>2</v>
      </c>
      <c r="J2418">
        <v>4</v>
      </c>
      <c r="K2418" s="4">
        <v>62.6</v>
      </c>
      <c r="L2418" s="4">
        <v>100</v>
      </c>
      <c r="M2418" s="4">
        <v>75.7</v>
      </c>
      <c r="N2418">
        <v>1</v>
      </c>
      <c r="O2418" t="s">
        <v>58</v>
      </c>
      <c r="P2418" t="s">
        <v>104</v>
      </c>
      <c r="Q2418" t="s">
        <v>105</v>
      </c>
      <c r="R2418" t="s">
        <v>85</v>
      </c>
      <c r="S2418" s="3">
        <v>15.2</v>
      </c>
      <c r="T2418" s="5">
        <v>44795</v>
      </c>
      <c r="U2418">
        <v>3</v>
      </c>
      <c r="V2418">
        <v>2022</v>
      </c>
      <c r="X2418">
        <f t="shared" si="111"/>
        <v>5.9197581999999995</v>
      </c>
      <c r="Y2418">
        <f t="shared" si="112"/>
        <v>15.1997582</v>
      </c>
      <c r="Z2418">
        <f t="shared" si="113"/>
        <v>99.999758200000002</v>
      </c>
    </row>
    <row r="2419" spans="1:26" x14ac:dyDescent="0.3">
      <c r="A2419" t="s">
        <v>2509</v>
      </c>
      <c r="B2419" t="s">
        <v>55</v>
      </c>
      <c r="C2419" t="s">
        <v>89</v>
      </c>
      <c r="D2419" t="s">
        <v>69</v>
      </c>
      <c r="E2419">
        <v>21</v>
      </c>
      <c r="F2419" s="3">
        <v>6.53</v>
      </c>
      <c r="G2419" s="4">
        <v>69.3</v>
      </c>
      <c r="H2419">
        <v>1</v>
      </c>
      <c r="I2419">
        <v>2</v>
      </c>
      <c r="J2419">
        <v>3</v>
      </c>
      <c r="K2419" s="4">
        <v>67</v>
      </c>
      <c r="L2419" s="4">
        <v>65.2</v>
      </c>
      <c r="M2419" s="4">
        <v>75.3</v>
      </c>
      <c r="N2419">
        <v>1</v>
      </c>
      <c r="O2419" t="s">
        <v>64</v>
      </c>
      <c r="P2419" t="s">
        <v>65</v>
      </c>
      <c r="S2419" s="3">
        <v>0</v>
      </c>
      <c r="T2419" s="5"/>
      <c r="U2419">
        <v>0</v>
      </c>
      <c r="V2419">
        <v>2024</v>
      </c>
      <c r="X2419">
        <f t="shared" si="111"/>
        <v>6.5297581000000005</v>
      </c>
      <c r="Y2419">
        <f t="shared" si="112"/>
        <v>-2.419E-4</v>
      </c>
      <c r="Z2419">
        <f t="shared" si="113"/>
        <v>65.199758099999997</v>
      </c>
    </row>
    <row r="2420" spans="1:26" x14ac:dyDescent="0.3">
      <c r="A2420" t="s">
        <v>2510</v>
      </c>
      <c r="B2420" t="s">
        <v>63</v>
      </c>
      <c r="C2420" t="s">
        <v>89</v>
      </c>
      <c r="D2420" t="s">
        <v>69</v>
      </c>
      <c r="E2420">
        <v>22</v>
      </c>
      <c r="F2420" s="3">
        <v>8.0399999999999991</v>
      </c>
      <c r="G2420" s="4">
        <v>80.400000000000006</v>
      </c>
      <c r="H2420">
        <v>2</v>
      </c>
      <c r="I2420">
        <v>1</v>
      </c>
      <c r="J2420">
        <v>4</v>
      </c>
      <c r="K2420" s="4">
        <v>77.3</v>
      </c>
      <c r="L2420" s="4">
        <v>71.900000000000006</v>
      </c>
      <c r="M2420" s="4">
        <v>57.4</v>
      </c>
      <c r="N2420">
        <v>3</v>
      </c>
      <c r="O2420" t="s">
        <v>58</v>
      </c>
      <c r="P2420" t="s">
        <v>90</v>
      </c>
      <c r="Q2420" t="s">
        <v>60</v>
      </c>
      <c r="R2420" t="s">
        <v>109</v>
      </c>
      <c r="S2420" s="3">
        <v>7.75</v>
      </c>
      <c r="T2420" s="5">
        <v>45978</v>
      </c>
      <c r="U2420">
        <v>1</v>
      </c>
      <c r="V2420">
        <v>2025</v>
      </c>
      <c r="X2420">
        <f t="shared" si="111"/>
        <v>8.0397579999999991</v>
      </c>
      <c r="Y2420">
        <f t="shared" si="112"/>
        <v>7.7497579999999999</v>
      </c>
      <c r="Z2420">
        <f t="shared" si="113"/>
        <v>71.899758000000006</v>
      </c>
    </row>
    <row r="2421" spans="1:26" x14ac:dyDescent="0.3">
      <c r="A2421" t="s">
        <v>2511</v>
      </c>
      <c r="B2421" t="s">
        <v>55</v>
      </c>
      <c r="C2421" t="s">
        <v>56</v>
      </c>
      <c r="D2421" t="s">
        <v>69</v>
      </c>
      <c r="E2421">
        <v>22</v>
      </c>
      <c r="F2421" s="3">
        <v>7.92</v>
      </c>
      <c r="G2421" s="4">
        <v>83</v>
      </c>
      <c r="H2421">
        <v>3</v>
      </c>
      <c r="I2421">
        <v>3</v>
      </c>
      <c r="J2421">
        <v>4</v>
      </c>
      <c r="K2421" s="4">
        <v>42.6</v>
      </c>
      <c r="L2421" s="4">
        <v>56.3</v>
      </c>
      <c r="M2421" s="4">
        <v>83.9</v>
      </c>
      <c r="N2421">
        <v>0</v>
      </c>
      <c r="O2421" t="s">
        <v>58</v>
      </c>
      <c r="P2421" t="s">
        <v>112</v>
      </c>
      <c r="Q2421" t="s">
        <v>93</v>
      </c>
      <c r="R2421" t="s">
        <v>72</v>
      </c>
      <c r="S2421" s="3">
        <v>8.2100000000000009</v>
      </c>
      <c r="T2421" s="5">
        <v>45568</v>
      </c>
      <c r="U2421">
        <v>1</v>
      </c>
      <c r="V2421">
        <v>2024</v>
      </c>
      <c r="X2421">
        <f t="shared" si="111"/>
        <v>7.9197578999999996</v>
      </c>
      <c r="Y2421">
        <f t="shared" si="112"/>
        <v>8.2097579000000014</v>
      </c>
      <c r="Z2421">
        <f t="shared" si="113"/>
        <v>56.299757899999996</v>
      </c>
    </row>
    <row r="2422" spans="1:26" x14ac:dyDescent="0.3">
      <c r="A2422" t="s">
        <v>2512</v>
      </c>
      <c r="B2422" t="s">
        <v>55</v>
      </c>
      <c r="C2422" t="s">
        <v>84</v>
      </c>
      <c r="D2422" t="s">
        <v>69</v>
      </c>
      <c r="E2422">
        <v>20</v>
      </c>
      <c r="F2422" s="3">
        <v>6.73</v>
      </c>
      <c r="G2422" s="4">
        <v>70.8</v>
      </c>
      <c r="H2422">
        <v>3</v>
      </c>
      <c r="I2422">
        <v>4</v>
      </c>
      <c r="J2422">
        <v>5</v>
      </c>
      <c r="K2422" s="4">
        <v>73.7</v>
      </c>
      <c r="L2422" s="4">
        <v>55.5</v>
      </c>
      <c r="M2422" s="4">
        <v>67.5</v>
      </c>
      <c r="N2422">
        <v>0</v>
      </c>
      <c r="O2422" t="s">
        <v>58</v>
      </c>
      <c r="P2422" t="s">
        <v>92</v>
      </c>
      <c r="Q2422" t="s">
        <v>93</v>
      </c>
      <c r="R2422" t="s">
        <v>61</v>
      </c>
      <c r="S2422" s="3">
        <v>8.11</v>
      </c>
      <c r="T2422" s="5">
        <v>45550</v>
      </c>
      <c r="U2422">
        <v>3</v>
      </c>
      <c r="V2422">
        <v>2024</v>
      </c>
      <c r="X2422">
        <f t="shared" si="111"/>
        <v>6.7297578000000007</v>
      </c>
      <c r="Y2422">
        <f t="shared" si="112"/>
        <v>8.1097577999999988</v>
      </c>
      <c r="Z2422">
        <f t="shared" si="113"/>
        <v>55.499757799999998</v>
      </c>
    </row>
    <row r="2423" spans="1:26" x14ac:dyDescent="0.3">
      <c r="A2423" t="s">
        <v>2513</v>
      </c>
      <c r="B2423" t="s">
        <v>82</v>
      </c>
      <c r="C2423" t="s">
        <v>56</v>
      </c>
      <c r="D2423" t="s">
        <v>57</v>
      </c>
      <c r="E2423">
        <v>23</v>
      </c>
      <c r="F2423" s="3">
        <v>8.81</v>
      </c>
      <c r="G2423" s="4">
        <v>89.9</v>
      </c>
      <c r="H2423">
        <v>2</v>
      </c>
      <c r="I2423">
        <v>1</v>
      </c>
      <c r="J2423">
        <v>2</v>
      </c>
      <c r="K2423" s="4">
        <v>65.3</v>
      </c>
      <c r="L2423" s="4">
        <v>54.8</v>
      </c>
      <c r="M2423" s="4">
        <v>66.2</v>
      </c>
      <c r="N2423">
        <v>1</v>
      </c>
      <c r="O2423" t="s">
        <v>64</v>
      </c>
      <c r="P2423" t="s">
        <v>65</v>
      </c>
      <c r="S2423" s="3">
        <v>0</v>
      </c>
      <c r="T2423" s="5"/>
      <c r="U2423">
        <v>0</v>
      </c>
      <c r="V2423">
        <v>2022</v>
      </c>
      <c r="X2423">
        <f t="shared" si="111"/>
        <v>8.8097577000000005</v>
      </c>
      <c r="Y2423">
        <f t="shared" si="112"/>
        <v>-2.4229999999999998E-4</v>
      </c>
      <c r="Z2423">
        <f t="shared" si="113"/>
        <v>54.799757700000001</v>
      </c>
    </row>
    <row r="2424" spans="1:26" x14ac:dyDescent="0.3">
      <c r="A2424" t="s">
        <v>2514</v>
      </c>
      <c r="B2424" t="s">
        <v>67</v>
      </c>
      <c r="C2424" t="s">
        <v>68</v>
      </c>
      <c r="D2424" t="s">
        <v>69</v>
      </c>
      <c r="E2424">
        <v>23</v>
      </c>
      <c r="F2424" s="3">
        <v>6.65</v>
      </c>
      <c r="G2424" s="4">
        <v>74.7</v>
      </c>
      <c r="H2424">
        <v>1</v>
      </c>
      <c r="I2424">
        <v>2</v>
      </c>
      <c r="J2424">
        <v>3</v>
      </c>
      <c r="K2424" s="4">
        <v>56.9</v>
      </c>
      <c r="L2424" s="4">
        <v>59.2</v>
      </c>
      <c r="M2424" s="4">
        <v>79.5</v>
      </c>
      <c r="N2424">
        <v>0</v>
      </c>
      <c r="O2424" t="s">
        <v>58</v>
      </c>
      <c r="P2424" t="s">
        <v>59</v>
      </c>
      <c r="Q2424" t="s">
        <v>60</v>
      </c>
      <c r="R2424" t="s">
        <v>76</v>
      </c>
      <c r="S2424" s="3">
        <v>18.579999999999998</v>
      </c>
      <c r="T2424" s="5">
        <v>45170</v>
      </c>
      <c r="U2424">
        <v>1</v>
      </c>
      <c r="V2424">
        <v>2023</v>
      </c>
      <c r="X2424">
        <f t="shared" si="111"/>
        <v>6.6497576</v>
      </c>
      <c r="Y2424">
        <f t="shared" si="112"/>
        <v>18.579757599999997</v>
      </c>
      <c r="Z2424">
        <f t="shared" si="113"/>
        <v>59.199757600000005</v>
      </c>
    </row>
    <row r="2425" spans="1:26" x14ac:dyDescent="0.3">
      <c r="A2425" t="s">
        <v>2515</v>
      </c>
      <c r="B2425" t="s">
        <v>82</v>
      </c>
      <c r="C2425" t="s">
        <v>68</v>
      </c>
      <c r="D2425" t="s">
        <v>57</v>
      </c>
      <c r="E2425">
        <v>23</v>
      </c>
      <c r="F2425" s="3">
        <v>7.46</v>
      </c>
      <c r="G2425" s="4">
        <v>74.3</v>
      </c>
      <c r="H2425">
        <v>1</v>
      </c>
      <c r="I2425">
        <v>0</v>
      </c>
      <c r="J2425">
        <v>6</v>
      </c>
      <c r="K2425" s="4">
        <v>87.4</v>
      </c>
      <c r="L2425" s="4">
        <v>62.9</v>
      </c>
      <c r="M2425" s="4">
        <v>71.400000000000006</v>
      </c>
      <c r="N2425">
        <v>0</v>
      </c>
      <c r="O2425" t="s">
        <v>58</v>
      </c>
      <c r="P2425" t="s">
        <v>59</v>
      </c>
      <c r="Q2425" t="s">
        <v>60</v>
      </c>
      <c r="R2425" t="s">
        <v>76</v>
      </c>
      <c r="S2425" s="3">
        <v>18.87</v>
      </c>
      <c r="T2425" s="5">
        <v>44871</v>
      </c>
      <c r="U2425">
        <v>1</v>
      </c>
      <c r="V2425">
        <v>2022</v>
      </c>
      <c r="X2425">
        <f t="shared" si="111"/>
        <v>7.4597575000000003</v>
      </c>
      <c r="Y2425">
        <f t="shared" si="112"/>
        <v>18.869757500000002</v>
      </c>
      <c r="Z2425">
        <f t="shared" si="113"/>
        <v>62.8997575</v>
      </c>
    </row>
    <row r="2426" spans="1:26" x14ac:dyDescent="0.3">
      <c r="A2426" t="s">
        <v>2516</v>
      </c>
      <c r="B2426" t="s">
        <v>63</v>
      </c>
      <c r="C2426" t="s">
        <v>101</v>
      </c>
      <c r="D2426" t="s">
        <v>69</v>
      </c>
      <c r="E2426">
        <v>21</v>
      </c>
      <c r="F2426" s="3">
        <v>7.34</v>
      </c>
      <c r="G2426" s="4">
        <v>82</v>
      </c>
      <c r="H2426">
        <v>0</v>
      </c>
      <c r="I2426">
        <v>4</v>
      </c>
      <c r="J2426">
        <v>6</v>
      </c>
      <c r="K2426" s="4">
        <v>62</v>
      </c>
      <c r="L2426" s="4">
        <v>91.3</v>
      </c>
      <c r="M2426" s="4">
        <v>56.8</v>
      </c>
      <c r="N2426">
        <v>0</v>
      </c>
      <c r="O2426" t="s">
        <v>58</v>
      </c>
      <c r="P2426" t="s">
        <v>90</v>
      </c>
      <c r="Q2426" t="s">
        <v>60</v>
      </c>
      <c r="R2426" t="s">
        <v>85</v>
      </c>
      <c r="S2426" s="3">
        <v>7.26</v>
      </c>
      <c r="T2426" s="5">
        <v>45954</v>
      </c>
      <c r="U2426">
        <v>1</v>
      </c>
      <c r="V2426">
        <v>2025</v>
      </c>
      <c r="X2426">
        <f t="shared" si="111"/>
        <v>7.3397573999999999</v>
      </c>
      <c r="Y2426">
        <f t="shared" si="112"/>
        <v>7.2597573999999998</v>
      </c>
      <c r="Z2426">
        <f t="shared" si="113"/>
        <v>91.29975739999999</v>
      </c>
    </row>
    <row r="2427" spans="1:26" x14ac:dyDescent="0.3">
      <c r="A2427" t="s">
        <v>2517</v>
      </c>
      <c r="B2427" t="s">
        <v>63</v>
      </c>
      <c r="C2427" t="s">
        <v>56</v>
      </c>
      <c r="D2427" t="s">
        <v>57</v>
      </c>
      <c r="E2427">
        <v>23</v>
      </c>
      <c r="F2427" s="3">
        <v>7.35</v>
      </c>
      <c r="G2427" s="4">
        <v>89.7</v>
      </c>
      <c r="H2427">
        <v>1</v>
      </c>
      <c r="I2427">
        <v>1</v>
      </c>
      <c r="J2427">
        <v>3</v>
      </c>
      <c r="K2427" s="4">
        <v>63.2</v>
      </c>
      <c r="L2427" s="4">
        <v>64.8</v>
      </c>
      <c r="M2427" s="4">
        <v>92.4</v>
      </c>
      <c r="N2427">
        <v>0</v>
      </c>
      <c r="O2427" t="s">
        <v>64</v>
      </c>
      <c r="P2427" t="s">
        <v>65</v>
      </c>
      <c r="S2427" s="3">
        <v>0</v>
      </c>
      <c r="T2427" s="5"/>
      <c r="U2427">
        <v>0</v>
      </c>
      <c r="V2427">
        <v>2025</v>
      </c>
      <c r="X2427">
        <f t="shared" si="111"/>
        <v>7.3497572999999994</v>
      </c>
      <c r="Y2427">
        <f t="shared" si="112"/>
        <v>-2.4269999999999999E-4</v>
      </c>
      <c r="Z2427">
        <f t="shared" si="113"/>
        <v>64.799757299999996</v>
      </c>
    </row>
    <row r="2428" spans="1:26" x14ac:dyDescent="0.3">
      <c r="A2428" t="s">
        <v>2518</v>
      </c>
      <c r="B2428" t="s">
        <v>63</v>
      </c>
      <c r="C2428" t="s">
        <v>68</v>
      </c>
      <c r="D2428" t="s">
        <v>69</v>
      </c>
      <c r="E2428">
        <v>21</v>
      </c>
      <c r="F2428" s="3">
        <v>7.47</v>
      </c>
      <c r="G2428" s="4">
        <v>71.099999999999994</v>
      </c>
      <c r="H2428">
        <v>0</v>
      </c>
      <c r="I2428">
        <v>1</v>
      </c>
      <c r="J2428">
        <v>1</v>
      </c>
      <c r="K2428" s="4">
        <v>64.099999999999994</v>
      </c>
      <c r="L2428" s="4">
        <v>78.3</v>
      </c>
      <c r="M2428" s="4">
        <v>76.7</v>
      </c>
      <c r="N2428">
        <v>2</v>
      </c>
      <c r="O2428" t="s">
        <v>64</v>
      </c>
      <c r="P2428" t="s">
        <v>65</v>
      </c>
      <c r="S2428" s="3">
        <v>0</v>
      </c>
      <c r="T2428" s="5"/>
      <c r="U2428">
        <v>0</v>
      </c>
      <c r="V2428">
        <v>2025</v>
      </c>
      <c r="X2428">
        <f t="shared" si="111"/>
        <v>7.4697572000000001</v>
      </c>
      <c r="Y2428">
        <f t="shared" si="112"/>
        <v>-2.4279999999999999E-4</v>
      </c>
      <c r="Z2428">
        <f t="shared" si="113"/>
        <v>78.299757200000002</v>
      </c>
    </row>
    <row r="2429" spans="1:26" x14ac:dyDescent="0.3">
      <c r="A2429" t="s">
        <v>2519</v>
      </c>
      <c r="B2429" t="s">
        <v>82</v>
      </c>
      <c r="C2429" t="s">
        <v>89</v>
      </c>
      <c r="D2429" t="s">
        <v>57</v>
      </c>
      <c r="E2429">
        <v>21</v>
      </c>
      <c r="F2429" s="3">
        <v>7.45</v>
      </c>
      <c r="G2429" s="4">
        <v>90.5</v>
      </c>
      <c r="H2429">
        <v>1</v>
      </c>
      <c r="I2429">
        <v>2</v>
      </c>
      <c r="J2429">
        <v>3</v>
      </c>
      <c r="K2429" s="4">
        <v>89.9</v>
      </c>
      <c r="L2429" s="4">
        <v>74.400000000000006</v>
      </c>
      <c r="M2429" s="4">
        <v>73.8</v>
      </c>
      <c r="N2429">
        <v>1</v>
      </c>
      <c r="O2429" t="s">
        <v>64</v>
      </c>
      <c r="P2429" t="s">
        <v>65</v>
      </c>
      <c r="S2429" s="3">
        <v>0</v>
      </c>
      <c r="T2429" s="5"/>
      <c r="U2429">
        <v>0</v>
      </c>
      <c r="V2429">
        <v>2022</v>
      </c>
      <c r="X2429">
        <f t="shared" si="111"/>
        <v>7.4497571000000002</v>
      </c>
      <c r="Y2429">
        <f t="shared" si="112"/>
        <v>-2.429E-4</v>
      </c>
      <c r="Z2429">
        <f t="shared" si="113"/>
        <v>74.399757100000002</v>
      </c>
    </row>
    <row r="2430" spans="1:26" x14ac:dyDescent="0.3">
      <c r="A2430" t="s">
        <v>2520</v>
      </c>
      <c r="B2430" t="s">
        <v>55</v>
      </c>
      <c r="C2430" t="s">
        <v>56</v>
      </c>
      <c r="D2430" t="s">
        <v>57</v>
      </c>
      <c r="E2430">
        <v>22</v>
      </c>
      <c r="F2430" s="3">
        <v>7.44</v>
      </c>
      <c r="G2430" s="4">
        <v>62.6</v>
      </c>
      <c r="H2430">
        <v>2</v>
      </c>
      <c r="I2430">
        <v>0</v>
      </c>
      <c r="J2430">
        <v>3</v>
      </c>
      <c r="K2430" s="4">
        <v>69.5</v>
      </c>
      <c r="L2430" s="4">
        <v>84.3</v>
      </c>
      <c r="M2430" s="4">
        <v>73.599999999999994</v>
      </c>
      <c r="N2430">
        <v>0</v>
      </c>
      <c r="O2430" t="s">
        <v>58</v>
      </c>
      <c r="P2430" t="s">
        <v>79</v>
      </c>
      <c r="Q2430" t="s">
        <v>71</v>
      </c>
      <c r="R2430" t="s">
        <v>61</v>
      </c>
      <c r="S2430" s="3">
        <v>7.93</v>
      </c>
      <c r="T2430" s="5">
        <v>45571</v>
      </c>
      <c r="U2430">
        <v>1</v>
      </c>
      <c r="V2430">
        <v>2024</v>
      </c>
      <c r="X2430">
        <f t="shared" si="111"/>
        <v>7.4397570000000002</v>
      </c>
      <c r="Y2430">
        <f t="shared" si="112"/>
        <v>7.9297569999999995</v>
      </c>
      <c r="Z2430">
        <f t="shared" si="113"/>
        <v>84.299757</v>
      </c>
    </row>
    <row r="2431" spans="1:26" x14ac:dyDescent="0.3">
      <c r="A2431" t="s">
        <v>2521</v>
      </c>
      <c r="B2431" t="s">
        <v>55</v>
      </c>
      <c r="C2431" t="s">
        <v>89</v>
      </c>
      <c r="D2431" t="s">
        <v>69</v>
      </c>
      <c r="E2431">
        <v>23</v>
      </c>
      <c r="F2431" s="3">
        <v>7.49</v>
      </c>
      <c r="G2431" s="4">
        <v>85</v>
      </c>
      <c r="H2431">
        <v>3</v>
      </c>
      <c r="I2431">
        <v>1</v>
      </c>
      <c r="J2431">
        <v>3</v>
      </c>
      <c r="K2431" s="4">
        <v>67</v>
      </c>
      <c r="L2431" s="4">
        <v>41.5</v>
      </c>
      <c r="M2431" s="4">
        <v>74.2</v>
      </c>
      <c r="N2431">
        <v>0</v>
      </c>
      <c r="O2431" t="s">
        <v>58</v>
      </c>
      <c r="P2431" t="s">
        <v>79</v>
      </c>
      <c r="Q2431" t="s">
        <v>71</v>
      </c>
      <c r="R2431" t="s">
        <v>72</v>
      </c>
      <c r="S2431" s="3">
        <v>4.99</v>
      </c>
      <c r="T2431" s="5">
        <v>45556</v>
      </c>
      <c r="U2431">
        <v>1</v>
      </c>
      <c r="V2431">
        <v>2024</v>
      </c>
      <c r="X2431">
        <f t="shared" si="111"/>
        <v>7.4897569000000006</v>
      </c>
      <c r="Y2431">
        <f t="shared" si="112"/>
        <v>4.9897569000000006</v>
      </c>
      <c r="Z2431">
        <f t="shared" si="113"/>
        <v>41.499756900000001</v>
      </c>
    </row>
    <row r="2432" spans="1:26" x14ac:dyDescent="0.3">
      <c r="A2432" t="s">
        <v>2522</v>
      </c>
      <c r="B2432" t="s">
        <v>107</v>
      </c>
      <c r="C2432" t="s">
        <v>84</v>
      </c>
      <c r="D2432" t="s">
        <v>57</v>
      </c>
      <c r="E2432">
        <v>23</v>
      </c>
      <c r="F2432" s="3">
        <v>8.6300000000000008</v>
      </c>
      <c r="G2432" s="4">
        <v>71.8</v>
      </c>
      <c r="H2432">
        <v>3</v>
      </c>
      <c r="I2432">
        <v>0</v>
      </c>
      <c r="J2432">
        <v>3</v>
      </c>
      <c r="K2432" s="4">
        <v>80.400000000000006</v>
      </c>
      <c r="L2432" s="4">
        <v>75.099999999999994</v>
      </c>
      <c r="M2432" s="4">
        <v>75.2</v>
      </c>
      <c r="N2432">
        <v>0</v>
      </c>
      <c r="O2432" t="s">
        <v>58</v>
      </c>
      <c r="P2432" t="s">
        <v>104</v>
      </c>
      <c r="Q2432" t="s">
        <v>105</v>
      </c>
      <c r="R2432" t="s">
        <v>109</v>
      </c>
      <c r="S2432" s="3">
        <v>16.440000000000001</v>
      </c>
      <c r="T2432" s="5">
        <v>44451</v>
      </c>
      <c r="U2432">
        <v>1</v>
      </c>
      <c r="V2432">
        <v>2021</v>
      </c>
      <c r="X2432">
        <f t="shared" si="111"/>
        <v>8.6297568000000009</v>
      </c>
      <c r="Y2432">
        <f t="shared" si="112"/>
        <v>16.439756800000001</v>
      </c>
      <c r="Z2432">
        <f t="shared" si="113"/>
        <v>75.099756799999994</v>
      </c>
    </row>
    <row r="2433" spans="1:26" x14ac:dyDescent="0.3">
      <c r="A2433" t="s">
        <v>2523</v>
      </c>
      <c r="B2433" t="s">
        <v>63</v>
      </c>
      <c r="C2433" t="s">
        <v>84</v>
      </c>
      <c r="D2433" t="s">
        <v>57</v>
      </c>
      <c r="E2433">
        <v>23</v>
      </c>
      <c r="F2433" s="3">
        <v>7.44</v>
      </c>
      <c r="G2433" s="4">
        <v>74.8</v>
      </c>
      <c r="H2433">
        <v>1</v>
      </c>
      <c r="I2433">
        <v>0</v>
      </c>
      <c r="J2433">
        <v>5</v>
      </c>
      <c r="K2433" s="4">
        <v>36.700000000000003</v>
      </c>
      <c r="L2433" s="4">
        <v>73.400000000000006</v>
      </c>
      <c r="M2433" s="4">
        <v>87.7</v>
      </c>
      <c r="N2433">
        <v>0</v>
      </c>
      <c r="O2433" t="s">
        <v>64</v>
      </c>
      <c r="P2433" t="s">
        <v>65</v>
      </c>
      <c r="S2433" s="3">
        <v>0</v>
      </c>
      <c r="T2433" s="5"/>
      <c r="U2433">
        <v>0</v>
      </c>
      <c r="V2433">
        <v>2025</v>
      </c>
      <c r="X2433">
        <f t="shared" si="111"/>
        <v>7.4397567000000002</v>
      </c>
      <c r="Y2433">
        <f t="shared" si="112"/>
        <v>-2.4329999999999998E-4</v>
      </c>
      <c r="Z2433">
        <f t="shared" si="113"/>
        <v>73.399756700000012</v>
      </c>
    </row>
    <row r="2434" spans="1:26" x14ac:dyDescent="0.3">
      <c r="A2434" t="s">
        <v>2524</v>
      </c>
      <c r="B2434" t="s">
        <v>55</v>
      </c>
      <c r="C2434" t="s">
        <v>56</v>
      </c>
      <c r="D2434" t="s">
        <v>57</v>
      </c>
      <c r="E2434">
        <v>21</v>
      </c>
      <c r="F2434" s="3">
        <v>8.27</v>
      </c>
      <c r="G2434" s="4">
        <v>97.6</v>
      </c>
      <c r="H2434">
        <v>3</v>
      </c>
      <c r="I2434">
        <v>0</v>
      </c>
      <c r="J2434">
        <v>1</v>
      </c>
      <c r="K2434" s="4">
        <v>70.8</v>
      </c>
      <c r="L2434" s="4">
        <v>68.5</v>
      </c>
      <c r="M2434" s="4">
        <v>93</v>
      </c>
      <c r="N2434">
        <v>0</v>
      </c>
      <c r="O2434" t="s">
        <v>58</v>
      </c>
      <c r="P2434" t="s">
        <v>59</v>
      </c>
      <c r="Q2434" t="s">
        <v>60</v>
      </c>
      <c r="R2434" t="s">
        <v>61</v>
      </c>
      <c r="S2434" s="3">
        <v>19.670000000000002</v>
      </c>
      <c r="T2434" s="5">
        <v>45538</v>
      </c>
      <c r="U2434">
        <v>1</v>
      </c>
      <c r="V2434">
        <v>2024</v>
      </c>
      <c r="X2434">
        <f t="shared" ref="X2434:X2497" si="114">F2434-ROW()*0.0000001</f>
        <v>8.2697565999999991</v>
      </c>
      <c r="Y2434">
        <f t="shared" ref="Y2434:Y2497" si="115">S2434-ROW()*0.0000001</f>
        <v>19.669756600000003</v>
      </c>
      <c r="Z2434">
        <f t="shared" ref="Z2434:Z2497" si="116">L2434-ROW()*0.0000001</f>
        <v>68.499756599999998</v>
      </c>
    </row>
    <row r="2435" spans="1:26" x14ac:dyDescent="0.3">
      <c r="A2435" t="s">
        <v>2525</v>
      </c>
      <c r="B2435" t="s">
        <v>107</v>
      </c>
      <c r="C2435" t="s">
        <v>56</v>
      </c>
      <c r="D2435" t="s">
        <v>57</v>
      </c>
      <c r="E2435">
        <v>21</v>
      </c>
      <c r="F2435" s="3">
        <v>7.78</v>
      </c>
      <c r="G2435" s="4">
        <v>73.099999999999994</v>
      </c>
      <c r="H2435">
        <v>0</v>
      </c>
      <c r="I2435">
        <v>4</v>
      </c>
      <c r="J2435">
        <v>4</v>
      </c>
      <c r="K2435" s="4">
        <v>71</v>
      </c>
      <c r="L2435" s="4">
        <v>86.1</v>
      </c>
      <c r="M2435" s="4">
        <v>70.5</v>
      </c>
      <c r="N2435">
        <v>2</v>
      </c>
      <c r="O2435" t="s">
        <v>58</v>
      </c>
      <c r="P2435" t="s">
        <v>87</v>
      </c>
      <c r="Q2435" t="s">
        <v>71</v>
      </c>
      <c r="R2435" t="s">
        <v>61</v>
      </c>
      <c r="S2435" s="3">
        <v>5.87</v>
      </c>
      <c r="T2435" s="5">
        <v>44469</v>
      </c>
      <c r="U2435">
        <v>1</v>
      </c>
      <c r="V2435">
        <v>2021</v>
      </c>
      <c r="X2435">
        <f t="shared" si="114"/>
        <v>7.7797565000000004</v>
      </c>
      <c r="Y2435">
        <f t="shared" si="115"/>
        <v>5.8697565000000003</v>
      </c>
      <c r="Z2435">
        <f t="shared" si="116"/>
        <v>86.099756499999998</v>
      </c>
    </row>
    <row r="2436" spans="1:26" x14ac:dyDescent="0.3">
      <c r="A2436" t="s">
        <v>2526</v>
      </c>
      <c r="B2436" t="s">
        <v>55</v>
      </c>
      <c r="C2436" t="s">
        <v>74</v>
      </c>
      <c r="D2436" t="s">
        <v>57</v>
      </c>
      <c r="E2436">
        <v>23</v>
      </c>
      <c r="F2436" s="3">
        <v>7.98</v>
      </c>
      <c r="G2436" s="4">
        <v>81.5</v>
      </c>
      <c r="H2436">
        <v>1</v>
      </c>
      <c r="I2436">
        <v>4</v>
      </c>
      <c r="J2436">
        <v>4</v>
      </c>
      <c r="K2436" s="4">
        <v>79.599999999999994</v>
      </c>
      <c r="L2436" s="4">
        <v>68.2</v>
      </c>
      <c r="M2436" s="4">
        <v>82.1</v>
      </c>
      <c r="N2436">
        <v>1</v>
      </c>
      <c r="O2436" t="s">
        <v>64</v>
      </c>
      <c r="P2436" t="s">
        <v>65</v>
      </c>
      <c r="S2436" s="3">
        <v>0</v>
      </c>
      <c r="T2436" s="5"/>
      <c r="U2436">
        <v>0</v>
      </c>
      <c r="V2436">
        <v>2024</v>
      </c>
      <c r="X2436">
        <f t="shared" si="114"/>
        <v>7.9797564000000003</v>
      </c>
      <c r="Y2436">
        <f t="shared" si="115"/>
        <v>-2.4359999999999999E-4</v>
      </c>
      <c r="Z2436">
        <f t="shared" si="116"/>
        <v>68.199756399999998</v>
      </c>
    </row>
    <row r="2437" spans="1:26" x14ac:dyDescent="0.3">
      <c r="A2437" t="s">
        <v>2527</v>
      </c>
      <c r="B2437" t="s">
        <v>63</v>
      </c>
      <c r="C2437" t="s">
        <v>74</v>
      </c>
      <c r="D2437" t="s">
        <v>69</v>
      </c>
      <c r="E2437">
        <v>21</v>
      </c>
      <c r="F2437" s="3">
        <v>8.35</v>
      </c>
      <c r="G2437" s="4">
        <v>72.400000000000006</v>
      </c>
      <c r="H2437">
        <v>2</v>
      </c>
      <c r="I2437">
        <v>2</v>
      </c>
      <c r="J2437">
        <v>4</v>
      </c>
      <c r="K2437" s="4">
        <v>72.099999999999994</v>
      </c>
      <c r="L2437" s="4">
        <v>83.2</v>
      </c>
      <c r="M2437" s="4">
        <v>81.5</v>
      </c>
      <c r="N2437">
        <v>0</v>
      </c>
      <c r="O2437" t="s">
        <v>58</v>
      </c>
      <c r="P2437" t="s">
        <v>95</v>
      </c>
      <c r="Q2437" t="s">
        <v>93</v>
      </c>
      <c r="R2437" t="s">
        <v>76</v>
      </c>
      <c r="S2437" s="3">
        <v>7.11</v>
      </c>
      <c r="T2437" s="5">
        <v>45962</v>
      </c>
      <c r="U2437">
        <v>2</v>
      </c>
      <c r="V2437">
        <v>2025</v>
      </c>
      <c r="X2437">
        <f t="shared" si="114"/>
        <v>8.3497562999999992</v>
      </c>
      <c r="Y2437">
        <f t="shared" si="115"/>
        <v>7.1097562999999999</v>
      </c>
      <c r="Z2437">
        <f t="shared" si="116"/>
        <v>83.199756300000004</v>
      </c>
    </row>
    <row r="2438" spans="1:26" x14ac:dyDescent="0.3">
      <c r="A2438" t="s">
        <v>2528</v>
      </c>
      <c r="B2438" t="s">
        <v>67</v>
      </c>
      <c r="C2438" t="s">
        <v>56</v>
      </c>
      <c r="D2438" t="s">
        <v>57</v>
      </c>
      <c r="E2438">
        <v>21</v>
      </c>
      <c r="F2438" s="3">
        <v>6.62</v>
      </c>
      <c r="G2438" s="4">
        <v>88.9</v>
      </c>
      <c r="H2438">
        <v>1</v>
      </c>
      <c r="I2438">
        <v>2</v>
      </c>
      <c r="J2438">
        <v>4</v>
      </c>
      <c r="K2438" s="4">
        <v>52.2</v>
      </c>
      <c r="L2438" s="4">
        <v>72.599999999999994</v>
      </c>
      <c r="M2438" s="4">
        <v>82.3</v>
      </c>
      <c r="N2438">
        <v>1</v>
      </c>
      <c r="O2438" t="s">
        <v>58</v>
      </c>
      <c r="P2438" t="s">
        <v>90</v>
      </c>
      <c r="Q2438" t="s">
        <v>60</v>
      </c>
      <c r="R2438" t="s">
        <v>85</v>
      </c>
      <c r="S2438" s="3">
        <v>7.41</v>
      </c>
      <c r="T2438" s="5">
        <v>45205</v>
      </c>
      <c r="U2438">
        <v>1</v>
      </c>
      <c r="V2438">
        <v>2023</v>
      </c>
      <c r="X2438">
        <f t="shared" si="114"/>
        <v>6.6197562000000003</v>
      </c>
      <c r="Y2438">
        <f t="shared" si="115"/>
        <v>7.4097562000000003</v>
      </c>
      <c r="Z2438">
        <f t="shared" si="116"/>
        <v>72.599756199999987</v>
      </c>
    </row>
    <row r="2439" spans="1:26" x14ac:dyDescent="0.3">
      <c r="A2439" t="s">
        <v>2529</v>
      </c>
      <c r="B2439" t="s">
        <v>63</v>
      </c>
      <c r="C2439" t="s">
        <v>56</v>
      </c>
      <c r="D2439" t="s">
        <v>57</v>
      </c>
      <c r="E2439">
        <v>20</v>
      </c>
      <c r="F2439" s="3">
        <v>8.2100000000000009</v>
      </c>
      <c r="G2439" s="4">
        <v>85.7</v>
      </c>
      <c r="H2439">
        <v>3</v>
      </c>
      <c r="I2439">
        <v>3</v>
      </c>
      <c r="J2439">
        <v>4</v>
      </c>
      <c r="K2439" s="4">
        <v>44.8</v>
      </c>
      <c r="L2439" s="4">
        <v>73.7</v>
      </c>
      <c r="M2439" s="4">
        <v>89.3</v>
      </c>
      <c r="N2439">
        <v>0</v>
      </c>
      <c r="O2439" t="s">
        <v>58</v>
      </c>
      <c r="P2439" t="s">
        <v>59</v>
      </c>
      <c r="Q2439" t="s">
        <v>60</v>
      </c>
      <c r="R2439" t="s">
        <v>130</v>
      </c>
      <c r="S2439" s="3">
        <v>20.100000000000001</v>
      </c>
      <c r="T2439" s="5">
        <v>45914</v>
      </c>
      <c r="U2439">
        <v>1</v>
      </c>
      <c r="V2439">
        <v>2025</v>
      </c>
      <c r="X2439">
        <f t="shared" si="114"/>
        <v>8.2097561000000017</v>
      </c>
      <c r="Y2439">
        <f t="shared" si="115"/>
        <v>20.0997561</v>
      </c>
      <c r="Z2439">
        <f t="shared" si="116"/>
        <v>73.699756100000002</v>
      </c>
    </row>
    <row r="2440" spans="1:26" x14ac:dyDescent="0.3">
      <c r="A2440" t="s">
        <v>2530</v>
      </c>
      <c r="B2440" t="s">
        <v>82</v>
      </c>
      <c r="C2440" t="s">
        <v>84</v>
      </c>
      <c r="D2440" t="s">
        <v>57</v>
      </c>
      <c r="E2440">
        <v>20</v>
      </c>
      <c r="F2440" s="3">
        <v>7.46</v>
      </c>
      <c r="G2440" s="4">
        <v>86.9</v>
      </c>
      <c r="H2440">
        <v>1</v>
      </c>
      <c r="I2440">
        <v>1</v>
      </c>
      <c r="J2440">
        <v>5</v>
      </c>
      <c r="K2440" s="4">
        <v>76.900000000000006</v>
      </c>
      <c r="L2440" s="4">
        <v>74.7</v>
      </c>
      <c r="M2440" s="4">
        <v>84.2</v>
      </c>
      <c r="N2440">
        <v>1</v>
      </c>
      <c r="O2440" t="s">
        <v>58</v>
      </c>
      <c r="P2440" t="s">
        <v>87</v>
      </c>
      <c r="Q2440" t="s">
        <v>71</v>
      </c>
      <c r="R2440" t="s">
        <v>109</v>
      </c>
      <c r="S2440" s="3">
        <v>5.87</v>
      </c>
      <c r="T2440" s="5">
        <v>44875</v>
      </c>
      <c r="U2440">
        <v>1</v>
      </c>
      <c r="V2440">
        <v>2022</v>
      </c>
      <c r="X2440">
        <f t="shared" si="114"/>
        <v>7.4597559999999996</v>
      </c>
      <c r="Y2440">
        <f t="shared" si="115"/>
        <v>5.8697559999999998</v>
      </c>
      <c r="Z2440">
        <f t="shared" si="116"/>
        <v>74.699756000000008</v>
      </c>
    </row>
    <row r="2441" spans="1:26" x14ac:dyDescent="0.3">
      <c r="A2441" t="s">
        <v>2531</v>
      </c>
      <c r="B2441" t="s">
        <v>55</v>
      </c>
      <c r="C2441" t="s">
        <v>84</v>
      </c>
      <c r="D2441" t="s">
        <v>69</v>
      </c>
      <c r="E2441">
        <v>23</v>
      </c>
      <c r="F2441" s="3">
        <v>6.79</v>
      </c>
      <c r="G2441" s="4">
        <v>92.2</v>
      </c>
      <c r="H2441">
        <v>1</v>
      </c>
      <c r="I2441">
        <v>1</v>
      </c>
      <c r="J2441">
        <v>5</v>
      </c>
      <c r="K2441" s="4">
        <v>61.1</v>
      </c>
      <c r="L2441" s="4">
        <v>67</v>
      </c>
      <c r="M2441" s="4">
        <v>79</v>
      </c>
      <c r="N2441">
        <v>0</v>
      </c>
      <c r="O2441" t="s">
        <v>58</v>
      </c>
      <c r="P2441" t="s">
        <v>92</v>
      </c>
      <c r="Q2441" t="s">
        <v>93</v>
      </c>
      <c r="R2441" t="s">
        <v>76</v>
      </c>
      <c r="S2441" s="3">
        <v>8.15</v>
      </c>
      <c r="T2441" s="5">
        <v>45545</v>
      </c>
      <c r="U2441">
        <v>1</v>
      </c>
      <c r="V2441">
        <v>2024</v>
      </c>
      <c r="X2441">
        <f t="shared" si="114"/>
        <v>6.7897559000000003</v>
      </c>
      <c r="Y2441">
        <f t="shared" si="115"/>
        <v>8.1497559000000006</v>
      </c>
      <c r="Z2441">
        <f t="shared" si="116"/>
        <v>66.999755899999997</v>
      </c>
    </row>
    <row r="2442" spans="1:26" x14ac:dyDescent="0.3">
      <c r="A2442" t="s">
        <v>2532</v>
      </c>
      <c r="B2442" t="s">
        <v>55</v>
      </c>
      <c r="C2442" t="s">
        <v>56</v>
      </c>
      <c r="D2442" t="s">
        <v>69</v>
      </c>
      <c r="E2442">
        <v>23</v>
      </c>
      <c r="F2442" s="3">
        <v>8.35</v>
      </c>
      <c r="G2442" s="4">
        <v>79</v>
      </c>
      <c r="H2442">
        <v>0</v>
      </c>
      <c r="I2442">
        <v>2</v>
      </c>
      <c r="J2442">
        <v>1</v>
      </c>
      <c r="K2442" s="4">
        <v>63.4</v>
      </c>
      <c r="L2442" s="4">
        <v>93.5</v>
      </c>
      <c r="M2442" s="4">
        <v>66.400000000000006</v>
      </c>
      <c r="N2442">
        <v>1</v>
      </c>
      <c r="O2442" t="s">
        <v>58</v>
      </c>
      <c r="P2442" t="s">
        <v>112</v>
      </c>
      <c r="Q2442" t="s">
        <v>93</v>
      </c>
      <c r="R2442" t="s">
        <v>85</v>
      </c>
      <c r="S2442" s="3">
        <v>7.62</v>
      </c>
      <c r="T2442" s="5">
        <v>45623</v>
      </c>
      <c r="U2442">
        <v>2</v>
      </c>
      <c r="V2442">
        <v>2024</v>
      </c>
      <c r="X2442">
        <f t="shared" si="114"/>
        <v>8.3497558000000005</v>
      </c>
      <c r="Y2442">
        <f t="shared" si="115"/>
        <v>7.6197558000000001</v>
      </c>
      <c r="Z2442">
        <f t="shared" si="116"/>
        <v>93.499755800000003</v>
      </c>
    </row>
    <row r="2443" spans="1:26" x14ac:dyDescent="0.3">
      <c r="A2443" t="s">
        <v>2533</v>
      </c>
      <c r="B2443" t="s">
        <v>82</v>
      </c>
      <c r="C2443" t="s">
        <v>74</v>
      </c>
      <c r="D2443" t="s">
        <v>69</v>
      </c>
      <c r="E2443">
        <v>20</v>
      </c>
      <c r="F2443" s="3">
        <v>7.27</v>
      </c>
      <c r="G2443" s="4">
        <v>91.7</v>
      </c>
      <c r="H2443">
        <v>2</v>
      </c>
      <c r="I2443">
        <v>1</v>
      </c>
      <c r="J2443">
        <v>1</v>
      </c>
      <c r="K2443" s="4">
        <v>56</v>
      </c>
      <c r="L2443" s="4">
        <v>86.1</v>
      </c>
      <c r="M2443" s="4">
        <v>77.599999999999994</v>
      </c>
      <c r="N2443">
        <v>0</v>
      </c>
      <c r="O2443" t="s">
        <v>58</v>
      </c>
      <c r="P2443" t="s">
        <v>95</v>
      </c>
      <c r="Q2443" t="s">
        <v>93</v>
      </c>
      <c r="R2443" t="s">
        <v>85</v>
      </c>
      <c r="S2443" s="3">
        <v>6.72</v>
      </c>
      <c r="T2443" s="5">
        <v>44825</v>
      </c>
      <c r="U2443">
        <v>1</v>
      </c>
      <c r="V2443">
        <v>2022</v>
      </c>
      <c r="X2443">
        <f t="shared" si="114"/>
        <v>7.2697556999999993</v>
      </c>
      <c r="Y2443">
        <f t="shared" si="115"/>
        <v>6.7197556999999994</v>
      </c>
      <c r="Z2443">
        <f t="shared" si="116"/>
        <v>86.099755699999989</v>
      </c>
    </row>
    <row r="2444" spans="1:26" x14ac:dyDescent="0.3">
      <c r="A2444" t="s">
        <v>2534</v>
      </c>
      <c r="B2444" t="s">
        <v>82</v>
      </c>
      <c r="C2444" t="s">
        <v>74</v>
      </c>
      <c r="D2444" t="s">
        <v>69</v>
      </c>
      <c r="E2444">
        <v>21</v>
      </c>
      <c r="F2444" s="3">
        <v>7.99</v>
      </c>
      <c r="G2444" s="4">
        <v>95.4</v>
      </c>
      <c r="H2444">
        <v>1</v>
      </c>
      <c r="I2444">
        <v>2</v>
      </c>
      <c r="J2444">
        <v>5</v>
      </c>
      <c r="K2444" s="4">
        <v>68.2</v>
      </c>
      <c r="L2444" s="4">
        <v>69.099999999999994</v>
      </c>
      <c r="M2444" s="4">
        <v>61.4</v>
      </c>
      <c r="N2444">
        <v>1</v>
      </c>
      <c r="O2444" t="s">
        <v>64</v>
      </c>
      <c r="P2444" t="s">
        <v>65</v>
      </c>
      <c r="S2444" s="3">
        <v>0</v>
      </c>
      <c r="T2444" s="5"/>
      <c r="U2444">
        <v>0</v>
      </c>
      <c r="V2444">
        <v>2022</v>
      </c>
      <c r="X2444">
        <f t="shared" si="114"/>
        <v>7.9897556000000005</v>
      </c>
      <c r="Y2444">
        <f t="shared" si="115"/>
        <v>-2.4439999999999998E-4</v>
      </c>
      <c r="Z2444">
        <f t="shared" si="116"/>
        <v>69.099755599999995</v>
      </c>
    </row>
    <row r="2445" spans="1:26" x14ac:dyDescent="0.3">
      <c r="A2445" t="s">
        <v>2535</v>
      </c>
      <c r="B2445" t="s">
        <v>67</v>
      </c>
      <c r="C2445" t="s">
        <v>56</v>
      </c>
      <c r="D2445" t="s">
        <v>69</v>
      </c>
      <c r="E2445">
        <v>21</v>
      </c>
      <c r="F2445" s="3">
        <v>5.21</v>
      </c>
      <c r="G2445" s="4">
        <v>84.6</v>
      </c>
      <c r="H2445">
        <v>2</v>
      </c>
      <c r="I2445">
        <v>2</v>
      </c>
      <c r="J2445">
        <v>4</v>
      </c>
      <c r="K2445" s="4">
        <v>67</v>
      </c>
      <c r="L2445" s="4">
        <v>72.599999999999994</v>
      </c>
      <c r="M2445" s="4">
        <v>79.5</v>
      </c>
      <c r="N2445">
        <v>1</v>
      </c>
      <c r="O2445" t="s">
        <v>58</v>
      </c>
      <c r="P2445" t="s">
        <v>59</v>
      </c>
      <c r="Q2445" t="s">
        <v>60</v>
      </c>
      <c r="R2445" t="s">
        <v>130</v>
      </c>
      <c r="S2445" s="3">
        <v>18.82</v>
      </c>
      <c r="T2445" s="5">
        <v>45150</v>
      </c>
      <c r="U2445">
        <v>2</v>
      </c>
      <c r="V2445">
        <v>2023</v>
      </c>
      <c r="X2445">
        <f t="shared" si="114"/>
        <v>5.2097555</v>
      </c>
      <c r="Y2445">
        <f t="shared" si="115"/>
        <v>18.819755499999999</v>
      </c>
      <c r="Z2445">
        <f t="shared" si="116"/>
        <v>72.599755500000001</v>
      </c>
    </row>
    <row r="2446" spans="1:26" x14ac:dyDescent="0.3">
      <c r="A2446" t="s">
        <v>2536</v>
      </c>
      <c r="B2446" t="s">
        <v>55</v>
      </c>
      <c r="C2446" t="s">
        <v>89</v>
      </c>
      <c r="D2446" t="s">
        <v>69</v>
      </c>
      <c r="E2446">
        <v>22</v>
      </c>
      <c r="F2446" s="3">
        <v>8.3000000000000007</v>
      </c>
      <c r="G2446" s="4">
        <v>72</v>
      </c>
      <c r="H2446">
        <v>2</v>
      </c>
      <c r="I2446">
        <v>2</v>
      </c>
      <c r="J2446">
        <v>6</v>
      </c>
      <c r="K2446" s="4">
        <v>50.9</v>
      </c>
      <c r="L2446" s="4">
        <v>77.2</v>
      </c>
      <c r="M2446" s="4">
        <v>77.8</v>
      </c>
      <c r="N2446">
        <v>0</v>
      </c>
      <c r="O2446" t="s">
        <v>58</v>
      </c>
      <c r="P2446" t="s">
        <v>79</v>
      </c>
      <c r="Q2446" t="s">
        <v>71</v>
      </c>
      <c r="R2446" t="s">
        <v>80</v>
      </c>
      <c r="S2446" s="3">
        <v>7.13</v>
      </c>
      <c r="T2446" s="5">
        <v>45519</v>
      </c>
      <c r="U2446">
        <v>2</v>
      </c>
      <c r="V2446">
        <v>2024</v>
      </c>
      <c r="X2446">
        <f t="shared" si="114"/>
        <v>8.2997554000000004</v>
      </c>
      <c r="Y2446">
        <f t="shared" si="115"/>
        <v>7.1297553999999996</v>
      </c>
      <c r="Z2446">
        <f t="shared" si="116"/>
        <v>77.199755400000001</v>
      </c>
    </row>
    <row r="2447" spans="1:26" x14ac:dyDescent="0.3">
      <c r="A2447" t="s">
        <v>2537</v>
      </c>
      <c r="B2447" t="s">
        <v>55</v>
      </c>
      <c r="C2447" t="s">
        <v>89</v>
      </c>
      <c r="D2447" t="s">
        <v>69</v>
      </c>
      <c r="E2447">
        <v>23</v>
      </c>
      <c r="F2447" s="3">
        <v>9.98</v>
      </c>
      <c r="G2447" s="4">
        <v>71.2</v>
      </c>
      <c r="H2447">
        <v>2</v>
      </c>
      <c r="I2447">
        <v>3</v>
      </c>
      <c r="J2447">
        <v>3</v>
      </c>
      <c r="K2447" s="4">
        <v>78.8</v>
      </c>
      <c r="L2447" s="4">
        <v>82.2</v>
      </c>
      <c r="M2447" s="4">
        <v>56.8</v>
      </c>
      <c r="N2447">
        <v>0</v>
      </c>
      <c r="O2447" t="s">
        <v>58</v>
      </c>
      <c r="P2447" t="s">
        <v>59</v>
      </c>
      <c r="Q2447" t="s">
        <v>60</v>
      </c>
      <c r="R2447" t="s">
        <v>130</v>
      </c>
      <c r="S2447" s="3">
        <v>21.75</v>
      </c>
      <c r="T2447" s="5">
        <v>45623</v>
      </c>
      <c r="U2447">
        <v>2</v>
      </c>
      <c r="V2447">
        <v>2024</v>
      </c>
      <c r="X2447">
        <f t="shared" si="114"/>
        <v>9.9797553000000008</v>
      </c>
      <c r="Y2447">
        <f t="shared" si="115"/>
        <v>21.7497553</v>
      </c>
      <c r="Z2447">
        <f t="shared" si="116"/>
        <v>82.199755300000007</v>
      </c>
    </row>
    <row r="2448" spans="1:26" x14ac:dyDescent="0.3">
      <c r="A2448" t="s">
        <v>2538</v>
      </c>
      <c r="B2448" t="s">
        <v>67</v>
      </c>
      <c r="C2448" t="s">
        <v>101</v>
      </c>
      <c r="D2448" t="s">
        <v>57</v>
      </c>
      <c r="E2448">
        <v>23</v>
      </c>
      <c r="F2448" s="3">
        <v>7.64</v>
      </c>
      <c r="G2448" s="4">
        <v>86</v>
      </c>
      <c r="H2448">
        <v>1</v>
      </c>
      <c r="I2448">
        <v>3</v>
      </c>
      <c r="J2448">
        <v>2</v>
      </c>
      <c r="K2448" s="4">
        <v>58</v>
      </c>
      <c r="L2448" s="4">
        <v>94.2</v>
      </c>
      <c r="M2448" s="4">
        <v>68.400000000000006</v>
      </c>
      <c r="N2448">
        <v>2</v>
      </c>
      <c r="O2448" t="s">
        <v>58</v>
      </c>
      <c r="P2448" t="s">
        <v>92</v>
      </c>
      <c r="Q2448" t="s">
        <v>93</v>
      </c>
      <c r="R2448" t="s">
        <v>130</v>
      </c>
      <c r="S2448" s="3">
        <v>9</v>
      </c>
      <c r="T2448" s="5">
        <v>45258</v>
      </c>
      <c r="U2448">
        <v>3</v>
      </c>
      <c r="V2448">
        <v>2023</v>
      </c>
      <c r="X2448">
        <f t="shared" si="114"/>
        <v>7.6397551999999997</v>
      </c>
      <c r="Y2448">
        <f t="shared" si="115"/>
        <v>8.9997551999999992</v>
      </c>
      <c r="Z2448">
        <f t="shared" si="116"/>
        <v>94.199755199999998</v>
      </c>
    </row>
    <row r="2449" spans="1:26" x14ac:dyDescent="0.3">
      <c r="A2449" t="s">
        <v>2539</v>
      </c>
      <c r="B2449" t="s">
        <v>107</v>
      </c>
      <c r="C2449" t="s">
        <v>78</v>
      </c>
      <c r="D2449" t="s">
        <v>69</v>
      </c>
      <c r="E2449">
        <v>23</v>
      </c>
      <c r="F2449" s="3">
        <v>7.41</v>
      </c>
      <c r="G2449" s="4">
        <v>72</v>
      </c>
      <c r="H2449">
        <v>1</v>
      </c>
      <c r="I2449">
        <v>5</v>
      </c>
      <c r="J2449">
        <v>3</v>
      </c>
      <c r="K2449" s="4">
        <v>88</v>
      </c>
      <c r="L2449" s="4">
        <v>83.6</v>
      </c>
      <c r="M2449" s="4">
        <v>65.099999999999994</v>
      </c>
      <c r="N2449">
        <v>0</v>
      </c>
      <c r="O2449" t="s">
        <v>58</v>
      </c>
      <c r="P2449" t="s">
        <v>104</v>
      </c>
      <c r="Q2449" t="s">
        <v>105</v>
      </c>
      <c r="R2449" t="s">
        <v>85</v>
      </c>
      <c r="S2449" s="3">
        <v>15.97</v>
      </c>
      <c r="T2449" s="5">
        <v>44424</v>
      </c>
      <c r="U2449">
        <v>1</v>
      </c>
      <c r="V2449">
        <v>2021</v>
      </c>
      <c r="X2449">
        <f t="shared" si="114"/>
        <v>7.4097550999999999</v>
      </c>
      <c r="Y2449">
        <f t="shared" si="115"/>
        <v>15.9697551</v>
      </c>
      <c r="Z2449">
        <f t="shared" si="116"/>
        <v>83.599755099999996</v>
      </c>
    </row>
    <row r="2450" spans="1:26" x14ac:dyDescent="0.3">
      <c r="A2450" t="s">
        <v>2540</v>
      </c>
      <c r="B2450" t="s">
        <v>67</v>
      </c>
      <c r="C2450" t="s">
        <v>68</v>
      </c>
      <c r="D2450" t="s">
        <v>57</v>
      </c>
      <c r="E2450">
        <v>22</v>
      </c>
      <c r="F2450" s="3">
        <v>7.23</v>
      </c>
      <c r="G2450" s="4">
        <v>69.900000000000006</v>
      </c>
      <c r="H2450">
        <v>2</v>
      </c>
      <c r="I2450">
        <v>3</v>
      </c>
      <c r="J2450">
        <v>3</v>
      </c>
      <c r="K2450" s="4">
        <v>71</v>
      </c>
      <c r="L2450" s="4">
        <v>67.400000000000006</v>
      </c>
      <c r="M2450" s="4">
        <v>82.4</v>
      </c>
      <c r="N2450">
        <v>0</v>
      </c>
      <c r="O2450" t="s">
        <v>58</v>
      </c>
      <c r="P2450" t="s">
        <v>70</v>
      </c>
      <c r="Q2450" t="s">
        <v>71</v>
      </c>
      <c r="R2450" t="s">
        <v>80</v>
      </c>
      <c r="S2450" s="3">
        <v>5.01</v>
      </c>
      <c r="T2450" s="5">
        <v>45141</v>
      </c>
      <c r="U2450">
        <v>1</v>
      </c>
      <c r="V2450">
        <v>2023</v>
      </c>
      <c r="X2450">
        <f t="shared" si="114"/>
        <v>7.2297550000000008</v>
      </c>
      <c r="Y2450">
        <f t="shared" si="115"/>
        <v>5.0097550000000002</v>
      </c>
      <c r="Z2450">
        <f t="shared" si="116"/>
        <v>67.399754999999999</v>
      </c>
    </row>
    <row r="2451" spans="1:26" x14ac:dyDescent="0.3">
      <c r="A2451" t="s">
        <v>2541</v>
      </c>
      <c r="B2451" t="s">
        <v>63</v>
      </c>
      <c r="C2451" t="s">
        <v>89</v>
      </c>
      <c r="D2451" t="s">
        <v>69</v>
      </c>
      <c r="E2451">
        <v>22</v>
      </c>
      <c r="F2451" s="3">
        <v>8.15</v>
      </c>
      <c r="G2451" s="4">
        <v>90</v>
      </c>
      <c r="H2451">
        <v>3</v>
      </c>
      <c r="I2451">
        <v>0</v>
      </c>
      <c r="J2451">
        <v>4</v>
      </c>
      <c r="K2451" s="4">
        <v>66.8</v>
      </c>
      <c r="L2451" s="4">
        <v>57.7</v>
      </c>
      <c r="M2451" s="4">
        <v>70.5</v>
      </c>
      <c r="N2451">
        <v>0</v>
      </c>
      <c r="O2451" t="s">
        <v>58</v>
      </c>
      <c r="P2451" t="s">
        <v>104</v>
      </c>
      <c r="Q2451" t="s">
        <v>105</v>
      </c>
      <c r="R2451" t="s">
        <v>80</v>
      </c>
      <c r="S2451" s="3">
        <v>17.13</v>
      </c>
      <c r="T2451" s="5">
        <v>45896</v>
      </c>
      <c r="U2451">
        <v>1</v>
      </c>
      <c r="V2451">
        <v>2025</v>
      </c>
      <c r="X2451">
        <f t="shared" si="114"/>
        <v>8.1497548999999996</v>
      </c>
      <c r="Y2451">
        <f t="shared" si="115"/>
        <v>17.129754899999998</v>
      </c>
      <c r="Z2451">
        <f t="shared" si="116"/>
        <v>57.699754900000002</v>
      </c>
    </row>
    <row r="2452" spans="1:26" x14ac:dyDescent="0.3">
      <c r="A2452" t="s">
        <v>2542</v>
      </c>
      <c r="B2452" t="s">
        <v>55</v>
      </c>
      <c r="C2452" t="s">
        <v>74</v>
      </c>
      <c r="D2452" t="s">
        <v>69</v>
      </c>
      <c r="E2452">
        <v>21</v>
      </c>
      <c r="F2452" s="3">
        <v>7.38</v>
      </c>
      <c r="G2452" s="4">
        <v>77.900000000000006</v>
      </c>
      <c r="H2452">
        <v>2</v>
      </c>
      <c r="I2452">
        <v>3</v>
      </c>
      <c r="J2452">
        <v>5</v>
      </c>
      <c r="K2452" s="4">
        <v>46.9</v>
      </c>
      <c r="L2452" s="4">
        <v>84.9</v>
      </c>
      <c r="M2452" s="4">
        <v>56.9</v>
      </c>
      <c r="N2452">
        <v>0</v>
      </c>
      <c r="O2452" t="s">
        <v>58</v>
      </c>
      <c r="P2452" t="s">
        <v>95</v>
      </c>
      <c r="Q2452" t="s">
        <v>93</v>
      </c>
      <c r="R2452" t="s">
        <v>61</v>
      </c>
      <c r="S2452" s="3">
        <v>7.14</v>
      </c>
      <c r="T2452" s="5">
        <v>45614</v>
      </c>
      <c r="U2452">
        <v>3</v>
      </c>
      <c r="V2452">
        <v>2024</v>
      </c>
      <c r="X2452">
        <f t="shared" si="114"/>
        <v>7.3797547999999997</v>
      </c>
      <c r="Y2452">
        <f t="shared" si="115"/>
        <v>7.1397547999999995</v>
      </c>
      <c r="Z2452">
        <f t="shared" si="116"/>
        <v>84.899754800000011</v>
      </c>
    </row>
    <row r="2453" spans="1:26" x14ac:dyDescent="0.3">
      <c r="A2453" t="s">
        <v>2543</v>
      </c>
      <c r="B2453" t="s">
        <v>82</v>
      </c>
      <c r="C2453" t="s">
        <v>89</v>
      </c>
      <c r="D2453" t="s">
        <v>69</v>
      </c>
      <c r="E2453">
        <v>20</v>
      </c>
      <c r="F2453" s="3">
        <v>8.23</v>
      </c>
      <c r="G2453" s="4">
        <v>100</v>
      </c>
      <c r="H2453">
        <v>0</v>
      </c>
      <c r="I2453">
        <v>2</v>
      </c>
      <c r="J2453">
        <v>4</v>
      </c>
      <c r="K2453" s="4">
        <v>75.599999999999994</v>
      </c>
      <c r="L2453" s="4">
        <v>74.3</v>
      </c>
      <c r="M2453" s="4">
        <v>79.400000000000006</v>
      </c>
      <c r="N2453">
        <v>1</v>
      </c>
      <c r="O2453" t="s">
        <v>64</v>
      </c>
      <c r="P2453" t="s">
        <v>65</v>
      </c>
      <c r="S2453" s="3">
        <v>0</v>
      </c>
      <c r="T2453" s="5"/>
      <c r="U2453">
        <v>0</v>
      </c>
      <c r="V2453">
        <v>2022</v>
      </c>
      <c r="X2453">
        <f t="shared" si="114"/>
        <v>8.2297547000000009</v>
      </c>
      <c r="Y2453">
        <f t="shared" si="115"/>
        <v>-2.453E-4</v>
      </c>
      <c r="Z2453">
        <f t="shared" si="116"/>
        <v>74.299754699999994</v>
      </c>
    </row>
    <row r="2454" spans="1:26" x14ac:dyDescent="0.3">
      <c r="A2454" t="s">
        <v>2544</v>
      </c>
      <c r="B2454" t="s">
        <v>63</v>
      </c>
      <c r="C2454" t="s">
        <v>68</v>
      </c>
      <c r="D2454" t="s">
        <v>69</v>
      </c>
      <c r="E2454">
        <v>20</v>
      </c>
      <c r="F2454" s="3">
        <v>9.1999999999999993</v>
      </c>
      <c r="G2454" s="4">
        <v>76.099999999999994</v>
      </c>
      <c r="H2454">
        <v>0</v>
      </c>
      <c r="I2454">
        <v>2</v>
      </c>
      <c r="J2454">
        <v>2</v>
      </c>
      <c r="K2454" s="4">
        <v>67.400000000000006</v>
      </c>
      <c r="L2454" s="4">
        <v>55.3</v>
      </c>
      <c r="M2454" s="4">
        <v>76.5</v>
      </c>
      <c r="N2454">
        <v>0</v>
      </c>
      <c r="O2454" t="s">
        <v>58</v>
      </c>
      <c r="P2454" t="s">
        <v>87</v>
      </c>
      <c r="Q2454" t="s">
        <v>71</v>
      </c>
      <c r="R2454" t="s">
        <v>130</v>
      </c>
      <c r="S2454" s="3">
        <v>7.32</v>
      </c>
      <c r="T2454" s="5">
        <v>45933</v>
      </c>
      <c r="U2454">
        <v>2</v>
      </c>
      <c r="V2454">
        <v>2025</v>
      </c>
      <c r="X2454">
        <f t="shared" si="114"/>
        <v>9.1997545999999986</v>
      </c>
      <c r="Y2454">
        <f t="shared" si="115"/>
        <v>7.3197546000000004</v>
      </c>
      <c r="Z2454">
        <f t="shared" si="116"/>
        <v>55.2997546</v>
      </c>
    </row>
    <row r="2455" spans="1:26" x14ac:dyDescent="0.3">
      <c r="A2455" t="s">
        <v>2545</v>
      </c>
      <c r="B2455" t="s">
        <v>55</v>
      </c>
      <c r="C2455" t="s">
        <v>56</v>
      </c>
      <c r="D2455" t="s">
        <v>57</v>
      </c>
      <c r="E2455">
        <v>20</v>
      </c>
      <c r="F2455" s="3">
        <v>8.41</v>
      </c>
      <c r="G2455" s="4">
        <v>77.5</v>
      </c>
      <c r="H2455">
        <v>1</v>
      </c>
      <c r="I2455">
        <v>2</v>
      </c>
      <c r="J2455">
        <v>5</v>
      </c>
      <c r="K2455" s="4">
        <v>70.400000000000006</v>
      </c>
      <c r="L2455" s="4">
        <v>82.8</v>
      </c>
      <c r="M2455" s="4">
        <v>75.5</v>
      </c>
      <c r="N2455">
        <v>0</v>
      </c>
      <c r="O2455" t="s">
        <v>64</v>
      </c>
      <c r="P2455" t="s">
        <v>65</v>
      </c>
      <c r="S2455" s="3">
        <v>0</v>
      </c>
      <c r="T2455" s="5"/>
      <c r="U2455">
        <v>0</v>
      </c>
      <c r="V2455">
        <v>2024</v>
      </c>
      <c r="X2455">
        <f t="shared" si="114"/>
        <v>8.4097545</v>
      </c>
      <c r="Y2455">
        <f t="shared" si="115"/>
        <v>-2.455E-4</v>
      </c>
      <c r="Z2455">
        <f t="shared" si="116"/>
        <v>82.799754499999992</v>
      </c>
    </row>
    <row r="2456" spans="1:26" x14ac:dyDescent="0.3">
      <c r="A2456" t="s">
        <v>2546</v>
      </c>
      <c r="B2456" t="s">
        <v>67</v>
      </c>
      <c r="C2456" t="s">
        <v>56</v>
      </c>
      <c r="D2456" t="s">
        <v>57</v>
      </c>
      <c r="E2456">
        <v>21</v>
      </c>
      <c r="F2456" s="3">
        <v>7.49</v>
      </c>
      <c r="G2456" s="4">
        <v>85.2</v>
      </c>
      <c r="H2456">
        <v>2</v>
      </c>
      <c r="I2456">
        <v>0</v>
      </c>
      <c r="J2456">
        <v>4</v>
      </c>
      <c r="K2456" s="4">
        <v>86.4</v>
      </c>
      <c r="L2456" s="4">
        <v>92.7</v>
      </c>
      <c r="M2456" s="4">
        <v>60.8</v>
      </c>
      <c r="N2456">
        <v>2</v>
      </c>
      <c r="O2456" t="s">
        <v>58</v>
      </c>
      <c r="P2456" t="s">
        <v>87</v>
      </c>
      <c r="Q2456" t="s">
        <v>71</v>
      </c>
      <c r="R2456" t="s">
        <v>130</v>
      </c>
      <c r="S2456" s="3">
        <v>8.51</v>
      </c>
      <c r="T2456" s="5">
        <v>45186</v>
      </c>
      <c r="U2456">
        <v>1</v>
      </c>
      <c r="V2456">
        <v>2023</v>
      </c>
      <c r="X2456">
        <f t="shared" si="114"/>
        <v>7.4897543999999998</v>
      </c>
      <c r="Y2456">
        <f t="shared" si="115"/>
        <v>8.5097544000000003</v>
      </c>
      <c r="Z2456">
        <f t="shared" si="116"/>
        <v>92.699754400000003</v>
      </c>
    </row>
    <row r="2457" spans="1:26" x14ac:dyDescent="0.3">
      <c r="A2457" t="s">
        <v>2547</v>
      </c>
      <c r="B2457" t="s">
        <v>63</v>
      </c>
      <c r="C2457" t="s">
        <v>74</v>
      </c>
      <c r="D2457" t="s">
        <v>57</v>
      </c>
      <c r="E2457">
        <v>20</v>
      </c>
      <c r="F2457" s="3">
        <v>6.65</v>
      </c>
      <c r="G2457" s="4">
        <v>83.8</v>
      </c>
      <c r="H2457">
        <v>1</v>
      </c>
      <c r="I2457">
        <v>4</v>
      </c>
      <c r="J2457">
        <v>4</v>
      </c>
      <c r="K2457" s="4">
        <v>80.2</v>
      </c>
      <c r="L2457" s="4">
        <v>70.099999999999994</v>
      </c>
      <c r="M2457" s="4">
        <v>81.099999999999994</v>
      </c>
      <c r="N2457">
        <v>0</v>
      </c>
      <c r="O2457" t="s">
        <v>64</v>
      </c>
      <c r="P2457" t="s">
        <v>65</v>
      </c>
      <c r="S2457" s="3">
        <v>0</v>
      </c>
      <c r="T2457" s="5"/>
      <c r="U2457">
        <v>0</v>
      </c>
      <c r="V2457">
        <v>2025</v>
      </c>
      <c r="X2457">
        <f t="shared" si="114"/>
        <v>6.6497543000000006</v>
      </c>
      <c r="Y2457">
        <f t="shared" si="115"/>
        <v>-2.4570000000000001E-4</v>
      </c>
      <c r="Z2457">
        <f t="shared" si="116"/>
        <v>70.099754300000001</v>
      </c>
    </row>
    <row r="2458" spans="1:26" x14ac:dyDescent="0.3">
      <c r="A2458" t="s">
        <v>2548</v>
      </c>
      <c r="B2458" t="s">
        <v>55</v>
      </c>
      <c r="C2458" t="s">
        <v>84</v>
      </c>
      <c r="D2458" t="s">
        <v>69</v>
      </c>
      <c r="E2458">
        <v>22</v>
      </c>
      <c r="F2458" s="3">
        <v>7.28</v>
      </c>
      <c r="G2458" s="4">
        <v>81.2</v>
      </c>
      <c r="H2458">
        <v>2</v>
      </c>
      <c r="I2458">
        <v>3</v>
      </c>
      <c r="J2458">
        <v>4</v>
      </c>
      <c r="K2458" s="4">
        <v>83.6</v>
      </c>
      <c r="L2458" s="4">
        <v>93.5</v>
      </c>
      <c r="M2458" s="4">
        <v>72.599999999999994</v>
      </c>
      <c r="N2458">
        <v>3</v>
      </c>
      <c r="O2458" t="s">
        <v>58</v>
      </c>
      <c r="P2458" t="s">
        <v>95</v>
      </c>
      <c r="Q2458" t="s">
        <v>93</v>
      </c>
      <c r="R2458" t="s">
        <v>80</v>
      </c>
      <c r="S2458" s="3">
        <v>6.98</v>
      </c>
      <c r="T2458" s="5">
        <v>45592</v>
      </c>
      <c r="U2458">
        <v>2</v>
      </c>
      <c r="V2458">
        <v>2024</v>
      </c>
      <c r="X2458">
        <f t="shared" si="114"/>
        <v>7.2797542000000002</v>
      </c>
      <c r="Y2458">
        <f t="shared" si="115"/>
        <v>6.9797542000000004</v>
      </c>
      <c r="Z2458">
        <f t="shared" si="116"/>
        <v>93.499754199999998</v>
      </c>
    </row>
    <row r="2459" spans="1:26" x14ac:dyDescent="0.3">
      <c r="A2459" t="s">
        <v>2549</v>
      </c>
      <c r="B2459" t="s">
        <v>107</v>
      </c>
      <c r="C2459" t="s">
        <v>56</v>
      </c>
      <c r="D2459" t="s">
        <v>69</v>
      </c>
      <c r="E2459">
        <v>22</v>
      </c>
      <c r="F2459" s="3">
        <v>7.51</v>
      </c>
      <c r="G2459" s="4">
        <v>81</v>
      </c>
      <c r="H2459">
        <v>3</v>
      </c>
      <c r="I2459">
        <v>2</v>
      </c>
      <c r="J2459">
        <v>4</v>
      </c>
      <c r="K2459" s="4">
        <v>34.200000000000003</v>
      </c>
      <c r="L2459" s="4">
        <v>81.5</v>
      </c>
      <c r="M2459" s="4">
        <v>71.900000000000006</v>
      </c>
      <c r="N2459">
        <v>2</v>
      </c>
      <c r="O2459" t="s">
        <v>58</v>
      </c>
      <c r="P2459" t="s">
        <v>104</v>
      </c>
      <c r="Q2459" t="s">
        <v>105</v>
      </c>
      <c r="R2459" t="s">
        <v>80</v>
      </c>
      <c r="S2459" s="3">
        <v>16.059999999999999</v>
      </c>
      <c r="T2459" s="5">
        <v>44463</v>
      </c>
      <c r="U2459">
        <v>1</v>
      </c>
      <c r="V2459">
        <v>2021</v>
      </c>
      <c r="X2459">
        <f t="shared" si="114"/>
        <v>7.5097540999999994</v>
      </c>
      <c r="Y2459">
        <f t="shared" si="115"/>
        <v>16.059754099999999</v>
      </c>
      <c r="Z2459">
        <f t="shared" si="116"/>
        <v>81.499754100000004</v>
      </c>
    </row>
    <row r="2460" spans="1:26" x14ac:dyDescent="0.3">
      <c r="A2460" t="s">
        <v>2550</v>
      </c>
      <c r="B2460" t="s">
        <v>107</v>
      </c>
      <c r="C2460" t="s">
        <v>74</v>
      </c>
      <c r="D2460" t="s">
        <v>69</v>
      </c>
      <c r="E2460">
        <v>23</v>
      </c>
      <c r="F2460" s="3">
        <v>6.46</v>
      </c>
      <c r="G2460" s="4">
        <v>100</v>
      </c>
      <c r="H2460">
        <v>1</v>
      </c>
      <c r="I2460">
        <v>1</v>
      </c>
      <c r="J2460">
        <v>3</v>
      </c>
      <c r="K2460" s="4">
        <v>65.099999999999994</v>
      </c>
      <c r="L2460" s="4">
        <v>52.6</v>
      </c>
      <c r="M2460" s="4">
        <v>58.9</v>
      </c>
      <c r="N2460">
        <v>0</v>
      </c>
      <c r="O2460" t="s">
        <v>64</v>
      </c>
      <c r="P2460" t="s">
        <v>65</v>
      </c>
      <c r="S2460" s="3">
        <v>0</v>
      </c>
      <c r="T2460" s="5"/>
      <c r="U2460">
        <v>0</v>
      </c>
      <c r="V2460">
        <v>2021</v>
      </c>
      <c r="X2460">
        <f t="shared" si="114"/>
        <v>6.4597540000000002</v>
      </c>
      <c r="Y2460">
        <f t="shared" si="115"/>
        <v>-2.4599999999999996E-4</v>
      </c>
      <c r="Z2460">
        <f t="shared" si="116"/>
        <v>52.599754000000004</v>
      </c>
    </row>
    <row r="2461" spans="1:26" x14ac:dyDescent="0.3">
      <c r="A2461" t="s">
        <v>2551</v>
      </c>
      <c r="B2461" t="s">
        <v>82</v>
      </c>
      <c r="C2461" t="s">
        <v>74</v>
      </c>
      <c r="D2461" t="s">
        <v>69</v>
      </c>
      <c r="E2461">
        <v>20</v>
      </c>
      <c r="F2461" s="3">
        <v>8.6300000000000008</v>
      </c>
      <c r="G2461" s="4">
        <v>96.9</v>
      </c>
      <c r="H2461">
        <v>1</v>
      </c>
      <c r="I2461">
        <v>3</v>
      </c>
      <c r="J2461">
        <v>4</v>
      </c>
      <c r="K2461" s="4">
        <v>45.7</v>
      </c>
      <c r="L2461" s="4">
        <v>76.3</v>
      </c>
      <c r="M2461" s="4">
        <v>59.3</v>
      </c>
      <c r="N2461">
        <v>0</v>
      </c>
      <c r="O2461" t="s">
        <v>58</v>
      </c>
      <c r="P2461" t="s">
        <v>112</v>
      </c>
      <c r="Q2461" t="s">
        <v>93</v>
      </c>
      <c r="R2461" t="s">
        <v>109</v>
      </c>
      <c r="S2461" s="3">
        <v>7.4</v>
      </c>
      <c r="T2461" s="5">
        <v>44800</v>
      </c>
      <c r="U2461">
        <v>1</v>
      </c>
      <c r="V2461">
        <v>2022</v>
      </c>
      <c r="X2461">
        <f t="shared" si="114"/>
        <v>8.6297539000000008</v>
      </c>
      <c r="Y2461">
        <f t="shared" si="115"/>
        <v>7.3997539000000003</v>
      </c>
      <c r="Z2461">
        <f t="shared" si="116"/>
        <v>76.299753899999999</v>
      </c>
    </row>
    <row r="2462" spans="1:26" x14ac:dyDescent="0.3">
      <c r="A2462" t="s">
        <v>2552</v>
      </c>
      <c r="B2462" t="s">
        <v>55</v>
      </c>
      <c r="C2462" t="s">
        <v>78</v>
      </c>
      <c r="D2462" t="s">
        <v>69</v>
      </c>
      <c r="E2462">
        <v>22</v>
      </c>
      <c r="F2462" s="3">
        <v>8.16</v>
      </c>
      <c r="G2462" s="4">
        <v>89.6</v>
      </c>
      <c r="H2462">
        <v>3</v>
      </c>
      <c r="I2462">
        <v>2</v>
      </c>
      <c r="J2462">
        <v>4</v>
      </c>
      <c r="K2462" s="4">
        <v>74.599999999999994</v>
      </c>
      <c r="L2462" s="4">
        <v>43.4</v>
      </c>
      <c r="M2462" s="4">
        <v>100</v>
      </c>
      <c r="N2462">
        <v>0</v>
      </c>
      <c r="O2462" t="s">
        <v>58</v>
      </c>
      <c r="P2462" t="s">
        <v>70</v>
      </c>
      <c r="Q2462" t="s">
        <v>71</v>
      </c>
      <c r="R2462" t="s">
        <v>72</v>
      </c>
      <c r="S2462" s="3">
        <v>6.85</v>
      </c>
      <c r="T2462" s="5">
        <v>45551</v>
      </c>
      <c r="U2462">
        <v>1</v>
      </c>
      <c r="V2462">
        <v>2024</v>
      </c>
      <c r="X2462">
        <f t="shared" si="114"/>
        <v>8.1597538000000007</v>
      </c>
      <c r="Y2462">
        <f t="shared" si="115"/>
        <v>6.8497537999999993</v>
      </c>
      <c r="Z2462">
        <f t="shared" si="116"/>
        <v>43.399753799999999</v>
      </c>
    </row>
    <row r="2463" spans="1:26" x14ac:dyDescent="0.3">
      <c r="A2463" t="s">
        <v>2553</v>
      </c>
      <c r="B2463" t="s">
        <v>107</v>
      </c>
      <c r="C2463" t="s">
        <v>56</v>
      </c>
      <c r="D2463" t="s">
        <v>69</v>
      </c>
      <c r="E2463">
        <v>23</v>
      </c>
      <c r="F2463" s="3">
        <v>6.71</v>
      </c>
      <c r="G2463" s="4">
        <v>71</v>
      </c>
      <c r="H2463">
        <v>1</v>
      </c>
      <c r="I2463">
        <v>1</v>
      </c>
      <c r="J2463">
        <v>3</v>
      </c>
      <c r="K2463" s="4">
        <v>41.7</v>
      </c>
      <c r="L2463" s="4">
        <v>75.3</v>
      </c>
      <c r="M2463" s="4">
        <v>60.2</v>
      </c>
      <c r="N2463">
        <v>0</v>
      </c>
      <c r="O2463" t="s">
        <v>58</v>
      </c>
      <c r="P2463" t="s">
        <v>90</v>
      </c>
      <c r="Q2463" t="s">
        <v>60</v>
      </c>
      <c r="R2463" t="s">
        <v>80</v>
      </c>
      <c r="S2463" s="3">
        <v>7.03</v>
      </c>
      <c r="T2463" s="5">
        <v>44439</v>
      </c>
      <c r="U2463">
        <v>1</v>
      </c>
      <c r="V2463">
        <v>2021</v>
      </c>
      <c r="X2463">
        <f t="shared" si="114"/>
        <v>6.7097537000000003</v>
      </c>
      <c r="Y2463">
        <f t="shared" si="115"/>
        <v>7.0297537000000005</v>
      </c>
      <c r="Z2463">
        <f t="shared" si="116"/>
        <v>75.299753699999997</v>
      </c>
    </row>
    <row r="2464" spans="1:26" x14ac:dyDescent="0.3">
      <c r="A2464" t="s">
        <v>2554</v>
      </c>
      <c r="B2464" t="s">
        <v>67</v>
      </c>
      <c r="C2464" t="s">
        <v>84</v>
      </c>
      <c r="D2464" t="s">
        <v>69</v>
      </c>
      <c r="E2464">
        <v>20</v>
      </c>
      <c r="F2464" s="3">
        <v>6.05</v>
      </c>
      <c r="G2464" s="4">
        <v>81.3</v>
      </c>
      <c r="H2464">
        <v>1</v>
      </c>
      <c r="I2464">
        <v>2</v>
      </c>
      <c r="J2464">
        <v>4</v>
      </c>
      <c r="K2464" s="4">
        <v>82.7</v>
      </c>
      <c r="L2464" s="4">
        <v>54.6</v>
      </c>
      <c r="M2464" s="4">
        <v>48.7</v>
      </c>
      <c r="N2464">
        <v>1</v>
      </c>
      <c r="O2464" t="s">
        <v>58</v>
      </c>
      <c r="P2464" t="s">
        <v>70</v>
      </c>
      <c r="Q2464" t="s">
        <v>71</v>
      </c>
      <c r="R2464" t="s">
        <v>85</v>
      </c>
      <c r="S2464" s="3">
        <v>3.99</v>
      </c>
      <c r="T2464" s="5">
        <v>45217</v>
      </c>
      <c r="U2464">
        <v>1</v>
      </c>
      <c r="V2464">
        <v>2023</v>
      </c>
      <c r="X2464">
        <f t="shared" si="114"/>
        <v>6.0497535999999998</v>
      </c>
      <c r="Y2464">
        <f t="shared" si="115"/>
        <v>3.9897536000000002</v>
      </c>
      <c r="Z2464">
        <f t="shared" si="116"/>
        <v>54.5997536</v>
      </c>
    </row>
    <row r="2465" spans="1:26" x14ac:dyDescent="0.3">
      <c r="A2465" t="s">
        <v>2555</v>
      </c>
      <c r="B2465" t="s">
        <v>55</v>
      </c>
      <c r="C2465" t="s">
        <v>101</v>
      </c>
      <c r="D2465" t="s">
        <v>69</v>
      </c>
      <c r="E2465">
        <v>20</v>
      </c>
      <c r="F2465" s="3">
        <v>8.3000000000000007</v>
      </c>
      <c r="G2465" s="4">
        <v>87.9</v>
      </c>
      <c r="H2465">
        <v>1</v>
      </c>
      <c r="I2465">
        <v>3</v>
      </c>
      <c r="J2465">
        <v>3</v>
      </c>
      <c r="K2465" s="4">
        <v>90</v>
      </c>
      <c r="L2465" s="4">
        <v>72.900000000000006</v>
      </c>
      <c r="M2465" s="4">
        <v>69.400000000000006</v>
      </c>
      <c r="N2465">
        <v>0</v>
      </c>
      <c r="O2465" t="s">
        <v>58</v>
      </c>
      <c r="P2465" t="s">
        <v>70</v>
      </c>
      <c r="Q2465" t="s">
        <v>71</v>
      </c>
      <c r="R2465" t="s">
        <v>85</v>
      </c>
      <c r="S2465" s="3">
        <v>6.01</v>
      </c>
      <c r="T2465" s="5">
        <v>45539</v>
      </c>
      <c r="U2465">
        <v>1</v>
      </c>
      <c r="V2465">
        <v>2024</v>
      </c>
      <c r="X2465">
        <f t="shared" si="114"/>
        <v>8.2997535000000013</v>
      </c>
      <c r="Y2465">
        <f t="shared" si="115"/>
        <v>6.0097534999999995</v>
      </c>
      <c r="Z2465">
        <f t="shared" si="116"/>
        <v>72.899753500000003</v>
      </c>
    </row>
    <row r="2466" spans="1:26" x14ac:dyDescent="0.3">
      <c r="A2466" t="s">
        <v>2556</v>
      </c>
      <c r="B2466" t="s">
        <v>67</v>
      </c>
      <c r="C2466" t="s">
        <v>89</v>
      </c>
      <c r="D2466" t="s">
        <v>69</v>
      </c>
      <c r="E2466">
        <v>22</v>
      </c>
      <c r="F2466" s="3">
        <v>6.17</v>
      </c>
      <c r="G2466" s="4">
        <v>88.7</v>
      </c>
      <c r="H2466">
        <v>1</v>
      </c>
      <c r="I2466">
        <v>0</v>
      </c>
      <c r="J2466">
        <v>1</v>
      </c>
      <c r="K2466" s="4">
        <v>65.400000000000006</v>
      </c>
      <c r="L2466" s="4">
        <v>80.2</v>
      </c>
      <c r="M2466" s="4">
        <v>71.7</v>
      </c>
      <c r="N2466">
        <v>0</v>
      </c>
      <c r="O2466" t="s">
        <v>58</v>
      </c>
      <c r="P2466" t="s">
        <v>92</v>
      </c>
      <c r="Q2466" t="s">
        <v>93</v>
      </c>
      <c r="R2466" t="s">
        <v>85</v>
      </c>
      <c r="S2466" s="3">
        <v>7.76</v>
      </c>
      <c r="T2466" s="5">
        <v>45174</v>
      </c>
      <c r="U2466">
        <v>1</v>
      </c>
      <c r="V2466">
        <v>2023</v>
      </c>
      <c r="X2466">
        <f t="shared" si="114"/>
        <v>6.1697534000000003</v>
      </c>
      <c r="Y2466">
        <f t="shared" si="115"/>
        <v>7.7597534000000001</v>
      </c>
      <c r="Z2466">
        <f t="shared" si="116"/>
        <v>80.199753400000006</v>
      </c>
    </row>
    <row r="2467" spans="1:26" x14ac:dyDescent="0.3">
      <c r="A2467" t="s">
        <v>2557</v>
      </c>
      <c r="B2467" t="s">
        <v>67</v>
      </c>
      <c r="C2467" t="s">
        <v>78</v>
      </c>
      <c r="D2467" t="s">
        <v>57</v>
      </c>
      <c r="E2467">
        <v>23</v>
      </c>
      <c r="F2467" s="3">
        <v>7.73</v>
      </c>
      <c r="G2467" s="4">
        <v>93.5</v>
      </c>
      <c r="H2467">
        <v>2</v>
      </c>
      <c r="I2467">
        <v>3</v>
      </c>
      <c r="J2467">
        <v>5</v>
      </c>
      <c r="K2467" s="4">
        <v>72.8</v>
      </c>
      <c r="L2467" s="4">
        <v>61.2</v>
      </c>
      <c r="M2467" s="4">
        <v>63</v>
      </c>
      <c r="N2467">
        <v>0</v>
      </c>
      <c r="O2467" t="s">
        <v>58</v>
      </c>
      <c r="P2467" t="s">
        <v>112</v>
      </c>
      <c r="Q2467" t="s">
        <v>93</v>
      </c>
      <c r="R2467" t="s">
        <v>72</v>
      </c>
      <c r="S2467" s="3">
        <v>6.93</v>
      </c>
      <c r="T2467" s="5">
        <v>45162</v>
      </c>
      <c r="U2467">
        <v>1</v>
      </c>
      <c r="V2467">
        <v>2023</v>
      </c>
      <c r="X2467">
        <f t="shared" si="114"/>
        <v>7.7297533000000005</v>
      </c>
      <c r="Y2467">
        <f t="shared" si="115"/>
        <v>6.9297532999999998</v>
      </c>
      <c r="Z2467">
        <f t="shared" si="116"/>
        <v>61.199753300000005</v>
      </c>
    </row>
    <row r="2468" spans="1:26" x14ac:dyDescent="0.3">
      <c r="A2468" t="s">
        <v>2558</v>
      </c>
      <c r="B2468" t="s">
        <v>107</v>
      </c>
      <c r="C2468" t="s">
        <v>56</v>
      </c>
      <c r="D2468" t="s">
        <v>69</v>
      </c>
      <c r="E2468">
        <v>23</v>
      </c>
      <c r="F2468" s="3">
        <v>7.28</v>
      </c>
      <c r="G2468" s="4">
        <v>76.2</v>
      </c>
      <c r="H2468">
        <v>1</v>
      </c>
      <c r="I2468">
        <v>3</v>
      </c>
      <c r="J2468">
        <v>3</v>
      </c>
      <c r="K2468" s="4">
        <v>89.7</v>
      </c>
      <c r="L2468" s="4">
        <v>95.4</v>
      </c>
      <c r="M2468" s="4">
        <v>64.099999999999994</v>
      </c>
      <c r="N2468">
        <v>0</v>
      </c>
      <c r="O2468" t="s">
        <v>58</v>
      </c>
      <c r="P2468" t="s">
        <v>87</v>
      </c>
      <c r="Q2468" t="s">
        <v>71</v>
      </c>
      <c r="R2468" t="s">
        <v>109</v>
      </c>
      <c r="S2468" s="3">
        <v>6.55</v>
      </c>
      <c r="T2468" s="5">
        <v>44425</v>
      </c>
      <c r="U2468">
        <v>1</v>
      </c>
      <c r="V2468">
        <v>2021</v>
      </c>
      <c r="X2468">
        <f t="shared" si="114"/>
        <v>7.2797532</v>
      </c>
      <c r="Y2468">
        <f t="shared" si="115"/>
        <v>6.5497531999999996</v>
      </c>
      <c r="Z2468">
        <f t="shared" si="116"/>
        <v>95.399753200000006</v>
      </c>
    </row>
    <row r="2469" spans="1:26" x14ac:dyDescent="0.3">
      <c r="A2469" t="s">
        <v>2559</v>
      </c>
      <c r="B2469" t="s">
        <v>55</v>
      </c>
      <c r="C2469" t="s">
        <v>74</v>
      </c>
      <c r="D2469" t="s">
        <v>57</v>
      </c>
      <c r="E2469">
        <v>22</v>
      </c>
      <c r="F2469" s="3">
        <v>8.3699999999999992</v>
      </c>
      <c r="G2469" s="4">
        <v>81.7</v>
      </c>
      <c r="H2469">
        <v>1</v>
      </c>
      <c r="I2469">
        <v>2</v>
      </c>
      <c r="J2469">
        <v>2</v>
      </c>
      <c r="K2469" s="4">
        <v>97.2</v>
      </c>
      <c r="L2469" s="4">
        <v>56.2</v>
      </c>
      <c r="M2469" s="4">
        <v>72.599999999999994</v>
      </c>
      <c r="N2469">
        <v>0</v>
      </c>
      <c r="O2469" t="s">
        <v>58</v>
      </c>
      <c r="P2469" t="s">
        <v>104</v>
      </c>
      <c r="Q2469" t="s">
        <v>105</v>
      </c>
      <c r="R2469" t="s">
        <v>130</v>
      </c>
      <c r="S2469" s="3">
        <v>14.96</v>
      </c>
      <c r="T2469" s="5">
        <v>45549</v>
      </c>
      <c r="U2469">
        <v>1</v>
      </c>
      <c r="V2469">
        <v>2024</v>
      </c>
      <c r="X2469">
        <f t="shared" si="114"/>
        <v>8.3697530999999987</v>
      </c>
      <c r="Y2469">
        <f t="shared" si="115"/>
        <v>14.9597531</v>
      </c>
      <c r="Z2469">
        <f t="shared" si="116"/>
        <v>56.199753100000002</v>
      </c>
    </row>
    <row r="2470" spans="1:26" x14ac:dyDescent="0.3">
      <c r="A2470" t="s">
        <v>2560</v>
      </c>
      <c r="B2470" t="s">
        <v>63</v>
      </c>
      <c r="C2470" t="s">
        <v>101</v>
      </c>
      <c r="D2470" t="s">
        <v>57</v>
      </c>
      <c r="E2470">
        <v>22</v>
      </c>
      <c r="F2470" s="3">
        <v>8.3800000000000008</v>
      </c>
      <c r="G2470" s="4">
        <v>75.2</v>
      </c>
      <c r="H2470">
        <v>2</v>
      </c>
      <c r="I2470">
        <v>1</v>
      </c>
      <c r="J2470">
        <v>3</v>
      </c>
      <c r="K2470" s="4">
        <v>91.6</v>
      </c>
      <c r="L2470" s="4">
        <v>37.9</v>
      </c>
      <c r="M2470" s="4">
        <v>78.400000000000006</v>
      </c>
      <c r="N2470">
        <v>0</v>
      </c>
      <c r="O2470" t="s">
        <v>58</v>
      </c>
      <c r="P2470" t="s">
        <v>104</v>
      </c>
      <c r="Q2470" t="s">
        <v>105</v>
      </c>
      <c r="R2470" t="s">
        <v>109</v>
      </c>
      <c r="S2470" s="3">
        <v>14.21</v>
      </c>
      <c r="T2470" s="5">
        <v>45967</v>
      </c>
      <c r="U2470">
        <v>3</v>
      </c>
      <c r="V2470">
        <v>2025</v>
      </c>
      <c r="X2470">
        <f t="shared" si="114"/>
        <v>8.3797530000000009</v>
      </c>
      <c r="Y2470">
        <f t="shared" si="115"/>
        <v>14.209753000000001</v>
      </c>
      <c r="Z2470">
        <f t="shared" si="116"/>
        <v>37.899752999999997</v>
      </c>
    </row>
    <row r="2471" spans="1:26" x14ac:dyDescent="0.3">
      <c r="A2471" t="s">
        <v>2561</v>
      </c>
      <c r="B2471" t="s">
        <v>107</v>
      </c>
      <c r="C2471" t="s">
        <v>56</v>
      </c>
      <c r="D2471" t="s">
        <v>69</v>
      </c>
      <c r="E2471">
        <v>22</v>
      </c>
      <c r="F2471" s="3">
        <v>6.91</v>
      </c>
      <c r="G2471" s="4">
        <v>94</v>
      </c>
      <c r="H2471">
        <v>1</v>
      </c>
      <c r="I2471">
        <v>1</v>
      </c>
      <c r="J2471">
        <v>2</v>
      </c>
      <c r="K2471" s="4">
        <v>75.5</v>
      </c>
      <c r="L2471" s="4">
        <v>69.599999999999994</v>
      </c>
      <c r="M2471" s="4">
        <v>57.2</v>
      </c>
      <c r="N2471">
        <v>0</v>
      </c>
      <c r="O2471" t="s">
        <v>58</v>
      </c>
      <c r="P2471" t="s">
        <v>70</v>
      </c>
      <c r="Q2471" t="s">
        <v>71</v>
      </c>
      <c r="R2471" t="s">
        <v>109</v>
      </c>
      <c r="S2471" s="3">
        <v>5.18</v>
      </c>
      <c r="T2471" s="5">
        <v>44470</v>
      </c>
      <c r="U2471">
        <v>1</v>
      </c>
      <c r="V2471">
        <v>2021</v>
      </c>
      <c r="X2471">
        <f t="shared" si="114"/>
        <v>6.9097529</v>
      </c>
      <c r="Y2471">
        <f t="shared" si="115"/>
        <v>5.1797528999999995</v>
      </c>
      <c r="Z2471">
        <f t="shared" si="116"/>
        <v>69.599752899999999</v>
      </c>
    </row>
    <row r="2472" spans="1:26" x14ac:dyDescent="0.3">
      <c r="A2472" t="s">
        <v>2562</v>
      </c>
      <c r="B2472" t="s">
        <v>107</v>
      </c>
      <c r="C2472" t="s">
        <v>74</v>
      </c>
      <c r="D2472" t="s">
        <v>57</v>
      </c>
      <c r="E2472">
        <v>20</v>
      </c>
      <c r="F2472" s="3">
        <v>8.4499999999999993</v>
      </c>
      <c r="G2472" s="4">
        <v>88.3</v>
      </c>
      <c r="H2472">
        <v>1</v>
      </c>
      <c r="I2472">
        <v>0</v>
      </c>
      <c r="J2472">
        <v>4</v>
      </c>
      <c r="K2472" s="4">
        <v>90.6</v>
      </c>
      <c r="L2472" s="4">
        <v>90.5</v>
      </c>
      <c r="M2472" s="4">
        <v>69.3</v>
      </c>
      <c r="N2472">
        <v>1</v>
      </c>
      <c r="O2472" t="s">
        <v>58</v>
      </c>
      <c r="P2472" t="s">
        <v>104</v>
      </c>
      <c r="Q2472" t="s">
        <v>105</v>
      </c>
      <c r="R2472" t="s">
        <v>80</v>
      </c>
      <c r="S2472" s="3">
        <v>15.96</v>
      </c>
      <c r="T2472" s="5">
        <v>44409</v>
      </c>
      <c r="U2472">
        <v>3</v>
      </c>
      <c r="V2472">
        <v>2021</v>
      </c>
      <c r="X2472">
        <f t="shared" si="114"/>
        <v>8.4497527999999988</v>
      </c>
      <c r="Y2472">
        <f t="shared" si="115"/>
        <v>15.9597528</v>
      </c>
      <c r="Z2472">
        <f t="shared" si="116"/>
        <v>90.499752799999996</v>
      </c>
    </row>
    <row r="2473" spans="1:26" x14ac:dyDescent="0.3">
      <c r="A2473" t="s">
        <v>2563</v>
      </c>
      <c r="B2473" t="s">
        <v>55</v>
      </c>
      <c r="C2473" t="s">
        <v>89</v>
      </c>
      <c r="D2473" t="s">
        <v>69</v>
      </c>
      <c r="E2473">
        <v>22</v>
      </c>
      <c r="F2473" s="3">
        <v>7.39</v>
      </c>
      <c r="G2473" s="4">
        <v>77.400000000000006</v>
      </c>
      <c r="H2473">
        <v>2</v>
      </c>
      <c r="I2473">
        <v>0</v>
      </c>
      <c r="J2473">
        <v>4</v>
      </c>
      <c r="K2473" s="4">
        <v>54.5</v>
      </c>
      <c r="L2473" s="4">
        <v>69.7</v>
      </c>
      <c r="M2473" s="4">
        <v>74</v>
      </c>
      <c r="N2473">
        <v>0</v>
      </c>
      <c r="O2473" t="s">
        <v>58</v>
      </c>
      <c r="P2473" t="s">
        <v>95</v>
      </c>
      <c r="Q2473" t="s">
        <v>93</v>
      </c>
      <c r="R2473" t="s">
        <v>72</v>
      </c>
      <c r="S2473" s="3">
        <v>6.12</v>
      </c>
      <c r="T2473" s="5">
        <v>45524</v>
      </c>
      <c r="U2473">
        <v>2</v>
      </c>
      <c r="V2473">
        <v>2024</v>
      </c>
      <c r="X2473">
        <f t="shared" si="114"/>
        <v>7.3897526999999998</v>
      </c>
      <c r="Y2473">
        <f t="shared" si="115"/>
        <v>6.1197527000000003</v>
      </c>
      <c r="Z2473">
        <f t="shared" si="116"/>
        <v>69.699752700000005</v>
      </c>
    </row>
    <row r="2474" spans="1:26" x14ac:dyDescent="0.3">
      <c r="A2474" t="s">
        <v>2564</v>
      </c>
      <c r="B2474" t="s">
        <v>55</v>
      </c>
      <c r="C2474" t="s">
        <v>74</v>
      </c>
      <c r="D2474" t="s">
        <v>57</v>
      </c>
      <c r="E2474">
        <v>22</v>
      </c>
      <c r="F2474" s="3">
        <v>7.67</v>
      </c>
      <c r="G2474" s="4">
        <v>84</v>
      </c>
      <c r="H2474">
        <v>2</v>
      </c>
      <c r="I2474">
        <v>1</v>
      </c>
      <c r="J2474">
        <v>3</v>
      </c>
      <c r="K2474" s="4">
        <v>58.4</v>
      </c>
      <c r="L2474" s="4">
        <v>61.1</v>
      </c>
      <c r="M2474" s="4">
        <v>71.099999999999994</v>
      </c>
      <c r="N2474">
        <v>0</v>
      </c>
      <c r="O2474" t="s">
        <v>64</v>
      </c>
      <c r="P2474" t="s">
        <v>65</v>
      </c>
      <c r="S2474" s="3">
        <v>0</v>
      </c>
      <c r="T2474" s="5"/>
      <c r="U2474">
        <v>0</v>
      </c>
      <c r="V2474">
        <v>2024</v>
      </c>
      <c r="X2474">
        <f t="shared" si="114"/>
        <v>7.6697525999999998</v>
      </c>
      <c r="Y2474">
        <f t="shared" si="115"/>
        <v>-2.474E-4</v>
      </c>
      <c r="Z2474">
        <f t="shared" si="116"/>
        <v>61.099752600000002</v>
      </c>
    </row>
    <row r="2475" spans="1:26" x14ac:dyDescent="0.3">
      <c r="A2475" t="s">
        <v>2565</v>
      </c>
      <c r="B2475" t="s">
        <v>67</v>
      </c>
      <c r="C2475" t="s">
        <v>84</v>
      </c>
      <c r="D2475" t="s">
        <v>57</v>
      </c>
      <c r="E2475">
        <v>21</v>
      </c>
      <c r="F2475" s="3">
        <v>7.69</v>
      </c>
      <c r="G2475" s="4">
        <v>82.5</v>
      </c>
      <c r="H2475">
        <v>1</v>
      </c>
      <c r="I2475">
        <v>2</v>
      </c>
      <c r="J2475">
        <v>6</v>
      </c>
      <c r="K2475" s="4">
        <v>81.099999999999994</v>
      </c>
      <c r="L2475" s="4">
        <v>45.3</v>
      </c>
      <c r="M2475" s="4">
        <v>65.8</v>
      </c>
      <c r="N2475">
        <v>0</v>
      </c>
      <c r="O2475" t="s">
        <v>58</v>
      </c>
      <c r="P2475" t="s">
        <v>79</v>
      </c>
      <c r="Q2475" t="s">
        <v>71</v>
      </c>
      <c r="R2475" t="s">
        <v>85</v>
      </c>
      <c r="S2475" s="3">
        <v>5.42</v>
      </c>
      <c r="T2475" s="5">
        <v>45207</v>
      </c>
      <c r="U2475">
        <v>2</v>
      </c>
      <c r="V2475">
        <v>2023</v>
      </c>
      <c r="X2475">
        <f t="shared" si="114"/>
        <v>7.6897525</v>
      </c>
      <c r="Y2475">
        <f t="shared" si="115"/>
        <v>5.4197524999999995</v>
      </c>
      <c r="Z2475">
        <f t="shared" si="116"/>
        <v>45.299752499999997</v>
      </c>
    </row>
    <row r="2476" spans="1:26" x14ac:dyDescent="0.3">
      <c r="A2476" t="s">
        <v>2566</v>
      </c>
      <c r="B2476" t="s">
        <v>55</v>
      </c>
      <c r="C2476" t="s">
        <v>56</v>
      </c>
      <c r="D2476" t="s">
        <v>57</v>
      </c>
      <c r="E2476">
        <v>22</v>
      </c>
      <c r="F2476" s="3">
        <v>9.67</v>
      </c>
      <c r="G2476" s="4">
        <v>74.099999999999994</v>
      </c>
      <c r="H2476">
        <v>1</v>
      </c>
      <c r="I2476">
        <v>1</v>
      </c>
      <c r="J2476">
        <v>3</v>
      </c>
      <c r="K2476" s="4">
        <v>68.400000000000006</v>
      </c>
      <c r="L2476" s="4">
        <v>61.4</v>
      </c>
      <c r="M2476" s="4">
        <v>61.7</v>
      </c>
      <c r="N2476">
        <v>0</v>
      </c>
      <c r="O2476" t="s">
        <v>58</v>
      </c>
      <c r="P2476" t="s">
        <v>90</v>
      </c>
      <c r="Q2476" t="s">
        <v>60</v>
      </c>
      <c r="R2476" t="s">
        <v>61</v>
      </c>
      <c r="S2476" s="3">
        <v>10.74</v>
      </c>
      <c r="T2476" s="5">
        <v>45568</v>
      </c>
      <c r="U2476">
        <v>2</v>
      </c>
      <c r="V2476">
        <v>2024</v>
      </c>
      <c r="X2476">
        <f t="shared" si="114"/>
        <v>9.6697524000000001</v>
      </c>
      <c r="Y2476">
        <f t="shared" si="115"/>
        <v>10.7397524</v>
      </c>
      <c r="Z2476">
        <f t="shared" si="116"/>
        <v>61.399752399999997</v>
      </c>
    </row>
    <row r="2477" spans="1:26" x14ac:dyDescent="0.3">
      <c r="A2477" t="s">
        <v>2567</v>
      </c>
      <c r="B2477" t="s">
        <v>67</v>
      </c>
      <c r="C2477" t="s">
        <v>101</v>
      </c>
      <c r="D2477" t="s">
        <v>57</v>
      </c>
      <c r="E2477">
        <v>22</v>
      </c>
      <c r="F2477" s="3">
        <v>7.54</v>
      </c>
      <c r="G2477" s="4">
        <v>90.4</v>
      </c>
      <c r="H2477">
        <v>2</v>
      </c>
      <c r="I2477">
        <v>1</v>
      </c>
      <c r="J2477">
        <v>4</v>
      </c>
      <c r="K2477" s="4">
        <v>77.400000000000006</v>
      </c>
      <c r="L2477" s="4">
        <v>52.9</v>
      </c>
      <c r="M2477" s="4">
        <v>94.8</v>
      </c>
      <c r="N2477">
        <v>0</v>
      </c>
      <c r="O2477" t="s">
        <v>58</v>
      </c>
      <c r="P2477" t="s">
        <v>59</v>
      </c>
      <c r="Q2477" t="s">
        <v>60</v>
      </c>
      <c r="R2477" t="s">
        <v>80</v>
      </c>
      <c r="S2477" s="3">
        <v>18.510000000000002</v>
      </c>
      <c r="T2477" s="5">
        <v>45231</v>
      </c>
      <c r="U2477">
        <v>1</v>
      </c>
      <c r="V2477">
        <v>2023</v>
      </c>
      <c r="X2477">
        <f t="shared" si="114"/>
        <v>7.5397523</v>
      </c>
      <c r="Y2477">
        <f t="shared" si="115"/>
        <v>18.509752300000002</v>
      </c>
      <c r="Z2477">
        <f t="shared" si="116"/>
        <v>52.899752299999996</v>
      </c>
    </row>
    <row r="2478" spans="1:26" x14ac:dyDescent="0.3">
      <c r="A2478" t="s">
        <v>2568</v>
      </c>
      <c r="B2478" t="s">
        <v>107</v>
      </c>
      <c r="C2478" t="s">
        <v>68</v>
      </c>
      <c r="D2478" t="s">
        <v>57</v>
      </c>
      <c r="E2478">
        <v>20</v>
      </c>
      <c r="F2478" s="3">
        <v>6.15</v>
      </c>
      <c r="G2478" s="4">
        <v>82.7</v>
      </c>
      <c r="H2478">
        <v>2</v>
      </c>
      <c r="I2478">
        <v>1</v>
      </c>
      <c r="J2478">
        <v>5</v>
      </c>
      <c r="K2478" s="4">
        <v>80.8</v>
      </c>
      <c r="L2478" s="4">
        <v>73.7</v>
      </c>
      <c r="M2478" s="4">
        <v>46</v>
      </c>
      <c r="N2478">
        <v>0</v>
      </c>
      <c r="O2478" t="s">
        <v>58</v>
      </c>
      <c r="P2478" t="s">
        <v>79</v>
      </c>
      <c r="Q2478" t="s">
        <v>71</v>
      </c>
      <c r="R2478" t="s">
        <v>109</v>
      </c>
      <c r="S2478" s="3">
        <v>6.16</v>
      </c>
      <c r="T2478" s="5">
        <v>44478</v>
      </c>
      <c r="U2478">
        <v>1</v>
      </c>
      <c r="V2478">
        <v>2021</v>
      </c>
      <c r="X2478">
        <f t="shared" si="114"/>
        <v>6.1497522</v>
      </c>
      <c r="Y2478">
        <f t="shared" si="115"/>
        <v>6.1597521999999998</v>
      </c>
      <c r="Z2478">
        <f t="shared" si="116"/>
        <v>73.699752200000006</v>
      </c>
    </row>
    <row r="2479" spans="1:26" x14ac:dyDescent="0.3">
      <c r="A2479" t="s">
        <v>2569</v>
      </c>
      <c r="B2479" t="s">
        <v>82</v>
      </c>
      <c r="C2479" t="s">
        <v>78</v>
      </c>
      <c r="D2479" t="s">
        <v>57</v>
      </c>
      <c r="E2479">
        <v>23</v>
      </c>
      <c r="F2479" s="3">
        <v>7.01</v>
      </c>
      <c r="G2479" s="4">
        <v>77.2</v>
      </c>
      <c r="H2479">
        <v>1</v>
      </c>
      <c r="I2479">
        <v>1</v>
      </c>
      <c r="J2479">
        <v>4</v>
      </c>
      <c r="K2479" s="4">
        <v>81</v>
      </c>
      <c r="L2479" s="4">
        <v>74.900000000000006</v>
      </c>
      <c r="M2479" s="4">
        <v>86.3</v>
      </c>
      <c r="N2479">
        <v>1</v>
      </c>
      <c r="O2479" t="s">
        <v>58</v>
      </c>
      <c r="P2479" t="s">
        <v>90</v>
      </c>
      <c r="Q2479" t="s">
        <v>60</v>
      </c>
      <c r="R2479" t="s">
        <v>72</v>
      </c>
      <c r="S2479" s="3">
        <v>7.76</v>
      </c>
      <c r="T2479" s="5">
        <v>44823</v>
      </c>
      <c r="U2479">
        <v>3</v>
      </c>
      <c r="V2479">
        <v>2022</v>
      </c>
      <c r="X2479">
        <f t="shared" si="114"/>
        <v>7.0097521</v>
      </c>
      <c r="Y2479">
        <f t="shared" si="115"/>
        <v>7.7597521</v>
      </c>
      <c r="Z2479">
        <f t="shared" si="116"/>
        <v>74.899752100000001</v>
      </c>
    </row>
    <row r="2480" spans="1:26" x14ac:dyDescent="0.3">
      <c r="A2480" t="s">
        <v>2570</v>
      </c>
      <c r="B2480" t="s">
        <v>63</v>
      </c>
      <c r="C2480" t="s">
        <v>74</v>
      </c>
      <c r="D2480" t="s">
        <v>57</v>
      </c>
      <c r="E2480">
        <v>20</v>
      </c>
      <c r="F2480" s="3">
        <v>8.31</v>
      </c>
      <c r="G2480" s="4">
        <v>73.900000000000006</v>
      </c>
      <c r="H2480">
        <v>0</v>
      </c>
      <c r="I2480">
        <v>3</v>
      </c>
      <c r="J2480">
        <v>6</v>
      </c>
      <c r="K2480" s="4">
        <v>42.1</v>
      </c>
      <c r="L2480" s="4">
        <v>55.8</v>
      </c>
      <c r="M2480" s="4">
        <v>60.3</v>
      </c>
      <c r="N2480">
        <v>0</v>
      </c>
      <c r="O2480" t="s">
        <v>58</v>
      </c>
      <c r="P2480" t="s">
        <v>87</v>
      </c>
      <c r="Q2480" t="s">
        <v>71</v>
      </c>
      <c r="R2480" t="s">
        <v>80</v>
      </c>
      <c r="S2480" s="3">
        <v>6.95</v>
      </c>
      <c r="T2480" s="5">
        <v>45922</v>
      </c>
      <c r="U2480">
        <v>1</v>
      </c>
      <c r="V2480">
        <v>2025</v>
      </c>
      <c r="X2480">
        <f t="shared" si="114"/>
        <v>8.3097520000000014</v>
      </c>
      <c r="Y2480">
        <f t="shared" si="115"/>
        <v>6.9497520000000002</v>
      </c>
      <c r="Z2480">
        <f t="shared" si="116"/>
        <v>55.799751999999998</v>
      </c>
    </row>
    <row r="2481" spans="1:26" x14ac:dyDescent="0.3">
      <c r="A2481" t="s">
        <v>2571</v>
      </c>
      <c r="B2481" t="s">
        <v>107</v>
      </c>
      <c r="C2481" t="s">
        <v>68</v>
      </c>
      <c r="D2481" t="s">
        <v>57</v>
      </c>
      <c r="E2481">
        <v>21</v>
      </c>
      <c r="F2481" s="3">
        <v>7.39</v>
      </c>
      <c r="G2481" s="4">
        <v>89.7</v>
      </c>
      <c r="H2481">
        <v>0</v>
      </c>
      <c r="I2481">
        <v>2</v>
      </c>
      <c r="J2481">
        <v>5</v>
      </c>
      <c r="K2481" s="4">
        <v>77.5</v>
      </c>
      <c r="L2481" s="4">
        <v>65.099999999999994</v>
      </c>
      <c r="M2481" s="4">
        <v>76.900000000000006</v>
      </c>
      <c r="N2481">
        <v>0</v>
      </c>
      <c r="O2481" t="s">
        <v>64</v>
      </c>
      <c r="P2481" t="s">
        <v>65</v>
      </c>
      <c r="S2481" s="3">
        <v>0</v>
      </c>
      <c r="T2481" s="5"/>
      <c r="U2481">
        <v>0</v>
      </c>
      <c r="V2481">
        <v>2021</v>
      </c>
      <c r="X2481">
        <f t="shared" si="114"/>
        <v>7.3897518999999994</v>
      </c>
      <c r="Y2481">
        <f t="shared" si="115"/>
        <v>-2.4810000000000001E-4</v>
      </c>
      <c r="Z2481">
        <f t="shared" si="116"/>
        <v>65.099751900000001</v>
      </c>
    </row>
    <row r="2482" spans="1:26" x14ac:dyDescent="0.3">
      <c r="A2482" t="s">
        <v>2572</v>
      </c>
      <c r="B2482" t="s">
        <v>55</v>
      </c>
      <c r="C2482" t="s">
        <v>101</v>
      </c>
      <c r="D2482" t="s">
        <v>57</v>
      </c>
      <c r="E2482">
        <v>22</v>
      </c>
      <c r="F2482" s="3">
        <v>7.66</v>
      </c>
      <c r="G2482" s="4">
        <v>84.4</v>
      </c>
      <c r="H2482">
        <v>2</v>
      </c>
      <c r="I2482">
        <v>0</v>
      </c>
      <c r="J2482">
        <v>6</v>
      </c>
      <c r="K2482" s="4">
        <v>59.2</v>
      </c>
      <c r="L2482" s="4">
        <v>91.7</v>
      </c>
      <c r="M2482" s="4">
        <v>74.900000000000006</v>
      </c>
      <c r="N2482">
        <v>0</v>
      </c>
      <c r="O2482" t="s">
        <v>58</v>
      </c>
      <c r="P2482" t="s">
        <v>79</v>
      </c>
      <c r="Q2482" t="s">
        <v>71</v>
      </c>
      <c r="R2482" t="s">
        <v>109</v>
      </c>
      <c r="S2482" s="3">
        <v>6.49</v>
      </c>
      <c r="T2482" s="5">
        <v>45613</v>
      </c>
      <c r="U2482">
        <v>2</v>
      </c>
      <c r="V2482">
        <v>2024</v>
      </c>
      <c r="X2482">
        <f t="shared" si="114"/>
        <v>7.6597518000000004</v>
      </c>
      <c r="Y2482">
        <f t="shared" si="115"/>
        <v>6.4897518000000005</v>
      </c>
      <c r="Z2482">
        <f t="shared" si="116"/>
        <v>91.699751800000001</v>
      </c>
    </row>
    <row r="2483" spans="1:26" x14ac:dyDescent="0.3">
      <c r="A2483" t="s">
        <v>2573</v>
      </c>
      <c r="B2483" t="s">
        <v>63</v>
      </c>
      <c r="C2483" t="s">
        <v>68</v>
      </c>
      <c r="D2483" t="s">
        <v>69</v>
      </c>
      <c r="E2483">
        <v>22</v>
      </c>
      <c r="F2483" s="3">
        <v>7.26</v>
      </c>
      <c r="G2483" s="4">
        <v>75.7</v>
      </c>
      <c r="H2483">
        <v>1</v>
      </c>
      <c r="I2483">
        <v>1</v>
      </c>
      <c r="J2483">
        <v>3</v>
      </c>
      <c r="K2483" s="4">
        <v>71.599999999999994</v>
      </c>
      <c r="L2483" s="4">
        <v>63.6</v>
      </c>
      <c r="M2483" s="4">
        <v>61.5</v>
      </c>
      <c r="N2483">
        <v>0</v>
      </c>
      <c r="O2483" t="s">
        <v>58</v>
      </c>
      <c r="P2483" t="s">
        <v>59</v>
      </c>
      <c r="Q2483" t="s">
        <v>60</v>
      </c>
      <c r="R2483" t="s">
        <v>72</v>
      </c>
      <c r="S2483" s="3">
        <v>18.87</v>
      </c>
      <c r="T2483" s="5">
        <v>45907</v>
      </c>
      <c r="U2483">
        <v>1</v>
      </c>
      <c r="V2483">
        <v>2025</v>
      </c>
      <c r="X2483">
        <f t="shared" si="114"/>
        <v>7.2597516999999998</v>
      </c>
      <c r="Y2483">
        <f t="shared" si="115"/>
        <v>18.869751700000002</v>
      </c>
      <c r="Z2483">
        <f t="shared" si="116"/>
        <v>63.599751699999999</v>
      </c>
    </row>
    <row r="2484" spans="1:26" x14ac:dyDescent="0.3">
      <c r="A2484" t="s">
        <v>2574</v>
      </c>
      <c r="B2484" t="s">
        <v>82</v>
      </c>
      <c r="C2484" t="s">
        <v>74</v>
      </c>
      <c r="D2484" t="s">
        <v>57</v>
      </c>
      <c r="E2484">
        <v>22</v>
      </c>
      <c r="F2484" s="3">
        <v>5.12</v>
      </c>
      <c r="G2484" s="4">
        <v>77.5</v>
      </c>
      <c r="H2484">
        <v>2</v>
      </c>
      <c r="I2484">
        <v>3</v>
      </c>
      <c r="J2484">
        <v>4</v>
      </c>
      <c r="K2484" s="4">
        <v>61.8</v>
      </c>
      <c r="L2484" s="4">
        <v>63.2</v>
      </c>
      <c r="M2484" s="4">
        <v>71.7</v>
      </c>
      <c r="N2484">
        <v>0</v>
      </c>
      <c r="O2484" t="s">
        <v>64</v>
      </c>
      <c r="P2484" t="s">
        <v>65</v>
      </c>
      <c r="S2484" s="3">
        <v>0</v>
      </c>
      <c r="T2484" s="5"/>
      <c r="U2484">
        <v>0</v>
      </c>
      <c r="V2484">
        <v>2022</v>
      </c>
      <c r="X2484">
        <f t="shared" si="114"/>
        <v>5.1197515999999998</v>
      </c>
      <c r="Y2484">
        <f t="shared" si="115"/>
        <v>-2.4839999999999997E-4</v>
      </c>
      <c r="Z2484">
        <f t="shared" si="116"/>
        <v>63.199751600000006</v>
      </c>
    </row>
    <row r="2485" spans="1:26" x14ac:dyDescent="0.3">
      <c r="A2485" t="s">
        <v>2575</v>
      </c>
      <c r="B2485" t="s">
        <v>82</v>
      </c>
      <c r="C2485" t="s">
        <v>68</v>
      </c>
      <c r="D2485" t="s">
        <v>69</v>
      </c>
      <c r="E2485">
        <v>22</v>
      </c>
      <c r="F2485" s="3">
        <v>6.95</v>
      </c>
      <c r="G2485" s="4">
        <v>82</v>
      </c>
      <c r="H2485">
        <v>1</v>
      </c>
      <c r="I2485">
        <v>1</v>
      </c>
      <c r="J2485">
        <v>5</v>
      </c>
      <c r="K2485" s="4">
        <v>62.1</v>
      </c>
      <c r="L2485" s="4">
        <v>72.8</v>
      </c>
      <c r="M2485" s="4">
        <v>69.2</v>
      </c>
      <c r="N2485">
        <v>0</v>
      </c>
      <c r="O2485" t="s">
        <v>64</v>
      </c>
      <c r="P2485" t="s">
        <v>65</v>
      </c>
      <c r="S2485" s="3">
        <v>0</v>
      </c>
      <c r="T2485" s="5"/>
      <c r="U2485">
        <v>0</v>
      </c>
      <c r="V2485">
        <v>2022</v>
      </c>
      <c r="X2485">
        <f t="shared" si="114"/>
        <v>6.9497515000000005</v>
      </c>
      <c r="Y2485">
        <f t="shared" si="115"/>
        <v>-2.4849999999999997E-4</v>
      </c>
      <c r="Z2485">
        <f t="shared" si="116"/>
        <v>72.799751499999999</v>
      </c>
    </row>
    <row r="2486" spans="1:26" x14ac:dyDescent="0.3">
      <c r="A2486" t="s">
        <v>2576</v>
      </c>
      <c r="B2486" t="s">
        <v>67</v>
      </c>
      <c r="C2486" t="s">
        <v>78</v>
      </c>
      <c r="D2486" t="s">
        <v>69</v>
      </c>
      <c r="E2486">
        <v>22</v>
      </c>
      <c r="F2486" s="3">
        <v>7.58</v>
      </c>
      <c r="G2486" s="4">
        <v>82.6</v>
      </c>
      <c r="H2486">
        <v>2</v>
      </c>
      <c r="I2486">
        <v>4</v>
      </c>
      <c r="J2486">
        <v>6</v>
      </c>
      <c r="K2486" s="4">
        <v>59.3</v>
      </c>
      <c r="L2486" s="4">
        <v>48.9</v>
      </c>
      <c r="M2486" s="4">
        <v>74.3</v>
      </c>
      <c r="N2486">
        <v>0</v>
      </c>
      <c r="O2486" t="s">
        <v>58</v>
      </c>
      <c r="P2486" t="s">
        <v>79</v>
      </c>
      <c r="Q2486" t="s">
        <v>71</v>
      </c>
      <c r="R2486" t="s">
        <v>80</v>
      </c>
      <c r="S2486" s="3">
        <v>4.97</v>
      </c>
      <c r="T2486" s="5">
        <v>45246</v>
      </c>
      <c r="U2486">
        <v>1</v>
      </c>
      <c r="V2486">
        <v>2023</v>
      </c>
      <c r="X2486">
        <f t="shared" si="114"/>
        <v>7.5797514000000001</v>
      </c>
      <c r="Y2486">
        <f t="shared" si="115"/>
        <v>4.9697513999999998</v>
      </c>
      <c r="Z2486">
        <f t="shared" si="116"/>
        <v>48.8997514</v>
      </c>
    </row>
    <row r="2487" spans="1:26" x14ac:dyDescent="0.3">
      <c r="A2487" t="s">
        <v>2577</v>
      </c>
      <c r="B2487" t="s">
        <v>63</v>
      </c>
      <c r="C2487" t="s">
        <v>68</v>
      </c>
      <c r="D2487" t="s">
        <v>57</v>
      </c>
      <c r="E2487">
        <v>22</v>
      </c>
      <c r="F2487" s="3">
        <v>6.06</v>
      </c>
      <c r="G2487" s="4">
        <v>83.7</v>
      </c>
      <c r="H2487">
        <v>3</v>
      </c>
      <c r="I2487">
        <v>3</v>
      </c>
      <c r="J2487">
        <v>6</v>
      </c>
      <c r="K2487" s="4">
        <v>78.599999999999994</v>
      </c>
      <c r="L2487" s="4">
        <v>84.2</v>
      </c>
      <c r="M2487" s="4">
        <v>89.4</v>
      </c>
      <c r="N2487">
        <v>0</v>
      </c>
      <c r="O2487" t="s">
        <v>58</v>
      </c>
      <c r="P2487" t="s">
        <v>70</v>
      </c>
      <c r="Q2487" t="s">
        <v>71</v>
      </c>
      <c r="R2487" t="s">
        <v>85</v>
      </c>
      <c r="S2487" s="3">
        <v>6.85</v>
      </c>
      <c r="T2487" s="5">
        <v>45930</v>
      </c>
      <c r="U2487">
        <v>1</v>
      </c>
      <c r="V2487">
        <v>2025</v>
      </c>
      <c r="X2487">
        <f t="shared" si="114"/>
        <v>6.0597512999999994</v>
      </c>
      <c r="Y2487">
        <f t="shared" si="115"/>
        <v>6.8497512999999994</v>
      </c>
      <c r="Z2487">
        <f t="shared" si="116"/>
        <v>84.199751300000003</v>
      </c>
    </row>
    <row r="2488" spans="1:26" x14ac:dyDescent="0.3">
      <c r="A2488" t="s">
        <v>2578</v>
      </c>
      <c r="B2488" t="s">
        <v>67</v>
      </c>
      <c r="C2488" t="s">
        <v>84</v>
      </c>
      <c r="D2488" t="s">
        <v>69</v>
      </c>
      <c r="E2488">
        <v>21</v>
      </c>
      <c r="F2488" s="3">
        <v>6.59</v>
      </c>
      <c r="G2488" s="4">
        <v>66.099999999999994</v>
      </c>
      <c r="H2488">
        <v>0</v>
      </c>
      <c r="I2488">
        <v>1</v>
      </c>
      <c r="J2488">
        <v>5</v>
      </c>
      <c r="K2488" s="4">
        <v>65.599999999999994</v>
      </c>
      <c r="L2488" s="4">
        <v>63.8</v>
      </c>
      <c r="M2488" s="4">
        <v>91.1</v>
      </c>
      <c r="N2488">
        <v>0</v>
      </c>
      <c r="O2488" t="s">
        <v>58</v>
      </c>
      <c r="P2488" t="s">
        <v>59</v>
      </c>
      <c r="Q2488" t="s">
        <v>60</v>
      </c>
      <c r="R2488" t="s">
        <v>76</v>
      </c>
      <c r="S2488" s="3">
        <v>17.88</v>
      </c>
      <c r="T2488" s="5">
        <v>45212</v>
      </c>
      <c r="U2488">
        <v>1</v>
      </c>
      <c r="V2488">
        <v>2023</v>
      </c>
      <c r="X2488">
        <f t="shared" si="114"/>
        <v>6.5897512000000003</v>
      </c>
      <c r="Y2488">
        <f t="shared" si="115"/>
        <v>17.879751199999998</v>
      </c>
      <c r="Z2488">
        <f t="shared" si="116"/>
        <v>63.799751199999996</v>
      </c>
    </row>
    <row r="2489" spans="1:26" x14ac:dyDescent="0.3">
      <c r="A2489" t="s">
        <v>2579</v>
      </c>
      <c r="B2489" t="s">
        <v>107</v>
      </c>
      <c r="C2489" t="s">
        <v>74</v>
      </c>
      <c r="D2489" t="s">
        <v>69</v>
      </c>
      <c r="E2489">
        <v>22</v>
      </c>
      <c r="F2489" s="3">
        <v>7.34</v>
      </c>
      <c r="G2489" s="4">
        <v>83.1</v>
      </c>
      <c r="H2489">
        <v>1</v>
      </c>
      <c r="I2489">
        <v>2</v>
      </c>
      <c r="J2489">
        <v>5</v>
      </c>
      <c r="K2489" s="4">
        <v>64.5</v>
      </c>
      <c r="L2489" s="4">
        <v>52.6</v>
      </c>
      <c r="M2489" s="4">
        <v>64.8</v>
      </c>
      <c r="N2489">
        <v>0</v>
      </c>
      <c r="O2489" t="s">
        <v>58</v>
      </c>
      <c r="P2489" t="s">
        <v>59</v>
      </c>
      <c r="Q2489" t="s">
        <v>60</v>
      </c>
      <c r="R2489" t="s">
        <v>61</v>
      </c>
      <c r="S2489" s="3">
        <v>16.96</v>
      </c>
      <c r="T2489" s="5">
        <v>44504</v>
      </c>
      <c r="U2489">
        <v>1</v>
      </c>
      <c r="V2489">
        <v>2021</v>
      </c>
      <c r="X2489">
        <f t="shared" si="114"/>
        <v>7.3397511</v>
      </c>
      <c r="Y2489">
        <f t="shared" si="115"/>
        <v>16.959751100000002</v>
      </c>
      <c r="Z2489">
        <f t="shared" si="116"/>
        <v>52.599751099999999</v>
      </c>
    </row>
    <row r="2490" spans="1:26" x14ac:dyDescent="0.3">
      <c r="A2490" t="s">
        <v>2580</v>
      </c>
      <c r="B2490" t="s">
        <v>63</v>
      </c>
      <c r="C2490" t="s">
        <v>68</v>
      </c>
      <c r="D2490" t="s">
        <v>69</v>
      </c>
      <c r="E2490">
        <v>22</v>
      </c>
      <c r="F2490" s="3">
        <v>7.35</v>
      </c>
      <c r="G2490" s="4">
        <v>71</v>
      </c>
      <c r="H2490">
        <v>0</v>
      </c>
      <c r="I2490">
        <v>2</v>
      </c>
      <c r="J2490">
        <v>1</v>
      </c>
      <c r="K2490" s="4">
        <v>63.3</v>
      </c>
      <c r="L2490" s="4">
        <v>78.099999999999994</v>
      </c>
      <c r="M2490" s="4">
        <v>78.099999999999994</v>
      </c>
      <c r="N2490">
        <v>0</v>
      </c>
      <c r="O2490" t="s">
        <v>64</v>
      </c>
      <c r="P2490" t="s">
        <v>65</v>
      </c>
      <c r="S2490" s="3">
        <v>0</v>
      </c>
      <c r="T2490" s="5"/>
      <c r="U2490">
        <v>0</v>
      </c>
      <c r="V2490">
        <v>2025</v>
      </c>
      <c r="X2490">
        <f t="shared" si="114"/>
        <v>7.3497509999999995</v>
      </c>
      <c r="Y2490">
        <f t="shared" si="115"/>
        <v>-2.4899999999999998E-4</v>
      </c>
      <c r="Z2490">
        <f t="shared" si="116"/>
        <v>78.099750999999998</v>
      </c>
    </row>
    <row r="2491" spans="1:26" x14ac:dyDescent="0.3">
      <c r="A2491" t="s">
        <v>2581</v>
      </c>
      <c r="B2491" t="s">
        <v>107</v>
      </c>
      <c r="C2491" t="s">
        <v>78</v>
      </c>
      <c r="D2491" t="s">
        <v>57</v>
      </c>
      <c r="E2491">
        <v>22</v>
      </c>
      <c r="F2491" s="3">
        <v>8</v>
      </c>
      <c r="G2491" s="4">
        <v>94.8</v>
      </c>
      <c r="H2491">
        <v>1</v>
      </c>
      <c r="I2491">
        <v>1</v>
      </c>
      <c r="J2491">
        <v>3</v>
      </c>
      <c r="K2491" s="4">
        <v>76.2</v>
      </c>
      <c r="L2491" s="4">
        <v>62.7</v>
      </c>
      <c r="M2491" s="4">
        <v>86.2</v>
      </c>
      <c r="N2491">
        <v>1</v>
      </c>
      <c r="O2491" t="s">
        <v>58</v>
      </c>
      <c r="P2491" t="s">
        <v>59</v>
      </c>
      <c r="Q2491" t="s">
        <v>60</v>
      </c>
      <c r="R2491" t="s">
        <v>61</v>
      </c>
      <c r="S2491" s="3">
        <v>19.79</v>
      </c>
      <c r="T2491" s="5">
        <v>44500</v>
      </c>
      <c r="U2491">
        <v>1</v>
      </c>
      <c r="V2491">
        <v>2021</v>
      </c>
      <c r="X2491">
        <f t="shared" si="114"/>
        <v>7.9997509000000004</v>
      </c>
      <c r="Y2491">
        <f t="shared" si="115"/>
        <v>19.789750899999998</v>
      </c>
      <c r="Z2491">
        <f t="shared" si="116"/>
        <v>62.699750900000005</v>
      </c>
    </row>
    <row r="2492" spans="1:26" x14ac:dyDescent="0.3">
      <c r="A2492" t="s">
        <v>2582</v>
      </c>
      <c r="B2492" t="s">
        <v>67</v>
      </c>
      <c r="C2492" t="s">
        <v>78</v>
      </c>
      <c r="D2492" t="s">
        <v>69</v>
      </c>
      <c r="E2492">
        <v>21</v>
      </c>
      <c r="F2492" s="3">
        <v>7.4</v>
      </c>
      <c r="G2492" s="4">
        <v>91.4</v>
      </c>
      <c r="H2492">
        <v>0</v>
      </c>
      <c r="I2492">
        <v>1</v>
      </c>
      <c r="J2492">
        <v>2</v>
      </c>
      <c r="K2492" s="4">
        <v>56</v>
      </c>
      <c r="L2492" s="4">
        <v>56.9</v>
      </c>
      <c r="M2492" s="4">
        <v>68.8</v>
      </c>
      <c r="N2492">
        <v>1</v>
      </c>
      <c r="O2492" t="s">
        <v>58</v>
      </c>
      <c r="P2492" t="s">
        <v>92</v>
      </c>
      <c r="Q2492" t="s">
        <v>93</v>
      </c>
      <c r="R2492" t="s">
        <v>72</v>
      </c>
      <c r="S2492" s="3">
        <v>8.76</v>
      </c>
      <c r="T2492" s="5">
        <v>45167</v>
      </c>
      <c r="U2492">
        <v>3</v>
      </c>
      <c r="V2492">
        <v>2023</v>
      </c>
      <c r="X2492">
        <f t="shared" si="114"/>
        <v>7.3997508000000005</v>
      </c>
      <c r="Y2492">
        <f t="shared" si="115"/>
        <v>8.7597507999999991</v>
      </c>
      <c r="Z2492">
        <f t="shared" si="116"/>
        <v>56.8997508</v>
      </c>
    </row>
    <row r="2493" spans="1:26" x14ac:dyDescent="0.3">
      <c r="A2493" t="s">
        <v>2583</v>
      </c>
      <c r="B2493" t="s">
        <v>63</v>
      </c>
      <c r="C2493" t="s">
        <v>101</v>
      </c>
      <c r="D2493" t="s">
        <v>69</v>
      </c>
      <c r="E2493">
        <v>22</v>
      </c>
      <c r="F2493" s="3">
        <v>7.97</v>
      </c>
      <c r="G2493" s="4">
        <v>92.4</v>
      </c>
      <c r="H2493">
        <v>1</v>
      </c>
      <c r="I2493">
        <v>2</v>
      </c>
      <c r="J2493">
        <v>2</v>
      </c>
      <c r="K2493" s="4">
        <v>90.3</v>
      </c>
      <c r="L2493" s="4">
        <v>71.099999999999994</v>
      </c>
      <c r="M2493" s="4">
        <v>81.2</v>
      </c>
      <c r="N2493">
        <v>0</v>
      </c>
      <c r="O2493" t="s">
        <v>58</v>
      </c>
      <c r="P2493" t="s">
        <v>112</v>
      </c>
      <c r="Q2493" t="s">
        <v>93</v>
      </c>
      <c r="R2493" t="s">
        <v>76</v>
      </c>
      <c r="S2493" s="3">
        <v>7.15</v>
      </c>
      <c r="T2493" s="5">
        <v>45984</v>
      </c>
      <c r="U2493">
        <v>2</v>
      </c>
      <c r="V2493">
        <v>2025</v>
      </c>
      <c r="X2493">
        <f t="shared" si="114"/>
        <v>7.9697506999999996</v>
      </c>
      <c r="Y2493">
        <f t="shared" si="115"/>
        <v>7.1497507000000002</v>
      </c>
      <c r="Z2493">
        <f t="shared" si="116"/>
        <v>71.099750700000001</v>
      </c>
    </row>
    <row r="2494" spans="1:26" x14ac:dyDescent="0.3">
      <c r="A2494" t="s">
        <v>2584</v>
      </c>
      <c r="B2494" t="s">
        <v>67</v>
      </c>
      <c r="C2494" t="s">
        <v>84</v>
      </c>
      <c r="D2494" t="s">
        <v>57</v>
      </c>
      <c r="E2494">
        <v>21</v>
      </c>
      <c r="F2494" s="3">
        <v>7.02</v>
      </c>
      <c r="G2494" s="4">
        <v>59.9</v>
      </c>
      <c r="H2494">
        <v>3</v>
      </c>
      <c r="I2494">
        <v>4</v>
      </c>
      <c r="J2494">
        <v>3</v>
      </c>
      <c r="K2494" s="4">
        <v>58.8</v>
      </c>
      <c r="L2494" s="4">
        <v>85.8</v>
      </c>
      <c r="M2494" s="4">
        <v>100</v>
      </c>
      <c r="N2494">
        <v>0</v>
      </c>
      <c r="O2494" t="s">
        <v>58</v>
      </c>
      <c r="P2494" t="s">
        <v>59</v>
      </c>
      <c r="Q2494" t="s">
        <v>60</v>
      </c>
      <c r="R2494" t="s">
        <v>61</v>
      </c>
      <c r="S2494" s="3">
        <v>20.21</v>
      </c>
      <c r="T2494" s="5">
        <v>45173</v>
      </c>
      <c r="U2494">
        <v>1</v>
      </c>
      <c r="V2494">
        <v>2023</v>
      </c>
      <c r="X2494">
        <f t="shared" si="114"/>
        <v>7.0197505999999992</v>
      </c>
      <c r="Y2494">
        <f t="shared" si="115"/>
        <v>20.2097506</v>
      </c>
      <c r="Z2494">
        <f t="shared" si="116"/>
        <v>85.799750599999996</v>
      </c>
    </row>
    <row r="2495" spans="1:26" x14ac:dyDescent="0.3">
      <c r="A2495" t="s">
        <v>2585</v>
      </c>
      <c r="B2495" t="s">
        <v>63</v>
      </c>
      <c r="C2495" t="s">
        <v>68</v>
      </c>
      <c r="D2495" t="s">
        <v>57</v>
      </c>
      <c r="E2495">
        <v>20</v>
      </c>
      <c r="F2495" s="3">
        <v>7.84</v>
      </c>
      <c r="G2495" s="4">
        <v>79.3</v>
      </c>
      <c r="H2495">
        <v>2</v>
      </c>
      <c r="I2495">
        <v>1</v>
      </c>
      <c r="J2495">
        <v>2</v>
      </c>
      <c r="K2495" s="4">
        <v>61.9</v>
      </c>
      <c r="L2495" s="4">
        <v>63.8</v>
      </c>
      <c r="M2495" s="4">
        <v>60.3</v>
      </c>
      <c r="N2495">
        <v>2</v>
      </c>
      <c r="O2495" t="s">
        <v>58</v>
      </c>
      <c r="P2495" t="s">
        <v>79</v>
      </c>
      <c r="Q2495" t="s">
        <v>71</v>
      </c>
      <c r="R2495" t="s">
        <v>72</v>
      </c>
      <c r="S2495" s="3">
        <v>4.9800000000000004</v>
      </c>
      <c r="T2495" s="5">
        <v>45916</v>
      </c>
      <c r="U2495">
        <v>2</v>
      </c>
      <c r="V2495">
        <v>2025</v>
      </c>
      <c r="X2495">
        <f t="shared" si="114"/>
        <v>7.8397505000000001</v>
      </c>
      <c r="Y2495">
        <f t="shared" si="115"/>
        <v>4.9797505000000006</v>
      </c>
      <c r="Z2495">
        <f t="shared" si="116"/>
        <v>63.799750499999995</v>
      </c>
    </row>
    <row r="2496" spans="1:26" x14ac:dyDescent="0.3">
      <c r="A2496" t="s">
        <v>2586</v>
      </c>
      <c r="B2496" t="s">
        <v>67</v>
      </c>
      <c r="C2496" t="s">
        <v>56</v>
      </c>
      <c r="D2496" t="s">
        <v>57</v>
      </c>
      <c r="E2496">
        <v>22</v>
      </c>
      <c r="F2496" s="3">
        <v>8.9700000000000006</v>
      </c>
      <c r="G2496" s="4">
        <v>81.3</v>
      </c>
      <c r="H2496">
        <v>2</v>
      </c>
      <c r="I2496">
        <v>2</v>
      </c>
      <c r="J2496">
        <v>3</v>
      </c>
      <c r="K2496" s="4">
        <v>68.3</v>
      </c>
      <c r="L2496" s="4">
        <v>55.5</v>
      </c>
      <c r="M2496" s="4">
        <v>79.7</v>
      </c>
      <c r="N2496">
        <v>0</v>
      </c>
      <c r="O2496" t="s">
        <v>58</v>
      </c>
      <c r="P2496" t="s">
        <v>70</v>
      </c>
      <c r="Q2496" t="s">
        <v>71</v>
      </c>
      <c r="R2496" t="s">
        <v>85</v>
      </c>
      <c r="S2496" s="3">
        <v>6.89</v>
      </c>
      <c r="T2496" s="5">
        <v>45195</v>
      </c>
      <c r="U2496">
        <v>3</v>
      </c>
      <c r="V2496">
        <v>2023</v>
      </c>
      <c r="X2496">
        <f t="shared" si="114"/>
        <v>8.9697504000000006</v>
      </c>
      <c r="Y2496">
        <f t="shared" si="115"/>
        <v>6.8897503999999996</v>
      </c>
      <c r="Z2496">
        <f t="shared" si="116"/>
        <v>55.499750400000003</v>
      </c>
    </row>
    <row r="2497" spans="1:26" x14ac:dyDescent="0.3">
      <c r="A2497" t="s">
        <v>2587</v>
      </c>
      <c r="B2497" t="s">
        <v>82</v>
      </c>
      <c r="C2497" t="s">
        <v>56</v>
      </c>
      <c r="D2497" t="s">
        <v>69</v>
      </c>
      <c r="E2497">
        <v>23</v>
      </c>
      <c r="F2497" s="3">
        <v>7.91</v>
      </c>
      <c r="G2497" s="4">
        <v>87.2</v>
      </c>
      <c r="H2497">
        <v>1</v>
      </c>
      <c r="I2497">
        <v>1</v>
      </c>
      <c r="J2497">
        <v>6</v>
      </c>
      <c r="K2497" s="4">
        <v>74.599999999999994</v>
      </c>
      <c r="L2497" s="4">
        <v>36.299999999999997</v>
      </c>
      <c r="M2497" s="4">
        <v>61.9</v>
      </c>
      <c r="N2497">
        <v>0</v>
      </c>
      <c r="O2497" t="s">
        <v>58</v>
      </c>
      <c r="P2497" t="s">
        <v>104</v>
      </c>
      <c r="Q2497" t="s">
        <v>105</v>
      </c>
      <c r="R2497" t="s">
        <v>72</v>
      </c>
      <c r="S2497" s="3">
        <v>13.74</v>
      </c>
      <c r="T2497" s="5">
        <v>44805</v>
      </c>
      <c r="U2497">
        <v>1</v>
      </c>
      <c r="V2497">
        <v>2022</v>
      </c>
      <c r="X2497">
        <f t="shared" si="114"/>
        <v>7.9097502999999998</v>
      </c>
      <c r="Y2497">
        <f t="shared" si="115"/>
        <v>13.739750300000001</v>
      </c>
      <c r="Z2497">
        <f t="shared" si="116"/>
        <v>36.299750299999999</v>
      </c>
    </row>
    <row r="2498" spans="1:26" x14ac:dyDescent="0.3">
      <c r="A2498" t="s">
        <v>2588</v>
      </c>
      <c r="B2498" t="s">
        <v>67</v>
      </c>
      <c r="C2498" t="s">
        <v>78</v>
      </c>
      <c r="D2498" t="s">
        <v>57</v>
      </c>
      <c r="E2498">
        <v>21</v>
      </c>
      <c r="F2498" s="3">
        <v>7.44</v>
      </c>
      <c r="G2498" s="4">
        <v>90.1</v>
      </c>
      <c r="H2498">
        <v>1</v>
      </c>
      <c r="I2498">
        <v>2</v>
      </c>
      <c r="J2498">
        <v>3</v>
      </c>
      <c r="K2498" s="4">
        <v>65.400000000000006</v>
      </c>
      <c r="L2498" s="4">
        <v>48.2</v>
      </c>
      <c r="M2498" s="4">
        <v>66.5</v>
      </c>
      <c r="N2498">
        <v>0</v>
      </c>
      <c r="O2498" t="s">
        <v>58</v>
      </c>
      <c r="P2498" t="s">
        <v>95</v>
      </c>
      <c r="Q2498" t="s">
        <v>93</v>
      </c>
      <c r="R2498" t="s">
        <v>80</v>
      </c>
      <c r="S2498" s="3">
        <v>5.31</v>
      </c>
      <c r="T2498" s="5">
        <v>45184</v>
      </c>
      <c r="U2498">
        <v>1</v>
      </c>
      <c r="V2498">
        <v>2023</v>
      </c>
      <c r="X2498">
        <f t="shared" ref="X2498:X2561" si="117">F2498-ROW()*0.0000001</f>
        <v>7.4397502000000006</v>
      </c>
      <c r="Y2498">
        <f t="shared" ref="Y2498:Y2561" si="118">S2498-ROW()*0.0000001</f>
        <v>5.3097501999999999</v>
      </c>
      <c r="Z2498">
        <f t="shared" ref="Z2498:Z2561" si="119">L2498-ROW()*0.0000001</f>
        <v>48.199750200000004</v>
      </c>
    </row>
    <row r="2499" spans="1:26" x14ac:dyDescent="0.3">
      <c r="A2499" t="s">
        <v>2589</v>
      </c>
      <c r="B2499" t="s">
        <v>82</v>
      </c>
      <c r="C2499" t="s">
        <v>101</v>
      </c>
      <c r="D2499" t="s">
        <v>69</v>
      </c>
      <c r="E2499">
        <v>20</v>
      </c>
      <c r="F2499" s="3">
        <v>6.8</v>
      </c>
      <c r="G2499" s="4">
        <v>93.6</v>
      </c>
      <c r="H2499">
        <v>0</v>
      </c>
      <c r="I2499">
        <v>3</v>
      </c>
      <c r="J2499">
        <v>2</v>
      </c>
      <c r="K2499" s="4">
        <v>64.7</v>
      </c>
      <c r="L2499" s="4">
        <v>62.8</v>
      </c>
      <c r="M2499" s="4">
        <v>68.3</v>
      </c>
      <c r="N2499">
        <v>0</v>
      </c>
      <c r="O2499" t="s">
        <v>58</v>
      </c>
      <c r="P2499" t="s">
        <v>90</v>
      </c>
      <c r="Q2499" t="s">
        <v>60</v>
      </c>
      <c r="R2499" t="s">
        <v>76</v>
      </c>
      <c r="S2499" s="3">
        <v>7.67</v>
      </c>
      <c r="T2499" s="5">
        <v>44809</v>
      </c>
      <c r="U2499">
        <v>1</v>
      </c>
      <c r="V2499">
        <v>2022</v>
      </c>
      <c r="X2499">
        <f t="shared" si="117"/>
        <v>6.7997500999999998</v>
      </c>
      <c r="Y2499">
        <f t="shared" si="118"/>
        <v>7.6697500999999999</v>
      </c>
      <c r="Z2499">
        <f t="shared" si="119"/>
        <v>62.799750099999997</v>
      </c>
    </row>
    <row r="2500" spans="1:26" x14ac:dyDescent="0.3">
      <c r="A2500" t="s">
        <v>2590</v>
      </c>
      <c r="B2500" t="s">
        <v>67</v>
      </c>
      <c r="C2500" t="s">
        <v>56</v>
      </c>
      <c r="D2500" t="s">
        <v>57</v>
      </c>
      <c r="E2500">
        <v>21</v>
      </c>
      <c r="F2500" s="3">
        <v>7.73</v>
      </c>
      <c r="G2500" s="4">
        <v>61.2</v>
      </c>
      <c r="H2500">
        <v>1</v>
      </c>
      <c r="I2500">
        <v>2</v>
      </c>
      <c r="J2500">
        <v>4</v>
      </c>
      <c r="K2500" s="4">
        <v>83.2</v>
      </c>
      <c r="L2500" s="4">
        <v>50.4</v>
      </c>
      <c r="M2500" s="4">
        <v>79.3</v>
      </c>
      <c r="N2500">
        <v>0</v>
      </c>
      <c r="O2500" t="s">
        <v>58</v>
      </c>
      <c r="P2500" t="s">
        <v>75</v>
      </c>
      <c r="Q2500" t="s">
        <v>71</v>
      </c>
      <c r="R2500" t="s">
        <v>80</v>
      </c>
      <c r="S2500" s="3">
        <v>5.65</v>
      </c>
      <c r="T2500" s="5">
        <v>45209</v>
      </c>
      <c r="U2500">
        <v>1</v>
      </c>
      <c r="V2500">
        <v>2023</v>
      </c>
      <c r="X2500">
        <f t="shared" si="117"/>
        <v>7.7297500000000001</v>
      </c>
      <c r="Y2500">
        <f t="shared" si="118"/>
        <v>5.64975</v>
      </c>
      <c r="Z2500">
        <f t="shared" si="119"/>
        <v>50.399749999999997</v>
      </c>
    </row>
    <row r="2501" spans="1:26" x14ac:dyDescent="0.3">
      <c r="A2501" t="s">
        <v>2591</v>
      </c>
      <c r="B2501" t="s">
        <v>63</v>
      </c>
      <c r="C2501" t="s">
        <v>56</v>
      </c>
      <c r="D2501" t="s">
        <v>69</v>
      </c>
      <c r="E2501">
        <v>21</v>
      </c>
      <c r="F2501" s="3">
        <v>7.45</v>
      </c>
      <c r="G2501" s="4">
        <v>74.8</v>
      </c>
      <c r="H2501">
        <v>1</v>
      </c>
      <c r="I2501">
        <v>3</v>
      </c>
      <c r="J2501">
        <v>5</v>
      </c>
      <c r="K2501" s="4">
        <v>36.200000000000003</v>
      </c>
      <c r="L2501" s="4">
        <v>59.5</v>
      </c>
      <c r="M2501" s="4">
        <v>98.3</v>
      </c>
      <c r="N2501">
        <v>0</v>
      </c>
      <c r="O2501" t="s">
        <v>58</v>
      </c>
      <c r="P2501" t="s">
        <v>79</v>
      </c>
      <c r="Q2501" t="s">
        <v>71</v>
      </c>
      <c r="R2501" t="s">
        <v>109</v>
      </c>
      <c r="S2501" s="3">
        <v>5.93</v>
      </c>
      <c r="T2501" s="5">
        <v>45879</v>
      </c>
      <c r="U2501">
        <v>1</v>
      </c>
      <c r="V2501">
        <v>2025</v>
      </c>
      <c r="X2501">
        <f t="shared" si="117"/>
        <v>7.4497499000000005</v>
      </c>
      <c r="Y2501">
        <f t="shared" si="118"/>
        <v>5.9297499</v>
      </c>
      <c r="Z2501">
        <f t="shared" si="119"/>
        <v>59.499749899999998</v>
      </c>
    </row>
    <row r="2502" spans="1:26" x14ac:dyDescent="0.3">
      <c r="A2502" t="s">
        <v>2592</v>
      </c>
      <c r="B2502" t="s">
        <v>63</v>
      </c>
      <c r="C2502" t="s">
        <v>56</v>
      </c>
      <c r="D2502" t="s">
        <v>57</v>
      </c>
      <c r="E2502">
        <v>20</v>
      </c>
      <c r="F2502" s="3">
        <v>8.16</v>
      </c>
      <c r="G2502" s="4">
        <v>82.5</v>
      </c>
      <c r="H2502">
        <v>0</v>
      </c>
      <c r="I2502">
        <v>1</v>
      </c>
      <c r="J2502">
        <v>3</v>
      </c>
      <c r="K2502" s="4">
        <v>59.9</v>
      </c>
      <c r="L2502" s="4">
        <v>98.9</v>
      </c>
      <c r="M2502" s="4">
        <v>66.8</v>
      </c>
      <c r="N2502">
        <v>0</v>
      </c>
      <c r="O2502" t="s">
        <v>64</v>
      </c>
      <c r="P2502" t="s">
        <v>65</v>
      </c>
      <c r="S2502" s="3">
        <v>0</v>
      </c>
      <c r="T2502" s="5"/>
      <c r="U2502">
        <v>0</v>
      </c>
      <c r="V2502">
        <v>2025</v>
      </c>
      <c r="X2502">
        <f t="shared" si="117"/>
        <v>8.1597498000000002</v>
      </c>
      <c r="Y2502">
        <f t="shared" si="118"/>
        <v>-2.5020000000000001E-4</v>
      </c>
      <c r="Z2502">
        <f t="shared" si="119"/>
        <v>98.899749800000009</v>
      </c>
    </row>
    <row r="2503" spans="1:26" x14ac:dyDescent="0.3">
      <c r="A2503" t="s">
        <v>2593</v>
      </c>
      <c r="B2503" t="s">
        <v>63</v>
      </c>
      <c r="C2503" t="s">
        <v>101</v>
      </c>
      <c r="D2503" t="s">
        <v>57</v>
      </c>
      <c r="E2503">
        <v>22</v>
      </c>
      <c r="F2503" s="3">
        <v>6.01</v>
      </c>
      <c r="G2503" s="4">
        <v>89.5</v>
      </c>
      <c r="H2503">
        <v>2</v>
      </c>
      <c r="I2503">
        <v>3</v>
      </c>
      <c r="J2503">
        <v>3</v>
      </c>
      <c r="K2503" s="4">
        <v>56.4</v>
      </c>
      <c r="L2503" s="4">
        <v>88.5</v>
      </c>
      <c r="M2503" s="4">
        <v>86.1</v>
      </c>
      <c r="N2503">
        <v>0</v>
      </c>
      <c r="O2503" t="s">
        <v>58</v>
      </c>
      <c r="P2503" t="s">
        <v>92</v>
      </c>
      <c r="Q2503" t="s">
        <v>93</v>
      </c>
      <c r="R2503" t="s">
        <v>61</v>
      </c>
      <c r="S2503" s="3">
        <v>7.57</v>
      </c>
      <c r="T2503" s="5">
        <v>45967</v>
      </c>
      <c r="U2503">
        <v>2</v>
      </c>
      <c r="V2503">
        <v>2025</v>
      </c>
      <c r="X2503">
        <f t="shared" si="117"/>
        <v>6.0097496999999995</v>
      </c>
      <c r="Y2503">
        <f t="shared" si="118"/>
        <v>7.5697497</v>
      </c>
      <c r="Z2503">
        <f t="shared" si="119"/>
        <v>88.499749699999995</v>
      </c>
    </row>
    <row r="2504" spans="1:26" x14ac:dyDescent="0.3">
      <c r="A2504" t="s">
        <v>2594</v>
      </c>
      <c r="B2504" t="s">
        <v>55</v>
      </c>
      <c r="C2504" t="s">
        <v>74</v>
      </c>
      <c r="D2504" t="s">
        <v>69</v>
      </c>
      <c r="E2504">
        <v>22</v>
      </c>
      <c r="F2504" s="3">
        <v>7.48</v>
      </c>
      <c r="G2504" s="4">
        <v>89.2</v>
      </c>
      <c r="H2504">
        <v>1</v>
      </c>
      <c r="I2504">
        <v>1</v>
      </c>
      <c r="J2504">
        <v>3</v>
      </c>
      <c r="K2504" s="4">
        <v>62.3</v>
      </c>
      <c r="L2504" s="4">
        <v>57.7</v>
      </c>
      <c r="M2504" s="4">
        <v>63.2</v>
      </c>
      <c r="N2504">
        <v>0</v>
      </c>
      <c r="O2504" t="s">
        <v>58</v>
      </c>
      <c r="P2504" t="s">
        <v>112</v>
      </c>
      <c r="Q2504" t="s">
        <v>93</v>
      </c>
      <c r="R2504" t="s">
        <v>130</v>
      </c>
      <c r="S2504" s="3">
        <v>5.64</v>
      </c>
      <c r="T2504" s="5">
        <v>45601</v>
      </c>
      <c r="U2504">
        <v>1</v>
      </c>
      <c r="V2504">
        <v>2024</v>
      </c>
      <c r="X2504">
        <f t="shared" si="117"/>
        <v>7.4797496000000008</v>
      </c>
      <c r="Y2504">
        <f t="shared" si="118"/>
        <v>5.6397496</v>
      </c>
      <c r="Z2504">
        <f t="shared" si="119"/>
        <v>57.699749600000004</v>
      </c>
    </row>
    <row r="2505" spans="1:26" x14ac:dyDescent="0.3">
      <c r="A2505" t="s">
        <v>2595</v>
      </c>
      <c r="B2505" t="s">
        <v>107</v>
      </c>
      <c r="C2505" t="s">
        <v>74</v>
      </c>
      <c r="D2505" t="s">
        <v>57</v>
      </c>
      <c r="E2505">
        <v>21</v>
      </c>
      <c r="F2505" s="3">
        <v>8.0299999999999994</v>
      </c>
      <c r="G2505" s="4">
        <v>86.3</v>
      </c>
      <c r="H2505">
        <v>1</v>
      </c>
      <c r="I2505">
        <v>3</v>
      </c>
      <c r="J2505">
        <v>3</v>
      </c>
      <c r="K2505" s="4">
        <v>87.5</v>
      </c>
      <c r="L2505" s="4">
        <v>72.099999999999994</v>
      </c>
      <c r="M2505" s="4">
        <v>68.7</v>
      </c>
      <c r="N2505">
        <v>2</v>
      </c>
      <c r="O2505" t="s">
        <v>58</v>
      </c>
      <c r="P2505" t="s">
        <v>90</v>
      </c>
      <c r="Q2505" t="s">
        <v>60</v>
      </c>
      <c r="R2505" t="s">
        <v>61</v>
      </c>
      <c r="S2505" s="3">
        <v>7.59</v>
      </c>
      <c r="T2505" s="5">
        <v>44434</v>
      </c>
      <c r="U2505">
        <v>1</v>
      </c>
      <c r="V2505">
        <v>2021</v>
      </c>
      <c r="X2505">
        <f t="shared" si="117"/>
        <v>8.0297494999999994</v>
      </c>
      <c r="Y2505">
        <f t="shared" si="118"/>
        <v>7.5897494999999999</v>
      </c>
      <c r="Z2505">
        <f t="shared" si="119"/>
        <v>72.099749499999987</v>
      </c>
    </row>
    <row r="2506" spans="1:26" x14ac:dyDescent="0.3">
      <c r="A2506" t="s">
        <v>2596</v>
      </c>
      <c r="B2506" t="s">
        <v>63</v>
      </c>
      <c r="C2506" t="s">
        <v>68</v>
      </c>
      <c r="D2506" t="s">
        <v>57</v>
      </c>
      <c r="E2506">
        <v>20</v>
      </c>
      <c r="F2506" s="3">
        <v>7.77</v>
      </c>
      <c r="G2506" s="4">
        <v>76.3</v>
      </c>
      <c r="H2506">
        <v>1</v>
      </c>
      <c r="I2506">
        <v>3</v>
      </c>
      <c r="J2506">
        <v>2</v>
      </c>
      <c r="K2506" s="4">
        <v>58.4</v>
      </c>
      <c r="L2506" s="4">
        <v>53.8</v>
      </c>
      <c r="M2506" s="4">
        <v>89.8</v>
      </c>
      <c r="N2506">
        <v>0</v>
      </c>
      <c r="O2506" t="s">
        <v>58</v>
      </c>
      <c r="P2506" t="s">
        <v>112</v>
      </c>
      <c r="Q2506" t="s">
        <v>93</v>
      </c>
      <c r="R2506" t="s">
        <v>61</v>
      </c>
      <c r="S2506" s="3">
        <v>7.14</v>
      </c>
      <c r="T2506" s="5">
        <v>45917</v>
      </c>
      <c r="U2506">
        <v>2</v>
      </c>
      <c r="V2506">
        <v>2025</v>
      </c>
      <c r="X2506">
        <f t="shared" si="117"/>
        <v>7.7697493999999994</v>
      </c>
      <c r="Y2506">
        <f t="shared" si="118"/>
        <v>7.1397493999999995</v>
      </c>
      <c r="Z2506">
        <f t="shared" si="119"/>
        <v>53.799749399999996</v>
      </c>
    </row>
    <row r="2507" spans="1:26" x14ac:dyDescent="0.3">
      <c r="A2507" t="s">
        <v>2597</v>
      </c>
      <c r="B2507" t="s">
        <v>82</v>
      </c>
      <c r="C2507" t="s">
        <v>101</v>
      </c>
      <c r="D2507" t="s">
        <v>57</v>
      </c>
      <c r="E2507">
        <v>22</v>
      </c>
      <c r="F2507" s="3">
        <v>7.35</v>
      </c>
      <c r="G2507" s="4">
        <v>77.400000000000006</v>
      </c>
      <c r="H2507">
        <v>3</v>
      </c>
      <c r="I2507">
        <v>3</v>
      </c>
      <c r="J2507">
        <v>4</v>
      </c>
      <c r="K2507" s="4">
        <v>66.7</v>
      </c>
      <c r="L2507" s="4">
        <v>93.4</v>
      </c>
      <c r="M2507" s="4">
        <v>85.5</v>
      </c>
      <c r="N2507">
        <v>1</v>
      </c>
      <c r="O2507" t="s">
        <v>58</v>
      </c>
      <c r="P2507" t="s">
        <v>59</v>
      </c>
      <c r="Q2507" t="s">
        <v>60</v>
      </c>
      <c r="R2507" t="s">
        <v>76</v>
      </c>
      <c r="S2507" s="3">
        <v>20.91</v>
      </c>
      <c r="T2507" s="5">
        <v>44821</v>
      </c>
      <c r="U2507">
        <v>2</v>
      </c>
      <c r="V2507">
        <v>2022</v>
      </c>
      <c r="X2507">
        <f t="shared" si="117"/>
        <v>7.3497493</v>
      </c>
      <c r="Y2507">
        <f t="shared" si="118"/>
        <v>20.909749300000001</v>
      </c>
      <c r="Z2507">
        <f t="shared" si="119"/>
        <v>93.399749300000011</v>
      </c>
    </row>
    <row r="2508" spans="1:26" x14ac:dyDescent="0.3">
      <c r="A2508" t="s">
        <v>2598</v>
      </c>
      <c r="B2508" t="s">
        <v>63</v>
      </c>
      <c r="C2508" t="s">
        <v>89</v>
      </c>
      <c r="D2508" t="s">
        <v>57</v>
      </c>
      <c r="E2508">
        <v>21</v>
      </c>
      <c r="F2508" s="3">
        <v>7.34</v>
      </c>
      <c r="G2508" s="4">
        <v>76.3</v>
      </c>
      <c r="H2508">
        <v>0</v>
      </c>
      <c r="I2508">
        <v>1</v>
      </c>
      <c r="J2508">
        <v>5</v>
      </c>
      <c r="K2508" s="4">
        <v>75.7</v>
      </c>
      <c r="L2508" s="4">
        <v>71.099999999999994</v>
      </c>
      <c r="M2508" s="4">
        <v>69.099999999999994</v>
      </c>
      <c r="N2508">
        <v>0</v>
      </c>
      <c r="O2508" t="s">
        <v>58</v>
      </c>
      <c r="P2508" t="s">
        <v>87</v>
      </c>
      <c r="Q2508" t="s">
        <v>71</v>
      </c>
      <c r="R2508" t="s">
        <v>80</v>
      </c>
      <c r="S2508" s="3">
        <v>7.11</v>
      </c>
      <c r="T2508" s="5">
        <v>45882</v>
      </c>
      <c r="U2508">
        <v>1</v>
      </c>
      <c r="V2508">
        <v>2025</v>
      </c>
      <c r="X2508">
        <f t="shared" si="117"/>
        <v>7.3397492</v>
      </c>
      <c r="Y2508">
        <f t="shared" si="118"/>
        <v>7.1097492000000004</v>
      </c>
      <c r="Z2508">
        <f t="shared" si="119"/>
        <v>71.099749199999991</v>
      </c>
    </row>
    <row r="2509" spans="1:26" x14ac:dyDescent="0.3">
      <c r="A2509" t="s">
        <v>2599</v>
      </c>
      <c r="B2509" t="s">
        <v>55</v>
      </c>
      <c r="C2509" t="s">
        <v>89</v>
      </c>
      <c r="D2509" t="s">
        <v>69</v>
      </c>
      <c r="E2509">
        <v>23</v>
      </c>
      <c r="F2509" s="3">
        <v>6.66</v>
      </c>
      <c r="G2509" s="4">
        <v>73.2</v>
      </c>
      <c r="H2509">
        <v>1</v>
      </c>
      <c r="I2509">
        <v>3</v>
      </c>
      <c r="J2509">
        <v>4</v>
      </c>
      <c r="K2509" s="4">
        <v>57</v>
      </c>
      <c r="L2509" s="4">
        <v>85.8</v>
      </c>
      <c r="M2509" s="4">
        <v>66.7</v>
      </c>
      <c r="N2509">
        <v>1</v>
      </c>
      <c r="O2509" t="s">
        <v>58</v>
      </c>
      <c r="P2509" t="s">
        <v>90</v>
      </c>
      <c r="Q2509" t="s">
        <v>60</v>
      </c>
      <c r="R2509" t="s">
        <v>76</v>
      </c>
      <c r="S2509" s="3">
        <v>8.4700000000000006</v>
      </c>
      <c r="T2509" s="5">
        <v>45534</v>
      </c>
      <c r="U2509">
        <v>1</v>
      </c>
      <c r="V2509">
        <v>2024</v>
      </c>
      <c r="X2509">
        <f t="shared" si="117"/>
        <v>6.6597491</v>
      </c>
      <c r="Y2509">
        <f t="shared" si="118"/>
        <v>8.4697491000000014</v>
      </c>
      <c r="Z2509">
        <f t="shared" si="119"/>
        <v>85.7997491</v>
      </c>
    </row>
    <row r="2510" spans="1:26" x14ac:dyDescent="0.3">
      <c r="A2510" t="s">
        <v>2600</v>
      </c>
      <c r="B2510" t="s">
        <v>82</v>
      </c>
      <c r="C2510" t="s">
        <v>56</v>
      </c>
      <c r="D2510" t="s">
        <v>69</v>
      </c>
      <c r="E2510">
        <v>20</v>
      </c>
      <c r="F2510" s="3">
        <v>7.99</v>
      </c>
      <c r="G2510" s="4">
        <v>73</v>
      </c>
      <c r="H2510">
        <v>1</v>
      </c>
      <c r="I2510">
        <v>2</v>
      </c>
      <c r="J2510">
        <v>3</v>
      </c>
      <c r="K2510" s="4">
        <v>36</v>
      </c>
      <c r="L2510" s="4">
        <v>58.2</v>
      </c>
      <c r="M2510" s="4">
        <v>79.599999999999994</v>
      </c>
      <c r="N2510">
        <v>1</v>
      </c>
      <c r="O2510" t="s">
        <v>58</v>
      </c>
      <c r="P2510" t="s">
        <v>59</v>
      </c>
      <c r="Q2510" t="s">
        <v>60</v>
      </c>
      <c r="R2510" t="s">
        <v>85</v>
      </c>
      <c r="S2510" s="3">
        <v>20.22</v>
      </c>
      <c r="T2510" s="5">
        <v>44869</v>
      </c>
      <c r="U2510">
        <v>1</v>
      </c>
      <c r="V2510">
        <v>2022</v>
      </c>
      <c r="X2510">
        <f t="shared" si="117"/>
        <v>7.9897490000000007</v>
      </c>
      <c r="Y2510">
        <f t="shared" si="118"/>
        <v>20.219749</v>
      </c>
      <c r="Z2510">
        <f t="shared" si="119"/>
        <v>58.199749000000004</v>
      </c>
    </row>
    <row r="2511" spans="1:26" x14ac:dyDescent="0.3">
      <c r="A2511" t="s">
        <v>2601</v>
      </c>
      <c r="B2511" t="s">
        <v>55</v>
      </c>
      <c r="C2511" t="s">
        <v>68</v>
      </c>
      <c r="D2511" t="s">
        <v>57</v>
      </c>
      <c r="E2511">
        <v>23</v>
      </c>
      <c r="F2511" s="3">
        <v>8.0299999999999994</v>
      </c>
      <c r="G2511" s="4">
        <v>72.2</v>
      </c>
      <c r="H2511">
        <v>0</v>
      </c>
      <c r="I2511">
        <v>5</v>
      </c>
      <c r="J2511">
        <v>3</v>
      </c>
      <c r="K2511" s="4">
        <v>32.200000000000003</v>
      </c>
      <c r="L2511" s="4">
        <v>94</v>
      </c>
      <c r="M2511" s="4">
        <v>66.2</v>
      </c>
      <c r="N2511">
        <v>0</v>
      </c>
      <c r="O2511" t="s">
        <v>58</v>
      </c>
      <c r="P2511" t="s">
        <v>90</v>
      </c>
      <c r="Q2511" t="s">
        <v>60</v>
      </c>
      <c r="R2511" t="s">
        <v>80</v>
      </c>
      <c r="S2511" s="3">
        <v>9.25</v>
      </c>
      <c r="T2511" s="5">
        <v>45601</v>
      </c>
      <c r="U2511">
        <v>1</v>
      </c>
      <c r="V2511">
        <v>2024</v>
      </c>
      <c r="X2511">
        <f t="shared" si="117"/>
        <v>8.0297488999999995</v>
      </c>
      <c r="Y2511">
        <f t="shared" si="118"/>
        <v>9.2497489000000002</v>
      </c>
      <c r="Z2511">
        <f t="shared" si="119"/>
        <v>93.9997489</v>
      </c>
    </row>
    <row r="2512" spans="1:26" x14ac:dyDescent="0.3">
      <c r="A2512" t="s">
        <v>2602</v>
      </c>
      <c r="B2512" t="s">
        <v>82</v>
      </c>
      <c r="C2512" t="s">
        <v>78</v>
      </c>
      <c r="D2512" t="s">
        <v>57</v>
      </c>
      <c r="E2512">
        <v>23</v>
      </c>
      <c r="F2512" s="3">
        <v>6.38</v>
      </c>
      <c r="G2512" s="4">
        <v>85</v>
      </c>
      <c r="H2512">
        <v>2</v>
      </c>
      <c r="I2512">
        <v>1</v>
      </c>
      <c r="J2512">
        <v>3</v>
      </c>
      <c r="K2512" s="4">
        <v>86.6</v>
      </c>
      <c r="L2512" s="4">
        <v>63.4</v>
      </c>
      <c r="M2512" s="4">
        <v>68.2</v>
      </c>
      <c r="N2512">
        <v>0</v>
      </c>
      <c r="O2512" t="s">
        <v>58</v>
      </c>
      <c r="P2512" t="s">
        <v>79</v>
      </c>
      <c r="Q2512" t="s">
        <v>71</v>
      </c>
      <c r="R2512" t="s">
        <v>85</v>
      </c>
      <c r="S2512" s="3">
        <v>6.27</v>
      </c>
      <c r="T2512" s="5">
        <v>44843</v>
      </c>
      <c r="U2512">
        <v>2</v>
      </c>
      <c r="V2512">
        <v>2022</v>
      </c>
      <c r="X2512">
        <f t="shared" si="117"/>
        <v>6.3797487999999998</v>
      </c>
      <c r="Y2512">
        <f t="shared" si="118"/>
        <v>6.2697487999999995</v>
      </c>
      <c r="Z2512">
        <f t="shared" si="119"/>
        <v>63.399748799999998</v>
      </c>
    </row>
    <row r="2513" spans="1:26" x14ac:dyDescent="0.3">
      <c r="A2513" t="s">
        <v>2603</v>
      </c>
      <c r="B2513" t="s">
        <v>67</v>
      </c>
      <c r="C2513" t="s">
        <v>84</v>
      </c>
      <c r="D2513" t="s">
        <v>57</v>
      </c>
      <c r="E2513">
        <v>21</v>
      </c>
      <c r="F2513" s="3">
        <v>8.34</v>
      </c>
      <c r="G2513" s="4">
        <v>83.1</v>
      </c>
      <c r="H2513">
        <v>1</v>
      </c>
      <c r="I2513">
        <v>3</v>
      </c>
      <c r="J2513">
        <v>3</v>
      </c>
      <c r="K2513" s="4">
        <v>74.3</v>
      </c>
      <c r="L2513" s="4">
        <v>43.5</v>
      </c>
      <c r="M2513" s="4">
        <v>69.2</v>
      </c>
      <c r="N2513">
        <v>0</v>
      </c>
      <c r="O2513" t="s">
        <v>58</v>
      </c>
      <c r="P2513" t="s">
        <v>70</v>
      </c>
      <c r="Q2513" t="s">
        <v>71</v>
      </c>
      <c r="R2513" t="s">
        <v>85</v>
      </c>
      <c r="S2513" s="3">
        <v>5.32</v>
      </c>
      <c r="T2513" s="5">
        <v>45238</v>
      </c>
      <c r="U2513">
        <v>1</v>
      </c>
      <c r="V2513">
        <v>2023</v>
      </c>
      <c r="X2513">
        <f t="shared" si="117"/>
        <v>8.3397486999999995</v>
      </c>
      <c r="Y2513">
        <f t="shared" si="118"/>
        <v>5.3197486999999999</v>
      </c>
      <c r="Z2513">
        <f t="shared" si="119"/>
        <v>43.499748699999998</v>
      </c>
    </row>
    <row r="2514" spans="1:26" x14ac:dyDescent="0.3">
      <c r="A2514" t="s">
        <v>2604</v>
      </c>
      <c r="B2514" t="s">
        <v>107</v>
      </c>
      <c r="C2514" t="s">
        <v>56</v>
      </c>
      <c r="D2514" t="s">
        <v>69</v>
      </c>
      <c r="E2514">
        <v>20</v>
      </c>
      <c r="F2514" s="3">
        <v>7.06</v>
      </c>
      <c r="G2514" s="4">
        <v>73.7</v>
      </c>
      <c r="H2514">
        <v>0</v>
      </c>
      <c r="I2514">
        <v>1</v>
      </c>
      <c r="J2514">
        <v>4</v>
      </c>
      <c r="K2514" s="4">
        <v>63.4</v>
      </c>
      <c r="L2514" s="4">
        <v>67.400000000000006</v>
      </c>
      <c r="M2514" s="4">
        <v>71.900000000000006</v>
      </c>
      <c r="N2514">
        <v>0</v>
      </c>
      <c r="O2514" t="s">
        <v>64</v>
      </c>
      <c r="P2514" t="s">
        <v>65</v>
      </c>
      <c r="S2514" s="3">
        <v>0</v>
      </c>
      <c r="T2514" s="5"/>
      <c r="U2514">
        <v>0</v>
      </c>
      <c r="V2514">
        <v>2021</v>
      </c>
      <c r="X2514">
        <f t="shared" si="117"/>
        <v>7.0597485999999998</v>
      </c>
      <c r="Y2514">
        <f t="shared" si="118"/>
        <v>-2.5139999999999999E-4</v>
      </c>
      <c r="Z2514">
        <f t="shared" si="119"/>
        <v>67.399748600000009</v>
      </c>
    </row>
    <row r="2515" spans="1:26" x14ac:dyDescent="0.3">
      <c r="A2515" t="s">
        <v>2605</v>
      </c>
      <c r="B2515" t="s">
        <v>107</v>
      </c>
      <c r="C2515" t="s">
        <v>56</v>
      </c>
      <c r="D2515" t="s">
        <v>57</v>
      </c>
      <c r="E2515">
        <v>22</v>
      </c>
      <c r="F2515" s="3">
        <v>7.31</v>
      </c>
      <c r="G2515" s="4">
        <v>66.599999999999994</v>
      </c>
      <c r="H2515">
        <v>0</v>
      </c>
      <c r="I2515">
        <v>1</v>
      </c>
      <c r="J2515">
        <v>6</v>
      </c>
      <c r="K2515" s="4">
        <v>63.2</v>
      </c>
      <c r="L2515" s="4">
        <v>59.7</v>
      </c>
      <c r="M2515" s="4">
        <v>67</v>
      </c>
      <c r="N2515">
        <v>2</v>
      </c>
      <c r="O2515" t="s">
        <v>64</v>
      </c>
      <c r="P2515" t="s">
        <v>65</v>
      </c>
      <c r="S2515" s="3">
        <v>0</v>
      </c>
      <c r="T2515" s="5"/>
      <c r="U2515">
        <v>0</v>
      </c>
      <c r="V2515">
        <v>2021</v>
      </c>
      <c r="X2515">
        <f t="shared" si="117"/>
        <v>7.3097484999999995</v>
      </c>
      <c r="Y2515">
        <f t="shared" si="118"/>
        <v>-2.5149999999999999E-4</v>
      </c>
      <c r="Z2515">
        <f t="shared" si="119"/>
        <v>59.699748500000005</v>
      </c>
    </row>
    <row r="2516" spans="1:26" x14ac:dyDescent="0.3">
      <c r="A2516" t="s">
        <v>2606</v>
      </c>
      <c r="B2516" t="s">
        <v>55</v>
      </c>
      <c r="C2516" t="s">
        <v>56</v>
      </c>
      <c r="D2516" t="s">
        <v>57</v>
      </c>
      <c r="E2516">
        <v>22</v>
      </c>
      <c r="F2516" s="3">
        <v>9.32</v>
      </c>
      <c r="G2516" s="4">
        <v>78.7</v>
      </c>
      <c r="H2516">
        <v>2</v>
      </c>
      <c r="I2516">
        <v>0</v>
      </c>
      <c r="J2516">
        <v>2</v>
      </c>
      <c r="K2516" s="4">
        <v>56.1</v>
      </c>
      <c r="L2516" s="4">
        <v>85.1</v>
      </c>
      <c r="M2516" s="4">
        <v>54.4</v>
      </c>
      <c r="N2516">
        <v>0</v>
      </c>
      <c r="O2516" t="s">
        <v>58</v>
      </c>
      <c r="P2516" t="s">
        <v>59</v>
      </c>
      <c r="Q2516" t="s">
        <v>60</v>
      </c>
      <c r="R2516" t="s">
        <v>72</v>
      </c>
      <c r="S2516" s="3">
        <v>20.29</v>
      </c>
      <c r="T2516" s="5">
        <v>45560</v>
      </c>
      <c r="U2516">
        <v>2</v>
      </c>
      <c r="V2516">
        <v>2024</v>
      </c>
      <c r="X2516">
        <f t="shared" si="117"/>
        <v>9.3197483999999999</v>
      </c>
      <c r="Y2516">
        <f t="shared" si="118"/>
        <v>20.289748400000001</v>
      </c>
      <c r="Z2516">
        <f t="shared" si="119"/>
        <v>85.099748399999996</v>
      </c>
    </row>
    <row r="2517" spans="1:26" x14ac:dyDescent="0.3">
      <c r="A2517" t="s">
        <v>2607</v>
      </c>
      <c r="B2517" t="s">
        <v>107</v>
      </c>
      <c r="C2517" t="s">
        <v>74</v>
      </c>
      <c r="D2517" t="s">
        <v>57</v>
      </c>
      <c r="E2517">
        <v>21</v>
      </c>
      <c r="F2517" s="3">
        <v>9.09</v>
      </c>
      <c r="G2517" s="4">
        <v>95.3</v>
      </c>
      <c r="H2517">
        <v>0</v>
      </c>
      <c r="I2517">
        <v>1</v>
      </c>
      <c r="J2517">
        <v>6</v>
      </c>
      <c r="K2517" s="4">
        <v>70.3</v>
      </c>
      <c r="L2517" s="4">
        <v>60.7</v>
      </c>
      <c r="M2517" s="4">
        <v>92.6</v>
      </c>
      <c r="N2517">
        <v>0</v>
      </c>
      <c r="O2517" t="s">
        <v>58</v>
      </c>
      <c r="P2517" t="s">
        <v>79</v>
      </c>
      <c r="Q2517" t="s">
        <v>71</v>
      </c>
      <c r="R2517" t="s">
        <v>72</v>
      </c>
      <c r="S2517" s="3">
        <v>7</v>
      </c>
      <c r="T2517" s="5">
        <v>44438</v>
      </c>
      <c r="U2517">
        <v>1</v>
      </c>
      <c r="V2517">
        <v>2021</v>
      </c>
      <c r="X2517">
        <f t="shared" si="117"/>
        <v>9.0897483000000001</v>
      </c>
      <c r="Y2517">
        <f t="shared" si="118"/>
        <v>6.9997483000000003</v>
      </c>
      <c r="Z2517">
        <f t="shared" si="119"/>
        <v>60.699748300000003</v>
      </c>
    </row>
    <row r="2518" spans="1:26" x14ac:dyDescent="0.3">
      <c r="A2518" t="s">
        <v>2608</v>
      </c>
      <c r="B2518" t="s">
        <v>55</v>
      </c>
      <c r="C2518" t="s">
        <v>101</v>
      </c>
      <c r="D2518" t="s">
        <v>69</v>
      </c>
      <c r="E2518">
        <v>22</v>
      </c>
      <c r="F2518" s="3">
        <v>6.35</v>
      </c>
      <c r="G2518" s="4">
        <v>82.1</v>
      </c>
      <c r="H2518">
        <v>1</v>
      </c>
      <c r="I2518">
        <v>1</v>
      </c>
      <c r="J2518">
        <v>6</v>
      </c>
      <c r="K2518" s="4">
        <v>78.099999999999994</v>
      </c>
      <c r="L2518" s="4">
        <v>78.099999999999994</v>
      </c>
      <c r="M2518" s="4">
        <v>83.9</v>
      </c>
      <c r="N2518">
        <v>0</v>
      </c>
      <c r="O2518" t="s">
        <v>58</v>
      </c>
      <c r="P2518" t="s">
        <v>79</v>
      </c>
      <c r="Q2518" t="s">
        <v>71</v>
      </c>
      <c r="R2518" t="s">
        <v>76</v>
      </c>
      <c r="S2518" s="3">
        <v>5.97</v>
      </c>
      <c r="T2518" s="5">
        <v>45614</v>
      </c>
      <c r="U2518">
        <v>2</v>
      </c>
      <c r="V2518">
        <v>2024</v>
      </c>
      <c r="X2518">
        <f t="shared" si="117"/>
        <v>6.3497481999999996</v>
      </c>
      <c r="Y2518">
        <f t="shared" si="118"/>
        <v>5.9697481999999997</v>
      </c>
      <c r="Z2518">
        <f t="shared" si="119"/>
        <v>78.099748199999993</v>
      </c>
    </row>
    <row r="2519" spans="1:26" x14ac:dyDescent="0.3">
      <c r="A2519" t="s">
        <v>2609</v>
      </c>
      <c r="B2519" t="s">
        <v>55</v>
      </c>
      <c r="C2519" t="s">
        <v>56</v>
      </c>
      <c r="D2519" t="s">
        <v>57</v>
      </c>
      <c r="E2519">
        <v>22</v>
      </c>
      <c r="F2519" s="3">
        <v>6.5</v>
      </c>
      <c r="G2519" s="4">
        <v>89.2</v>
      </c>
      <c r="H2519">
        <v>1</v>
      </c>
      <c r="I2519">
        <v>1</v>
      </c>
      <c r="J2519">
        <v>2</v>
      </c>
      <c r="K2519" s="4">
        <v>55.5</v>
      </c>
      <c r="L2519" s="4">
        <v>59.8</v>
      </c>
      <c r="M2519" s="4">
        <v>73</v>
      </c>
      <c r="N2519">
        <v>0</v>
      </c>
      <c r="O2519" t="s">
        <v>64</v>
      </c>
      <c r="P2519" t="s">
        <v>65</v>
      </c>
      <c r="S2519" s="3">
        <v>0</v>
      </c>
      <c r="T2519" s="5"/>
      <c r="U2519">
        <v>0</v>
      </c>
      <c r="V2519">
        <v>2024</v>
      </c>
      <c r="X2519">
        <f t="shared" si="117"/>
        <v>6.4997480999999997</v>
      </c>
      <c r="Y2519">
        <f t="shared" si="118"/>
        <v>-2.519E-4</v>
      </c>
      <c r="Z2519">
        <f t="shared" si="119"/>
        <v>59.799748099999995</v>
      </c>
    </row>
    <row r="2520" spans="1:26" x14ac:dyDescent="0.3">
      <c r="A2520" t="s">
        <v>2610</v>
      </c>
      <c r="B2520" t="s">
        <v>55</v>
      </c>
      <c r="C2520" t="s">
        <v>68</v>
      </c>
      <c r="D2520" t="s">
        <v>69</v>
      </c>
      <c r="E2520">
        <v>23</v>
      </c>
      <c r="F2520" s="3">
        <v>6.7</v>
      </c>
      <c r="G2520" s="4">
        <v>83.6</v>
      </c>
      <c r="H2520">
        <v>0</v>
      </c>
      <c r="I2520">
        <v>0</v>
      </c>
      <c r="J2520">
        <v>2</v>
      </c>
      <c r="K2520" s="4">
        <v>71.599999999999994</v>
      </c>
      <c r="L2520" s="4">
        <v>57.3</v>
      </c>
      <c r="M2520" s="4">
        <v>65.099999999999994</v>
      </c>
      <c r="N2520">
        <v>0</v>
      </c>
      <c r="O2520" t="s">
        <v>58</v>
      </c>
      <c r="P2520" t="s">
        <v>112</v>
      </c>
      <c r="Q2520" t="s">
        <v>93</v>
      </c>
      <c r="R2520" t="s">
        <v>72</v>
      </c>
      <c r="S2520" s="3">
        <v>5.09</v>
      </c>
      <c r="T2520" s="5">
        <v>45594</v>
      </c>
      <c r="U2520">
        <v>1</v>
      </c>
      <c r="V2520">
        <v>2024</v>
      </c>
      <c r="X2520">
        <f t="shared" si="117"/>
        <v>6.6997480000000005</v>
      </c>
      <c r="Y2520">
        <f t="shared" si="118"/>
        <v>5.0897480000000002</v>
      </c>
      <c r="Z2520">
        <f t="shared" si="119"/>
        <v>57.299747999999994</v>
      </c>
    </row>
    <row r="2521" spans="1:26" x14ac:dyDescent="0.3">
      <c r="A2521" t="s">
        <v>2611</v>
      </c>
      <c r="B2521" t="s">
        <v>107</v>
      </c>
      <c r="C2521" t="s">
        <v>74</v>
      </c>
      <c r="D2521" t="s">
        <v>57</v>
      </c>
      <c r="E2521">
        <v>23</v>
      </c>
      <c r="F2521" s="3">
        <v>9.08</v>
      </c>
      <c r="G2521" s="4">
        <v>81.5</v>
      </c>
      <c r="H2521">
        <v>1</v>
      </c>
      <c r="I2521">
        <v>3</v>
      </c>
      <c r="J2521">
        <v>3</v>
      </c>
      <c r="K2521" s="4">
        <v>55.9</v>
      </c>
      <c r="L2521" s="4">
        <v>70</v>
      </c>
      <c r="M2521" s="4">
        <v>88.4</v>
      </c>
      <c r="N2521">
        <v>0</v>
      </c>
      <c r="O2521" t="s">
        <v>58</v>
      </c>
      <c r="P2521" t="s">
        <v>104</v>
      </c>
      <c r="Q2521" t="s">
        <v>105</v>
      </c>
      <c r="R2521" t="s">
        <v>61</v>
      </c>
      <c r="S2521" s="3">
        <v>17.100000000000001</v>
      </c>
      <c r="T2521" s="5">
        <v>44497</v>
      </c>
      <c r="U2521">
        <v>2</v>
      </c>
      <c r="V2521">
        <v>2021</v>
      </c>
      <c r="X2521">
        <f t="shared" si="117"/>
        <v>9.0797478999999992</v>
      </c>
      <c r="Y2521">
        <f t="shared" si="118"/>
        <v>17.099747900000001</v>
      </c>
      <c r="Z2521">
        <f t="shared" si="119"/>
        <v>69.999747900000003</v>
      </c>
    </row>
    <row r="2522" spans="1:26" x14ac:dyDescent="0.3">
      <c r="A2522" t="s">
        <v>2612</v>
      </c>
      <c r="B2522" t="s">
        <v>55</v>
      </c>
      <c r="C2522" t="s">
        <v>56</v>
      </c>
      <c r="D2522" t="s">
        <v>57</v>
      </c>
      <c r="E2522">
        <v>20</v>
      </c>
      <c r="F2522" s="3">
        <v>7.1</v>
      </c>
      <c r="G2522" s="4">
        <v>68.7</v>
      </c>
      <c r="H2522">
        <v>1</v>
      </c>
      <c r="I2522">
        <v>2</v>
      </c>
      <c r="J2522">
        <v>4</v>
      </c>
      <c r="K2522" s="4">
        <v>66.7</v>
      </c>
      <c r="L2522" s="4">
        <v>78</v>
      </c>
      <c r="M2522" s="4">
        <v>79.599999999999994</v>
      </c>
      <c r="N2522">
        <v>1</v>
      </c>
      <c r="O2522" t="s">
        <v>64</v>
      </c>
      <c r="P2522" t="s">
        <v>65</v>
      </c>
      <c r="S2522" s="3">
        <v>0</v>
      </c>
      <c r="T2522" s="5"/>
      <c r="U2522">
        <v>0</v>
      </c>
      <c r="V2522">
        <v>2024</v>
      </c>
      <c r="X2522">
        <f t="shared" si="117"/>
        <v>7.0997477999999994</v>
      </c>
      <c r="Y2522">
        <f t="shared" si="118"/>
        <v>-2.522E-4</v>
      </c>
      <c r="Z2522">
        <f t="shared" si="119"/>
        <v>77.999747799999994</v>
      </c>
    </row>
    <row r="2523" spans="1:26" x14ac:dyDescent="0.3">
      <c r="A2523" t="s">
        <v>2613</v>
      </c>
      <c r="B2523" t="s">
        <v>107</v>
      </c>
      <c r="C2523" t="s">
        <v>68</v>
      </c>
      <c r="D2523" t="s">
        <v>57</v>
      </c>
      <c r="E2523">
        <v>23</v>
      </c>
      <c r="F2523" s="3">
        <v>6.32</v>
      </c>
      <c r="G2523" s="4">
        <v>78.3</v>
      </c>
      <c r="H2523">
        <v>1</v>
      </c>
      <c r="I2523">
        <v>3</v>
      </c>
      <c r="J2523">
        <v>2</v>
      </c>
      <c r="K2523" s="4">
        <v>60.1</v>
      </c>
      <c r="L2523" s="4">
        <v>46.6</v>
      </c>
      <c r="M2523" s="4">
        <v>66.2</v>
      </c>
      <c r="N2523">
        <v>1</v>
      </c>
      <c r="O2523" t="s">
        <v>58</v>
      </c>
      <c r="P2523" t="s">
        <v>104</v>
      </c>
      <c r="Q2523" t="s">
        <v>105</v>
      </c>
      <c r="R2523" t="s">
        <v>109</v>
      </c>
      <c r="S2523" s="3">
        <v>14.04</v>
      </c>
      <c r="T2523" s="5">
        <v>44450</v>
      </c>
      <c r="U2523">
        <v>1</v>
      </c>
      <c r="V2523">
        <v>2021</v>
      </c>
      <c r="X2523">
        <f t="shared" si="117"/>
        <v>6.3197477000000006</v>
      </c>
      <c r="Y2523">
        <f t="shared" si="118"/>
        <v>14.039747699999999</v>
      </c>
      <c r="Z2523">
        <f t="shared" si="119"/>
        <v>46.599747700000002</v>
      </c>
    </row>
    <row r="2524" spans="1:26" x14ac:dyDescent="0.3">
      <c r="A2524" t="s">
        <v>2614</v>
      </c>
      <c r="B2524" t="s">
        <v>55</v>
      </c>
      <c r="C2524" t="s">
        <v>74</v>
      </c>
      <c r="D2524" t="s">
        <v>57</v>
      </c>
      <c r="E2524">
        <v>22</v>
      </c>
      <c r="F2524" s="3">
        <v>8.76</v>
      </c>
      <c r="G2524" s="4">
        <v>77.2</v>
      </c>
      <c r="H2524">
        <v>0</v>
      </c>
      <c r="I2524">
        <v>2</v>
      </c>
      <c r="J2524">
        <v>3</v>
      </c>
      <c r="K2524" s="4">
        <v>80.7</v>
      </c>
      <c r="L2524" s="4">
        <v>83.8</v>
      </c>
      <c r="M2524" s="4">
        <v>80.099999999999994</v>
      </c>
      <c r="N2524">
        <v>0</v>
      </c>
      <c r="O2524" t="s">
        <v>58</v>
      </c>
      <c r="P2524" t="s">
        <v>75</v>
      </c>
      <c r="Q2524" t="s">
        <v>71</v>
      </c>
      <c r="R2524" t="s">
        <v>130</v>
      </c>
      <c r="S2524" s="3">
        <v>6.96</v>
      </c>
      <c r="T2524" s="5">
        <v>45510</v>
      </c>
      <c r="U2524">
        <v>1</v>
      </c>
      <c r="V2524">
        <v>2024</v>
      </c>
      <c r="X2524">
        <f t="shared" si="117"/>
        <v>8.759747599999999</v>
      </c>
      <c r="Y2524">
        <f t="shared" si="118"/>
        <v>6.9597476</v>
      </c>
      <c r="Z2524">
        <f t="shared" si="119"/>
        <v>83.799747600000003</v>
      </c>
    </row>
    <row r="2525" spans="1:26" x14ac:dyDescent="0.3">
      <c r="A2525" t="s">
        <v>2615</v>
      </c>
      <c r="B2525" t="s">
        <v>63</v>
      </c>
      <c r="C2525" t="s">
        <v>74</v>
      </c>
      <c r="D2525" t="s">
        <v>57</v>
      </c>
      <c r="E2525">
        <v>20</v>
      </c>
      <c r="F2525" s="3">
        <v>8.18</v>
      </c>
      <c r="G2525" s="4">
        <v>95.3</v>
      </c>
      <c r="H2525">
        <v>2</v>
      </c>
      <c r="I2525">
        <v>3</v>
      </c>
      <c r="J2525">
        <v>6</v>
      </c>
      <c r="K2525" s="4">
        <v>68.099999999999994</v>
      </c>
      <c r="L2525" s="4">
        <v>84.1</v>
      </c>
      <c r="M2525" s="4">
        <v>75</v>
      </c>
      <c r="N2525">
        <v>1</v>
      </c>
      <c r="O2525" t="s">
        <v>58</v>
      </c>
      <c r="P2525" t="s">
        <v>95</v>
      </c>
      <c r="Q2525" t="s">
        <v>93</v>
      </c>
      <c r="R2525" t="s">
        <v>109</v>
      </c>
      <c r="S2525" s="3">
        <v>7.81</v>
      </c>
      <c r="T2525" s="5">
        <v>45877</v>
      </c>
      <c r="U2525">
        <v>2</v>
      </c>
      <c r="V2525">
        <v>2025</v>
      </c>
      <c r="X2525">
        <f t="shared" si="117"/>
        <v>8.1797474999999995</v>
      </c>
      <c r="Y2525">
        <f t="shared" si="118"/>
        <v>7.8097474999999994</v>
      </c>
      <c r="Z2525">
        <f t="shared" si="119"/>
        <v>84.099747499999992</v>
      </c>
    </row>
    <row r="2526" spans="1:26" x14ac:dyDescent="0.3">
      <c r="A2526" t="s">
        <v>2616</v>
      </c>
      <c r="B2526" t="s">
        <v>55</v>
      </c>
      <c r="C2526" t="s">
        <v>78</v>
      </c>
      <c r="D2526" t="s">
        <v>57</v>
      </c>
      <c r="E2526">
        <v>20</v>
      </c>
      <c r="F2526" s="3">
        <v>9.68</v>
      </c>
      <c r="G2526" s="4">
        <v>83.6</v>
      </c>
      <c r="H2526">
        <v>1</v>
      </c>
      <c r="I2526">
        <v>2</v>
      </c>
      <c r="J2526">
        <v>2</v>
      </c>
      <c r="K2526" s="4">
        <v>51.9</v>
      </c>
      <c r="L2526" s="4">
        <v>65.400000000000006</v>
      </c>
      <c r="M2526" s="4">
        <v>75.599999999999994</v>
      </c>
      <c r="N2526">
        <v>0</v>
      </c>
      <c r="O2526" t="s">
        <v>58</v>
      </c>
      <c r="P2526" t="s">
        <v>95</v>
      </c>
      <c r="Q2526" t="s">
        <v>93</v>
      </c>
      <c r="R2526" t="s">
        <v>61</v>
      </c>
      <c r="S2526" s="3">
        <v>10.25</v>
      </c>
      <c r="T2526" s="5">
        <v>45577</v>
      </c>
      <c r="U2526">
        <v>1</v>
      </c>
      <c r="V2526">
        <v>2024</v>
      </c>
      <c r="X2526">
        <f t="shared" si="117"/>
        <v>9.6797474000000001</v>
      </c>
      <c r="Y2526">
        <f t="shared" si="118"/>
        <v>10.2497474</v>
      </c>
      <c r="Z2526">
        <f t="shared" si="119"/>
        <v>65.39974740000001</v>
      </c>
    </row>
    <row r="2527" spans="1:26" x14ac:dyDescent="0.3">
      <c r="A2527" t="s">
        <v>2617</v>
      </c>
      <c r="B2527" t="s">
        <v>82</v>
      </c>
      <c r="C2527" t="s">
        <v>68</v>
      </c>
      <c r="D2527" t="s">
        <v>57</v>
      </c>
      <c r="E2527">
        <v>21</v>
      </c>
      <c r="F2527" s="3">
        <v>8.18</v>
      </c>
      <c r="G2527" s="4">
        <v>93.5</v>
      </c>
      <c r="H2527">
        <v>0</v>
      </c>
      <c r="I2527">
        <v>0</v>
      </c>
      <c r="J2527">
        <v>3</v>
      </c>
      <c r="K2527" s="4">
        <v>66.8</v>
      </c>
      <c r="L2527" s="4">
        <v>67.099999999999994</v>
      </c>
      <c r="M2527" s="4">
        <v>84.3</v>
      </c>
      <c r="N2527">
        <v>0</v>
      </c>
      <c r="O2527" t="s">
        <v>64</v>
      </c>
      <c r="P2527" t="s">
        <v>65</v>
      </c>
      <c r="S2527" s="3">
        <v>0</v>
      </c>
      <c r="T2527" s="5"/>
      <c r="U2527">
        <v>0</v>
      </c>
      <c r="V2527">
        <v>2022</v>
      </c>
      <c r="X2527">
        <f t="shared" si="117"/>
        <v>8.1797472999999989</v>
      </c>
      <c r="Y2527">
        <f t="shared" si="118"/>
        <v>-2.5269999999999996E-4</v>
      </c>
      <c r="Z2527">
        <f t="shared" si="119"/>
        <v>67.09974729999999</v>
      </c>
    </row>
    <row r="2528" spans="1:26" x14ac:dyDescent="0.3">
      <c r="A2528" t="s">
        <v>2618</v>
      </c>
      <c r="B2528" t="s">
        <v>55</v>
      </c>
      <c r="C2528" t="s">
        <v>56</v>
      </c>
      <c r="D2528" t="s">
        <v>57</v>
      </c>
      <c r="E2528">
        <v>23</v>
      </c>
      <c r="F2528" s="3">
        <v>7.62</v>
      </c>
      <c r="G2528" s="4">
        <v>92.1</v>
      </c>
      <c r="H2528">
        <v>1</v>
      </c>
      <c r="I2528">
        <v>2</v>
      </c>
      <c r="J2528">
        <v>5</v>
      </c>
      <c r="K2528" s="4">
        <v>81.8</v>
      </c>
      <c r="L2528" s="4">
        <v>30.3</v>
      </c>
      <c r="M2528" s="4">
        <v>80</v>
      </c>
      <c r="N2528">
        <v>0</v>
      </c>
      <c r="O2528" t="s">
        <v>64</v>
      </c>
      <c r="P2528" t="s">
        <v>65</v>
      </c>
      <c r="S2528" s="3">
        <v>0</v>
      </c>
      <c r="T2528" s="5"/>
      <c r="U2528">
        <v>0</v>
      </c>
      <c r="V2528">
        <v>2024</v>
      </c>
      <c r="X2528">
        <f t="shared" si="117"/>
        <v>7.6197471999999999</v>
      </c>
      <c r="Y2528">
        <f t="shared" si="118"/>
        <v>-2.5279999999999996E-4</v>
      </c>
      <c r="Z2528">
        <f t="shared" si="119"/>
        <v>30.299747200000002</v>
      </c>
    </row>
    <row r="2529" spans="1:26" x14ac:dyDescent="0.3">
      <c r="A2529" t="s">
        <v>2619</v>
      </c>
      <c r="B2529" t="s">
        <v>67</v>
      </c>
      <c r="C2529" t="s">
        <v>84</v>
      </c>
      <c r="D2529" t="s">
        <v>57</v>
      </c>
      <c r="E2529">
        <v>20</v>
      </c>
      <c r="F2529" s="3">
        <v>7.88</v>
      </c>
      <c r="G2529" s="4">
        <v>74.400000000000006</v>
      </c>
      <c r="H2529">
        <v>0</v>
      </c>
      <c r="I2529">
        <v>2</v>
      </c>
      <c r="J2529">
        <v>5</v>
      </c>
      <c r="K2529" s="4">
        <v>51.1</v>
      </c>
      <c r="L2529" s="4">
        <v>97</v>
      </c>
      <c r="M2529" s="4">
        <v>84.2</v>
      </c>
      <c r="N2529">
        <v>1</v>
      </c>
      <c r="O2529" t="s">
        <v>58</v>
      </c>
      <c r="P2529" t="s">
        <v>75</v>
      </c>
      <c r="Q2529" t="s">
        <v>71</v>
      </c>
      <c r="R2529" t="s">
        <v>61</v>
      </c>
      <c r="S2529" s="3">
        <v>6.28</v>
      </c>
      <c r="T2529" s="5">
        <v>45208</v>
      </c>
      <c r="U2529">
        <v>3</v>
      </c>
      <c r="V2529">
        <v>2023</v>
      </c>
      <c r="X2529">
        <f t="shared" si="117"/>
        <v>7.8797471000000003</v>
      </c>
      <c r="Y2529">
        <f t="shared" si="118"/>
        <v>6.2797471000000007</v>
      </c>
      <c r="Z2529">
        <f t="shared" si="119"/>
        <v>96.999747099999993</v>
      </c>
    </row>
    <row r="2530" spans="1:26" x14ac:dyDescent="0.3">
      <c r="A2530" t="s">
        <v>2620</v>
      </c>
      <c r="B2530" t="s">
        <v>55</v>
      </c>
      <c r="C2530" t="s">
        <v>89</v>
      </c>
      <c r="D2530" t="s">
        <v>69</v>
      </c>
      <c r="E2530">
        <v>22</v>
      </c>
      <c r="F2530" s="3">
        <v>7.24</v>
      </c>
      <c r="G2530" s="4">
        <v>82</v>
      </c>
      <c r="H2530">
        <v>1</v>
      </c>
      <c r="I2530">
        <v>2</v>
      </c>
      <c r="J2530">
        <v>3</v>
      </c>
      <c r="K2530" s="4">
        <v>64.099999999999994</v>
      </c>
      <c r="L2530" s="4">
        <v>65.2</v>
      </c>
      <c r="M2530" s="4">
        <v>96</v>
      </c>
      <c r="N2530">
        <v>0</v>
      </c>
      <c r="O2530" t="s">
        <v>58</v>
      </c>
      <c r="P2530" t="s">
        <v>75</v>
      </c>
      <c r="Q2530" t="s">
        <v>71</v>
      </c>
      <c r="R2530" t="s">
        <v>80</v>
      </c>
      <c r="S2530" s="3">
        <v>6.12</v>
      </c>
      <c r="T2530" s="5">
        <v>45544</v>
      </c>
      <c r="U2530">
        <v>2</v>
      </c>
      <c r="V2530">
        <v>2024</v>
      </c>
      <c r="X2530">
        <f t="shared" si="117"/>
        <v>7.2397470000000004</v>
      </c>
      <c r="Y2530">
        <f t="shared" si="118"/>
        <v>6.1197470000000003</v>
      </c>
      <c r="Z2530">
        <f t="shared" si="119"/>
        <v>65.199747000000002</v>
      </c>
    </row>
    <row r="2531" spans="1:26" x14ac:dyDescent="0.3">
      <c r="A2531" t="s">
        <v>2621</v>
      </c>
      <c r="B2531" t="s">
        <v>82</v>
      </c>
      <c r="C2531" t="s">
        <v>78</v>
      </c>
      <c r="D2531" t="s">
        <v>57</v>
      </c>
      <c r="E2531">
        <v>20</v>
      </c>
      <c r="F2531" s="3">
        <v>8.82</v>
      </c>
      <c r="G2531" s="4">
        <v>97.2</v>
      </c>
      <c r="H2531">
        <v>1</v>
      </c>
      <c r="I2531">
        <v>3</v>
      </c>
      <c r="J2531">
        <v>2</v>
      </c>
      <c r="K2531" s="4">
        <v>62.4</v>
      </c>
      <c r="L2531" s="4">
        <v>86.3</v>
      </c>
      <c r="M2531" s="4">
        <v>81</v>
      </c>
      <c r="N2531">
        <v>0</v>
      </c>
      <c r="O2531" t="s">
        <v>58</v>
      </c>
      <c r="P2531" t="s">
        <v>59</v>
      </c>
      <c r="Q2531" t="s">
        <v>60</v>
      </c>
      <c r="R2531" t="s">
        <v>76</v>
      </c>
      <c r="S2531" s="3">
        <v>21.13</v>
      </c>
      <c r="T2531" s="5">
        <v>44829</v>
      </c>
      <c r="U2531">
        <v>1</v>
      </c>
      <c r="V2531">
        <v>2022</v>
      </c>
      <c r="X2531">
        <f t="shared" si="117"/>
        <v>8.8197469000000002</v>
      </c>
      <c r="Y2531">
        <f t="shared" si="118"/>
        <v>21.129746900000001</v>
      </c>
      <c r="Z2531">
        <f t="shared" si="119"/>
        <v>86.299746900000002</v>
      </c>
    </row>
    <row r="2532" spans="1:26" x14ac:dyDescent="0.3">
      <c r="A2532" t="s">
        <v>2622</v>
      </c>
      <c r="B2532" t="s">
        <v>82</v>
      </c>
      <c r="C2532" t="s">
        <v>56</v>
      </c>
      <c r="D2532" t="s">
        <v>69</v>
      </c>
      <c r="E2532">
        <v>20</v>
      </c>
      <c r="F2532" s="3">
        <v>8.8699999999999992</v>
      </c>
      <c r="G2532" s="4">
        <v>87.1</v>
      </c>
      <c r="H2532">
        <v>0</v>
      </c>
      <c r="I2532">
        <v>3</v>
      </c>
      <c r="J2532">
        <v>5</v>
      </c>
      <c r="K2532" s="4">
        <v>70.900000000000006</v>
      </c>
      <c r="L2532" s="4">
        <v>60.9</v>
      </c>
      <c r="M2532" s="4">
        <v>100</v>
      </c>
      <c r="N2532">
        <v>0</v>
      </c>
      <c r="O2532" t="s">
        <v>58</v>
      </c>
      <c r="P2532" t="s">
        <v>95</v>
      </c>
      <c r="Q2532" t="s">
        <v>93</v>
      </c>
      <c r="R2532" t="s">
        <v>80</v>
      </c>
      <c r="S2532" s="3">
        <v>6.33</v>
      </c>
      <c r="T2532" s="5">
        <v>44853</v>
      </c>
      <c r="U2532">
        <v>2</v>
      </c>
      <c r="V2532">
        <v>2022</v>
      </c>
      <c r="X2532">
        <f t="shared" si="117"/>
        <v>8.8697467999999997</v>
      </c>
      <c r="Y2532">
        <f t="shared" si="118"/>
        <v>6.3297467999999997</v>
      </c>
      <c r="Z2532">
        <f t="shared" si="119"/>
        <v>60.899746799999996</v>
      </c>
    </row>
    <row r="2533" spans="1:26" x14ac:dyDescent="0.3">
      <c r="A2533" t="s">
        <v>2623</v>
      </c>
      <c r="B2533" t="s">
        <v>107</v>
      </c>
      <c r="C2533" t="s">
        <v>56</v>
      </c>
      <c r="D2533" t="s">
        <v>57</v>
      </c>
      <c r="E2533">
        <v>21</v>
      </c>
      <c r="F2533" s="3">
        <v>6.23</v>
      </c>
      <c r="G2533" s="4">
        <v>86.5</v>
      </c>
      <c r="H2533">
        <v>1</v>
      </c>
      <c r="I2533">
        <v>2</v>
      </c>
      <c r="J2533">
        <v>5</v>
      </c>
      <c r="K2533" s="4">
        <v>65</v>
      </c>
      <c r="L2533" s="4">
        <v>70</v>
      </c>
      <c r="M2533" s="4">
        <v>88.3</v>
      </c>
      <c r="N2533">
        <v>0</v>
      </c>
      <c r="O2533" t="s">
        <v>64</v>
      </c>
      <c r="P2533" t="s">
        <v>65</v>
      </c>
      <c r="S2533" s="3">
        <v>0</v>
      </c>
      <c r="T2533" s="5"/>
      <c r="U2533">
        <v>0</v>
      </c>
      <c r="V2533">
        <v>2021</v>
      </c>
      <c r="X2533">
        <f t="shared" si="117"/>
        <v>6.2297467000000006</v>
      </c>
      <c r="Y2533">
        <f t="shared" si="118"/>
        <v>-2.5329999999999998E-4</v>
      </c>
      <c r="Z2533">
        <f t="shared" si="119"/>
        <v>69.999746700000003</v>
      </c>
    </row>
    <row r="2534" spans="1:26" x14ac:dyDescent="0.3">
      <c r="A2534" t="s">
        <v>2624</v>
      </c>
      <c r="B2534" t="s">
        <v>63</v>
      </c>
      <c r="C2534" t="s">
        <v>56</v>
      </c>
      <c r="D2534" t="s">
        <v>57</v>
      </c>
      <c r="E2534">
        <v>22</v>
      </c>
      <c r="F2534" s="3">
        <v>8.5</v>
      </c>
      <c r="G2534" s="4">
        <v>90.2</v>
      </c>
      <c r="H2534">
        <v>1</v>
      </c>
      <c r="I2534">
        <v>3</v>
      </c>
      <c r="J2534">
        <v>6</v>
      </c>
      <c r="K2534" s="4">
        <v>73.099999999999994</v>
      </c>
      <c r="L2534" s="4">
        <v>77.8</v>
      </c>
      <c r="M2534" s="4">
        <v>71.099999999999994</v>
      </c>
      <c r="N2534">
        <v>0</v>
      </c>
      <c r="O2534" t="s">
        <v>58</v>
      </c>
      <c r="P2534" t="s">
        <v>75</v>
      </c>
      <c r="Q2534" t="s">
        <v>71</v>
      </c>
      <c r="R2534" t="s">
        <v>130</v>
      </c>
      <c r="S2534" s="3">
        <v>5.89</v>
      </c>
      <c r="T2534" s="5">
        <v>45957</v>
      </c>
      <c r="U2534">
        <v>1</v>
      </c>
      <c r="V2534">
        <v>2025</v>
      </c>
      <c r="X2534">
        <f t="shared" si="117"/>
        <v>8.4997465999999999</v>
      </c>
      <c r="Y2534">
        <f t="shared" si="118"/>
        <v>5.8897465999999996</v>
      </c>
      <c r="Z2534">
        <f t="shared" si="119"/>
        <v>77.799746599999992</v>
      </c>
    </row>
    <row r="2535" spans="1:26" x14ac:dyDescent="0.3">
      <c r="A2535" t="s">
        <v>2625</v>
      </c>
      <c r="B2535" t="s">
        <v>55</v>
      </c>
      <c r="C2535" t="s">
        <v>56</v>
      </c>
      <c r="D2535" t="s">
        <v>57</v>
      </c>
      <c r="E2535">
        <v>22</v>
      </c>
      <c r="F2535" s="3">
        <v>6.69</v>
      </c>
      <c r="G2535" s="4">
        <v>86.3</v>
      </c>
      <c r="H2535">
        <v>2</v>
      </c>
      <c r="I2535">
        <v>3</v>
      </c>
      <c r="J2535">
        <v>2</v>
      </c>
      <c r="K2535" s="4">
        <v>58</v>
      </c>
      <c r="L2535" s="4">
        <v>63.1</v>
      </c>
      <c r="M2535" s="4">
        <v>55.8</v>
      </c>
      <c r="N2535">
        <v>0</v>
      </c>
      <c r="O2535" t="s">
        <v>58</v>
      </c>
      <c r="P2535" t="s">
        <v>75</v>
      </c>
      <c r="Q2535" t="s">
        <v>71</v>
      </c>
      <c r="R2535" t="s">
        <v>76</v>
      </c>
      <c r="S2535" s="3">
        <v>6.11</v>
      </c>
      <c r="T2535" s="5">
        <v>45511</v>
      </c>
      <c r="U2535">
        <v>1</v>
      </c>
      <c r="V2535">
        <v>2024</v>
      </c>
      <c r="X2535">
        <f t="shared" si="117"/>
        <v>6.6897465</v>
      </c>
      <c r="Y2535">
        <f t="shared" si="118"/>
        <v>6.1097465</v>
      </c>
      <c r="Z2535">
        <f t="shared" si="119"/>
        <v>63.099746500000002</v>
      </c>
    </row>
    <row r="2536" spans="1:26" x14ac:dyDescent="0.3">
      <c r="A2536" t="s">
        <v>2626</v>
      </c>
      <c r="B2536" t="s">
        <v>107</v>
      </c>
      <c r="C2536" t="s">
        <v>68</v>
      </c>
      <c r="D2536" t="s">
        <v>57</v>
      </c>
      <c r="E2536">
        <v>23</v>
      </c>
      <c r="F2536" s="3">
        <v>9.82</v>
      </c>
      <c r="G2536" s="4">
        <v>86.9</v>
      </c>
      <c r="H2536">
        <v>0</v>
      </c>
      <c r="I2536">
        <v>0</v>
      </c>
      <c r="J2536">
        <v>4</v>
      </c>
      <c r="K2536" s="4">
        <v>65.599999999999994</v>
      </c>
      <c r="L2536" s="4">
        <v>46.5</v>
      </c>
      <c r="M2536" s="4">
        <v>88.5</v>
      </c>
      <c r="N2536">
        <v>0</v>
      </c>
      <c r="O2536" t="s">
        <v>58</v>
      </c>
      <c r="P2536" t="s">
        <v>75</v>
      </c>
      <c r="Q2536" t="s">
        <v>71</v>
      </c>
      <c r="R2536" t="s">
        <v>109</v>
      </c>
      <c r="S2536" s="3">
        <v>5.74</v>
      </c>
      <c r="T2536" s="5">
        <v>44448</v>
      </c>
      <c r="U2536">
        <v>2</v>
      </c>
      <c r="V2536">
        <v>2021</v>
      </c>
      <c r="X2536">
        <f t="shared" si="117"/>
        <v>9.8197463999999997</v>
      </c>
      <c r="Y2536">
        <f t="shared" si="118"/>
        <v>5.7397464000000005</v>
      </c>
      <c r="Z2536">
        <f t="shared" si="119"/>
        <v>46.499746399999999</v>
      </c>
    </row>
    <row r="2537" spans="1:26" x14ac:dyDescent="0.3">
      <c r="A2537" t="s">
        <v>2627</v>
      </c>
      <c r="B2537" t="s">
        <v>63</v>
      </c>
      <c r="C2537" t="s">
        <v>84</v>
      </c>
      <c r="D2537" t="s">
        <v>57</v>
      </c>
      <c r="E2537">
        <v>22</v>
      </c>
      <c r="F2537" s="3">
        <v>9.02</v>
      </c>
      <c r="G2537" s="4">
        <v>84.7</v>
      </c>
      <c r="H2537">
        <v>0</v>
      </c>
      <c r="I2537">
        <v>2</v>
      </c>
      <c r="J2537">
        <v>3</v>
      </c>
      <c r="K2537" s="4">
        <v>65.099999999999994</v>
      </c>
      <c r="L2537" s="4">
        <v>68.099999999999994</v>
      </c>
      <c r="M2537" s="4">
        <v>58.5</v>
      </c>
      <c r="N2537">
        <v>0</v>
      </c>
      <c r="O2537" t="s">
        <v>58</v>
      </c>
      <c r="P2537" t="s">
        <v>59</v>
      </c>
      <c r="Q2537" t="s">
        <v>60</v>
      </c>
      <c r="R2537" t="s">
        <v>109</v>
      </c>
      <c r="S2537" s="3">
        <v>20.22</v>
      </c>
      <c r="T2537" s="5">
        <v>45973</v>
      </c>
      <c r="U2537">
        <v>2</v>
      </c>
      <c r="V2537">
        <v>2025</v>
      </c>
      <c r="X2537">
        <f t="shared" si="117"/>
        <v>9.0197462999999996</v>
      </c>
      <c r="Y2537">
        <f t="shared" si="118"/>
        <v>20.219746300000001</v>
      </c>
      <c r="Z2537">
        <f t="shared" si="119"/>
        <v>68.099746299999993</v>
      </c>
    </row>
    <row r="2538" spans="1:26" x14ac:dyDescent="0.3">
      <c r="A2538" t="s">
        <v>2628</v>
      </c>
      <c r="B2538" t="s">
        <v>55</v>
      </c>
      <c r="C2538" t="s">
        <v>68</v>
      </c>
      <c r="D2538" t="s">
        <v>57</v>
      </c>
      <c r="E2538">
        <v>20</v>
      </c>
      <c r="F2538" s="3">
        <v>6.63</v>
      </c>
      <c r="G2538" s="4">
        <v>78.900000000000006</v>
      </c>
      <c r="H2538">
        <v>1</v>
      </c>
      <c r="I2538">
        <v>3</v>
      </c>
      <c r="J2538">
        <v>6</v>
      </c>
      <c r="K2538" s="4">
        <v>93.1</v>
      </c>
      <c r="L2538" s="4">
        <v>48.8</v>
      </c>
      <c r="M2538" s="4">
        <v>75.900000000000006</v>
      </c>
      <c r="N2538">
        <v>0</v>
      </c>
      <c r="O2538" t="s">
        <v>64</v>
      </c>
      <c r="P2538" t="s">
        <v>65</v>
      </c>
      <c r="S2538" s="3">
        <v>0</v>
      </c>
      <c r="T2538" s="5"/>
      <c r="U2538">
        <v>0</v>
      </c>
      <c r="V2538">
        <v>2024</v>
      </c>
      <c r="X2538">
        <f t="shared" si="117"/>
        <v>6.6297461999999996</v>
      </c>
      <c r="Y2538">
        <f t="shared" si="118"/>
        <v>-2.5379999999999999E-4</v>
      </c>
      <c r="Z2538">
        <f t="shared" si="119"/>
        <v>48.799746199999994</v>
      </c>
    </row>
    <row r="2539" spans="1:26" x14ac:dyDescent="0.3">
      <c r="A2539" t="s">
        <v>2629</v>
      </c>
      <c r="B2539" t="s">
        <v>67</v>
      </c>
      <c r="C2539" t="s">
        <v>74</v>
      </c>
      <c r="D2539" t="s">
        <v>69</v>
      </c>
      <c r="E2539">
        <v>22</v>
      </c>
      <c r="F2539" s="3">
        <v>7.87</v>
      </c>
      <c r="G2539" s="4">
        <v>72.5</v>
      </c>
      <c r="H2539">
        <v>1</v>
      </c>
      <c r="I2539">
        <v>2</v>
      </c>
      <c r="J2539">
        <v>3</v>
      </c>
      <c r="K2539" s="4">
        <v>72.400000000000006</v>
      </c>
      <c r="L2539" s="4">
        <v>57.1</v>
      </c>
      <c r="M2539" s="4">
        <v>82.7</v>
      </c>
      <c r="N2539">
        <v>0</v>
      </c>
      <c r="O2539" t="s">
        <v>58</v>
      </c>
      <c r="P2539" t="s">
        <v>92</v>
      </c>
      <c r="Q2539" t="s">
        <v>93</v>
      </c>
      <c r="R2539" t="s">
        <v>109</v>
      </c>
      <c r="S2539" s="3">
        <v>6.97</v>
      </c>
      <c r="T2539" s="5">
        <v>45200</v>
      </c>
      <c r="U2539">
        <v>1</v>
      </c>
      <c r="V2539">
        <v>2023</v>
      </c>
      <c r="X2539">
        <f t="shared" si="117"/>
        <v>7.8697461000000004</v>
      </c>
      <c r="Y2539">
        <f t="shared" si="118"/>
        <v>6.9697461000000001</v>
      </c>
      <c r="Z2539">
        <f t="shared" si="119"/>
        <v>57.099746100000004</v>
      </c>
    </row>
    <row r="2540" spans="1:26" x14ac:dyDescent="0.3">
      <c r="A2540" t="s">
        <v>2630</v>
      </c>
      <c r="B2540" t="s">
        <v>55</v>
      </c>
      <c r="C2540" t="s">
        <v>89</v>
      </c>
      <c r="D2540" t="s">
        <v>57</v>
      </c>
      <c r="E2540">
        <v>22</v>
      </c>
      <c r="F2540" s="3">
        <v>8.5399999999999991</v>
      </c>
      <c r="G2540" s="4">
        <v>65.3</v>
      </c>
      <c r="H2540">
        <v>0</v>
      </c>
      <c r="I2540">
        <v>4</v>
      </c>
      <c r="J2540">
        <v>3</v>
      </c>
      <c r="K2540" s="4">
        <v>79.8</v>
      </c>
      <c r="L2540" s="4">
        <v>60.5</v>
      </c>
      <c r="M2540" s="4">
        <v>61.1</v>
      </c>
      <c r="N2540">
        <v>0</v>
      </c>
      <c r="O2540" t="s">
        <v>58</v>
      </c>
      <c r="P2540" t="s">
        <v>95</v>
      </c>
      <c r="Q2540" t="s">
        <v>93</v>
      </c>
      <c r="R2540" t="s">
        <v>61</v>
      </c>
      <c r="S2540" s="3">
        <v>6.01</v>
      </c>
      <c r="T2540" s="5">
        <v>45595</v>
      </c>
      <c r="U2540">
        <v>2</v>
      </c>
      <c r="V2540">
        <v>2024</v>
      </c>
      <c r="X2540">
        <f t="shared" si="117"/>
        <v>8.5397459999999992</v>
      </c>
      <c r="Y2540">
        <f t="shared" si="118"/>
        <v>6.0097459999999998</v>
      </c>
      <c r="Z2540">
        <f t="shared" si="119"/>
        <v>60.499746000000002</v>
      </c>
    </row>
    <row r="2541" spans="1:26" x14ac:dyDescent="0.3">
      <c r="A2541" t="s">
        <v>2631</v>
      </c>
      <c r="B2541" t="s">
        <v>82</v>
      </c>
      <c r="C2541" t="s">
        <v>56</v>
      </c>
      <c r="D2541" t="s">
        <v>57</v>
      </c>
      <c r="E2541">
        <v>20</v>
      </c>
      <c r="F2541" s="3">
        <v>7.09</v>
      </c>
      <c r="G2541" s="4">
        <v>79</v>
      </c>
      <c r="H2541">
        <v>1</v>
      </c>
      <c r="I2541">
        <v>0</v>
      </c>
      <c r="J2541">
        <v>2</v>
      </c>
      <c r="K2541" s="4">
        <v>93.8</v>
      </c>
      <c r="L2541" s="4">
        <v>71.2</v>
      </c>
      <c r="M2541" s="4">
        <v>66.400000000000006</v>
      </c>
      <c r="N2541">
        <v>0</v>
      </c>
      <c r="O2541" t="s">
        <v>58</v>
      </c>
      <c r="P2541" t="s">
        <v>92</v>
      </c>
      <c r="Q2541" t="s">
        <v>93</v>
      </c>
      <c r="R2541" t="s">
        <v>85</v>
      </c>
      <c r="S2541" s="3">
        <v>6.66</v>
      </c>
      <c r="T2541" s="5">
        <v>44847</v>
      </c>
      <c r="U2541">
        <v>2</v>
      </c>
      <c r="V2541">
        <v>2022</v>
      </c>
      <c r="X2541">
        <f t="shared" si="117"/>
        <v>7.0897458999999996</v>
      </c>
      <c r="Y2541">
        <f t="shared" si="118"/>
        <v>6.6597458999999999</v>
      </c>
      <c r="Z2541">
        <f t="shared" si="119"/>
        <v>71.199745899999996</v>
      </c>
    </row>
    <row r="2542" spans="1:26" x14ac:dyDescent="0.3">
      <c r="A2542" t="s">
        <v>2632</v>
      </c>
      <c r="B2542" t="s">
        <v>82</v>
      </c>
      <c r="C2542" t="s">
        <v>89</v>
      </c>
      <c r="D2542" t="s">
        <v>57</v>
      </c>
      <c r="E2542">
        <v>21</v>
      </c>
      <c r="F2542" s="3">
        <v>6.42</v>
      </c>
      <c r="G2542" s="4">
        <v>85.9</v>
      </c>
      <c r="H2542">
        <v>1</v>
      </c>
      <c r="I2542">
        <v>3</v>
      </c>
      <c r="J2542">
        <v>3</v>
      </c>
      <c r="K2542" s="4">
        <v>71.5</v>
      </c>
      <c r="L2542" s="4">
        <v>60.4</v>
      </c>
      <c r="M2542" s="4">
        <v>61.2</v>
      </c>
      <c r="N2542">
        <v>0</v>
      </c>
      <c r="O2542" t="s">
        <v>58</v>
      </c>
      <c r="P2542" t="s">
        <v>70</v>
      </c>
      <c r="Q2542" t="s">
        <v>71</v>
      </c>
      <c r="R2542" t="s">
        <v>72</v>
      </c>
      <c r="S2542" s="3">
        <v>5.07</v>
      </c>
      <c r="T2542" s="5">
        <v>44827</v>
      </c>
      <c r="U2542">
        <v>1</v>
      </c>
      <c r="V2542">
        <v>2022</v>
      </c>
      <c r="X2542">
        <f t="shared" si="117"/>
        <v>6.4197458000000003</v>
      </c>
      <c r="Y2542">
        <f t="shared" si="118"/>
        <v>5.0697458000000006</v>
      </c>
      <c r="Z2542">
        <f t="shared" si="119"/>
        <v>60.399745799999998</v>
      </c>
    </row>
    <row r="2543" spans="1:26" x14ac:dyDescent="0.3">
      <c r="A2543" t="s">
        <v>2633</v>
      </c>
      <c r="B2543" t="s">
        <v>67</v>
      </c>
      <c r="C2543" t="s">
        <v>89</v>
      </c>
      <c r="D2543" t="s">
        <v>57</v>
      </c>
      <c r="E2543">
        <v>23</v>
      </c>
      <c r="F2543" s="3">
        <v>7.74</v>
      </c>
      <c r="G2543" s="4">
        <v>84.1</v>
      </c>
      <c r="H2543">
        <v>1</v>
      </c>
      <c r="I2543">
        <v>3</v>
      </c>
      <c r="J2543">
        <v>3</v>
      </c>
      <c r="K2543" s="4">
        <v>64.8</v>
      </c>
      <c r="L2543" s="4">
        <v>51.7</v>
      </c>
      <c r="M2543" s="4">
        <v>98.8</v>
      </c>
      <c r="N2543">
        <v>0</v>
      </c>
      <c r="O2543" t="s">
        <v>58</v>
      </c>
      <c r="P2543" t="s">
        <v>59</v>
      </c>
      <c r="Q2543" t="s">
        <v>60</v>
      </c>
      <c r="R2543" t="s">
        <v>61</v>
      </c>
      <c r="S2543" s="3">
        <v>19.61</v>
      </c>
      <c r="T2543" s="5">
        <v>45147</v>
      </c>
      <c r="U2543">
        <v>1</v>
      </c>
      <c r="V2543">
        <v>2023</v>
      </c>
      <c r="X2543">
        <f t="shared" si="117"/>
        <v>7.7397457000000003</v>
      </c>
      <c r="Y2543">
        <f t="shared" si="118"/>
        <v>19.609745699999998</v>
      </c>
      <c r="Z2543">
        <f t="shared" si="119"/>
        <v>51.699745700000001</v>
      </c>
    </row>
    <row r="2544" spans="1:26" x14ac:dyDescent="0.3">
      <c r="A2544" t="s">
        <v>2634</v>
      </c>
      <c r="B2544" t="s">
        <v>107</v>
      </c>
      <c r="C2544" t="s">
        <v>101</v>
      </c>
      <c r="D2544" t="s">
        <v>69</v>
      </c>
      <c r="E2544">
        <v>23</v>
      </c>
      <c r="F2544" s="3">
        <v>7.51</v>
      </c>
      <c r="G2544" s="4">
        <v>87.7</v>
      </c>
      <c r="H2544">
        <v>1</v>
      </c>
      <c r="I2544">
        <v>3</v>
      </c>
      <c r="J2544">
        <v>1</v>
      </c>
      <c r="K2544" s="4">
        <v>54.2</v>
      </c>
      <c r="L2544" s="4">
        <v>72.8</v>
      </c>
      <c r="M2544" s="4">
        <v>82.8</v>
      </c>
      <c r="N2544">
        <v>0</v>
      </c>
      <c r="O2544" t="s">
        <v>58</v>
      </c>
      <c r="P2544" t="s">
        <v>87</v>
      </c>
      <c r="Q2544" t="s">
        <v>71</v>
      </c>
      <c r="R2544" t="s">
        <v>61</v>
      </c>
      <c r="S2544" s="3">
        <v>5.72</v>
      </c>
      <c r="T2544" s="5">
        <v>44459</v>
      </c>
      <c r="U2544">
        <v>1</v>
      </c>
      <c r="V2544">
        <v>2021</v>
      </c>
      <c r="X2544">
        <f t="shared" si="117"/>
        <v>7.5097455999999996</v>
      </c>
      <c r="Y2544">
        <f t="shared" si="118"/>
        <v>5.7197455999999995</v>
      </c>
      <c r="Z2544">
        <f t="shared" si="119"/>
        <v>72.799745599999994</v>
      </c>
    </row>
    <row r="2545" spans="1:26" x14ac:dyDescent="0.3">
      <c r="A2545" t="s">
        <v>2635</v>
      </c>
      <c r="B2545" t="s">
        <v>63</v>
      </c>
      <c r="C2545" t="s">
        <v>84</v>
      </c>
      <c r="D2545" t="s">
        <v>57</v>
      </c>
      <c r="E2545">
        <v>21</v>
      </c>
      <c r="F2545" s="3">
        <v>6.83</v>
      </c>
      <c r="G2545" s="4">
        <v>80.900000000000006</v>
      </c>
      <c r="H2545">
        <v>0</v>
      </c>
      <c r="I2545">
        <v>1</v>
      </c>
      <c r="J2545">
        <v>3</v>
      </c>
      <c r="K2545" s="4">
        <v>50.7</v>
      </c>
      <c r="L2545" s="4">
        <v>79.8</v>
      </c>
      <c r="M2545" s="4">
        <v>65.3</v>
      </c>
      <c r="N2545">
        <v>0</v>
      </c>
      <c r="O2545" t="s">
        <v>58</v>
      </c>
      <c r="P2545" t="s">
        <v>87</v>
      </c>
      <c r="Q2545" t="s">
        <v>71</v>
      </c>
      <c r="R2545" t="s">
        <v>76</v>
      </c>
      <c r="S2545" s="3">
        <v>5.93</v>
      </c>
      <c r="T2545" s="5">
        <v>45879</v>
      </c>
      <c r="U2545">
        <v>1</v>
      </c>
      <c r="V2545">
        <v>2025</v>
      </c>
      <c r="X2545">
        <f t="shared" si="117"/>
        <v>6.8297455000000005</v>
      </c>
      <c r="Y2545">
        <f t="shared" si="118"/>
        <v>5.9297455000000001</v>
      </c>
      <c r="Z2545">
        <f t="shared" si="119"/>
        <v>79.7997455</v>
      </c>
    </row>
    <row r="2546" spans="1:26" x14ac:dyDescent="0.3">
      <c r="A2546" t="s">
        <v>2636</v>
      </c>
      <c r="B2546" t="s">
        <v>55</v>
      </c>
      <c r="C2546" t="s">
        <v>74</v>
      </c>
      <c r="D2546" t="s">
        <v>57</v>
      </c>
      <c r="E2546">
        <v>20</v>
      </c>
      <c r="F2546" s="3">
        <v>8.76</v>
      </c>
      <c r="G2546" s="4">
        <v>100</v>
      </c>
      <c r="H2546">
        <v>2</v>
      </c>
      <c r="I2546">
        <v>1</v>
      </c>
      <c r="J2546">
        <v>3</v>
      </c>
      <c r="K2546" s="4">
        <v>37.799999999999997</v>
      </c>
      <c r="L2546" s="4">
        <v>49.2</v>
      </c>
      <c r="M2546" s="4">
        <v>55.5</v>
      </c>
      <c r="N2546">
        <v>0</v>
      </c>
      <c r="O2546" t="s">
        <v>58</v>
      </c>
      <c r="P2546" t="s">
        <v>87</v>
      </c>
      <c r="Q2546" t="s">
        <v>71</v>
      </c>
      <c r="R2546" t="s">
        <v>61</v>
      </c>
      <c r="S2546" s="3">
        <v>7.02</v>
      </c>
      <c r="T2546" s="5">
        <v>45553</v>
      </c>
      <c r="U2546">
        <v>2</v>
      </c>
      <c r="V2546">
        <v>2024</v>
      </c>
      <c r="X2546">
        <f t="shared" si="117"/>
        <v>8.7597453999999999</v>
      </c>
      <c r="Y2546">
        <f t="shared" si="118"/>
        <v>7.0197453999999997</v>
      </c>
      <c r="Z2546">
        <f t="shared" si="119"/>
        <v>49.199745400000005</v>
      </c>
    </row>
    <row r="2547" spans="1:26" x14ac:dyDescent="0.3">
      <c r="A2547" t="s">
        <v>2637</v>
      </c>
      <c r="B2547" t="s">
        <v>82</v>
      </c>
      <c r="C2547" t="s">
        <v>68</v>
      </c>
      <c r="D2547" t="s">
        <v>57</v>
      </c>
      <c r="E2547">
        <v>23</v>
      </c>
      <c r="F2547" s="3">
        <v>6.49</v>
      </c>
      <c r="G2547" s="4">
        <v>100</v>
      </c>
      <c r="H2547">
        <v>3</v>
      </c>
      <c r="I2547">
        <v>2</v>
      </c>
      <c r="J2547">
        <v>5</v>
      </c>
      <c r="K2547" s="4">
        <v>80.400000000000006</v>
      </c>
      <c r="L2547" s="4">
        <v>70.3</v>
      </c>
      <c r="M2547" s="4">
        <v>63.5</v>
      </c>
      <c r="N2547">
        <v>1</v>
      </c>
      <c r="O2547" t="s">
        <v>64</v>
      </c>
      <c r="P2547" t="s">
        <v>65</v>
      </c>
      <c r="S2547" s="3">
        <v>0</v>
      </c>
      <c r="T2547" s="5"/>
      <c r="U2547">
        <v>0</v>
      </c>
      <c r="V2547">
        <v>2022</v>
      </c>
      <c r="X2547">
        <f t="shared" si="117"/>
        <v>6.4897453000000001</v>
      </c>
      <c r="Y2547">
        <f t="shared" si="118"/>
        <v>-2.5470000000000001E-4</v>
      </c>
      <c r="Z2547">
        <f t="shared" si="119"/>
        <v>70.299745299999998</v>
      </c>
    </row>
    <row r="2548" spans="1:26" x14ac:dyDescent="0.3">
      <c r="A2548" t="s">
        <v>2638</v>
      </c>
      <c r="B2548" t="s">
        <v>107</v>
      </c>
      <c r="C2548" t="s">
        <v>84</v>
      </c>
      <c r="D2548" t="s">
        <v>57</v>
      </c>
      <c r="E2548">
        <v>21</v>
      </c>
      <c r="F2548" s="3">
        <v>7.55</v>
      </c>
      <c r="G2548" s="4">
        <v>68.3</v>
      </c>
      <c r="H2548">
        <v>2</v>
      </c>
      <c r="I2548">
        <v>1</v>
      </c>
      <c r="J2548">
        <v>2</v>
      </c>
      <c r="K2548" s="4">
        <v>74.400000000000006</v>
      </c>
      <c r="L2548" s="4">
        <v>81.3</v>
      </c>
      <c r="M2548" s="4">
        <v>66.5</v>
      </c>
      <c r="N2548">
        <v>1</v>
      </c>
      <c r="O2548" t="s">
        <v>58</v>
      </c>
      <c r="P2548" t="s">
        <v>59</v>
      </c>
      <c r="Q2548" t="s">
        <v>60</v>
      </c>
      <c r="R2548" t="s">
        <v>130</v>
      </c>
      <c r="S2548" s="3">
        <v>20.55</v>
      </c>
      <c r="T2548" s="5">
        <v>44417</v>
      </c>
      <c r="U2548">
        <v>2</v>
      </c>
      <c r="V2548">
        <v>2021</v>
      </c>
      <c r="X2548">
        <f t="shared" si="117"/>
        <v>7.5497451999999994</v>
      </c>
      <c r="Y2548">
        <f t="shared" si="118"/>
        <v>20.5497452</v>
      </c>
      <c r="Z2548">
        <f t="shared" si="119"/>
        <v>81.299745200000004</v>
      </c>
    </row>
    <row r="2549" spans="1:26" x14ac:dyDescent="0.3">
      <c r="A2549" t="s">
        <v>2639</v>
      </c>
      <c r="B2549" t="s">
        <v>67</v>
      </c>
      <c r="C2549" t="s">
        <v>101</v>
      </c>
      <c r="D2549" t="s">
        <v>69</v>
      </c>
      <c r="E2549">
        <v>21</v>
      </c>
      <c r="F2549" s="3">
        <v>7.81</v>
      </c>
      <c r="G2549" s="4">
        <v>87.9</v>
      </c>
      <c r="H2549">
        <v>1</v>
      </c>
      <c r="I2549">
        <v>4</v>
      </c>
      <c r="J2549">
        <v>5</v>
      </c>
      <c r="K2549" s="4">
        <v>64.7</v>
      </c>
      <c r="L2549" s="4">
        <v>71.5</v>
      </c>
      <c r="M2549" s="4">
        <v>67.3</v>
      </c>
      <c r="N2549">
        <v>0</v>
      </c>
      <c r="O2549" t="s">
        <v>58</v>
      </c>
      <c r="P2549" t="s">
        <v>87</v>
      </c>
      <c r="Q2549" t="s">
        <v>71</v>
      </c>
      <c r="R2549" t="s">
        <v>72</v>
      </c>
      <c r="S2549" s="3">
        <v>6.86</v>
      </c>
      <c r="T2549" s="5">
        <v>45184</v>
      </c>
      <c r="U2549">
        <v>2</v>
      </c>
      <c r="V2549">
        <v>2023</v>
      </c>
      <c r="X2549">
        <f t="shared" si="117"/>
        <v>7.8097450999999998</v>
      </c>
      <c r="Y2549">
        <f t="shared" si="118"/>
        <v>6.8597451000000005</v>
      </c>
      <c r="Z2549">
        <f t="shared" si="119"/>
        <v>71.499745099999998</v>
      </c>
    </row>
    <row r="2550" spans="1:26" x14ac:dyDescent="0.3">
      <c r="A2550" t="s">
        <v>2640</v>
      </c>
      <c r="B2550" t="s">
        <v>82</v>
      </c>
      <c r="C2550" t="s">
        <v>68</v>
      </c>
      <c r="D2550" t="s">
        <v>69</v>
      </c>
      <c r="E2550">
        <v>21</v>
      </c>
      <c r="F2550" s="3">
        <v>7.93</v>
      </c>
      <c r="G2550" s="4">
        <v>90.7</v>
      </c>
      <c r="H2550">
        <v>2</v>
      </c>
      <c r="I2550">
        <v>0</v>
      </c>
      <c r="J2550">
        <v>4</v>
      </c>
      <c r="K2550" s="4">
        <v>64.400000000000006</v>
      </c>
      <c r="L2550" s="4">
        <v>51.8</v>
      </c>
      <c r="M2550" s="4">
        <v>83.5</v>
      </c>
      <c r="N2550">
        <v>0</v>
      </c>
      <c r="O2550" t="s">
        <v>58</v>
      </c>
      <c r="P2550" t="s">
        <v>79</v>
      </c>
      <c r="Q2550" t="s">
        <v>71</v>
      </c>
      <c r="R2550" t="s">
        <v>61</v>
      </c>
      <c r="S2550" s="3">
        <v>5.7</v>
      </c>
      <c r="T2550" s="5">
        <v>44799</v>
      </c>
      <c r="U2550">
        <v>3</v>
      </c>
      <c r="V2550">
        <v>2022</v>
      </c>
      <c r="X2550">
        <f t="shared" si="117"/>
        <v>7.9297449999999996</v>
      </c>
      <c r="Y2550">
        <f t="shared" si="118"/>
        <v>5.6997450000000001</v>
      </c>
      <c r="Z2550">
        <f t="shared" si="119"/>
        <v>51.799744999999994</v>
      </c>
    </row>
    <row r="2551" spans="1:26" x14ac:dyDescent="0.3">
      <c r="A2551" t="s">
        <v>2641</v>
      </c>
      <c r="B2551" t="s">
        <v>67</v>
      </c>
      <c r="C2551" t="s">
        <v>84</v>
      </c>
      <c r="D2551" t="s">
        <v>57</v>
      </c>
      <c r="E2551">
        <v>23</v>
      </c>
      <c r="F2551" s="3">
        <v>8.67</v>
      </c>
      <c r="G2551" s="4">
        <v>62.9</v>
      </c>
      <c r="H2551">
        <v>1</v>
      </c>
      <c r="I2551">
        <v>2</v>
      </c>
      <c r="J2551">
        <v>3</v>
      </c>
      <c r="K2551" s="4">
        <v>54</v>
      </c>
      <c r="L2551" s="4">
        <v>73.599999999999994</v>
      </c>
      <c r="M2551" s="4">
        <v>57.1</v>
      </c>
      <c r="N2551">
        <v>2</v>
      </c>
      <c r="O2551" t="s">
        <v>64</v>
      </c>
      <c r="P2551" t="s">
        <v>65</v>
      </c>
      <c r="S2551" s="3">
        <v>0</v>
      </c>
      <c r="T2551" s="5"/>
      <c r="U2551">
        <v>0</v>
      </c>
      <c r="V2551">
        <v>2023</v>
      </c>
      <c r="X2551">
        <f t="shared" si="117"/>
        <v>8.6697448999999995</v>
      </c>
      <c r="Y2551">
        <f t="shared" si="118"/>
        <v>-2.5509999999999997E-4</v>
      </c>
      <c r="Z2551">
        <f t="shared" si="119"/>
        <v>73.59974489999999</v>
      </c>
    </row>
    <row r="2552" spans="1:26" x14ac:dyDescent="0.3">
      <c r="A2552" t="s">
        <v>2642</v>
      </c>
      <c r="B2552" t="s">
        <v>55</v>
      </c>
      <c r="C2552" t="s">
        <v>56</v>
      </c>
      <c r="D2552" t="s">
        <v>57</v>
      </c>
      <c r="E2552">
        <v>23</v>
      </c>
      <c r="F2552" s="3">
        <v>7.43</v>
      </c>
      <c r="G2552" s="4">
        <v>83.5</v>
      </c>
      <c r="H2552">
        <v>2</v>
      </c>
      <c r="I2552">
        <v>0</v>
      </c>
      <c r="J2552">
        <v>2</v>
      </c>
      <c r="K2552" s="4">
        <v>74.900000000000006</v>
      </c>
      <c r="L2552" s="4">
        <v>70</v>
      </c>
      <c r="M2552" s="4">
        <v>87</v>
      </c>
      <c r="N2552">
        <v>0</v>
      </c>
      <c r="O2552" t="s">
        <v>58</v>
      </c>
      <c r="P2552" t="s">
        <v>90</v>
      </c>
      <c r="Q2552" t="s">
        <v>60</v>
      </c>
      <c r="R2552" t="s">
        <v>85</v>
      </c>
      <c r="S2552" s="3">
        <v>7.36</v>
      </c>
      <c r="T2552" s="5">
        <v>45538</v>
      </c>
      <c r="U2552">
        <v>2</v>
      </c>
      <c r="V2552">
        <v>2024</v>
      </c>
      <c r="X2552">
        <f t="shared" si="117"/>
        <v>7.4297447999999999</v>
      </c>
      <c r="Y2552">
        <f t="shared" si="118"/>
        <v>7.3597448000000005</v>
      </c>
      <c r="Z2552">
        <f t="shared" si="119"/>
        <v>69.999744800000002</v>
      </c>
    </row>
    <row r="2553" spans="1:26" x14ac:dyDescent="0.3">
      <c r="A2553" t="s">
        <v>2643</v>
      </c>
      <c r="B2553" t="s">
        <v>63</v>
      </c>
      <c r="C2553" t="s">
        <v>84</v>
      </c>
      <c r="D2553" t="s">
        <v>69</v>
      </c>
      <c r="E2553">
        <v>23</v>
      </c>
      <c r="F2553" s="3">
        <v>5.31</v>
      </c>
      <c r="G2553" s="4">
        <v>86.7</v>
      </c>
      <c r="H2553">
        <v>2</v>
      </c>
      <c r="I2553">
        <v>2</v>
      </c>
      <c r="J2553">
        <v>5</v>
      </c>
      <c r="K2553" s="4">
        <v>59.6</v>
      </c>
      <c r="L2553" s="4">
        <v>72.3</v>
      </c>
      <c r="M2553" s="4">
        <v>52.3</v>
      </c>
      <c r="N2553">
        <v>2</v>
      </c>
      <c r="O2553" t="s">
        <v>58</v>
      </c>
      <c r="P2553" t="s">
        <v>95</v>
      </c>
      <c r="Q2553" t="s">
        <v>93</v>
      </c>
      <c r="R2553" t="s">
        <v>76</v>
      </c>
      <c r="S2553" s="3">
        <v>3.64</v>
      </c>
      <c r="T2553" s="5">
        <v>45968</v>
      </c>
      <c r="U2553">
        <v>1</v>
      </c>
      <c r="V2553">
        <v>2025</v>
      </c>
      <c r="X2553">
        <f t="shared" si="117"/>
        <v>5.3097446999999995</v>
      </c>
      <c r="Y2553">
        <f t="shared" si="118"/>
        <v>3.6397447000000001</v>
      </c>
      <c r="Z2553">
        <f t="shared" si="119"/>
        <v>72.299744699999991</v>
      </c>
    </row>
    <row r="2554" spans="1:26" x14ac:dyDescent="0.3">
      <c r="A2554" t="s">
        <v>2644</v>
      </c>
      <c r="B2554" t="s">
        <v>82</v>
      </c>
      <c r="C2554" t="s">
        <v>56</v>
      </c>
      <c r="D2554" t="s">
        <v>57</v>
      </c>
      <c r="E2554">
        <v>23</v>
      </c>
      <c r="F2554" s="3">
        <v>7.3</v>
      </c>
      <c r="G2554" s="4">
        <v>81.900000000000006</v>
      </c>
      <c r="H2554">
        <v>2</v>
      </c>
      <c r="I2554">
        <v>3</v>
      </c>
      <c r="J2554">
        <v>3</v>
      </c>
      <c r="K2554" s="4">
        <v>64.3</v>
      </c>
      <c r="L2554" s="4">
        <v>70.599999999999994</v>
      </c>
      <c r="M2554" s="4">
        <v>73.099999999999994</v>
      </c>
      <c r="N2554">
        <v>0</v>
      </c>
      <c r="O2554" t="s">
        <v>58</v>
      </c>
      <c r="P2554" t="s">
        <v>95</v>
      </c>
      <c r="Q2554" t="s">
        <v>93</v>
      </c>
      <c r="R2554" t="s">
        <v>109</v>
      </c>
      <c r="S2554" s="3">
        <v>6.65</v>
      </c>
      <c r="T2554" s="5">
        <v>44800</v>
      </c>
      <c r="U2554">
        <v>1</v>
      </c>
      <c r="V2554">
        <v>2022</v>
      </c>
      <c r="X2554">
        <f t="shared" si="117"/>
        <v>7.2997445999999995</v>
      </c>
      <c r="Y2554">
        <f t="shared" si="118"/>
        <v>6.6497446</v>
      </c>
      <c r="Z2554">
        <f t="shared" si="119"/>
        <v>70.599744599999994</v>
      </c>
    </row>
    <row r="2555" spans="1:26" x14ac:dyDescent="0.3">
      <c r="A2555" t="s">
        <v>2645</v>
      </c>
      <c r="B2555" t="s">
        <v>82</v>
      </c>
      <c r="C2555" t="s">
        <v>68</v>
      </c>
      <c r="D2555" t="s">
        <v>57</v>
      </c>
      <c r="E2555">
        <v>22</v>
      </c>
      <c r="F2555" s="3">
        <v>8.3000000000000007</v>
      </c>
      <c r="G2555" s="4">
        <v>85.5</v>
      </c>
      <c r="H2555">
        <v>1</v>
      </c>
      <c r="I2555">
        <v>1</v>
      </c>
      <c r="J2555">
        <v>2</v>
      </c>
      <c r="K2555" s="4">
        <v>52.5</v>
      </c>
      <c r="L2555" s="4">
        <v>39.700000000000003</v>
      </c>
      <c r="M2555" s="4">
        <v>65.599999999999994</v>
      </c>
      <c r="N2555">
        <v>0</v>
      </c>
      <c r="O2555" t="s">
        <v>58</v>
      </c>
      <c r="P2555" t="s">
        <v>95</v>
      </c>
      <c r="Q2555" t="s">
        <v>93</v>
      </c>
      <c r="R2555" t="s">
        <v>130</v>
      </c>
      <c r="S2555" s="3">
        <v>7.22</v>
      </c>
      <c r="T2555" s="5">
        <v>44857</v>
      </c>
      <c r="U2555">
        <v>1</v>
      </c>
      <c r="V2555">
        <v>2022</v>
      </c>
      <c r="X2555">
        <f t="shared" si="117"/>
        <v>8.299744500000001</v>
      </c>
      <c r="Y2555">
        <f t="shared" si="118"/>
        <v>7.2197445</v>
      </c>
      <c r="Z2555">
        <f t="shared" si="119"/>
        <v>39.699744500000001</v>
      </c>
    </row>
    <row r="2556" spans="1:26" x14ac:dyDescent="0.3">
      <c r="A2556" t="s">
        <v>2646</v>
      </c>
      <c r="B2556" t="s">
        <v>55</v>
      </c>
      <c r="C2556" t="s">
        <v>84</v>
      </c>
      <c r="D2556" t="s">
        <v>69</v>
      </c>
      <c r="E2556">
        <v>21</v>
      </c>
      <c r="F2556" s="3">
        <v>7.52</v>
      </c>
      <c r="G2556" s="4">
        <v>82.7</v>
      </c>
      <c r="H2556">
        <v>1</v>
      </c>
      <c r="I2556">
        <v>3</v>
      </c>
      <c r="J2556">
        <v>3</v>
      </c>
      <c r="K2556" s="4">
        <v>54.9</v>
      </c>
      <c r="L2556" s="4">
        <v>67.400000000000006</v>
      </c>
      <c r="M2556" s="4">
        <v>85.9</v>
      </c>
      <c r="N2556">
        <v>0</v>
      </c>
      <c r="O2556" t="s">
        <v>64</v>
      </c>
      <c r="P2556" t="s">
        <v>65</v>
      </c>
      <c r="S2556" s="3">
        <v>0</v>
      </c>
      <c r="T2556" s="5"/>
      <c r="U2556">
        <v>0</v>
      </c>
      <c r="V2556">
        <v>2024</v>
      </c>
      <c r="X2556">
        <f t="shared" si="117"/>
        <v>7.5197443999999996</v>
      </c>
      <c r="Y2556">
        <f t="shared" si="118"/>
        <v>-2.5559999999999998E-4</v>
      </c>
      <c r="Z2556">
        <f t="shared" si="119"/>
        <v>67.399744400000003</v>
      </c>
    </row>
    <row r="2557" spans="1:26" x14ac:dyDescent="0.3">
      <c r="A2557" t="s">
        <v>2647</v>
      </c>
      <c r="B2557" t="s">
        <v>107</v>
      </c>
      <c r="C2557" t="s">
        <v>74</v>
      </c>
      <c r="D2557" t="s">
        <v>57</v>
      </c>
      <c r="E2557">
        <v>22</v>
      </c>
      <c r="F2557" s="3">
        <v>7.53</v>
      </c>
      <c r="G2557" s="4">
        <v>88.3</v>
      </c>
      <c r="H2557">
        <v>1</v>
      </c>
      <c r="I2557">
        <v>0</v>
      </c>
      <c r="J2557">
        <v>3</v>
      </c>
      <c r="K2557" s="4">
        <v>81</v>
      </c>
      <c r="L2557" s="4">
        <v>84.3</v>
      </c>
      <c r="M2557" s="4">
        <v>91.3</v>
      </c>
      <c r="N2557">
        <v>0</v>
      </c>
      <c r="O2557" t="s">
        <v>58</v>
      </c>
      <c r="P2557" t="s">
        <v>79</v>
      </c>
      <c r="Q2557" t="s">
        <v>71</v>
      </c>
      <c r="R2557" t="s">
        <v>109</v>
      </c>
      <c r="S2557" s="3">
        <v>6</v>
      </c>
      <c r="T2557" s="5">
        <v>44435</v>
      </c>
      <c r="U2557">
        <v>1</v>
      </c>
      <c r="V2557">
        <v>2021</v>
      </c>
      <c r="X2557">
        <f t="shared" si="117"/>
        <v>7.5297442999999999</v>
      </c>
      <c r="Y2557">
        <f t="shared" si="118"/>
        <v>5.9997442999999997</v>
      </c>
      <c r="Z2557">
        <f t="shared" si="119"/>
        <v>84.2997443</v>
      </c>
    </row>
    <row r="2558" spans="1:26" x14ac:dyDescent="0.3">
      <c r="A2558" t="s">
        <v>2648</v>
      </c>
      <c r="B2558" t="s">
        <v>63</v>
      </c>
      <c r="C2558" t="s">
        <v>68</v>
      </c>
      <c r="D2558" t="s">
        <v>57</v>
      </c>
      <c r="E2558">
        <v>21</v>
      </c>
      <c r="F2558" s="3">
        <v>8.1199999999999992</v>
      </c>
      <c r="G2558" s="4">
        <v>95.9</v>
      </c>
      <c r="H2558">
        <v>0</v>
      </c>
      <c r="I2558">
        <v>2</v>
      </c>
      <c r="J2558">
        <v>3</v>
      </c>
      <c r="K2558" s="4">
        <v>83.6</v>
      </c>
      <c r="L2558" s="4">
        <v>91.6</v>
      </c>
      <c r="M2558" s="4">
        <v>83.7</v>
      </c>
      <c r="N2558">
        <v>1</v>
      </c>
      <c r="O2558" t="s">
        <v>58</v>
      </c>
      <c r="P2558" t="s">
        <v>90</v>
      </c>
      <c r="Q2558" t="s">
        <v>60</v>
      </c>
      <c r="R2558" t="s">
        <v>76</v>
      </c>
      <c r="S2558" s="3">
        <v>8.94</v>
      </c>
      <c r="T2558" s="5">
        <v>45910</v>
      </c>
      <c r="U2558">
        <v>2</v>
      </c>
      <c r="V2558">
        <v>2025</v>
      </c>
      <c r="X2558">
        <f t="shared" si="117"/>
        <v>8.1197441999999995</v>
      </c>
      <c r="Y2558">
        <f t="shared" si="118"/>
        <v>8.9397441999999998</v>
      </c>
      <c r="Z2558">
        <f t="shared" si="119"/>
        <v>91.599744199999989</v>
      </c>
    </row>
    <row r="2559" spans="1:26" x14ac:dyDescent="0.3">
      <c r="A2559" t="s">
        <v>2649</v>
      </c>
      <c r="B2559" t="s">
        <v>82</v>
      </c>
      <c r="C2559" t="s">
        <v>74</v>
      </c>
      <c r="D2559" t="s">
        <v>57</v>
      </c>
      <c r="E2559">
        <v>23</v>
      </c>
      <c r="F2559" s="3">
        <v>8.24</v>
      </c>
      <c r="G2559" s="4">
        <v>88.9</v>
      </c>
      <c r="H2559">
        <v>1</v>
      </c>
      <c r="I2559">
        <v>2</v>
      </c>
      <c r="J2559">
        <v>6</v>
      </c>
      <c r="K2559" s="4">
        <v>50.7</v>
      </c>
      <c r="L2559" s="4">
        <v>84.9</v>
      </c>
      <c r="M2559" s="4">
        <v>79.3</v>
      </c>
      <c r="N2559">
        <v>0</v>
      </c>
      <c r="O2559" t="s">
        <v>58</v>
      </c>
      <c r="P2559" t="s">
        <v>59</v>
      </c>
      <c r="Q2559" t="s">
        <v>60</v>
      </c>
      <c r="R2559" t="s">
        <v>85</v>
      </c>
      <c r="S2559" s="3">
        <v>19.920000000000002</v>
      </c>
      <c r="T2559" s="5">
        <v>44856</v>
      </c>
      <c r="U2559">
        <v>1</v>
      </c>
      <c r="V2559">
        <v>2022</v>
      </c>
      <c r="X2559">
        <f t="shared" si="117"/>
        <v>8.2397440999999993</v>
      </c>
      <c r="Y2559">
        <f t="shared" si="118"/>
        <v>19.919744100000003</v>
      </c>
      <c r="Z2559">
        <f t="shared" si="119"/>
        <v>84.899744100000007</v>
      </c>
    </row>
    <row r="2560" spans="1:26" x14ac:dyDescent="0.3">
      <c r="A2560" t="s">
        <v>2650</v>
      </c>
      <c r="B2560" t="s">
        <v>63</v>
      </c>
      <c r="C2560" t="s">
        <v>84</v>
      </c>
      <c r="D2560" t="s">
        <v>69</v>
      </c>
      <c r="E2560">
        <v>23</v>
      </c>
      <c r="F2560" s="3">
        <v>6.04</v>
      </c>
      <c r="G2560" s="4">
        <v>92.6</v>
      </c>
      <c r="H2560">
        <v>1</v>
      </c>
      <c r="I2560">
        <v>1</v>
      </c>
      <c r="J2560">
        <v>5</v>
      </c>
      <c r="K2560" s="4">
        <v>76.3</v>
      </c>
      <c r="L2560" s="4">
        <v>70.400000000000006</v>
      </c>
      <c r="M2560" s="4">
        <v>70.8</v>
      </c>
      <c r="N2560">
        <v>0</v>
      </c>
      <c r="O2560" t="s">
        <v>58</v>
      </c>
      <c r="P2560" t="s">
        <v>70</v>
      </c>
      <c r="Q2560" t="s">
        <v>71</v>
      </c>
      <c r="R2560" t="s">
        <v>80</v>
      </c>
      <c r="S2560" s="3">
        <v>4.62</v>
      </c>
      <c r="T2560" s="5">
        <v>45887</v>
      </c>
      <c r="U2560">
        <v>1</v>
      </c>
      <c r="V2560">
        <v>2025</v>
      </c>
      <c r="X2560">
        <f t="shared" si="117"/>
        <v>6.0397439999999998</v>
      </c>
      <c r="Y2560">
        <f t="shared" si="118"/>
        <v>4.6197439999999999</v>
      </c>
      <c r="Z2560">
        <f t="shared" si="119"/>
        <v>70.399744000000013</v>
      </c>
    </row>
    <row r="2561" spans="1:26" x14ac:dyDescent="0.3">
      <c r="A2561" t="s">
        <v>2651</v>
      </c>
      <c r="B2561" t="s">
        <v>82</v>
      </c>
      <c r="C2561" t="s">
        <v>101</v>
      </c>
      <c r="D2561" t="s">
        <v>57</v>
      </c>
      <c r="E2561">
        <v>22</v>
      </c>
      <c r="F2561" s="3">
        <v>7.63</v>
      </c>
      <c r="G2561" s="4">
        <v>72.5</v>
      </c>
      <c r="H2561">
        <v>1</v>
      </c>
      <c r="I2561">
        <v>0</v>
      </c>
      <c r="J2561">
        <v>5</v>
      </c>
      <c r="K2561" s="4">
        <v>57.6</v>
      </c>
      <c r="L2561" s="4">
        <v>80.400000000000006</v>
      </c>
      <c r="M2561" s="4">
        <v>90.1</v>
      </c>
      <c r="N2561">
        <v>0</v>
      </c>
      <c r="O2561" t="s">
        <v>58</v>
      </c>
      <c r="P2561" t="s">
        <v>75</v>
      </c>
      <c r="Q2561" t="s">
        <v>71</v>
      </c>
      <c r="R2561" t="s">
        <v>130</v>
      </c>
      <c r="S2561" s="3">
        <v>6.49</v>
      </c>
      <c r="T2561" s="5">
        <v>44823</v>
      </c>
      <c r="U2561">
        <v>1</v>
      </c>
      <c r="V2561">
        <v>2022</v>
      </c>
      <c r="X2561">
        <f t="shared" si="117"/>
        <v>7.6297439000000002</v>
      </c>
      <c r="Y2561">
        <f t="shared" si="118"/>
        <v>6.4897439000000006</v>
      </c>
      <c r="Z2561">
        <f t="shared" si="119"/>
        <v>80.399743900000004</v>
      </c>
    </row>
    <row r="2562" spans="1:26" x14ac:dyDescent="0.3">
      <c r="A2562" t="s">
        <v>2652</v>
      </c>
      <c r="B2562" t="s">
        <v>63</v>
      </c>
      <c r="C2562" t="s">
        <v>78</v>
      </c>
      <c r="D2562" t="s">
        <v>69</v>
      </c>
      <c r="E2562">
        <v>20</v>
      </c>
      <c r="F2562" s="3">
        <v>7.47</v>
      </c>
      <c r="G2562" s="4">
        <v>100</v>
      </c>
      <c r="H2562">
        <v>3</v>
      </c>
      <c r="I2562">
        <v>3</v>
      </c>
      <c r="J2562">
        <v>3</v>
      </c>
      <c r="K2562" s="4">
        <v>61</v>
      </c>
      <c r="L2562" s="4">
        <v>78.099999999999994</v>
      </c>
      <c r="M2562" s="4">
        <v>62</v>
      </c>
      <c r="N2562">
        <v>3</v>
      </c>
      <c r="O2562" t="s">
        <v>58</v>
      </c>
      <c r="P2562" t="s">
        <v>90</v>
      </c>
      <c r="Q2562" t="s">
        <v>60</v>
      </c>
      <c r="R2562" t="s">
        <v>85</v>
      </c>
      <c r="S2562" s="3">
        <v>9.48</v>
      </c>
      <c r="T2562" s="5">
        <v>45912</v>
      </c>
      <c r="U2562">
        <v>2</v>
      </c>
      <c r="V2562">
        <v>2025</v>
      </c>
      <c r="X2562">
        <f t="shared" ref="X2562:X2625" si="120">F2562-ROW()*0.0000001</f>
        <v>7.4697437999999998</v>
      </c>
      <c r="Y2562">
        <f t="shared" ref="Y2562:Y2625" si="121">S2562-ROW()*0.0000001</f>
        <v>9.4797437999999996</v>
      </c>
      <c r="Z2562">
        <f t="shared" ref="Z2562:Z2625" si="122">L2562-ROW()*0.0000001</f>
        <v>78.099743799999999</v>
      </c>
    </row>
    <row r="2563" spans="1:26" x14ac:dyDescent="0.3">
      <c r="A2563" t="s">
        <v>2653</v>
      </c>
      <c r="B2563" t="s">
        <v>67</v>
      </c>
      <c r="C2563" t="s">
        <v>89</v>
      </c>
      <c r="D2563" t="s">
        <v>69</v>
      </c>
      <c r="E2563">
        <v>23</v>
      </c>
      <c r="F2563" s="3">
        <v>7.72</v>
      </c>
      <c r="G2563" s="4">
        <v>84.8</v>
      </c>
      <c r="H2563">
        <v>1</v>
      </c>
      <c r="I2563">
        <v>1</v>
      </c>
      <c r="J2563">
        <v>6</v>
      </c>
      <c r="K2563" s="4">
        <v>84.8</v>
      </c>
      <c r="L2563" s="4">
        <v>66.5</v>
      </c>
      <c r="M2563" s="4">
        <v>79.400000000000006</v>
      </c>
      <c r="N2563">
        <v>0</v>
      </c>
      <c r="O2563" t="s">
        <v>58</v>
      </c>
      <c r="P2563" t="s">
        <v>95</v>
      </c>
      <c r="Q2563" t="s">
        <v>93</v>
      </c>
      <c r="R2563" t="s">
        <v>109</v>
      </c>
      <c r="S2563" s="3">
        <v>5.62</v>
      </c>
      <c r="T2563" s="5">
        <v>45179</v>
      </c>
      <c r="U2563">
        <v>2</v>
      </c>
      <c r="V2563">
        <v>2023</v>
      </c>
      <c r="X2563">
        <f t="shared" si="120"/>
        <v>7.7197436999999995</v>
      </c>
      <c r="Y2563">
        <f t="shared" si="121"/>
        <v>5.6197436999999999</v>
      </c>
      <c r="Z2563">
        <f t="shared" si="122"/>
        <v>66.499743699999996</v>
      </c>
    </row>
    <row r="2564" spans="1:26" x14ac:dyDescent="0.3">
      <c r="A2564" t="s">
        <v>2654</v>
      </c>
      <c r="B2564" t="s">
        <v>82</v>
      </c>
      <c r="C2564" t="s">
        <v>101</v>
      </c>
      <c r="D2564" t="s">
        <v>57</v>
      </c>
      <c r="E2564">
        <v>20</v>
      </c>
      <c r="F2564" s="3">
        <v>5.88</v>
      </c>
      <c r="G2564" s="4">
        <v>78.5</v>
      </c>
      <c r="H2564">
        <v>0</v>
      </c>
      <c r="I2564">
        <v>0</v>
      </c>
      <c r="J2564">
        <v>4</v>
      </c>
      <c r="K2564" s="4">
        <v>64</v>
      </c>
      <c r="L2564" s="4">
        <v>87.2</v>
      </c>
      <c r="M2564" s="4">
        <v>87</v>
      </c>
      <c r="N2564">
        <v>0</v>
      </c>
      <c r="O2564" t="s">
        <v>58</v>
      </c>
      <c r="P2564" t="s">
        <v>79</v>
      </c>
      <c r="Q2564" t="s">
        <v>71</v>
      </c>
      <c r="R2564" t="s">
        <v>80</v>
      </c>
      <c r="S2564" s="3">
        <v>4.12</v>
      </c>
      <c r="T2564" s="5">
        <v>44849</v>
      </c>
      <c r="U2564">
        <v>1</v>
      </c>
      <c r="V2564">
        <v>2022</v>
      </c>
      <c r="X2564">
        <f t="shared" si="120"/>
        <v>5.8797436000000003</v>
      </c>
      <c r="Y2564">
        <f t="shared" si="121"/>
        <v>4.1197436000000005</v>
      </c>
      <c r="Z2564">
        <f t="shared" si="122"/>
        <v>87.199743600000005</v>
      </c>
    </row>
    <row r="2565" spans="1:26" x14ac:dyDescent="0.3">
      <c r="A2565" t="s">
        <v>2655</v>
      </c>
      <c r="B2565" t="s">
        <v>63</v>
      </c>
      <c r="C2565" t="s">
        <v>74</v>
      </c>
      <c r="D2565" t="s">
        <v>57</v>
      </c>
      <c r="E2565">
        <v>21</v>
      </c>
      <c r="F2565" s="3">
        <v>8.84</v>
      </c>
      <c r="G2565" s="4">
        <v>85.7</v>
      </c>
      <c r="H2565">
        <v>2</v>
      </c>
      <c r="I2565">
        <v>3</v>
      </c>
      <c r="J2565">
        <v>5</v>
      </c>
      <c r="K2565" s="4">
        <v>63.9</v>
      </c>
      <c r="L2565" s="4">
        <v>60.3</v>
      </c>
      <c r="M2565" s="4">
        <v>85</v>
      </c>
      <c r="N2565">
        <v>0</v>
      </c>
      <c r="O2565" t="s">
        <v>58</v>
      </c>
      <c r="P2565" t="s">
        <v>104</v>
      </c>
      <c r="Q2565" t="s">
        <v>105</v>
      </c>
      <c r="R2565" t="s">
        <v>109</v>
      </c>
      <c r="S2565" s="3">
        <v>16.37</v>
      </c>
      <c r="T2565" s="5">
        <v>45973</v>
      </c>
      <c r="U2565">
        <v>1</v>
      </c>
      <c r="V2565">
        <v>2025</v>
      </c>
      <c r="X2565">
        <f t="shared" si="120"/>
        <v>8.8397434999999991</v>
      </c>
      <c r="Y2565">
        <f t="shared" si="121"/>
        <v>16.369743500000002</v>
      </c>
      <c r="Z2565">
        <f t="shared" si="122"/>
        <v>60.299743499999998</v>
      </c>
    </row>
    <row r="2566" spans="1:26" x14ac:dyDescent="0.3">
      <c r="A2566" t="s">
        <v>2656</v>
      </c>
      <c r="B2566" t="s">
        <v>107</v>
      </c>
      <c r="C2566" t="s">
        <v>68</v>
      </c>
      <c r="D2566" t="s">
        <v>57</v>
      </c>
      <c r="E2566">
        <v>22</v>
      </c>
      <c r="F2566" s="3">
        <v>7.66</v>
      </c>
      <c r="G2566" s="4">
        <v>77.099999999999994</v>
      </c>
      <c r="H2566">
        <v>3</v>
      </c>
      <c r="I2566">
        <v>1</v>
      </c>
      <c r="J2566">
        <v>4</v>
      </c>
      <c r="K2566" s="4">
        <v>45</v>
      </c>
      <c r="L2566" s="4">
        <v>68.400000000000006</v>
      </c>
      <c r="M2566" s="4">
        <v>80.3</v>
      </c>
      <c r="N2566">
        <v>1</v>
      </c>
      <c r="O2566" t="s">
        <v>58</v>
      </c>
      <c r="P2566" t="s">
        <v>92</v>
      </c>
      <c r="Q2566" t="s">
        <v>93</v>
      </c>
      <c r="R2566" t="s">
        <v>85</v>
      </c>
      <c r="S2566" s="3">
        <v>8.52</v>
      </c>
      <c r="T2566" s="5">
        <v>44426</v>
      </c>
      <c r="U2566">
        <v>1</v>
      </c>
      <c r="V2566">
        <v>2021</v>
      </c>
      <c r="X2566">
        <f t="shared" si="120"/>
        <v>7.6597434</v>
      </c>
      <c r="Y2566">
        <f t="shared" si="121"/>
        <v>8.5197433999999994</v>
      </c>
      <c r="Z2566">
        <f t="shared" si="122"/>
        <v>68.399743400000006</v>
      </c>
    </row>
    <row r="2567" spans="1:26" x14ac:dyDescent="0.3">
      <c r="A2567" t="s">
        <v>2657</v>
      </c>
      <c r="B2567" t="s">
        <v>67</v>
      </c>
      <c r="C2567" t="s">
        <v>78</v>
      </c>
      <c r="D2567" t="s">
        <v>57</v>
      </c>
      <c r="E2567">
        <v>20</v>
      </c>
      <c r="F2567" s="3">
        <v>8.0299999999999994</v>
      </c>
      <c r="G2567" s="4">
        <v>83.2</v>
      </c>
      <c r="H2567">
        <v>1</v>
      </c>
      <c r="I2567">
        <v>3</v>
      </c>
      <c r="J2567">
        <v>2</v>
      </c>
      <c r="K2567" s="4">
        <v>63.3</v>
      </c>
      <c r="L2567" s="4">
        <v>83.5</v>
      </c>
      <c r="M2567" s="4">
        <v>80</v>
      </c>
      <c r="N2567">
        <v>0</v>
      </c>
      <c r="O2567" t="s">
        <v>58</v>
      </c>
      <c r="P2567" t="s">
        <v>90</v>
      </c>
      <c r="Q2567" t="s">
        <v>60</v>
      </c>
      <c r="R2567" t="s">
        <v>80</v>
      </c>
      <c r="S2567" s="3">
        <v>9.86</v>
      </c>
      <c r="T2567" s="5">
        <v>45199</v>
      </c>
      <c r="U2567">
        <v>1</v>
      </c>
      <c r="V2567">
        <v>2023</v>
      </c>
      <c r="X2567">
        <f t="shared" si="120"/>
        <v>8.0297432999999998</v>
      </c>
      <c r="Y2567">
        <f t="shared" si="121"/>
        <v>9.8597432999999999</v>
      </c>
      <c r="Z2567">
        <f t="shared" si="122"/>
        <v>83.499743300000006</v>
      </c>
    </row>
    <row r="2568" spans="1:26" x14ac:dyDescent="0.3">
      <c r="A2568" t="s">
        <v>2658</v>
      </c>
      <c r="B2568" t="s">
        <v>67</v>
      </c>
      <c r="C2568" t="s">
        <v>74</v>
      </c>
      <c r="D2568" t="s">
        <v>69</v>
      </c>
      <c r="E2568">
        <v>20</v>
      </c>
      <c r="F2568" s="3">
        <v>9.24</v>
      </c>
      <c r="G2568" s="4">
        <v>84.7</v>
      </c>
      <c r="H2568">
        <v>0</v>
      </c>
      <c r="I2568">
        <v>2</v>
      </c>
      <c r="J2568">
        <v>5</v>
      </c>
      <c r="K2568" s="4">
        <v>59.2</v>
      </c>
      <c r="L2568" s="4">
        <v>56.2</v>
      </c>
      <c r="M2568" s="4">
        <v>84.7</v>
      </c>
      <c r="N2568">
        <v>0</v>
      </c>
      <c r="O2568" t="s">
        <v>58</v>
      </c>
      <c r="P2568" t="s">
        <v>59</v>
      </c>
      <c r="Q2568" t="s">
        <v>60</v>
      </c>
      <c r="R2568" t="s">
        <v>80</v>
      </c>
      <c r="S2568" s="3">
        <v>19.66</v>
      </c>
      <c r="T2568" s="5">
        <v>45210</v>
      </c>
      <c r="U2568">
        <v>2</v>
      </c>
      <c r="V2568">
        <v>2023</v>
      </c>
      <c r="X2568">
        <f t="shared" si="120"/>
        <v>9.2397431999999995</v>
      </c>
      <c r="Y2568">
        <f t="shared" si="121"/>
        <v>19.659743200000001</v>
      </c>
      <c r="Z2568">
        <f t="shared" si="122"/>
        <v>56.1997432</v>
      </c>
    </row>
    <row r="2569" spans="1:26" x14ac:dyDescent="0.3">
      <c r="A2569" t="s">
        <v>2659</v>
      </c>
      <c r="B2569" t="s">
        <v>107</v>
      </c>
      <c r="C2569" t="s">
        <v>56</v>
      </c>
      <c r="D2569" t="s">
        <v>69</v>
      </c>
      <c r="E2569">
        <v>23</v>
      </c>
      <c r="F2569" s="3">
        <v>8.0399999999999991</v>
      </c>
      <c r="G2569" s="4">
        <v>75.8</v>
      </c>
      <c r="H2569">
        <v>1</v>
      </c>
      <c r="I2569">
        <v>1</v>
      </c>
      <c r="J2569">
        <v>4</v>
      </c>
      <c r="K2569" s="4">
        <v>74.400000000000006</v>
      </c>
      <c r="L2569" s="4">
        <v>50</v>
      </c>
      <c r="M2569" s="4">
        <v>72.400000000000006</v>
      </c>
      <c r="N2569">
        <v>0</v>
      </c>
      <c r="O2569" t="s">
        <v>58</v>
      </c>
      <c r="P2569" t="s">
        <v>59</v>
      </c>
      <c r="Q2569" t="s">
        <v>60</v>
      </c>
      <c r="R2569" t="s">
        <v>76</v>
      </c>
      <c r="S2569" s="3">
        <v>19.73</v>
      </c>
      <c r="T2569" s="5">
        <v>44508</v>
      </c>
      <c r="U2569">
        <v>1</v>
      </c>
      <c r="V2569">
        <v>2021</v>
      </c>
      <c r="X2569">
        <f t="shared" si="120"/>
        <v>8.039743099999999</v>
      </c>
      <c r="Y2569">
        <f t="shared" si="121"/>
        <v>19.7297431</v>
      </c>
      <c r="Z2569">
        <f t="shared" si="122"/>
        <v>49.999743100000003</v>
      </c>
    </row>
    <row r="2570" spans="1:26" x14ac:dyDescent="0.3">
      <c r="A2570" t="s">
        <v>2660</v>
      </c>
      <c r="B2570" t="s">
        <v>63</v>
      </c>
      <c r="C2570" t="s">
        <v>56</v>
      </c>
      <c r="D2570" t="s">
        <v>57</v>
      </c>
      <c r="E2570">
        <v>20</v>
      </c>
      <c r="F2570" s="3">
        <v>6.26</v>
      </c>
      <c r="G2570" s="4">
        <v>83.4</v>
      </c>
      <c r="H2570">
        <v>0</v>
      </c>
      <c r="I2570">
        <v>0</v>
      </c>
      <c r="J2570">
        <v>6</v>
      </c>
      <c r="K2570" s="4">
        <v>60.4</v>
      </c>
      <c r="L2570" s="4">
        <v>55.4</v>
      </c>
      <c r="M2570" s="4">
        <v>91.1</v>
      </c>
      <c r="N2570">
        <v>0</v>
      </c>
      <c r="O2570" t="s">
        <v>58</v>
      </c>
      <c r="P2570" t="s">
        <v>59</v>
      </c>
      <c r="Q2570" t="s">
        <v>60</v>
      </c>
      <c r="R2570" t="s">
        <v>72</v>
      </c>
      <c r="S2570" s="3">
        <v>17.73</v>
      </c>
      <c r="T2570" s="5">
        <v>45971</v>
      </c>
      <c r="U2570">
        <v>1</v>
      </c>
      <c r="V2570">
        <v>2025</v>
      </c>
      <c r="X2570">
        <f t="shared" si="120"/>
        <v>6.2597429999999994</v>
      </c>
      <c r="Y2570">
        <f t="shared" si="121"/>
        <v>17.729742999999999</v>
      </c>
      <c r="Z2570">
        <f t="shared" si="122"/>
        <v>55.399743000000001</v>
      </c>
    </row>
    <row r="2571" spans="1:26" x14ac:dyDescent="0.3">
      <c r="A2571" t="s">
        <v>2661</v>
      </c>
      <c r="B2571" t="s">
        <v>55</v>
      </c>
      <c r="C2571" t="s">
        <v>56</v>
      </c>
      <c r="D2571" t="s">
        <v>69</v>
      </c>
      <c r="E2571">
        <v>20</v>
      </c>
      <c r="F2571" s="3">
        <v>7.57</v>
      </c>
      <c r="G2571" s="4">
        <v>75.7</v>
      </c>
      <c r="H2571">
        <v>2</v>
      </c>
      <c r="I2571">
        <v>2</v>
      </c>
      <c r="J2571">
        <v>3</v>
      </c>
      <c r="K2571" s="4">
        <v>85.1</v>
      </c>
      <c r="L2571" s="4">
        <v>76.7</v>
      </c>
      <c r="M2571" s="4">
        <v>98.7</v>
      </c>
      <c r="N2571">
        <v>0</v>
      </c>
      <c r="O2571" t="s">
        <v>58</v>
      </c>
      <c r="P2571" t="s">
        <v>59</v>
      </c>
      <c r="Q2571" t="s">
        <v>60</v>
      </c>
      <c r="R2571" t="s">
        <v>61</v>
      </c>
      <c r="S2571" s="3">
        <v>19.82</v>
      </c>
      <c r="T2571" s="5">
        <v>45557</v>
      </c>
      <c r="U2571">
        <v>1</v>
      </c>
      <c r="V2571">
        <v>2024</v>
      </c>
      <c r="X2571">
        <f t="shared" si="120"/>
        <v>7.5697429000000005</v>
      </c>
      <c r="Y2571">
        <f t="shared" si="121"/>
        <v>19.819742900000001</v>
      </c>
      <c r="Z2571">
        <f t="shared" si="122"/>
        <v>76.699742900000004</v>
      </c>
    </row>
    <row r="2572" spans="1:26" x14ac:dyDescent="0.3">
      <c r="A2572" t="s">
        <v>2662</v>
      </c>
      <c r="B2572" t="s">
        <v>107</v>
      </c>
      <c r="C2572" t="s">
        <v>101</v>
      </c>
      <c r="D2572" t="s">
        <v>57</v>
      </c>
      <c r="E2572">
        <v>21</v>
      </c>
      <c r="F2572" s="3">
        <v>8.26</v>
      </c>
      <c r="G2572" s="4">
        <v>75.599999999999994</v>
      </c>
      <c r="H2572">
        <v>2</v>
      </c>
      <c r="I2572">
        <v>0</v>
      </c>
      <c r="J2572">
        <v>6</v>
      </c>
      <c r="K2572" s="4">
        <v>73.5</v>
      </c>
      <c r="L2572" s="4">
        <v>100</v>
      </c>
      <c r="M2572" s="4">
        <v>51.8</v>
      </c>
      <c r="N2572">
        <v>2</v>
      </c>
      <c r="O2572" t="s">
        <v>64</v>
      </c>
      <c r="P2572" t="s">
        <v>65</v>
      </c>
      <c r="S2572" s="3">
        <v>0</v>
      </c>
      <c r="T2572" s="5"/>
      <c r="U2572">
        <v>0</v>
      </c>
      <c r="V2572">
        <v>2021</v>
      </c>
      <c r="X2572">
        <f t="shared" si="120"/>
        <v>8.2597427999999997</v>
      </c>
      <c r="Y2572">
        <f t="shared" si="121"/>
        <v>-2.5719999999999996E-4</v>
      </c>
      <c r="Z2572">
        <f t="shared" si="122"/>
        <v>99.999742800000007</v>
      </c>
    </row>
    <row r="2573" spans="1:26" x14ac:dyDescent="0.3">
      <c r="A2573" t="s">
        <v>2663</v>
      </c>
      <c r="B2573" t="s">
        <v>63</v>
      </c>
      <c r="C2573" t="s">
        <v>68</v>
      </c>
      <c r="D2573" t="s">
        <v>69</v>
      </c>
      <c r="E2573">
        <v>22</v>
      </c>
      <c r="F2573" s="3">
        <v>7.7</v>
      </c>
      <c r="G2573" s="4">
        <v>72.900000000000006</v>
      </c>
      <c r="H2573">
        <v>1</v>
      </c>
      <c r="I2573">
        <v>0</v>
      </c>
      <c r="J2573">
        <v>3</v>
      </c>
      <c r="K2573" s="4">
        <v>70.8</v>
      </c>
      <c r="L2573" s="4">
        <v>88</v>
      </c>
      <c r="M2573" s="4">
        <v>69.3</v>
      </c>
      <c r="N2573">
        <v>1</v>
      </c>
      <c r="O2573" t="s">
        <v>58</v>
      </c>
      <c r="P2573" t="s">
        <v>79</v>
      </c>
      <c r="Q2573" t="s">
        <v>71</v>
      </c>
      <c r="R2573" t="s">
        <v>61</v>
      </c>
      <c r="S2573" s="3">
        <v>6.7</v>
      </c>
      <c r="T2573" s="5">
        <v>45922</v>
      </c>
      <c r="U2573">
        <v>1</v>
      </c>
      <c r="V2573">
        <v>2025</v>
      </c>
      <c r="X2573">
        <f t="shared" si="120"/>
        <v>7.6997426999999998</v>
      </c>
      <c r="Y2573">
        <f t="shared" si="121"/>
        <v>6.6997426999999998</v>
      </c>
      <c r="Z2573">
        <f t="shared" si="122"/>
        <v>87.999742699999999</v>
      </c>
    </row>
    <row r="2574" spans="1:26" x14ac:dyDescent="0.3">
      <c r="A2574" t="s">
        <v>2664</v>
      </c>
      <c r="B2574" t="s">
        <v>107</v>
      </c>
      <c r="C2574" t="s">
        <v>78</v>
      </c>
      <c r="D2574" t="s">
        <v>69</v>
      </c>
      <c r="E2574">
        <v>23</v>
      </c>
      <c r="F2574" s="3">
        <v>9.19</v>
      </c>
      <c r="G2574" s="4">
        <v>78.599999999999994</v>
      </c>
      <c r="H2574">
        <v>2</v>
      </c>
      <c r="I2574">
        <v>3</v>
      </c>
      <c r="J2574">
        <v>3</v>
      </c>
      <c r="K2574" s="4">
        <v>77.8</v>
      </c>
      <c r="L2574" s="4">
        <v>81.7</v>
      </c>
      <c r="M2574" s="4">
        <v>60.6</v>
      </c>
      <c r="N2574">
        <v>3</v>
      </c>
      <c r="O2574" t="s">
        <v>64</v>
      </c>
      <c r="P2574" t="s">
        <v>65</v>
      </c>
      <c r="S2574" s="3">
        <v>0</v>
      </c>
      <c r="T2574" s="5"/>
      <c r="U2574">
        <v>0</v>
      </c>
      <c r="V2574">
        <v>2021</v>
      </c>
      <c r="X2574">
        <f t="shared" si="120"/>
        <v>9.1897425999999989</v>
      </c>
      <c r="Y2574">
        <f t="shared" si="121"/>
        <v>-2.5739999999999997E-4</v>
      </c>
      <c r="Z2574">
        <f t="shared" si="122"/>
        <v>81.699742600000008</v>
      </c>
    </row>
    <row r="2575" spans="1:26" x14ac:dyDescent="0.3">
      <c r="A2575" t="s">
        <v>2665</v>
      </c>
      <c r="B2575" t="s">
        <v>107</v>
      </c>
      <c r="C2575" t="s">
        <v>74</v>
      </c>
      <c r="D2575" t="s">
        <v>57</v>
      </c>
      <c r="E2575">
        <v>23</v>
      </c>
      <c r="F2575" s="3">
        <v>6.88</v>
      </c>
      <c r="G2575" s="4">
        <v>77</v>
      </c>
      <c r="H2575">
        <v>2</v>
      </c>
      <c r="I2575">
        <v>2</v>
      </c>
      <c r="J2575">
        <v>4</v>
      </c>
      <c r="K2575" s="4">
        <v>70.8</v>
      </c>
      <c r="L2575" s="4">
        <v>93.5</v>
      </c>
      <c r="M2575" s="4">
        <v>66.2</v>
      </c>
      <c r="N2575">
        <v>0</v>
      </c>
      <c r="O2575" t="s">
        <v>58</v>
      </c>
      <c r="P2575" t="s">
        <v>104</v>
      </c>
      <c r="Q2575" t="s">
        <v>105</v>
      </c>
      <c r="R2575" t="s">
        <v>85</v>
      </c>
      <c r="S2575" s="3">
        <v>14.67</v>
      </c>
      <c r="T2575" s="5">
        <v>44434</v>
      </c>
      <c r="U2575">
        <v>1</v>
      </c>
      <c r="V2575">
        <v>2021</v>
      </c>
      <c r="X2575">
        <f t="shared" si="120"/>
        <v>6.8797424999999999</v>
      </c>
      <c r="Y2575">
        <f t="shared" si="121"/>
        <v>14.6697425</v>
      </c>
      <c r="Z2575">
        <f t="shared" si="122"/>
        <v>93.499742499999996</v>
      </c>
    </row>
    <row r="2576" spans="1:26" x14ac:dyDescent="0.3">
      <c r="A2576" t="s">
        <v>2666</v>
      </c>
      <c r="B2576" t="s">
        <v>82</v>
      </c>
      <c r="C2576" t="s">
        <v>74</v>
      </c>
      <c r="D2576" t="s">
        <v>57</v>
      </c>
      <c r="E2576">
        <v>20</v>
      </c>
      <c r="F2576" s="3">
        <v>8.77</v>
      </c>
      <c r="G2576" s="4">
        <v>86.3</v>
      </c>
      <c r="H2576">
        <v>3</v>
      </c>
      <c r="I2576">
        <v>1</v>
      </c>
      <c r="J2576">
        <v>4</v>
      </c>
      <c r="K2576" s="4">
        <v>78.2</v>
      </c>
      <c r="L2576" s="4">
        <v>74.3</v>
      </c>
      <c r="M2576" s="4">
        <v>75.5</v>
      </c>
      <c r="N2576">
        <v>0</v>
      </c>
      <c r="O2576" t="s">
        <v>58</v>
      </c>
      <c r="P2576" t="s">
        <v>104</v>
      </c>
      <c r="Q2576" t="s">
        <v>105</v>
      </c>
      <c r="R2576" t="s">
        <v>80</v>
      </c>
      <c r="S2576" s="3">
        <v>16.97</v>
      </c>
      <c r="T2576" s="5">
        <v>44885</v>
      </c>
      <c r="U2576">
        <v>1</v>
      </c>
      <c r="V2576">
        <v>2022</v>
      </c>
      <c r="X2576">
        <f t="shared" si="120"/>
        <v>8.7697424000000002</v>
      </c>
      <c r="Y2576">
        <f t="shared" si="121"/>
        <v>16.969742399999998</v>
      </c>
      <c r="Z2576">
        <f t="shared" si="122"/>
        <v>74.2997424</v>
      </c>
    </row>
    <row r="2577" spans="1:26" x14ac:dyDescent="0.3">
      <c r="A2577" t="s">
        <v>2667</v>
      </c>
      <c r="B2577" t="s">
        <v>63</v>
      </c>
      <c r="C2577" t="s">
        <v>74</v>
      </c>
      <c r="D2577" t="s">
        <v>69</v>
      </c>
      <c r="E2577">
        <v>21</v>
      </c>
      <c r="F2577" s="3">
        <v>8.41</v>
      </c>
      <c r="G2577" s="4">
        <v>91.9</v>
      </c>
      <c r="H2577">
        <v>3</v>
      </c>
      <c r="I2577">
        <v>2</v>
      </c>
      <c r="J2577">
        <v>4</v>
      </c>
      <c r="K2577" s="4">
        <v>65.900000000000006</v>
      </c>
      <c r="L2577" s="4">
        <v>60.7</v>
      </c>
      <c r="M2577" s="4">
        <v>79.7</v>
      </c>
      <c r="N2577">
        <v>0</v>
      </c>
      <c r="O2577" t="s">
        <v>58</v>
      </c>
      <c r="P2577" t="s">
        <v>95</v>
      </c>
      <c r="Q2577" t="s">
        <v>93</v>
      </c>
      <c r="R2577" t="s">
        <v>61</v>
      </c>
      <c r="S2577" s="3">
        <v>6.92</v>
      </c>
      <c r="T2577" s="5">
        <v>45959</v>
      </c>
      <c r="U2577">
        <v>2</v>
      </c>
      <c r="V2577">
        <v>2025</v>
      </c>
      <c r="X2577">
        <f t="shared" si="120"/>
        <v>8.4097422999999996</v>
      </c>
      <c r="Y2577">
        <f t="shared" si="121"/>
        <v>6.9197423000000002</v>
      </c>
      <c r="Z2577">
        <f t="shared" si="122"/>
        <v>60.699742300000004</v>
      </c>
    </row>
    <row r="2578" spans="1:26" x14ac:dyDescent="0.3">
      <c r="A2578" t="s">
        <v>2668</v>
      </c>
      <c r="B2578" t="s">
        <v>55</v>
      </c>
      <c r="C2578" t="s">
        <v>101</v>
      </c>
      <c r="D2578" t="s">
        <v>69</v>
      </c>
      <c r="E2578">
        <v>20</v>
      </c>
      <c r="F2578" s="3">
        <v>7.73</v>
      </c>
      <c r="G2578" s="4">
        <v>88</v>
      </c>
      <c r="H2578">
        <v>0</v>
      </c>
      <c r="I2578">
        <v>2</v>
      </c>
      <c r="J2578">
        <v>3</v>
      </c>
      <c r="K2578" s="4">
        <v>66.8</v>
      </c>
      <c r="L2578" s="4">
        <v>69.099999999999994</v>
      </c>
      <c r="M2578" s="4">
        <v>72</v>
      </c>
      <c r="N2578">
        <v>0</v>
      </c>
      <c r="O2578" t="s">
        <v>64</v>
      </c>
      <c r="P2578" t="s">
        <v>65</v>
      </c>
      <c r="S2578" s="3">
        <v>0</v>
      </c>
      <c r="T2578" s="5"/>
      <c r="U2578">
        <v>0</v>
      </c>
      <c r="V2578">
        <v>2024</v>
      </c>
      <c r="X2578">
        <f t="shared" si="120"/>
        <v>7.7297422000000005</v>
      </c>
      <c r="Y2578">
        <f t="shared" si="121"/>
        <v>-2.5779999999999998E-4</v>
      </c>
      <c r="Z2578">
        <f t="shared" si="122"/>
        <v>69.099742199999994</v>
      </c>
    </row>
    <row r="2579" spans="1:26" x14ac:dyDescent="0.3">
      <c r="A2579" t="s">
        <v>2669</v>
      </c>
      <c r="B2579" t="s">
        <v>82</v>
      </c>
      <c r="C2579" t="s">
        <v>89</v>
      </c>
      <c r="D2579" t="s">
        <v>57</v>
      </c>
      <c r="E2579">
        <v>20</v>
      </c>
      <c r="F2579" s="3">
        <v>7.95</v>
      </c>
      <c r="G2579" s="4">
        <v>90.8</v>
      </c>
      <c r="H2579">
        <v>0</v>
      </c>
      <c r="I2579">
        <v>2</v>
      </c>
      <c r="J2579">
        <v>2</v>
      </c>
      <c r="K2579" s="4">
        <v>56.7</v>
      </c>
      <c r="L2579" s="4">
        <v>66</v>
      </c>
      <c r="M2579" s="4">
        <v>81.599999999999994</v>
      </c>
      <c r="N2579">
        <v>2</v>
      </c>
      <c r="O2579" t="s">
        <v>58</v>
      </c>
      <c r="P2579" t="s">
        <v>87</v>
      </c>
      <c r="Q2579" t="s">
        <v>71</v>
      </c>
      <c r="R2579" t="s">
        <v>85</v>
      </c>
      <c r="S2579" s="3">
        <v>5.47</v>
      </c>
      <c r="T2579" s="5">
        <v>44829</v>
      </c>
      <c r="U2579">
        <v>1</v>
      </c>
      <c r="V2579">
        <v>2022</v>
      </c>
      <c r="X2579">
        <f t="shared" si="120"/>
        <v>7.9497420999999999</v>
      </c>
      <c r="Y2579">
        <f t="shared" si="121"/>
        <v>5.4697420999999995</v>
      </c>
      <c r="Z2579">
        <f t="shared" si="122"/>
        <v>65.999742100000006</v>
      </c>
    </row>
    <row r="2580" spans="1:26" x14ac:dyDescent="0.3">
      <c r="A2580" t="s">
        <v>2670</v>
      </c>
      <c r="B2580" t="s">
        <v>107</v>
      </c>
      <c r="C2580" t="s">
        <v>84</v>
      </c>
      <c r="D2580" t="s">
        <v>57</v>
      </c>
      <c r="E2580">
        <v>23</v>
      </c>
      <c r="F2580" s="3">
        <v>6.77</v>
      </c>
      <c r="G2580" s="4">
        <v>90</v>
      </c>
      <c r="H2580">
        <v>1</v>
      </c>
      <c r="I2580">
        <v>2</v>
      </c>
      <c r="J2580">
        <v>4</v>
      </c>
      <c r="K2580" s="4">
        <v>58</v>
      </c>
      <c r="L2580" s="4">
        <v>55.6</v>
      </c>
      <c r="M2580" s="4">
        <v>65.2</v>
      </c>
      <c r="N2580">
        <v>3</v>
      </c>
      <c r="O2580" t="s">
        <v>64</v>
      </c>
      <c r="P2580" t="s">
        <v>65</v>
      </c>
      <c r="S2580" s="3">
        <v>0</v>
      </c>
      <c r="T2580" s="5"/>
      <c r="U2580">
        <v>0</v>
      </c>
      <c r="V2580">
        <v>2021</v>
      </c>
      <c r="X2580">
        <f t="shared" si="120"/>
        <v>6.7697419999999999</v>
      </c>
      <c r="Y2580">
        <f t="shared" si="121"/>
        <v>-2.5799999999999998E-4</v>
      </c>
      <c r="Z2580">
        <f t="shared" si="122"/>
        <v>55.599741999999999</v>
      </c>
    </row>
    <row r="2581" spans="1:26" x14ac:dyDescent="0.3">
      <c r="A2581" t="s">
        <v>2671</v>
      </c>
      <c r="B2581" t="s">
        <v>107</v>
      </c>
      <c r="C2581" t="s">
        <v>78</v>
      </c>
      <c r="D2581" t="s">
        <v>57</v>
      </c>
      <c r="E2581">
        <v>20</v>
      </c>
      <c r="F2581" s="3">
        <v>7.37</v>
      </c>
      <c r="G2581" s="4">
        <v>73.7</v>
      </c>
      <c r="H2581">
        <v>3</v>
      </c>
      <c r="I2581">
        <v>4</v>
      </c>
      <c r="J2581">
        <v>3</v>
      </c>
      <c r="K2581" s="4">
        <v>86.2</v>
      </c>
      <c r="L2581" s="4">
        <v>66.900000000000006</v>
      </c>
      <c r="M2581" s="4">
        <v>69.099999999999994</v>
      </c>
      <c r="N2581">
        <v>1</v>
      </c>
      <c r="O2581" t="s">
        <v>58</v>
      </c>
      <c r="P2581" t="s">
        <v>59</v>
      </c>
      <c r="Q2581" t="s">
        <v>60</v>
      </c>
      <c r="R2581" t="s">
        <v>85</v>
      </c>
      <c r="S2581" s="3">
        <v>19.03</v>
      </c>
      <c r="T2581" s="5">
        <v>44469</v>
      </c>
      <c r="U2581">
        <v>2</v>
      </c>
      <c r="V2581">
        <v>2021</v>
      </c>
      <c r="X2581">
        <f t="shared" si="120"/>
        <v>7.3697419000000002</v>
      </c>
      <c r="Y2581">
        <f t="shared" si="121"/>
        <v>19.029741900000001</v>
      </c>
      <c r="Z2581">
        <f t="shared" si="122"/>
        <v>66.899741900000009</v>
      </c>
    </row>
    <row r="2582" spans="1:26" x14ac:dyDescent="0.3">
      <c r="A2582" t="s">
        <v>2672</v>
      </c>
      <c r="B2582" t="s">
        <v>107</v>
      </c>
      <c r="C2582" t="s">
        <v>89</v>
      </c>
      <c r="D2582" t="s">
        <v>57</v>
      </c>
      <c r="E2582">
        <v>20</v>
      </c>
      <c r="F2582" s="3">
        <v>8.17</v>
      </c>
      <c r="G2582" s="4">
        <v>79</v>
      </c>
      <c r="H2582">
        <v>3</v>
      </c>
      <c r="I2582">
        <v>1</v>
      </c>
      <c r="J2582">
        <v>4</v>
      </c>
      <c r="K2582" s="4">
        <v>74.5</v>
      </c>
      <c r="L2582" s="4">
        <v>46.6</v>
      </c>
      <c r="M2582" s="4">
        <v>81.8</v>
      </c>
      <c r="N2582">
        <v>0</v>
      </c>
      <c r="O2582" t="s">
        <v>64</v>
      </c>
      <c r="P2582" t="s">
        <v>65</v>
      </c>
      <c r="S2582" s="3">
        <v>0</v>
      </c>
      <c r="T2582" s="5"/>
      <c r="U2582">
        <v>0</v>
      </c>
      <c r="V2582">
        <v>2021</v>
      </c>
      <c r="X2582">
        <f t="shared" si="120"/>
        <v>8.1697418000000006</v>
      </c>
      <c r="Y2582">
        <f t="shared" si="121"/>
        <v>-2.5819999999999999E-4</v>
      </c>
      <c r="Z2582">
        <f t="shared" si="122"/>
        <v>46.599741800000004</v>
      </c>
    </row>
    <row r="2583" spans="1:26" x14ac:dyDescent="0.3">
      <c r="A2583" t="s">
        <v>2673</v>
      </c>
      <c r="B2583" t="s">
        <v>63</v>
      </c>
      <c r="C2583" t="s">
        <v>89</v>
      </c>
      <c r="D2583" t="s">
        <v>57</v>
      </c>
      <c r="E2583">
        <v>21</v>
      </c>
      <c r="F2583" s="3">
        <v>7.52</v>
      </c>
      <c r="G2583" s="4">
        <v>98</v>
      </c>
      <c r="H2583">
        <v>1</v>
      </c>
      <c r="I2583">
        <v>1</v>
      </c>
      <c r="J2583">
        <v>2</v>
      </c>
      <c r="K2583" s="4">
        <v>46.5</v>
      </c>
      <c r="L2583" s="4">
        <v>65.2</v>
      </c>
      <c r="M2583" s="4">
        <v>70</v>
      </c>
      <c r="N2583">
        <v>0</v>
      </c>
      <c r="O2583" t="s">
        <v>58</v>
      </c>
      <c r="P2583" t="s">
        <v>70</v>
      </c>
      <c r="Q2583" t="s">
        <v>71</v>
      </c>
      <c r="R2583" t="s">
        <v>130</v>
      </c>
      <c r="S2583" s="3">
        <v>4.0599999999999996</v>
      </c>
      <c r="T2583" s="5">
        <v>45919</v>
      </c>
      <c r="U2583">
        <v>1</v>
      </c>
      <c r="V2583">
        <v>2025</v>
      </c>
      <c r="X2583">
        <f t="shared" si="120"/>
        <v>7.5197417</v>
      </c>
      <c r="Y2583">
        <f t="shared" si="121"/>
        <v>4.0597417</v>
      </c>
      <c r="Z2583">
        <f t="shared" si="122"/>
        <v>65.199741700000004</v>
      </c>
    </row>
    <row r="2584" spans="1:26" x14ac:dyDescent="0.3">
      <c r="A2584" t="s">
        <v>2674</v>
      </c>
      <c r="B2584" t="s">
        <v>63</v>
      </c>
      <c r="C2584" t="s">
        <v>84</v>
      </c>
      <c r="D2584" t="s">
        <v>57</v>
      </c>
      <c r="E2584">
        <v>23</v>
      </c>
      <c r="F2584" s="3">
        <v>7.7</v>
      </c>
      <c r="G2584" s="4">
        <v>77.099999999999994</v>
      </c>
      <c r="H2584">
        <v>0</v>
      </c>
      <c r="I2584">
        <v>0</v>
      </c>
      <c r="J2584">
        <v>3</v>
      </c>
      <c r="K2584" s="4">
        <v>82.8</v>
      </c>
      <c r="L2584" s="4">
        <v>68.5</v>
      </c>
      <c r="M2584" s="4">
        <v>58.5</v>
      </c>
      <c r="N2584">
        <v>0</v>
      </c>
      <c r="O2584" t="s">
        <v>64</v>
      </c>
      <c r="P2584" t="s">
        <v>65</v>
      </c>
      <c r="S2584" s="3">
        <v>0</v>
      </c>
      <c r="T2584" s="5"/>
      <c r="U2584">
        <v>0</v>
      </c>
      <c r="V2584">
        <v>2025</v>
      </c>
      <c r="X2584">
        <f t="shared" si="120"/>
        <v>7.6997416000000003</v>
      </c>
      <c r="Y2584">
        <f t="shared" si="121"/>
        <v>-2.5839999999999999E-4</v>
      </c>
      <c r="Z2584">
        <f t="shared" si="122"/>
        <v>68.499741599999993</v>
      </c>
    </row>
    <row r="2585" spans="1:26" x14ac:dyDescent="0.3">
      <c r="A2585" t="s">
        <v>2675</v>
      </c>
      <c r="B2585" t="s">
        <v>82</v>
      </c>
      <c r="C2585" t="s">
        <v>101</v>
      </c>
      <c r="D2585" t="s">
        <v>57</v>
      </c>
      <c r="E2585">
        <v>22</v>
      </c>
      <c r="F2585" s="3">
        <v>8.5399999999999991</v>
      </c>
      <c r="G2585" s="4">
        <v>98.7</v>
      </c>
      <c r="H2585">
        <v>0</v>
      </c>
      <c r="I2585">
        <v>0</v>
      </c>
      <c r="J2585">
        <v>6</v>
      </c>
      <c r="K2585" s="4">
        <v>69.8</v>
      </c>
      <c r="L2585" s="4">
        <v>67.400000000000006</v>
      </c>
      <c r="M2585" s="4">
        <v>100</v>
      </c>
      <c r="N2585">
        <v>1</v>
      </c>
      <c r="O2585" t="s">
        <v>58</v>
      </c>
      <c r="P2585" t="s">
        <v>104</v>
      </c>
      <c r="Q2585" t="s">
        <v>105</v>
      </c>
      <c r="R2585" t="s">
        <v>76</v>
      </c>
      <c r="S2585" s="3">
        <v>15.88</v>
      </c>
      <c r="T2585" s="5">
        <v>44781</v>
      </c>
      <c r="U2585">
        <v>1</v>
      </c>
      <c r="V2585">
        <v>2022</v>
      </c>
      <c r="X2585">
        <f t="shared" si="120"/>
        <v>8.5397414999999999</v>
      </c>
      <c r="Y2585">
        <f t="shared" si="121"/>
        <v>15.879741500000002</v>
      </c>
      <c r="Z2585">
        <f t="shared" si="122"/>
        <v>67.399741500000005</v>
      </c>
    </row>
    <row r="2586" spans="1:26" x14ac:dyDescent="0.3">
      <c r="A2586" t="s">
        <v>2676</v>
      </c>
      <c r="B2586" t="s">
        <v>55</v>
      </c>
      <c r="C2586" t="s">
        <v>56</v>
      </c>
      <c r="D2586" t="s">
        <v>57</v>
      </c>
      <c r="E2586">
        <v>21</v>
      </c>
      <c r="F2586" s="3">
        <v>5.93</v>
      </c>
      <c r="G2586" s="4">
        <v>78.2</v>
      </c>
      <c r="H2586">
        <v>2</v>
      </c>
      <c r="I2586">
        <v>0</v>
      </c>
      <c r="J2586">
        <v>2</v>
      </c>
      <c r="K2586" s="4">
        <v>56.9</v>
      </c>
      <c r="L2586" s="4">
        <v>95.2</v>
      </c>
      <c r="M2586" s="4">
        <v>85.3</v>
      </c>
      <c r="N2586">
        <v>0</v>
      </c>
      <c r="O2586" t="s">
        <v>58</v>
      </c>
      <c r="P2586" t="s">
        <v>95</v>
      </c>
      <c r="Q2586" t="s">
        <v>93</v>
      </c>
      <c r="R2586" t="s">
        <v>76</v>
      </c>
      <c r="S2586" s="3">
        <v>6.15</v>
      </c>
      <c r="T2586" s="5">
        <v>45601</v>
      </c>
      <c r="U2586">
        <v>2</v>
      </c>
      <c r="V2586">
        <v>2024</v>
      </c>
      <c r="X2586">
        <f t="shared" si="120"/>
        <v>5.9297413999999993</v>
      </c>
      <c r="Y2586">
        <f t="shared" si="121"/>
        <v>6.1497413999999999</v>
      </c>
      <c r="Z2586">
        <f t="shared" si="122"/>
        <v>95.199741400000008</v>
      </c>
    </row>
    <row r="2587" spans="1:26" x14ac:dyDescent="0.3">
      <c r="A2587" t="s">
        <v>2677</v>
      </c>
      <c r="B2587" t="s">
        <v>82</v>
      </c>
      <c r="C2587" t="s">
        <v>68</v>
      </c>
      <c r="D2587" t="s">
        <v>69</v>
      </c>
      <c r="E2587">
        <v>21</v>
      </c>
      <c r="F2587" s="3">
        <v>7.98</v>
      </c>
      <c r="G2587" s="4">
        <v>63.6</v>
      </c>
      <c r="H2587">
        <v>1</v>
      </c>
      <c r="I2587">
        <v>1</v>
      </c>
      <c r="J2587">
        <v>4</v>
      </c>
      <c r="K2587" s="4">
        <v>93</v>
      </c>
      <c r="L2587" s="4">
        <v>73</v>
      </c>
      <c r="M2587" s="4">
        <v>76</v>
      </c>
      <c r="N2587">
        <v>0</v>
      </c>
      <c r="O2587" t="s">
        <v>58</v>
      </c>
      <c r="P2587" t="s">
        <v>104</v>
      </c>
      <c r="Q2587" t="s">
        <v>105</v>
      </c>
      <c r="R2587" t="s">
        <v>109</v>
      </c>
      <c r="S2587" s="3">
        <v>15.21</v>
      </c>
      <c r="T2587" s="5">
        <v>44843</v>
      </c>
      <c r="U2587">
        <v>1</v>
      </c>
      <c r="V2587">
        <v>2022</v>
      </c>
      <c r="X2587">
        <f t="shared" si="120"/>
        <v>7.9797413000000006</v>
      </c>
      <c r="Y2587">
        <f t="shared" si="121"/>
        <v>15.209741300000001</v>
      </c>
      <c r="Z2587">
        <f t="shared" si="122"/>
        <v>72.999741299999997</v>
      </c>
    </row>
    <row r="2588" spans="1:26" x14ac:dyDescent="0.3">
      <c r="A2588" t="s">
        <v>2678</v>
      </c>
      <c r="B2588" t="s">
        <v>67</v>
      </c>
      <c r="C2588" t="s">
        <v>78</v>
      </c>
      <c r="D2588" t="s">
        <v>69</v>
      </c>
      <c r="E2588">
        <v>21</v>
      </c>
      <c r="F2588" s="3">
        <v>9.25</v>
      </c>
      <c r="G2588" s="4">
        <v>79.8</v>
      </c>
      <c r="H2588">
        <v>1</v>
      </c>
      <c r="I2588">
        <v>2</v>
      </c>
      <c r="J2588">
        <v>2</v>
      </c>
      <c r="K2588" s="4">
        <v>85.6</v>
      </c>
      <c r="L2588" s="4">
        <v>96.5</v>
      </c>
      <c r="M2588" s="4">
        <v>84.7</v>
      </c>
      <c r="N2588">
        <v>0</v>
      </c>
      <c r="O2588" t="s">
        <v>58</v>
      </c>
      <c r="P2588" t="s">
        <v>87</v>
      </c>
      <c r="Q2588" t="s">
        <v>71</v>
      </c>
      <c r="R2588" t="s">
        <v>72</v>
      </c>
      <c r="S2588" s="3">
        <v>9</v>
      </c>
      <c r="T2588" s="5">
        <v>45202</v>
      </c>
      <c r="U2588">
        <v>1</v>
      </c>
      <c r="V2588">
        <v>2023</v>
      </c>
      <c r="X2588">
        <f t="shared" si="120"/>
        <v>9.2497412000000008</v>
      </c>
      <c r="Y2588">
        <f t="shared" si="121"/>
        <v>8.9997412000000008</v>
      </c>
      <c r="Z2588">
        <f t="shared" si="122"/>
        <v>96.499741200000003</v>
      </c>
    </row>
    <row r="2589" spans="1:26" x14ac:dyDescent="0.3">
      <c r="A2589" t="s">
        <v>2679</v>
      </c>
      <c r="B2589" t="s">
        <v>107</v>
      </c>
      <c r="C2589" t="s">
        <v>78</v>
      </c>
      <c r="D2589" t="s">
        <v>57</v>
      </c>
      <c r="E2589">
        <v>23</v>
      </c>
      <c r="F2589" s="3">
        <v>7.31</v>
      </c>
      <c r="G2589" s="4">
        <v>89.6</v>
      </c>
      <c r="H2589">
        <v>1</v>
      </c>
      <c r="I2589">
        <v>0</v>
      </c>
      <c r="J2589">
        <v>2</v>
      </c>
      <c r="K2589" s="4">
        <v>78.599999999999994</v>
      </c>
      <c r="L2589" s="4">
        <v>49.4</v>
      </c>
      <c r="M2589" s="4">
        <v>79</v>
      </c>
      <c r="N2589">
        <v>1</v>
      </c>
      <c r="O2589" t="s">
        <v>58</v>
      </c>
      <c r="P2589" t="s">
        <v>59</v>
      </c>
      <c r="Q2589" t="s">
        <v>60</v>
      </c>
      <c r="R2589" t="s">
        <v>80</v>
      </c>
      <c r="S2589" s="3">
        <v>18.18</v>
      </c>
      <c r="T2589" s="5">
        <v>44458</v>
      </c>
      <c r="U2589">
        <v>3</v>
      </c>
      <c r="V2589">
        <v>2021</v>
      </c>
      <c r="X2589">
        <f t="shared" si="120"/>
        <v>7.3097410999999992</v>
      </c>
      <c r="Y2589">
        <f t="shared" si="121"/>
        <v>18.179741100000001</v>
      </c>
      <c r="Z2589">
        <f t="shared" si="122"/>
        <v>49.3997411</v>
      </c>
    </row>
    <row r="2590" spans="1:26" x14ac:dyDescent="0.3">
      <c r="A2590" t="s">
        <v>2680</v>
      </c>
      <c r="B2590" t="s">
        <v>107</v>
      </c>
      <c r="C2590" t="s">
        <v>56</v>
      </c>
      <c r="D2590" t="s">
        <v>57</v>
      </c>
      <c r="E2590">
        <v>20</v>
      </c>
      <c r="F2590" s="3">
        <v>6.53</v>
      </c>
      <c r="G2590" s="4">
        <v>97</v>
      </c>
      <c r="H2590">
        <v>2</v>
      </c>
      <c r="I2590">
        <v>3</v>
      </c>
      <c r="J2590">
        <v>4</v>
      </c>
      <c r="K2590" s="4">
        <v>70.2</v>
      </c>
      <c r="L2590" s="4">
        <v>83.1</v>
      </c>
      <c r="M2590" s="4">
        <v>54.9</v>
      </c>
      <c r="N2590">
        <v>0</v>
      </c>
      <c r="O2590" t="s">
        <v>58</v>
      </c>
      <c r="P2590" t="s">
        <v>95</v>
      </c>
      <c r="Q2590" t="s">
        <v>93</v>
      </c>
      <c r="R2590" t="s">
        <v>61</v>
      </c>
      <c r="S2590" s="3">
        <v>6.88</v>
      </c>
      <c r="T2590" s="5">
        <v>44410</v>
      </c>
      <c r="U2590">
        <v>1</v>
      </c>
      <c r="V2590">
        <v>2021</v>
      </c>
      <c r="X2590">
        <f t="shared" si="120"/>
        <v>6.5297410000000005</v>
      </c>
      <c r="Y2590">
        <f t="shared" si="121"/>
        <v>6.8797410000000001</v>
      </c>
      <c r="Z2590">
        <f t="shared" si="122"/>
        <v>83.099740999999995</v>
      </c>
    </row>
    <row r="2591" spans="1:26" x14ac:dyDescent="0.3">
      <c r="A2591" t="s">
        <v>2681</v>
      </c>
      <c r="B2591" t="s">
        <v>107</v>
      </c>
      <c r="C2591" t="s">
        <v>101</v>
      </c>
      <c r="D2591" t="s">
        <v>57</v>
      </c>
      <c r="E2591">
        <v>22</v>
      </c>
      <c r="F2591" s="3">
        <v>7.3</v>
      </c>
      <c r="G2591" s="4">
        <v>68.7</v>
      </c>
      <c r="H2591">
        <v>2</v>
      </c>
      <c r="I2591">
        <v>1</v>
      </c>
      <c r="J2591">
        <v>3</v>
      </c>
      <c r="K2591" s="4">
        <v>72.8</v>
      </c>
      <c r="L2591" s="4">
        <v>73.2</v>
      </c>
      <c r="M2591" s="4">
        <v>75.8</v>
      </c>
      <c r="N2591">
        <v>0</v>
      </c>
      <c r="O2591" t="s">
        <v>58</v>
      </c>
      <c r="P2591" t="s">
        <v>112</v>
      </c>
      <c r="Q2591" t="s">
        <v>93</v>
      </c>
      <c r="R2591" t="s">
        <v>80</v>
      </c>
      <c r="S2591" s="3">
        <v>7.26</v>
      </c>
      <c r="T2591" s="5">
        <v>44480</v>
      </c>
      <c r="U2591">
        <v>1</v>
      </c>
      <c r="V2591">
        <v>2021</v>
      </c>
      <c r="X2591">
        <f t="shared" si="120"/>
        <v>7.2997408999999998</v>
      </c>
      <c r="Y2591">
        <f t="shared" si="121"/>
        <v>7.2597408999999997</v>
      </c>
      <c r="Z2591">
        <f t="shared" si="122"/>
        <v>73.199740900000009</v>
      </c>
    </row>
    <row r="2592" spans="1:26" x14ac:dyDescent="0.3">
      <c r="A2592" t="s">
        <v>2682</v>
      </c>
      <c r="B2592" t="s">
        <v>82</v>
      </c>
      <c r="C2592" t="s">
        <v>84</v>
      </c>
      <c r="D2592" t="s">
        <v>57</v>
      </c>
      <c r="E2592">
        <v>23</v>
      </c>
      <c r="F2592" s="3">
        <v>6.28</v>
      </c>
      <c r="G2592" s="4">
        <v>89.5</v>
      </c>
      <c r="H2592">
        <v>1</v>
      </c>
      <c r="I2592">
        <v>5</v>
      </c>
      <c r="J2592">
        <v>4</v>
      </c>
      <c r="K2592" s="4">
        <v>37.700000000000003</v>
      </c>
      <c r="L2592" s="4">
        <v>68.5</v>
      </c>
      <c r="M2592" s="4">
        <v>65.3</v>
      </c>
      <c r="N2592">
        <v>2</v>
      </c>
      <c r="O2592" t="s">
        <v>58</v>
      </c>
      <c r="P2592" t="s">
        <v>92</v>
      </c>
      <c r="Q2592" t="s">
        <v>93</v>
      </c>
      <c r="R2592" t="s">
        <v>61</v>
      </c>
      <c r="S2592" s="3">
        <v>6.94</v>
      </c>
      <c r="T2592" s="5">
        <v>44843</v>
      </c>
      <c r="U2592">
        <v>2</v>
      </c>
      <c r="V2592">
        <v>2022</v>
      </c>
      <c r="X2592">
        <f t="shared" si="120"/>
        <v>6.2797407999999999</v>
      </c>
      <c r="Y2592">
        <f t="shared" si="121"/>
        <v>6.9397408</v>
      </c>
      <c r="Z2592">
        <f t="shared" si="122"/>
        <v>68.499740799999998</v>
      </c>
    </row>
    <row r="2593" spans="1:26" x14ac:dyDescent="0.3">
      <c r="A2593" t="s">
        <v>2683</v>
      </c>
      <c r="B2593" t="s">
        <v>82</v>
      </c>
      <c r="C2593" t="s">
        <v>56</v>
      </c>
      <c r="D2593" t="s">
        <v>69</v>
      </c>
      <c r="E2593">
        <v>20</v>
      </c>
      <c r="F2593" s="3">
        <v>7.85</v>
      </c>
      <c r="G2593" s="4">
        <v>90</v>
      </c>
      <c r="H2593">
        <v>1</v>
      </c>
      <c r="I2593">
        <v>2</v>
      </c>
      <c r="J2593">
        <v>5</v>
      </c>
      <c r="K2593" s="4">
        <v>78.5</v>
      </c>
      <c r="L2593" s="4">
        <v>50.1</v>
      </c>
      <c r="M2593" s="4">
        <v>75.400000000000006</v>
      </c>
      <c r="N2593">
        <v>0</v>
      </c>
      <c r="O2593" t="s">
        <v>58</v>
      </c>
      <c r="P2593" t="s">
        <v>59</v>
      </c>
      <c r="Q2593" t="s">
        <v>60</v>
      </c>
      <c r="R2593" t="s">
        <v>61</v>
      </c>
      <c r="S2593" s="3">
        <v>19.04</v>
      </c>
      <c r="T2593" s="5">
        <v>44779</v>
      </c>
      <c r="U2593">
        <v>1</v>
      </c>
      <c r="V2593">
        <v>2022</v>
      </c>
      <c r="X2593">
        <f t="shared" si="120"/>
        <v>7.8497406999999999</v>
      </c>
      <c r="Y2593">
        <f t="shared" si="121"/>
        <v>19.039740699999999</v>
      </c>
      <c r="Z2593">
        <f t="shared" si="122"/>
        <v>50.099740699999998</v>
      </c>
    </row>
    <row r="2594" spans="1:26" x14ac:dyDescent="0.3">
      <c r="A2594" t="s">
        <v>2684</v>
      </c>
      <c r="B2594" t="s">
        <v>107</v>
      </c>
      <c r="C2594" t="s">
        <v>84</v>
      </c>
      <c r="D2594" t="s">
        <v>57</v>
      </c>
      <c r="E2594">
        <v>21</v>
      </c>
      <c r="F2594" s="3">
        <v>7.58</v>
      </c>
      <c r="G2594" s="4">
        <v>93.7</v>
      </c>
      <c r="H2594">
        <v>2</v>
      </c>
      <c r="I2594">
        <v>3</v>
      </c>
      <c r="J2594">
        <v>5</v>
      </c>
      <c r="K2594" s="4">
        <v>70.5</v>
      </c>
      <c r="L2594" s="4">
        <v>75.099999999999994</v>
      </c>
      <c r="M2594" s="4">
        <v>78.900000000000006</v>
      </c>
      <c r="N2594">
        <v>0</v>
      </c>
      <c r="O2594" t="s">
        <v>58</v>
      </c>
      <c r="P2594" t="s">
        <v>59</v>
      </c>
      <c r="Q2594" t="s">
        <v>60</v>
      </c>
      <c r="R2594" t="s">
        <v>61</v>
      </c>
      <c r="S2594" s="3">
        <v>19.97</v>
      </c>
      <c r="T2594" s="5">
        <v>44430</v>
      </c>
      <c r="U2594">
        <v>3</v>
      </c>
      <c r="V2594">
        <v>2021</v>
      </c>
      <c r="X2594">
        <f t="shared" si="120"/>
        <v>7.5797406000000001</v>
      </c>
      <c r="Y2594">
        <f t="shared" si="121"/>
        <v>19.969740599999998</v>
      </c>
      <c r="Z2594">
        <f t="shared" si="122"/>
        <v>75.09974059999999</v>
      </c>
    </row>
    <row r="2595" spans="1:26" x14ac:dyDescent="0.3">
      <c r="A2595" t="s">
        <v>2685</v>
      </c>
      <c r="B2595" t="s">
        <v>82</v>
      </c>
      <c r="C2595" t="s">
        <v>56</v>
      </c>
      <c r="D2595" t="s">
        <v>69</v>
      </c>
      <c r="E2595">
        <v>23</v>
      </c>
      <c r="F2595" s="3">
        <v>7.94</v>
      </c>
      <c r="G2595" s="4">
        <v>58</v>
      </c>
      <c r="H2595">
        <v>3</v>
      </c>
      <c r="I2595">
        <v>4</v>
      </c>
      <c r="J2595">
        <v>5</v>
      </c>
      <c r="K2595" s="4">
        <v>71.400000000000006</v>
      </c>
      <c r="L2595" s="4">
        <v>100</v>
      </c>
      <c r="M2595" s="4">
        <v>85.4</v>
      </c>
      <c r="N2595">
        <v>0</v>
      </c>
      <c r="O2595" t="s">
        <v>58</v>
      </c>
      <c r="P2595" t="s">
        <v>104</v>
      </c>
      <c r="Q2595" t="s">
        <v>105</v>
      </c>
      <c r="R2595" t="s">
        <v>109</v>
      </c>
      <c r="S2595" s="3">
        <v>16.95</v>
      </c>
      <c r="T2595" s="5">
        <v>44862</v>
      </c>
      <c r="U2595">
        <v>1</v>
      </c>
      <c r="V2595">
        <v>2022</v>
      </c>
      <c r="X2595">
        <f t="shared" si="120"/>
        <v>7.9397405000000001</v>
      </c>
      <c r="Y2595">
        <f t="shared" si="121"/>
        <v>16.949740500000001</v>
      </c>
      <c r="Z2595">
        <f t="shared" si="122"/>
        <v>99.999740500000001</v>
      </c>
    </row>
    <row r="2596" spans="1:26" x14ac:dyDescent="0.3">
      <c r="A2596" t="s">
        <v>2686</v>
      </c>
      <c r="B2596" t="s">
        <v>63</v>
      </c>
      <c r="C2596" t="s">
        <v>56</v>
      </c>
      <c r="D2596" t="s">
        <v>57</v>
      </c>
      <c r="E2596">
        <v>20</v>
      </c>
      <c r="F2596" s="3">
        <v>7.53</v>
      </c>
      <c r="G2596" s="4">
        <v>96.9</v>
      </c>
      <c r="H2596">
        <v>1</v>
      </c>
      <c r="I2596">
        <v>4</v>
      </c>
      <c r="J2596">
        <v>4</v>
      </c>
      <c r="K2596" s="4">
        <v>71.099999999999994</v>
      </c>
      <c r="L2596" s="4">
        <v>76.599999999999994</v>
      </c>
      <c r="M2596" s="4">
        <v>62.2</v>
      </c>
      <c r="N2596">
        <v>0</v>
      </c>
      <c r="O2596" t="s">
        <v>58</v>
      </c>
      <c r="P2596" t="s">
        <v>112</v>
      </c>
      <c r="Q2596" t="s">
        <v>93</v>
      </c>
      <c r="R2596" t="s">
        <v>61</v>
      </c>
      <c r="S2596" s="3">
        <v>6.63</v>
      </c>
      <c r="T2596" s="5">
        <v>45915</v>
      </c>
      <c r="U2596">
        <v>1</v>
      </c>
      <c r="V2596">
        <v>2025</v>
      </c>
      <c r="X2596">
        <f t="shared" si="120"/>
        <v>7.5297404000000006</v>
      </c>
      <c r="Y2596">
        <f t="shared" si="121"/>
        <v>6.6297404000000002</v>
      </c>
      <c r="Z2596">
        <f t="shared" si="122"/>
        <v>76.599740399999988</v>
      </c>
    </row>
    <row r="2597" spans="1:26" x14ac:dyDescent="0.3">
      <c r="A2597" t="s">
        <v>2687</v>
      </c>
      <c r="B2597" t="s">
        <v>63</v>
      </c>
      <c r="C2597" t="s">
        <v>56</v>
      </c>
      <c r="D2597" t="s">
        <v>69</v>
      </c>
      <c r="E2597">
        <v>22</v>
      </c>
      <c r="F2597" s="3">
        <v>7.83</v>
      </c>
      <c r="G2597" s="4">
        <v>86</v>
      </c>
      <c r="H2597">
        <v>1</v>
      </c>
      <c r="I2597">
        <v>2</v>
      </c>
      <c r="J2597">
        <v>4</v>
      </c>
      <c r="K2597" s="4">
        <v>61.4</v>
      </c>
      <c r="L2597" s="4">
        <v>69.3</v>
      </c>
      <c r="M2597" s="4">
        <v>62.6</v>
      </c>
      <c r="N2597">
        <v>0</v>
      </c>
      <c r="O2597" t="s">
        <v>64</v>
      </c>
      <c r="P2597" t="s">
        <v>65</v>
      </c>
      <c r="S2597" s="3">
        <v>0</v>
      </c>
      <c r="T2597" s="5"/>
      <c r="U2597">
        <v>0</v>
      </c>
      <c r="V2597">
        <v>2025</v>
      </c>
      <c r="X2597">
        <f t="shared" si="120"/>
        <v>7.8297403000000001</v>
      </c>
      <c r="Y2597">
        <f t="shared" si="121"/>
        <v>-2.5969999999999997E-4</v>
      </c>
      <c r="Z2597">
        <f t="shared" si="122"/>
        <v>69.299740299999996</v>
      </c>
    </row>
    <row r="2598" spans="1:26" x14ac:dyDescent="0.3">
      <c r="A2598" t="s">
        <v>2688</v>
      </c>
      <c r="B2598" t="s">
        <v>82</v>
      </c>
      <c r="C2598" t="s">
        <v>56</v>
      </c>
      <c r="D2598" t="s">
        <v>57</v>
      </c>
      <c r="E2598">
        <v>22</v>
      </c>
      <c r="F2598" s="3">
        <v>8.06</v>
      </c>
      <c r="G2598" s="4">
        <v>86.1</v>
      </c>
      <c r="H2598">
        <v>1</v>
      </c>
      <c r="I2598">
        <v>1</v>
      </c>
      <c r="J2598">
        <v>3</v>
      </c>
      <c r="K2598" s="4">
        <v>54.7</v>
      </c>
      <c r="L2598" s="4">
        <v>72.2</v>
      </c>
      <c r="M2598" s="4">
        <v>68.3</v>
      </c>
      <c r="N2598">
        <v>0</v>
      </c>
      <c r="O2598" t="s">
        <v>58</v>
      </c>
      <c r="P2598" t="s">
        <v>90</v>
      </c>
      <c r="Q2598" t="s">
        <v>60</v>
      </c>
      <c r="R2598" t="s">
        <v>61</v>
      </c>
      <c r="S2598" s="3">
        <v>9.26</v>
      </c>
      <c r="T2598" s="5">
        <v>44834</v>
      </c>
      <c r="U2598">
        <v>1</v>
      </c>
      <c r="V2598">
        <v>2022</v>
      </c>
      <c r="X2598">
        <f t="shared" si="120"/>
        <v>8.0597402000000002</v>
      </c>
      <c r="Y2598">
        <f t="shared" si="121"/>
        <v>9.2597401999999995</v>
      </c>
      <c r="Z2598">
        <f t="shared" si="122"/>
        <v>72.199740200000008</v>
      </c>
    </row>
    <row r="2599" spans="1:26" x14ac:dyDescent="0.3">
      <c r="A2599" t="s">
        <v>2689</v>
      </c>
      <c r="B2599" t="s">
        <v>107</v>
      </c>
      <c r="C2599" t="s">
        <v>101</v>
      </c>
      <c r="D2599" t="s">
        <v>57</v>
      </c>
      <c r="E2599">
        <v>20</v>
      </c>
      <c r="F2599" s="3">
        <v>6.57</v>
      </c>
      <c r="G2599" s="4">
        <v>91.4</v>
      </c>
      <c r="H2599">
        <v>1</v>
      </c>
      <c r="I2599">
        <v>2</v>
      </c>
      <c r="J2599">
        <v>5</v>
      </c>
      <c r="K2599" s="4">
        <v>69.3</v>
      </c>
      <c r="L2599" s="4">
        <v>78.8</v>
      </c>
      <c r="M2599" s="4">
        <v>91.6</v>
      </c>
      <c r="N2599">
        <v>0</v>
      </c>
      <c r="O2599" t="s">
        <v>64</v>
      </c>
      <c r="P2599" t="s">
        <v>65</v>
      </c>
      <c r="S2599" s="3">
        <v>0</v>
      </c>
      <c r="T2599" s="5"/>
      <c r="U2599">
        <v>0</v>
      </c>
      <c r="V2599">
        <v>2021</v>
      </c>
      <c r="X2599">
        <f t="shared" si="120"/>
        <v>6.5697401000000006</v>
      </c>
      <c r="Y2599">
        <f t="shared" si="121"/>
        <v>-2.5989999999999997E-4</v>
      </c>
      <c r="Z2599">
        <f t="shared" si="122"/>
        <v>78.799740099999994</v>
      </c>
    </row>
    <row r="2600" spans="1:26" x14ac:dyDescent="0.3">
      <c r="A2600" t="s">
        <v>2690</v>
      </c>
      <c r="B2600" t="s">
        <v>82</v>
      </c>
      <c r="C2600" t="s">
        <v>56</v>
      </c>
      <c r="D2600" t="s">
        <v>57</v>
      </c>
      <c r="E2600">
        <v>23</v>
      </c>
      <c r="F2600" s="3">
        <v>7.96</v>
      </c>
      <c r="G2600" s="4">
        <v>64</v>
      </c>
      <c r="H2600">
        <v>0</v>
      </c>
      <c r="I2600">
        <v>2</v>
      </c>
      <c r="J2600">
        <v>4</v>
      </c>
      <c r="K2600" s="4">
        <v>49.3</v>
      </c>
      <c r="L2600" s="4">
        <v>93.4</v>
      </c>
      <c r="M2600" s="4">
        <v>69.599999999999994</v>
      </c>
      <c r="N2600">
        <v>0</v>
      </c>
      <c r="O2600" t="s">
        <v>58</v>
      </c>
      <c r="P2600" t="s">
        <v>112</v>
      </c>
      <c r="Q2600" t="s">
        <v>93</v>
      </c>
      <c r="R2600" t="s">
        <v>130</v>
      </c>
      <c r="S2600" s="3">
        <v>7.44</v>
      </c>
      <c r="T2600" s="5">
        <v>44887</v>
      </c>
      <c r="U2600">
        <v>2</v>
      </c>
      <c r="V2600">
        <v>2022</v>
      </c>
      <c r="X2600">
        <f t="shared" si="120"/>
        <v>7.95974</v>
      </c>
      <c r="Y2600">
        <f t="shared" si="121"/>
        <v>7.4397400000000005</v>
      </c>
      <c r="Z2600">
        <f t="shared" si="122"/>
        <v>93.399740000000008</v>
      </c>
    </row>
    <row r="2601" spans="1:26" x14ac:dyDescent="0.3">
      <c r="A2601" t="s">
        <v>2691</v>
      </c>
      <c r="B2601" t="s">
        <v>82</v>
      </c>
      <c r="C2601" t="s">
        <v>74</v>
      </c>
      <c r="D2601" t="s">
        <v>69</v>
      </c>
      <c r="E2601">
        <v>21</v>
      </c>
      <c r="F2601" s="3">
        <v>8.9499999999999993</v>
      </c>
      <c r="G2601" s="4">
        <v>91.1</v>
      </c>
      <c r="H2601">
        <v>1</v>
      </c>
      <c r="I2601">
        <v>1</v>
      </c>
      <c r="J2601">
        <v>2</v>
      </c>
      <c r="K2601" s="4">
        <v>71.900000000000006</v>
      </c>
      <c r="L2601" s="4">
        <v>64.5</v>
      </c>
      <c r="M2601" s="4">
        <v>80.400000000000006</v>
      </c>
      <c r="N2601">
        <v>0</v>
      </c>
      <c r="O2601" t="s">
        <v>58</v>
      </c>
      <c r="P2601" t="s">
        <v>70</v>
      </c>
      <c r="Q2601" t="s">
        <v>71</v>
      </c>
      <c r="R2601" t="s">
        <v>130</v>
      </c>
      <c r="S2601" s="3">
        <v>6.54</v>
      </c>
      <c r="T2601" s="5">
        <v>44835</v>
      </c>
      <c r="U2601">
        <v>1</v>
      </c>
      <c r="V2601">
        <v>2022</v>
      </c>
      <c r="X2601">
        <f t="shared" si="120"/>
        <v>8.9497398999999991</v>
      </c>
      <c r="Y2601">
        <f t="shared" si="121"/>
        <v>6.5397398999999998</v>
      </c>
      <c r="Z2601">
        <f t="shared" si="122"/>
        <v>64.499739899999994</v>
      </c>
    </row>
    <row r="2602" spans="1:26" x14ac:dyDescent="0.3">
      <c r="A2602" t="s">
        <v>2692</v>
      </c>
      <c r="B2602" t="s">
        <v>82</v>
      </c>
      <c r="C2602" t="s">
        <v>56</v>
      </c>
      <c r="D2602" t="s">
        <v>69</v>
      </c>
      <c r="E2602">
        <v>20</v>
      </c>
      <c r="F2602" s="3">
        <v>6.78</v>
      </c>
      <c r="G2602" s="4">
        <v>100</v>
      </c>
      <c r="H2602">
        <v>1</v>
      </c>
      <c r="I2602">
        <v>1</v>
      </c>
      <c r="J2602">
        <v>2</v>
      </c>
      <c r="K2602" s="4">
        <v>53.6</v>
      </c>
      <c r="L2602" s="4">
        <v>72.8</v>
      </c>
      <c r="M2602" s="4">
        <v>73.3</v>
      </c>
      <c r="N2602">
        <v>0</v>
      </c>
      <c r="O2602" t="s">
        <v>64</v>
      </c>
      <c r="P2602" t="s">
        <v>65</v>
      </c>
      <c r="S2602" s="3">
        <v>0</v>
      </c>
      <c r="T2602" s="5"/>
      <c r="U2602">
        <v>0</v>
      </c>
      <c r="V2602">
        <v>2022</v>
      </c>
      <c r="X2602">
        <f t="shared" si="120"/>
        <v>6.7797398000000006</v>
      </c>
      <c r="Y2602">
        <f t="shared" si="121"/>
        <v>-2.6019999999999998E-4</v>
      </c>
      <c r="Z2602">
        <f t="shared" si="122"/>
        <v>72.799739799999998</v>
      </c>
    </row>
    <row r="2603" spans="1:26" x14ac:dyDescent="0.3">
      <c r="A2603" t="s">
        <v>2693</v>
      </c>
      <c r="B2603" t="s">
        <v>67</v>
      </c>
      <c r="C2603" t="s">
        <v>74</v>
      </c>
      <c r="D2603" t="s">
        <v>69</v>
      </c>
      <c r="E2603">
        <v>21</v>
      </c>
      <c r="F2603" s="3">
        <v>7.93</v>
      </c>
      <c r="G2603" s="4">
        <v>69.7</v>
      </c>
      <c r="H2603">
        <v>2</v>
      </c>
      <c r="I2603">
        <v>1</v>
      </c>
      <c r="J2603">
        <v>3</v>
      </c>
      <c r="K2603" s="4">
        <v>81.5</v>
      </c>
      <c r="L2603" s="4">
        <v>70.099999999999994</v>
      </c>
      <c r="M2603" s="4">
        <v>69.3</v>
      </c>
      <c r="N2603">
        <v>2</v>
      </c>
      <c r="O2603" t="s">
        <v>58</v>
      </c>
      <c r="P2603" t="s">
        <v>90</v>
      </c>
      <c r="Q2603" t="s">
        <v>60</v>
      </c>
      <c r="R2603" t="s">
        <v>61</v>
      </c>
      <c r="S2603" s="3">
        <v>7.7</v>
      </c>
      <c r="T2603" s="5">
        <v>45224</v>
      </c>
      <c r="U2603">
        <v>2</v>
      </c>
      <c r="V2603">
        <v>2023</v>
      </c>
      <c r="X2603">
        <f t="shared" si="120"/>
        <v>7.9297396999999998</v>
      </c>
      <c r="Y2603">
        <f t="shared" si="121"/>
        <v>7.6997397000000003</v>
      </c>
      <c r="Z2603">
        <f t="shared" si="122"/>
        <v>70.099739700000001</v>
      </c>
    </row>
    <row r="2604" spans="1:26" x14ac:dyDescent="0.3">
      <c r="A2604" t="s">
        <v>2694</v>
      </c>
      <c r="B2604" t="s">
        <v>63</v>
      </c>
      <c r="C2604" t="s">
        <v>56</v>
      </c>
      <c r="D2604" t="s">
        <v>69</v>
      </c>
      <c r="E2604">
        <v>22</v>
      </c>
      <c r="F2604" s="3">
        <v>8.82</v>
      </c>
      <c r="G2604" s="4">
        <v>81.400000000000006</v>
      </c>
      <c r="H2604">
        <v>0</v>
      </c>
      <c r="I2604">
        <v>1</v>
      </c>
      <c r="J2604">
        <v>2</v>
      </c>
      <c r="K2604" s="4">
        <v>48</v>
      </c>
      <c r="L2604" s="4">
        <v>63.2</v>
      </c>
      <c r="M2604" s="4">
        <v>75.599999999999994</v>
      </c>
      <c r="N2604">
        <v>2</v>
      </c>
      <c r="O2604" t="s">
        <v>64</v>
      </c>
      <c r="P2604" t="s">
        <v>65</v>
      </c>
      <c r="S2604" s="3">
        <v>0</v>
      </c>
      <c r="T2604" s="5"/>
      <c r="U2604">
        <v>0</v>
      </c>
      <c r="V2604">
        <v>2025</v>
      </c>
      <c r="X2604">
        <f t="shared" si="120"/>
        <v>8.8197396000000001</v>
      </c>
      <c r="Y2604">
        <f t="shared" si="121"/>
        <v>-2.6039999999999999E-4</v>
      </c>
      <c r="Z2604">
        <f t="shared" si="122"/>
        <v>63.199739600000001</v>
      </c>
    </row>
    <row r="2605" spans="1:26" x14ac:dyDescent="0.3">
      <c r="A2605" t="s">
        <v>2695</v>
      </c>
      <c r="B2605" t="s">
        <v>55</v>
      </c>
      <c r="C2605" t="s">
        <v>78</v>
      </c>
      <c r="D2605" t="s">
        <v>69</v>
      </c>
      <c r="E2605">
        <v>20</v>
      </c>
      <c r="F2605" s="3">
        <v>6.61</v>
      </c>
      <c r="G2605" s="4">
        <v>82.3</v>
      </c>
      <c r="H2605">
        <v>0</v>
      </c>
      <c r="I2605">
        <v>0</v>
      </c>
      <c r="J2605">
        <v>3</v>
      </c>
      <c r="K2605" s="4">
        <v>67.400000000000006</v>
      </c>
      <c r="L2605" s="4">
        <v>72.900000000000006</v>
      </c>
      <c r="M2605" s="4">
        <v>83.5</v>
      </c>
      <c r="N2605">
        <v>0</v>
      </c>
      <c r="O2605" t="s">
        <v>58</v>
      </c>
      <c r="P2605" t="s">
        <v>92</v>
      </c>
      <c r="Q2605" t="s">
        <v>93</v>
      </c>
      <c r="R2605" t="s">
        <v>109</v>
      </c>
      <c r="S2605" s="3">
        <v>8.25</v>
      </c>
      <c r="T2605" s="5">
        <v>45616</v>
      </c>
      <c r="U2605">
        <v>2</v>
      </c>
      <c r="V2605">
        <v>2024</v>
      </c>
      <c r="X2605">
        <f t="shared" si="120"/>
        <v>6.6097394999999999</v>
      </c>
      <c r="Y2605">
        <f t="shared" si="121"/>
        <v>8.2497395000000004</v>
      </c>
      <c r="Z2605">
        <f t="shared" si="122"/>
        <v>72.89973950000001</v>
      </c>
    </row>
    <row r="2606" spans="1:26" x14ac:dyDescent="0.3">
      <c r="A2606" t="s">
        <v>2696</v>
      </c>
      <c r="B2606" t="s">
        <v>55</v>
      </c>
      <c r="C2606" t="s">
        <v>56</v>
      </c>
      <c r="D2606" t="s">
        <v>57</v>
      </c>
      <c r="E2606">
        <v>22</v>
      </c>
      <c r="F2606" s="3">
        <v>8.3699999999999992</v>
      </c>
      <c r="G2606" s="4">
        <v>85.2</v>
      </c>
      <c r="H2606">
        <v>1</v>
      </c>
      <c r="I2606">
        <v>2</v>
      </c>
      <c r="J2606">
        <v>4</v>
      </c>
      <c r="K2606" s="4">
        <v>69</v>
      </c>
      <c r="L2606" s="4">
        <v>93</v>
      </c>
      <c r="M2606" s="4">
        <v>82.1</v>
      </c>
      <c r="N2606">
        <v>1</v>
      </c>
      <c r="O2606" t="s">
        <v>58</v>
      </c>
      <c r="P2606" t="s">
        <v>90</v>
      </c>
      <c r="Q2606" t="s">
        <v>60</v>
      </c>
      <c r="R2606" t="s">
        <v>85</v>
      </c>
      <c r="S2606" s="3">
        <v>9.85</v>
      </c>
      <c r="T2606" s="5">
        <v>45529</v>
      </c>
      <c r="U2606">
        <v>2</v>
      </c>
      <c r="V2606">
        <v>2024</v>
      </c>
      <c r="X2606">
        <f t="shared" si="120"/>
        <v>8.3697393999999985</v>
      </c>
      <c r="Y2606">
        <f t="shared" si="121"/>
        <v>9.8497393999999989</v>
      </c>
      <c r="Z2606">
        <f t="shared" si="122"/>
        <v>92.999739399999996</v>
      </c>
    </row>
    <row r="2607" spans="1:26" x14ac:dyDescent="0.3">
      <c r="A2607" t="s">
        <v>2697</v>
      </c>
      <c r="B2607" t="s">
        <v>67</v>
      </c>
      <c r="C2607" t="s">
        <v>101</v>
      </c>
      <c r="D2607" t="s">
        <v>57</v>
      </c>
      <c r="E2607">
        <v>21</v>
      </c>
      <c r="F2607" s="3">
        <v>7.45</v>
      </c>
      <c r="G2607" s="4">
        <v>85.8</v>
      </c>
      <c r="H2607">
        <v>1</v>
      </c>
      <c r="I2607">
        <v>1</v>
      </c>
      <c r="J2607">
        <v>1</v>
      </c>
      <c r="K2607" s="4">
        <v>85.1</v>
      </c>
      <c r="L2607" s="4">
        <v>60.2</v>
      </c>
      <c r="M2607" s="4">
        <v>59.5</v>
      </c>
      <c r="N2607">
        <v>0</v>
      </c>
      <c r="O2607" t="s">
        <v>64</v>
      </c>
      <c r="P2607" t="s">
        <v>65</v>
      </c>
      <c r="S2607" s="3">
        <v>0</v>
      </c>
      <c r="T2607" s="5"/>
      <c r="U2607">
        <v>0</v>
      </c>
      <c r="V2607">
        <v>2023</v>
      </c>
      <c r="X2607">
        <f t="shared" si="120"/>
        <v>7.4497393000000001</v>
      </c>
      <c r="Y2607">
        <f t="shared" si="121"/>
        <v>-2.6069999999999999E-4</v>
      </c>
      <c r="Z2607">
        <f t="shared" si="122"/>
        <v>60.199739300000005</v>
      </c>
    </row>
    <row r="2608" spans="1:26" x14ac:dyDescent="0.3">
      <c r="A2608" t="s">
        <v>2698</v>
      </c>
      <c r="B2608" t="s">
        <v>82</v>
      </c>
      <c r="C2608" t="s">
        <v>101</v>
      </c>
      <c r="D2608" t="s">
        <v>69</v>
      </c>
      <c r="E2608">
        <v>21</v>
      </c>
      <c r="F2608" s="3">
        <v>8.56</v>
      </c>
      <c r="G2608" s="4">
        <v>76</v>
      </c>
      <c r="H2608">
        <v>1</v>
      </c>
      <c r="I2608">
        <v>2</v>
      </c>
      <c r="J2608">
        <v>4</v>
      </c>
      <c r="K2608" s="4">
        <v>71.599999999999994</v>
      </c>
      <c r="L2608" s="4">
        <v>75.5</v>
      </c>
      <c r="M2608" s="4">
        <v>78</v>
      </c>
      <c r="N2608">
        <v>1</v>
      </c>
      <c r="O2608" t="s">
        <v>58</v>
      </c>
      <c r="P2608" t="s">
        <v>75</v>
      </c>
      <c r="Q2608" t="s">
        <v>71</v>
      </c>
      <c r="R2608" t="s">
        <v>85</v>
      </c>
      <c r="S2608" s="3">
        <v>6.97</v>
      </c>
      <c r="T2608" s="5">
        <v>44846</v>
      </c>
      <c r="U2608">
        <v>1</v>
      </c>
      <c r="V2608">
        <v>2022</v>
      </c>
      <c r="X2608">
        <f t="shared" si="120"/>
        <v>8.559739200000001</v>
      </c>
      <c r="Y2608">
        <f t="shared" si="121"/>
        <v>6.9697391999999994</v>
      </c>
      <c r="Z2608">
        <f t="shared" si="122"/>
        <v>75.499739199999993</v>
      </c>
    </row>
    <row r="2609" spans="1:26" x14ac:dyDescent="0.3">
      <c r="A2609" t="s">
        <v>2699</v>
      </c>
      <c r="B2609" t="s">
        <v>67</v>
      </c>
      <c r="C2609" t="s">
        <v>56</v>
      </c>
      <c r="D2609" t="s">
        <v>69</v>
      </c>
      <c r="E2609">
        <v>20</v>
      </c>
      <c r="F2609" s="3">
        <v>6.91</v>
      </c>
      <c r="G2609" s="4">
        <v>82.4</v>
      </c>
      <c r="H2609">
        <v>2</v>
      </c>
      <c r="I2609">
        <v>3</v>
      </c>
      <c r="J2609">
        <v>5</v>
      </c>
      <c r="K2609" s="4">
        <v>56.6</v>
      </c>
      <c r="L2609" s="4">
        <v>76</v>
      </c>
      <c r="M2609" s="4">
        <v>93.6</v>
      </c>
      <c r="N2609">
        <v>0</v>
      </c>
      <c r="O2609" t="s">
        <v>64</v>
      </c>
      <c r="P2609" t="s">
        <v>65</v>
      </c>
      <c r="S2609" s="3">
        <v>0</v>
      </c>
      <c r="T2609" s="5"/>
      <c r="U2609">
        <v>0</v>
      </c>
      <c r="V2609">
        <v>2023</v>
      </c>
      <c r="X2609">
        <f t="shared" si="120"/>
        <v>6.9097391000000004</v>
      </c>
      <c r="Y2609">
        <f t="shared" si="121"/>
        <v>-2.609E-4</v>
      </c>
      <c r="Z2609">
        <f t="shared" si="122"/>
        <v>75.999739099999999</v>
      </c>
    </row>
    <row r="2610" spans="1:26" x14ac:dyDescent="0.3">
      <c r="A2610" t="s">
        <v>2700</v>
      </c>
      <c r="B2610" t="s">
        <v>67</v>
      </c>
      <c r="C2610" t="s">
        <v>84</v>
      </c>
      <c r="D2610" t="s">
        <v>69</v>
      </c>
      <c r="E2610">
        <v>20</v>
      </c>
      <c r="F2610" s="3">
        <v>7.64</v>
      </c>
      <c r="G2610" s="4">
        <v>97.7</v>
      </c>
      <c r="H2610">
        <v>1</v>
      </c>
      <c r="I2610">
        <v>2</v>
      </c>
      <c r="J2610">
        <v>2</v>
      </c>
      <c r="K2610" s="4">
        <v>55.5</v>
      </c>
      <c r="L2610" s="4">
        <v>69.900000000000006</v>
      </c>
      <c r="M2610" s="4">
        <v>77.7</v>
      </c>
      <c r="N2610">
        <v>0</v>
      </c>
      <c r="O2610" t="s">
        <v>58</v>
      </c>
      <c r="P2610" t="s">
        <v>92</v>
      </c>
      <c r="Q2610" t="s">
        <v>93</v>
      </c>
      <c r="R2610" t="s">
        <v>76</v>
      </c>
      <c r="S2610" s="3">
        <v>10.44</v>
      </c>
      <c r="T2610" s="5">
        <v>45231</v>
      </c>
      <c r="U2610">
        <v>2</v>
      </c>
      <c r="V2610">
        <v>2023</v>
      </c>
      <c r="X2610">
        <f t="shared" si="120"/>
        <v>7.6397389999999996</v>
      </c>
      <c r="Y2610">
        <f t="shared" si="121"/>
        <v>10.439738999999999</v>
      </c>
      <c r="Z2610">
        <f t="shared" si="122"/>
        <v>69.899739000000011</v>
      </c>
    </row>
    <row r="2611" spans="1:26" x14ac:dyDescent="0.3">
      <c r="A2611" t="s">
        <v>2701</v>
      </c>
      <c r="B2611" t="s">
        <v>107</v>
      </c>
      <c r="C2611" t="s">
        <v>56</v>
      </c>
      <c r="D2611" t="s">
        <v>57</v>
      </c>
      <c r="E2611">
        <v>20</v>
      </c>
      <c r="F2611" s="3">
        <v>6.28</v>
      </c>
      <c r="G2611" s="4">
        <v>85.7</v>
      </c>
      <c r="H2611">
        <v>1</v>
      </c>
      <c r="I2611">
        <v>4</v>
      </c>
      <c r="J2611">
        <v>2</v>
      </c>
      <c r="K2611" s="4">
        <v>88.3</v>
      </c>
      <c r="L2611" s="4">
        <v>76.5</v>
      </c>
      <c r="M2611" s="4">
        <v>87.6</v>
      </c>
      <c r="N2611">
        <v>1</v>
      </c>
      <c r="O2611" t="s">
        <v>64</v>
      </c>
      <c r="P2611" t="s">
        <v>65</v>
      </c>
      <c r="S2611" s="3">
        <v>0</v>
      </c>
      <c r="T2611" s="5"/>
      <c r="U2611">
        <v>0</v>
      </c>
      <c r="V2611">
        <v>2021</v>
      </c>
      <c r="X2611">
        <f t="shared" si="120"/>
        <v>6.2797388999999999</v>
      </c>
      <c r="Y2611">
        <f t="shared" si="121"/>
        <v>-2.611E-4</v>
      </c>
      <c r="Z2611">
        <f t="shared" si="122"/>
        <v>76.499738899999997</v>
      </c>
    </row>
    <row r="2612" spans="1:26" x14ac:dyDescent="0.3">
      <c r="A2612" t="s">
        <v>2702</v>
      </c>
      <c r="B2612" t="s">
        <v>63</v>
      </c>
      <c r="C2612" t="s">
        <v>56</v>
      </c>
      <c r="D2612" t="s">
        <v>57</v>
      </c>
      <c r="E2612">
        <v>22</v>
      </c>
      <c r="F2612" s="3">
        <v>8.0399999999999991</v>
      </c>
      <c r="G2612" s="4">
        <v>85.3</v>
      </c>
      <c r="H2612">
        <v>1</v>
      </c>
      <c r="I2612">
        <v>0</v>
      </c>
      <c r="J2612">
        <v>1</v>
      </c>
      <c r="K2612" s="4">
        <v>67.5</v>
      </c>
      <c r="L2612" s="4">
        <v>75.8</v>
      </c>
      <c r="M2612" s="4">
        <v>94.9</v>
      </c>
      <c r="N2612">
        <v>0</v>
      </c>
      <c r="O2612" t="s">
        <v>58</v>
      </c>
      <c r="P2612" t="s">
        <v>104</v>
      </c>
      <c r="Q2612" t="s">
        <v>105</v>
      </c>
      <c r="R2612" t="s">
        <v>61</v>
      </c>
      <c r="S2612" s="3">
        <v>15.73</v>
      </c>
      <c r="T2612" s="5">
        <v>45902</v>
      </c>
      <c r="U2612">
        <v>1</v>
      </c>
      <c r="V2612">
        <v>2025</v>
      </c>
      <c r="X2612">
        <f t="shared" si="120"/>
        <v>8.0397387999999985</v>
      </c>
      <c r="Y2612">
        <f t="shared" si="121"/>
        <v>15.7297388</v>
      </c>
      <c r="Z2612">
        <f t="shared" si="122"/>
        <v>75.7997388</v>
      </c>
    </row>
    <row r="2613" spans="1:26" x14ac:dyDescent="0.3">
      <c r="A2613" t="s">
        <v>2703</v>
      </c>
      <c r="B2613" t="s">
        <v>55</v>
      </c>
      <c r="C2613" t="s">
        <v>56</v>
      </c>
      <c r="D2613" t="s">
        <v>69</v>
      </c>
      <c r="E2613">
        <v>21</v>
      </c>
      <c r="F2613" s="3">
        <v>8.0500000000000007</v>
      </c>
      <c r="G2613" s="4">
        <v>75.599999999999994</v>
      </c>
      <c r="H2613">
        <v>2</v>
      </c>
      <c r="I2613">
        <v>3</v>
      </c>
      <c r="J2613">
        <v>4</v>
      </c>
      <c r="K2613" s="4">
        <v>65.3</v>
      </c>
      <c r="L2613" s="4">
        <v>56.3</v>
      </c>
      <c r="M2613" s="4">
        <v>76</v>
      </c>
      <c r="N2613">
        <v>0</v>
      </c>
      <c r="O2613" t="s">
        <v>58</v>
      </c>
      <c r="P2613" t="s">
        <v>59</v>
      </c>
      <c r="Q2613" t="s">
        <v>60</v>
      </c>
      <c r="R2613" t="s">
        <v>85</v>
      </c>
      <c r="S2613" s="3">
        <v>19.45</v>
      </c>
      <c r="T2613" s="5">
        <v>45611</v>
      </c>
      <c r="U2613">
        <v>3</v>
      </c>
      <c r="V2613">
        <v>2024</v>
      </c>
      <c r="X2613">
        <f t="shared" si="120"/>
        <v>8.0497387000000007</v>
      </c>
      <c r="Y2613">
        <f t="shared" si="121"/>
        <v>19.449738700000001</v>
      </c>
      <c r="Z2613">
        <f t="shared" si="122"/>
        <v>56.299738699999999</v>
      </c>
    </row>
    <row r="2614" spans="1:26" x14ac:dyDescent="0.3">
      <c r="A2614" t="s">
        <v>2704</v>
      </c>
      <c r="B2614" t="s">
        <v>82</v>
      </c>
      <c r="C2614" t="s">
        <v>74</v>
      </c>
      <c r="D2614" t="s">
        <v>57</v>
      </c>
      <c r="E2614">
        <v>21</v>
      </c>
      <c r="F2614" s="3">
        <v>8.14</v>
      </c>
      <c r="G2614" s="4">
        <v>94.1</v>
      </c>
      <c r="H2614">
        <v>1</v>
      </c>
      <c r="I2614">
        <v>1</v>
      </c>
      <c r="J2614">
        <v>4</v>
      </c>
      <c r="K2614" s="4">
        <v>58.3</v>
      </c>
      <c r="L2614" s="4">
        <v>69.099999999999994</v>
      </c>
      <c r="M2614" s="4">
        <v>73.3</v>
      </c>
      <c r="N2614">
        <v>0</v>
      </c>
      <c r="O2614" t="s">
        <v>58</v>
      </c>
      <c r="P2614" t="s">
        <v>70</v>
      </c>
      <c r="Q2614" t="s">
        <v>71</v>
      </c>
      <c r="R2614" t="s">
        <v>76</v>
      </c>
      <c r="S2614" s="3">
        <v>5.78</v>
      </c>
      <c r="T2614" s="5">
        <v>44781</v>
      </c>
      <c r="U2614">
        <v>1</v>
      </c>
      <c r="V2614">
        <v>2022</v>
      </c>
      <c r="X2614">
        <f t="shared" si="120"/>
        <v>8.1397386000000012</v>
      </c>
      <c r="Y2614">
        <f t="shared" si="121"/>
        <v>5.7797385999999999</v>
      </c>
      <c r="Z2614">
        <f t="shared" si="122"/>
        <v>69.099738599999995</v>
      </c>
    </row>
    <row r="2615" spans="1:26" x14ac:dyDescent="0.3">
      <c r="A2615" t="s">
        <v>2705</v>
      </c>
      <c r="B2615" t="s">
        <v>55</v>
      </c>
      <c r="C2615" t="s">
        <v>68</v>
      </c>
      <c r="D2615" t="s">
        <v>57</v>
      </c>
      <c r="E2615">
        <v>22</v>
      </c>
      <c r="F2615" s="3">
        <v>8.09</v>
      </c>
      <c r="G2615" s="4">
        <v>80</v>
      </c>
      <c r="H2615">
        <v>1</v>
      </c>
      <c r="I2615">
        <v>4</v>
      </c>
      <c r="J2615">
        <v>3</v>
      </c>
      <c r="K2615" s="4">
        <v>51</v>
      </c>
      <c r="L2615" s="4">
        <v>69.8</v>
      </c>
      <c r="M2615" s="4">
        <v>79.2</v>
      </c>
      <c r="N2615">
        <v>2</v>
      </c>
      <c r="O2615" t="s">
        <v>58</v>
      </c>
      <c r="P2615" t="s">
        <v>90</v>
      </c>
      <c r="Q2615" t="s">
        <v>60</v>
      </c>
      <c r="R2615" t="s">
        <v>72</v>
      </c>
      <c r="S2615" s="3">
        <v>9.1999999999999993</v>
      </c>
      <c r="T2615" s="5">
        <v>45608</v>
      </c>
      <c r="U2615">
        <v>1</v>
      </c>
      <c r="V2615">
        <v>2024</v>
      </c>
      <c r="X2615">
        <f t="shared" si="120"/>
        <v>8.0897384999999993</v>
      </c>
      <c r="Y2615">
        <f t="shared" si="121"/>
        <v>9.1997384999999987</v>
      </c>
      <c r="Z2615">
        <f t="shared" si="122"/>
        <v>69.799738500000004</v>
      </c>
    </row>
    <row r="2616" spans="1:26" x14ac:dyDescent="0.3">
      <c r="A2616" t="s">
        <v>2706</v>
      </c>
      <c r="B2616" t="s">
        <v>55</v>
      </c>
      <c r="C2616" t="s">
        <v>101</v>
      </c>
      <c r="D2616" t="s">
        <v>69</v>
      </c>
      <c r="E2616">
        <v>20</v>
      </c>
      <c r="F2616" s="3">
        <v>7.57</v>
      </c>
      <c r="G2616" s="4">
        <v>63.5</v>
      </c>
      <c r="H2616">
        <v>1</v>
      </c>
      <c r="I2616">
        <v>1</v>
      </c>
      <c r="J2616">
        <v>3</v>
      </c>
      <c r="K2616" s="4">
        <v>94.6</v>
      </c>
      <c r="L2616" s="4">
        <v>54.3</v>
      </c>
      <c r="M2616" s="4">
        <v>89.4</v>
      </c>
      <c r="N2616">
        <v>0</v>
      </c>
      <c r="O2616" t="s">
        <v>58</v>
      </c>
      <c r="P2616" t="s">
        <v>104</v>
      </c>
      <c r="Q2616" t="s">
        <v>105</v>
      </c>
      <c r="R2616" t="s">
        <v>85</v>
      </c>
      <c r="S2616" s="3">
        <v>13.83</v>
      </c>
      <c r="T2616" s="5">
        <v>45624</v>
      </c>
      <c r="U2616">
        <v>1</v>
      </c>
      <c r="V2616">
        <v>2024</v>
      </c>
      <c r="X2616">
        <f t="shared" si="120"/>
        <v>7.5697384000000003</v>
      </c>
      <c r="Y2616">
        <f t="shared" si="121"/>
        <v>13.8297384</v>
      </c>
      <c r="Z2616">
        <f t="shared" si="122"/>
        <v>54.299738399999995</v>
      </c>
    </row>
    <row r="2617" spans="1:26" x14ac:dyDescent="0.3">
      <c r="A2617" t="s">
        <v>2707</v>
      </c>
      <c r="B2617" t="s">
        <v>63</v>
      </c>
      <c r="C2617" t="s">
        <v>74</v>
      </c>
      <c r="D2617" t="s">
        <v>69</v>
      </c>
      <c r="E2617">
        <v>23</v>
      </c>
      <c r="F2617" s="3">
        <v>6.32</v>
      </c>
      <c r="G2617" s="4">
        <v>85.8</v>
      </c>
      <c r="H2617">
        <v>1</v>
      </c>
      <c r="I2617">
        <v>3</v>
      </c>
      <c r="J2617">
        <v>3</v>
      </c>
      <c r="K2617" s="4">
        <v>68.900000000000006</v>
      </c>
      <c r="L2617" s="4">
        <v>70.900000000000006</v>
      </c>
      <c r="M2617" s="4">
        <v>72.099999999999994</v>
      </c>
      <c r="N2617">
        <v>0</v>
      </c>
      <c r="O2617" t="s">
        <v>58</v>
      </c>
      <c r="P2617" t="s">
        <v>92</v>
      </c>
      <c r="Q2617" t="s">
        <v>93</v>
      </c>
      <c r="R2617" t="s">
        <v>76</v>
      </c>
      <c r="S2617" s="3">
        <v>7.74</v>
      </c>
      <c r="T2617" s="5">
        <v>45882</v>
      </c>
      <c r="U2617">
        <v>1</v>
      </c>
      <c r="V2617">
        <v>2025</v>
      </c>
      <c r="X2617">
        <f t="shared" si="120"/>
        <v>6.3197383</v>
      </c>
      <c r="Y2617">
        <f t="shared" si="121"/>
        <v>7.7397383</v>
      </c>
      <c r="Z2617">
        <f t="shared" si="122"/>
        <v>70.89973830000001</v>
      </c>
    </row>
    <row r="2618" spans="1:26" x14ac:dyDescent="0.3">
      <c r="A2618" t="s">
        <v>2708</v>
      </c>
      <c r="B2618" t="s">
        <v>55</v>
      </c>
      <c r="C2618" t="s">
        <v>78</v>
      </c>
      <c r="D2618" t="s">
        <v>57</v>
      </c>
      <c r="E2618">
        <v>20</v>
      </c>
      <c r="F2618" s="3">
        <v>8.5399999999999991</v>
      </c>
      <c r="G2618" s="4">
        <v>88.4</v>
      </c>
      <c r="H2618">
        <v>2</v>
      </c>
      <c r="I2618">
        <v>0</v>
      </c>
      <c r="J2618">
        <v>5</v>
      </c>
      <c r="K2618" s="4">
        <v>52.6</v>
      </c>
      <c r="L2618" s="4">
        <v>69.599999999999994</v>
      </c>
      <c r="M2618" s="4">
        <v>60.2</v>
      </c>
      <c r="N2618">
        <v>0</v>
      </c>
      <c r="O2618" t="s">
        <v>58</v>
      </c>
      <c r="P2618" t="s">
        <v>79</v>
      </c>
      <c r="Q2618" t="s">
        <v>71</v>
      </c>
      <c r="R2618" t="s">
        <v>80</v>
      </c>
      <c r="S2618" s="3">
        <v>5.37</v>
      </c>
      <c r="T2618" s="5">
        <v>45565</v>
      </c>
      <c r="U2618">
        <v>1</v>
      </c>
      <c r="V2618">
        <v>2024</v>
      </c>
      <c r="X2618">
        <f t="shared" si="120"/>
        <v>8.5397381999999986</v>
      </c>
      <c r="Y2618">
        <f t="shared" si="121"/>
        <v>5.3697382000000005</v>
      </c>
      <c r="Z2618">
        <f t="shared" si="122"/>
        <v>69.59973819999999</v>
      </c>
    </row>
    <row r="2619" spans="1:26" x14ac:dyDescent="0.3">
      <c r="A2619" t="s">
        <v>2709</v>
      </c>
      <c r="B2619" t="s">
        <v>55</v>
      </c>
      <c r="C2619" t="s">
        <v>56</v>
      </c>
      <c r="D2619" t="s">
        <v>69</v>
      </c>
      <c r="E2619">
        <v>23</v>
      </c>
      <c r="F2619" s="3">
        <v>7.62</v>
      </c>
      <c r="G2619" s="4">
        <v>79.3</v>
      </c>
      <c r="H2619">
        <v>1</v>
      </c>
      <c r="I2619">
        <v>2</v>
      </c>
      <c r="J2619">
        <v>1</v>
      </c>
      <c r="K2619" s="4">
        <v>78.400000000000006</v>
      </c>
      <c r="L2619" s="4">
        <v>100</v>
      </c>
      <c r="M2619" s="4">
        <v>78.3</v>
      </c>
      <c r="N2619">
        <v>2</v>
      </c>
      <c r="O2619" t="s">
        <v>64</v>
      </c>
      <c r="P2619" t="s">
        <v>65</v>
      </c>
      <c r="S2619" s="3">
        <v>0</v>
      </c>
      <c r="T2619" s="5"/>
      <c r="U2619">
        <v>0</v>
      </c>
      <c r="V2619">
        <v>2024</v>
      </c>
      <c r="X2619">
        <f t="shared" si="120"/>
        <v>7.6197381000000002</v>
      </c>
      <c r="Y2619">
        <f t="shared" si="121"/>
        <v>-2.6189999999999997E-4</v>
      </c>
      <c r="Z2619">
        <f t="shared" si="122"/>
        <v>99.999738100000002</v>
      </c>
    </row>
    <row r="2620" spans="1:26" x14ac:dyDescent="0.3">
      <c r="A2620" t="s">
        <v>2710</v>
      </c>
      <c r="B2620" t="s">
        <v>67</v>
      </c>
      <c r="C2620" t="s">
        <v>78</v>
      </c>
      <c r="D2620" t="s">
        <v>69</v>
      </c>
      <c r="E2620">
        <v>23</v>
      </c>
      <c r="F2620" s="3">
        <v>8</v>
      </c>
      <c r="G2620" s="4">
        <v>61.9</v>
      </c>
      <c r="H2620">
        <v>2</v>
      </c>
      <c r="I2620">
        <v>1</v>
      </c>
      <c r="J2620">
        <v>5</v>
      </c>
      <c r="K2620" s="4">
        <v>76.400000000000006</v>
      </c>
      <c r="L2620" s="4">
        <v>57.6</v>
      </c>
      <c r="M2620" s="4">
        <v>85.1</v>
      </c>
      <c r="N2620">
        <v>0</v>
      </c>
      <c r="O2620" t="s">
        <v>58</v>
      </c>
      <c r="P2620" t="s">
        <v>112</v>
      </c>
      <c r="Q2620" t="s">
        <v>93</v>
      </c>
      <c r="R2620" t="s">
        <v>85</v>
      </c>
      <c r="S2620" s="3">
        <v>7.1</v>
      </c>
      <c r="T2620" s="5">
        <v>45250</v>
      </c>
      <c r="U2620">
        <v>3</v>
      </c>
      <c r="V2620">
        <v>2023</v>
      </c>
      <c r="X2620">
        <f t="shared" si="120"/>
        <v>7.9997379999999998</v>
      </c>
      <c r="Y2620">
        <f t="shared" si="121"/>
        <v>7.0997379999999994</v>
      </c>
      <c r="Z2620">
        <f t="shared" si="122"/>
        <v>57.599738000000002</v>
      </c>
    </row>
    <row r="2621" spans="1:26" x14ac:dyDescent="0.3">
      <c r="A2621" t="s">
        <v>2711</v>
      </c>
      <c r="B2621" t="s">
        <v>63</v>
      </c>
      <c r="C2621" t="s">
        <v>56</v>
      </c>
      <c r="D2621" t="s">
        <v>69</v>
      </c>
      <c r="E2621">
        <v>22</v>
      </c>
      <c r="F2621" s="3">
        <v>7.48</v>
      </c>
      <c r="G2621" s="4">
        <v>72</v>
      </c>
      <c r="H2621">
        <v>1</v>
      </c>
      <c r="I2621">
        <v>2</v>
      </c>
      <c r="J2621">
        <v>4</v>
      </c>
      <c r="K2621" s="4">
        <v>50.5</v>
      </c>
      <c r="L2621" s="4">
        <v>85</v>
      </c>
      <c r="M2621" s="4">
        <v>78.8</v>
      </c>
      <c r="N2621">
        <v>0</v>
      </c>
      <c r="O2621" t="s">
        <v>58</v>
      </c>
      <c r="P2621" t="s">
        <v>70</v>
      </c>
      <c r="Q2621" t="s">
        <v>71</v>
      </c>
      <c r="R2621" t="s">
        <v>61</v>
      </c>
      <c r="S2621" s="3">
        <v>6.63</v>
      </c>
      <c r="T2621" s="5">
        <v>45986</v>
      </c>
      <c r="U2621">
        <v>1</v>
      </c>
      <c r="V2621">
        <v>2025</v>
      </c>
      <c r="X2621">
        <f t="shared" si="120"/>
        <v>7.4797379000000008</v>
      </c>
      <c r="Y2621">
        <f t="shared" si="121"/>
        <v>6.6297379000000003</v>
      </c>
      <c r="Z2621">
        <f t="shared" si="122"/>
        <v>84.9997379</v>
      </c>
    </row>
    <row r="2622" spans="1:26" x14ac:dyDescent="0.3">
      <c r="A2622" t="s">
        <v>2712</v>
      </c>
      <c r="B2622" t="s">
        <v>107</v>
      </c>
      <c r="C2622" t="s">
        <v>56</v>
      </c>
      <c r="D2622" t="s">
        <v>69</v>
      </c>
      <c r="E2622">
        <v>21</v>
      </c>
      <c r="F2622" s="3">
        <v>9.41</v>
      </c>
      <c r="G2622" s="4">
        <v>81</v>
      </c>
      <c r="H2622">
        <v>3</v>
      </c>
      <c r="I2622">
        <v>2</v>
      </c>
      <c r="J2622">
        <v>3</v>
      </c>
      <c r="K2622" s="4">
        <v>59.8</v>
      </c>
      <c r="L2622" s="4">
        <v>77.099999999999994</v>
      </c>
      <c r="M2622" s="4">
        <v>79.3</v>
      </c>
      <c r="N2622">
        <v>0</v>
      </c>
      <c r="O2622" t="s">
        <v>58</v>
      </c>
      <c r="P2622" t="s">
        <v>112</v>
      </c>
      <c r="Q2622" t="s">
        <v>93</v>
      </c>
      <c r="R2622" t="s">
        <v>72</v>
      </c>
      <c r="S2622" s="3">
        <v>9.94</v>
      </c>
      <c r="T2622" s="5">
        <v>44522</v>
      </c>
      <c r="U2622">
        <v>2</v>
      </c>
      <c r="V2622">
        <v>2021</v>
      </c>
      <c r="X2622">
        <f t="shared" si="120"/>
        <v>9.4097378000000003</v>
      </c>
      <c r="Y2622">
        <f t="shared" si="121"/>
        <v>9.9397377999999996</v>
      </c>
      <c r="Z2622">
        <f t="shared" si="122"/>
        <v>77.0997378</v>
      </c>
    </row>
    <row r="2623" spans="1:26" x14ac:dyDescent="0.3">
      <c r="A2623" t="s">
        <v>2713</v>
      </c>
      <c r="B2623" t="s">
        <v>82</v>
      </c>
      <c r="C2623" t="s">
        <v>56</v>
      </c>
      <c r="D2623" t="s">
        <v>57</v>
      </c>
      <c r="E2623">
        <v>21</v>
      </c>
      <c r="F2623" s="3">
        <v>7.14</v>
      </c>
      <c r="G2623" s="4">
        <v>78.5</v>
      </c>
      <c r="H2623">
        <v>1</v>
      </c>
      <c r="I2623">
        <v>4</v>
      </c>
      <c r="J2623">
        <v>4</v>
      </c>
      <c r="K2623" s="4">
        <v>74.400000000000006</v>
      </c>
      <c r="L2623" s="4">
        <v>85.5</v>
      </c>
      <c r="M2623" s="4">
        <v>73.5</v>
      </c>
      <c r="N2623">
        <v>0</v>
      </c>
      <c r="O2623" t="s">
        <v>58</v>
      </c>
      <c r="P2623" t="s">
        <v>79</v>
      </c>
      <c r="Q2623" t="s">
        <v>71</v>
      </c>
      <c r="R2623" t="s">
        <v>61</v>
      </c>
      <c r="S2623" s="3">
        <v>6.3</v>
      </c>
      <c r="T2623" s="5">
        <v>44878</v>
      </c>
      <c r="U2623">
        <v>3</v>
      </c>
      <c r="V2623">
        <v>2022</v>
      </c>
      <c r="X2623">
        <f t="shared" si="120"/>
        <v>7.1397376999999995</v>
      </c>
      <c r="Y2623">
        <f t="shared" si="121"/>
        <v>6.2997376999999997</v>
      </c>
      <c r="Z2623">
        <f t="shared" si="122"/>
        <v>85.499737699999997</v>
      </c>
    </row>
    <row r="2624" spans="1:26" x14ac:dyDescent="0.3">
      <c r="A2624" t="s">
        <v>2714</v>
      </c>
      <c r="B2624" t="s">
        <v>55</v>
      </c>
      <c r="C2624" t="s">
        <v>56</v>
      </c>
      <c r="D2624" t="s">
        <v>57</v>
      </c>
      <c r="E2624">
        <v>21</v>
      </c>
      <c r="F2624" s="3">
        <v>7.1</v>
      </c>
      <c r="G2624" s="4">
        <v>86</v>
      </c>
      <c r="H2624">
        <v>2</v>
      </c>
      <c r="I2624">
        <v>2</v>
      </c>
      <c r="J2624">
        <v>1</v>
      </c>
      <c r="K2624" s="4">
        <v>78.2</v>
      </c>
      <c r="L2624" s="4">
        <v>58</v>
      </c>
      <c r="M2624" s="4">
        <v>71.2</v>
      </c>
      <c r="N2624">
        <v>0</v>
      </c>
      <c r="O2624" t="s">
        <v>64</v>
      </c>
      <c r="P2624" t="s">
        <v>65</v>
      </c>
      <c r="S2624" s="3">
        <v>0</v>
      </c>
      <c r="T2624" s="5"/>
      <c r="U2624">
        <v>0</v>
      </c>
      <c r="V2624">
        <v>2024</v>
      </c>
      <c r="X2624">
        <f t="shared" si="120"/>
        <v>7.0997375999999992</v>
      </c>
      <c r="Y2624">
        <f t="shared" si="121"/>
        <v>-2.6239999999999998E-4</v>
      </c>
      <c r="Z2624">
        <f t="shared" si="122"/>
        <v>57.999737600000003</v>
      </c>
    </row>
    <row r="2625" spans="1:26" x14ac:dyDescent="0.3">
      <c r="A2625" t="s">
        <v>2715</v>
      </c>
      <c r="B2625" t="s">
        <v>82</v>
      </c>
      <c r="C2625" t="s">
        <v>68</v>
      </c>
      <c r="D2625" t="s">
        <v>57</v>
      </c>
      <c r="E2625">
        <v>21</v>
      </c>
      <c r="F2625" s="3">
        <v>6.24</v>
      </c>
      <c r="G2625" s="4">
        <v>87.3</v>
      </c>
      <c r="H2625">
        <v>1</v>
      </c>
      <c r="I2625">
        <v>2</v>
      </c>
      <c r="J2625">
        <v>3</v>
      </c>
      <c r="K2625" s="4">
        <v>57.3</v>
      </c>
      <c r="L2625" s="4">
        <v>41.8</v>
      </c>
      <c r="M2625" s="4">
        <v>89.2</v>
      </c>
      <c r="N2625">
        <v>1</v>
      </c>
      <c r="O2625" t="s">
        <v>64</v>
      </c>
      <c r="P2625" t="s">
        <v>65</v>
      </c>
      <c r="S2625" s="3">
        <v>0</v>
      </c>
      <c r="T2625" s="5"/>
      <c r="U2625">
        <v>0</v>
      </c>
      <c r="V2625">
        <v>2022</v>
      </c>
      <c r="X2625">
        <f t="shared" si="120"/>
        <v>6.2397375000000004</v>
      </c>
      <c r="Y2625">
        <f t="shared" si="121"/>
        <v>-2.6249999999999998E-4</v>
      </c>
      <c r="Z2625">
        <f t="shared" si="122"/>
        <v>41.799737499999999</v>
      </c>
    </row>
    <row r="2626" spans="1:26" x14ac:dyDescent="0.3">
      <c r="A2626" t="s">
        <v>2716</v>
      </c>
      <c r="B2626" t="s">
        <v>107</v>
      </c>
      <c r="C2626" t="s">
        <v>101</v>
      </c>
      <c r="D2626" t="s">
        <v>57</v>
      </c>
      <c r="E2626">
        <v>22</v>
      </c>
      <c r="F2626" s="3">
        <v>7.75</v>
      </c>
      <c r="G2626" s="4">
        <v>78.099999999999994</v>
      </c>
      <c r="H2626">
        <v>1</v>
      </c>
      <c r="I2626">
        <v>1</v>
      </c>
      <c r="J2626">
        <v>2</v>
      </c>
      <c r="K2626" s="4">
        <v>41.9</v>
      </c>
      <c r="L2626" s="4">
        <v>68.400000000000006</v>
      </c>
      <c r="M2626" s="4">
        <v>52.6</v>
      </c>
      <c r="N2626">
        <v>0</v>
      </c>
      <c r="O2626" t="s">
        <v>58</v>
      </c>
      <c r="P2626" t="s">
        <v>75</v>
      </c>
      <c r="Q2626" t="s">
        <v>71</v>
      </c>
      <c r="R2626" t="s">
        <v>130</v>
      </c>
      <c r="S2626" s="3">
        <v>5.35</v>
      </c>
      <c r="T2626" s="5">
        <v>44462</v>
      </c>
      <c r="U2626">
        <v>1</v>
      </c>
      <c r="V2626">
        <v>2021</v>
      </c>
      <c r="X2626">
        <f t="shared" ref="X2626:X2689" si="123">F2626-ROW()*0.0000001</f>
        <v>7.7497373999999999</v>
      </c>
      <c r="Y2626">
        <f t="shared" ref="Y2626:Y2689" si="124">S2626-ROW()*0.0000001</f>
        <v>5.3497373999999995</v>
      </c>
      <c r="Z2626">
        <f t="shared" ref="Z2626:Z2689" si="125">L2626-ROW()*0.0000001</f>
        <v>68.399737400000006</v>
      </c>
    </row>
    <row r="2627" spans="1:26" x14ac:dyDescent="0.3">
      <c r="A2627" t="s">
        <v>2717</v>
      </c>
      <c r="B2627" t="s">
        <v>82</v>
      </c>
      <c r="C2627" t="s">
        <v>56</v>
      </c>
      <c r="D2627" t="s">
        <v>57</v>
      </c>
      <c r="E2627">
        <v>23</v>
      </c>
      <c r="F2627" s="3">
        <v>9.32</v>
      </c>
      <c r="G2627" s="4">
        <v>69.400000000000006</v>
      </c>
      <c r="H2627">
        <v>1</v>
      </c>
      <c r="I2627">
        <v>2</v>
      </c>
      <c r="J2627">
        <v>1</v>
      </c>
      <c r="K2627" s="4">
        <v>71.400000000000006</v>
      </c>
      <c r="L2627" s="4">
        <v>81.599999999999994</v>
      </c>
      <c r="M2627" s="4">
        <v>75.099999999999994</v>
      </c>
      <c r="N2627">
        <v>0</v>
      </c>
      <c r="O2627" t="s">
        <v>58</v>
      </c>
      <c r="P2627" t="s">
        <v>112</v>
      </c>
      <c r="Q2627" t="s">
        <v>93</v>
      </c>
      <c r="R2627" t="s">
        <v>80</v>
      </c>
      <c r="S2627" s="3">
        <v>9.9600000000000009</v>
      </c>
      <c r="T2627" s="5">
        <v>44776</v>
      </c>
      <c r="U2627">
        <v>1</v>
      </c>
      <c r="V2627">
        <v>2022</v>
      </c>
      <c r="X2627">
        <f t="shared" si="123"/>
        <v>9.3197372999999999</v>
      </c>
      <c r="Y2627">
        <f t="shared" si="124"/>
        <v>9.9597373000000005</v>
      </c>
      <c r="Z2627">
        <f t="shared" si="125"/>
        <v>81.599737300000001</v>
      </c>
    </row>
    <row r="2628" spans="1:26" x14ac:dyDescent="0.3">
      <c r="A2628" t="s">
        <v>2718</v>
      </c>
      <c r="B2628" t="s">
        <v>107</v>
      </c>
      <c r="C2628" t="s">
        <v>78</v>
      </c>
      <c r="D2628" t="s">
        <v>57</v>
      </c>
      <c r="E2628">
        <v>21</v>
      </c>
      <c r="F2628" s="3">
        <v>7.76</v>
      </c>
      <c r="G2628" s="4">
        <v>95.1</v>
      </c>
      <c r="H2628">
        <v>2</v>
      </c>
      <c r="I2628">
        <v>0</v>
      </c>
      <c r="J2628">
        <v>3</v>
      </c>
      <c r="K2628" s="4">
        <v>80</v>
      </c>
      <c r="L2628" s="4">
        <v>65.2</v>
      </c>
      <c r="M2628" s="4">
        <v>62.2</v>
      </c>
      <c r="N2628">
        <v>0</v>
      </c>
      <c r="O2628" t="s">
        <v>58</v>
      </c>
      <c r="P2628" t="s">
        <v>75</v>
      </c>
      <c r="Q2628" t="s">
        <v>71</v>
      </c>
      <c r="R2628" t="s">
        <v>80</v>
      </c>
      <c r="S2628" s="3">
        <v>5.87</v>
      </c>
      <c r="T2628" s="5">
        <v>44441</v>
      </c>
      <c r="U2628">
        <v>3</v>
      </c>
      <c r="V2628">
        <v>2021</v>
      </c>
      <c r="X2628">
        <f t="shared" si="123"/>
        <v>7.7597372</v>
      </c>
      <c r="Y2628">
        <f t="shared" si="124"/>
        <v>5.8697372000000003</v>
      </c>
      <c r="Z2628">
        <f t="shared" si="125"/>
        <v>65.199737200000001</v>
      </c>
    </row>
    <row r="2629" spans="1:26" x14ac:dyDescent="0.3">
      <c r="A2629" t="s">
        <v>2719</v>
      </c>
      <c r="B2629" t="s">
        <v>67</v>
      </c>
      <c r="C2629" t="s">
        <v>89</v>
      </c>
      <c r="D2629" t="s">
        <v>57</v>
      </c>
      <c r="E2629">
        <v>23</v>
      </c>
      <c r="F2629" s="3">
        <v>7.85</v>
      </c>
      <c r="G2629" s="4">
        <v>87</v>
      </c>
      <c r="H2629">
        <v>1</v>
      </c>
      <c r="I2629">
        <v>3</v>
      </c>
      <c r="J2629">
        <v>4</v>
      </c>
      <c r="K2629" s="4">
        <v>67.2</v>
      </c>
      <c r="L2629" s="4">
        <v>67.8</v>
      </c>
      <c r="M2629" s="4">
        <v>73.599999999999994</v>
      </c>
      <c r="N2629">
        <v>1</v>
      </c>
      <c r="O2629" t="s">
        <v>64</v>
      </c>
      <c r="P2629" t="s">
        <v>65</v>
      </c>
      <c r="S2629" s="3">
        <v>0</v>
      </c>
      <c r="T2629" s="5"/>
      <c r="U2629">
        <v>0</v>
      </c>
      <c r="V2629">
        <v>2023</v>
      </c>
      <c r="X2629">
        <f t="shared" si="123"/>
        <v>7.8497370999999996</v>
      </c>
      <c r="Y2629">
        <f t="shared" si="124"/>
        <v>-2.6289999999999999E-4</v>
      </c>
      <c r="Z2629">
        <f t="shared" si="125"/>
        <v>67.799737100000002</v>
      </c>
    </row>
    <row r="2630" spans="1:26" x14ac:dyDescent="0.3">
      <c r="A2630" t="s">
        <v>2720</v>
      </c>
      <c r="B2630" t="s">
        <v>55</v>
      </c>
      <c r="C2630" t="s">
        <v>101</v>
      </c>
      <c r="D2630" t="s">
        <v>57</v>
      </c>
      <c r="E2630">
        <v>22</v>
      </c>
      <c r="F2630" s="3">
        <v>8.5299999999999994</v>
      </c>
      <c r="G2630" s="4">
        <v>88</v>
      </c>
      <c r="H2630">
        <v>1</v>
      </c>
      <c r="I2630">
        <v>1</v>
      </c>
      <c r="J2630">
        <v>6</v>
      </c>
      <c r="K2630" s="4">
        <v>63.7</v>
      </c>
      <c r="L2630" s="4">
        <v>99.6</v>
      </c>
      <c r="M2630" s="4">
        <v>77.2</v>
      </c>
      <c r="N2630">
        <v>0</v>
      </c>
      <c r="O2630" t="s">
        <v>58</v>
      </c>
      <c r="P2630" t="s">
        <v>90</v>
      </c>
      <c r="Q2630" t="s">
        <v>60</v>
      </c>
      <c r="R2630" t="s">
        <v>85</v>
      </c>
      <c r="S2630" s="3">
        <v>9.7200000000000006</v>
      </c>
      <c r="T2630" s="5">
        <v>45532</v>
      </c>
      <c r="U2630">
        <v>1</v>
      </c>
      <c r="V2630">
        <v>2024</v>
      </c>
      <c r="X2630">
        <f t="shared" si="123"/>
        <v>8.529736999999999</v>
      </c>
      <c r="Y2630">
        <f t="shared" si="124"/>
        <v>9.7197370000000003</v>
      </c>
      <c r="Z2630">
        <f t="shared" si="125"/>
        <v>99.59973699999999</v>
      </c>
    </row>
    <row r="2631" spans="1:26" x14ac:dyDescent="0.3">
      <c r="A2631" t="s">
        <v>2721</v>
      </c>
      <c r="B2631" t="s">
        <v>107</v>
      </c>
      <c r="C2631" t="s">
        <v>56</v>
      </c>
      <c r="D2631" t="s">
        <v>57</v>
      </c>
      <c r="E2631">
        <v>20</v>
      </c>
      <c r="F2631" s="3">
        <v>7.8</v>
      </c>
      <c r="G2631" s="4">
        <v>85.5</v>
      </c>
      <c r="H2631">
        <v>1</v>
      </c>
      <c r="I2631">
        <v>2</v>
      </c>
      <c r="J2631">
        <v>4</v>
      </c>
      <c r="K2631" s="4">
        <v>90.2</v>
      </c>
      <c r="L2631" s="4">
        <v>59.1</v>
      </c>
      <c r="M2631" s="4">
        <v>80.099999999999994</v>
      </c>
      <c r="N2631">
        <v>0</v>
      </c>
      <c r="O2631" t="s">
        <v>58</v>
      </c>
      <c r="P2631" t="s">
        <v>95</v>
      </c>
      <c r="Q2631" t="s">
        <v>93</v>
      </c>
      <c r="R2631" t="s">
        <v>76</v>
      </c>
      <c r="S2631" s="3">
        <v>6.65</v>
      </c>
      <c r="T2631" s="5">
        <v>44493</v>
      </c>
      <c r="U2631">
        <v>1</v>
      </c>
      <c r="V2631">
        <v>2021</v>
      </c>
      <c r="X2631">
        <f t="shared" si="123"/>
        <v>7.7997369000000001</v>
      </c>
      <c r="Y2631">
        <f t="shared" si="124"/>
        <v>6.6497369000000006</v>
      </c>
      <c r="Z2631">
        <f t="shared" si="125"/>
        <v>59.099736900000003</v>
      </c>
    </row>
    <row r="2632" spans="1:26" x14ac:dyDescent="0.3">
      <c r="A2632" t="s">
        <v>2722</v>
      </c>
      <c r="B2632" t="s">
        <v>82</v>
      </c>
      <c r="C2632" t="s">
        <v>68</v>
      </c>
      <c r="D2632" t="s">
        <v>69</v>
      </c>
      <c r="E2632">
        <v>22</v>
      </c>
      <c r="F2632" s="3">
        <v>8.73</v>
      </c>
      <c r="G2632" s="4">
        <v>91.9</v>
      </c>
      <c r="H2632">
        <v>3</v>
      </c>
      <c r="I2632">
        <v>2</v>
      </c>
      <c r="J2632">
        <v>3</v>
      </c>
      <c r="K2632" s="4">
        <v>39.799999999999997</v>
      </c>
      <c r="L2632" s="4">
        <v>83.9</v>
      </c>
      <c r="M2632" s="4">
        <v>75.7</v>
      </c>
      <c r="N2632">
        <v>0</v>
      </c>
      <c r="O2632" t="s">
        <v>58</v>
      </c>
      <c r="P2632" t="s">
        <v>95</v>
      </c>
      <c r="Q2632" t="s">
        <v>93</v>
      </c>
      <c r="R2632" t="s">
        <v>72</v>
      </c>
      <c r="S2632" s="3">
        <v>7.82</v>
      </c>
      <c r="T2632" s="5">
        <v>44825</v>
      </c>
      <c r="U2632">
        <v>1</v>
      </c>
      <c r="V2632">
        <v>2022</v>
      </c>
      <c r="X2632">
        <f t="shared" si="123"/>
        <v>8.7297368000000013</v>
      </c>
      <c r="Y2632">
        <f t="shared" si="124"/>
        <v>7.8197368000000003</v>
      </c>
      <c r="Z2632">
        <f t="shared" si="125"/>
        <v>83.899736799999999</v>
      </c>
    </row>
    <row r="2633" spans="1:26" x14ac:dyDescent="0.3">
      <c r="A2633" t="s">
        <v>2723</v>
      </c>
      <c r="B2633" t="s">
        <v>55</v>
      </c>
      <c r="C2633" t="s">
        <v>84</v>
      </c>
      <c r="D2633" t="s">
        <v>57</v>
      </c>
      <c r="E2633">
        <v>21</v>
      </c>
      <c r="F2633" s="3">
        <v>8.86</v>
      </c>
      <c r="G2633" s="4">
        <v>78.599999999999994</v>
      </c>
      <c r="H2633">
        <v>1</v>
      </c>
      <c r="I2633">
        <v>1</v>
      </c>
      <c r="J2633">
        <v>6</v>
      </c>
      <c r="K2633" s="4">
        <v>78.099999999999994</v>
      </c>
      <c r="L2633" s="4">
        <v>55.3</v>
      </c>
      <c r="M2633" s="4">
        <v>90.7</v>
      </c>
      <c r="N2633">
        <v>0</v>
      </c>
      <c r="O2633" t="s">
        <v>58</v>
      </c>
      <c r="P2633" t="s">
        <v>70</v>
      </c>
      <c r="Q2633" t="s">
        <v>71</v>
      </c>
      <c r="R2633" t="s">
        <v>109</v>
      </c>
      <c r="S2633" s="3">
        <v>5.66</v>
      </c>
      <c r="T2633" s="5">
        <v>45533</v>
      </c>
      <c r="U2633">
        <v>1</v>
      </c>
      <c r="V2633">
        <v>2024</v>
      </c>
      <c r="X2633">
        <f t="shared" si="123"/>
        <v>8.8597366999999991</v>
      </c>
      <c r="Y2633">
        <f t="shared" si="124"/>
        <v>5.6597366999999998</v>
      </c>
      <c r="Z2633">
        <f t="shared" si="125"/>
        <v>55.299736699999997</v>
      </c>
    </row>
    <row r="2634" spans="1:26" x14ac:dyDescent="0.3">
      <c r="A2634" t="s">
        <v>2724</v>
      </c>
      <c r="B2634" t="s">
        <v>67</v>
      </c>
      <c r="C2634" t="s">
        <v>89</v>
      </c>
      <c r="D2634" t="s">
        <v>69</v>
      </c>
      <c r="E2634">
        <v>20</v>
      </c>
      <c r="F2634" s="3">
        <v>7.12</v>
      </c>
      <c r="G2634" s="4">
        <v>89.5</v>
      </c>
      <c r="H2634">
        <v>1</v>
      </c>
      <c r="I2634">
        <v>2</v>
      </c>
      <c r="J2634">
        <v>3</v>
      </c>
      <c r="K2634" s="4">
        <v>79</v>
      </c>
      <c r="L2634" s="4">
        <v>87.3</v>
      </c>
      <c r="M2634" s="4">
        <v>75.3</v>
      </c>
      <c r="N2634">
        <v>1</v>
      </c>
      <c r="O2634" t="s">
        <v>58</v>
      </c>
      <c r="P2634" t="s">
        <v>87</v>
      </c>
      <c r="Q2634" t="s">
        <v>71</v>
      </c>
      <c r="R2634" t="s">
        <v>72</v>
      </c>
      <c r="S2634" s="3">
        <v>6.85</v>
      </c>
      <c r="T2634" s="5">
        <v>45231</v>
      </c>
      <c r="U2634">
        <v>1</v>
      </c>
      <c r="V2634">
        <v>2023</v>
      </c>
      <c r="X2634">
        <f t="shared" si="123"/>
        <v>7.1197366000000004</v>
      </c>
      <c r="Y2634">
        <f t="shared" si="124"/>
        <v>6.8497366</v>
      </c>
      <c r="Z2634">
        <f t="shared" si="125"/>
        <v>87.299736600000003</v>
      </c>
    </row>
    <row r="2635" spans="1:26" x14ac:dyDescent="0.3">
      <c r="A2635" t="s">
        <v>2725</v>
      </c>
      <c r="B2635" t="s">
        <v>55</v>
      </c>
      <c r="C2635" t="s">
        <v>74</v>
      </c>
      <c r="D2635" t="s">
        <v>57</v>
      </c>
      <c r="E2635">
        <v>22</v>
      </c>
      <c r="F2635" s="3">
        <v>6.36</v>
      </c>
      <c r="G2635" s="4">
        <v>88</v>
      </c>
      <c r="H2635">
        <v>3</v>
      </c>
      <c r="I2635">
        <v>1</v>
      </c>
      <c r="J2635">
        <v>2</v>
      </c>
      <c r="K2635" s="4">
        <v>57.2</v>
      </c>
      <c r="L2635" s="4">
        <v>69</v>
      </c>
      <c r="M2635" s="4">
        <v>61.3</v>
      </c>
      <c r="N2635">
        <v>3</v>
      </c>
      <c r="O2635" t="s">
        <v>64</v>
      </c>
      <c r="P2635" t="s">
        <v>65</v>
      </c>
      <c r="S2635" s="3">
        <v>0</v>
      </c>
      <c r="T2635" s="5"/>
      <c r="U2635">
        <v>0</v>
      </c>
      <c r="V2635">
        <v>2024</v>
      </c>
      <c r="X2635">
        <f t="shared" si="123"/>
        <v>6.3597365000000003</v>
      </c>
      <c r="Y2635">
        <f t="shared" si="124"/>
        <v>-2.6350000000000001E-4</v>
      </c>
      <c r="Z2635">
        <f t="shared" si="125"/>
        <v>68.999736499999997</v>
      </c>
    </row>
    <row r="2636" spans="1:26" x14ac:dyDescent="0.3">
      <c r="A2636" t="s">
        <v>2726</v>
      </c>
      <c r="B2636" t="s">
        <v>107</v>
      </c>
      <c r="C2636" t="s">
        <v>56</v>
      </c>
      <c r="D2636" t="s">
        <v>57</v>
      </c>
      <c r="E2636">
        <v>22</v>
      </c>
      <c r="F2636" s="3">
        <v>8.27</v>
      </c>
      <c r="G2636" s="4">
        <v>87.7</v>
      </c>
      <c r="H2636">
        <v>3</v>
      </c>
      <c r="I2636">
        <v>0</v>
      </c>
      <c r="J2636">
        <v>3</v>
      </c>
      <c r="K2636" s="4">
        <v>35.6</v>
      </c>
      <c r="L2636" s="4">
        <v>77.3</v>
      </c>
      <c r="M2636" s="4">
        <v>86.4</v>
      </c>
      <c r="N2636">
        <v>0</v>
      </c>
      <c r="O2636" t="s">
        <v>58</v>
      </c>
      <c r="P2636" t="s">
        <v>75</v>
      </c>
      <c r="Q2636" t="s">
        <v>71</v>
      </c>
      <c r="R2636" t="s">
        <v>72</v>
      </c>
      <c r="S2636" s="3">
        <v>7.98</v>
      </c>
      <c r="T2636" s="5">
        <v>44524</v>
      </c>
      <c r="U2636">
        <v>1</v>
      </c>
      <c r="V2636">
        <v>2021</v>
      </c>
      <c r="X2636">
        <f t="shared" si="123"/>
        <v>8.2697363999999993</v>
      </c>
      <c r="Y2636">
        <f t="shared" si="124"/>
        <v>7.9797364000000002</v>
      </c>
      <c r="Z2636">
        <f t="shared" si="125"/>
        <v>77.2997364</v>
      </c>
    </row>
    <row r="2637" spans="1:26" x14ac:dyDescent="0.3">
      <c r="A2637" t="s">
        <v>2727</v>
      </c>
      <c r="B2637" t="s">
        <v>67</v>
      </c>
      <c r="C2637" t="s">
        <v>74</v>
      </c>
      <c r="D2637" t="s">
        <v>69</v>
      </c>
      <c r="E2637">
        <v>23</v>
      </c>
      <c r="F2637" s="3">
        <v>7.94</v>
      </c>
      <c r="G2637" s="4">
        <v>71.2</v>
      </c>
      <c r="H2637">
        <v>1</v>
      </c>
      <c r="I2637">
        <v>4</v>
      </c>
      <c r="J2637">
        <v>4</v>
      </c>
      <c r="K2637" s="4">
        <v>78.599999999999994</v>
      </c>
      <c r="L2637" s="4">
        <v>60.4</v>
      </c>
      <c r="M2637" s="4">
        <v>78</v>
      </c>
      <c r="N2637">
        <v>1</v>
      </c>
      <c r="O2637" t="s">
        <v>58</v>
      </c>
      <c r="P2637" t="s">
        <v>70</v>
      </c>
      <c r="Q2637" t="s">
        <v>71</v>
      </c>
      <c r="R2637" t="s">
        <v>130</v>
      </c>
      <c r="S2637" s="3">
        <v>6.04</v>
      </c>
      <c r="T2637" s="5">
        <v>45211</v>
      </c>
      <c r="U2637">
        <v>1</v>
      </c>
      <c r="V2637">
        <v>2023</v>
      </c>
      <c r="X2637">
        <f t="shared" si="123"/>
        <v>7.9397363000000007</v>
      </c>
      <c r="Y2637">
        <f t="shared" si="124"/>
        <v>6.0397363000000004</v>
      </c>
      <c r="Z2637">
        <f t="shared" si="125"/>
        <v>60.399736300000001</v>
      </c>
    </row>
    <row r="2638" spans="1:26" x14ac:dyDescent="0.3">
      <c r="A2638" t="s">
        <v>2728</v>
      </c>
      <c r="B2638" t="s">
        <v>82</v>
      </c>
      <c r="C2638" t="s">
        <v>89</v>
      </c>
      <c r="D2638" t="s">
        <v>57</v>
      </c>
      <c r="E2638">
        <v>22</v>
      </c>
      <c r="F2638" s="3">
        <v>6.71</v>
      </c>
      <c r="G2638" s="4">
        <v>83.3</v>
      </c>
      <c r="H2638">
        <v>2</v>
      </c>
      <c r="I2638">
        <v>1</v>
      </c>
      <c r="J2638">
        <v>3</v>
      </c>
      <c r="K2638" s="4">
        <v>72.5</v>
      </c>
      <c r="L2638" s="4">
        <v>71.400000000000006</v>
      </c>
      <c r="M2638" s="4">
        <v>62.5</v>
      </c>
      <c r="N2638">
        <v>0</v>
      </c>
      <c r="O2638" t="s">
        <v>64</v>
      </c>
      <c r="P2638" t="s">
        <v>65</v>
      </c>
      <c r="S2638" s="3">
        <v>0</v>
      </c>
      <c r="T2638" s="5"/>
      <c r="U2638">
        <v>0</v>
      </c>
      <c r="V2638">
        <v>2022</v>
      </c>
      <c r="X2638">
        <f t="shared" si="123"/>
        <v>6.7097362</v>
      </c>
      <c r="Y2638">
        <f t="shared" si="124"/>
        <v>-2.6379999999999996E-4</v>
      </c>
      <c r="Z2638">
        <f t="shared" si="125"/>
        <v>71.399736200000007</v>
      </c>
    </row>
    <row r="2639" spans="1:26" x14ac:dyDescent="0.3">
      <c r="A2639" t="s">
        <v>2729</v>
      </c>
      <c r="B2639" t="s">
        <v>67</v>
      </c>
      <c r="C2639" t="s">
        <v>78</v>
      </c>
      <c r="D2639" t="s">
        <v>57</v>
      </c>
      <c r="E2639">
        <v>20</v>
      </c>
      <c r="F2639" s="3">
        <v>7.04</v>
      </c>
      <c r="G2639" s="4">
        <v>85.5</v>
      </c>
      <c r="H2639">
        <v>1</v>
      </c>
      <c r="I2639">
        <v>3</v>
      </c>
      <c r="J2639">
        <v>4</v>
      </c>
      <c r="K2639" s="4">
        <v>87.9</v>
      </c>
      <c r="L2639" s="4">
        <v>72.5</v>
      </c>
      <c r="M2639" s="4">
        <v>82.8</v>
      </c>
      <c r="N2639">
        <v>0</v>
      </c>
      <c r="O2639" t="s">
        <v>58</v>
      </c>
      <c r="P2639" t="s">
        <v>70</v>
      </c>
      <c r="Q2639" t="s">
        <v>71</v>
      </c>
      <c r="R2639" t="s">
        <v>80</v>
      </c>
      <c r="S2639" s="3">
        <v>5.24</v>
      </c>
      <c r="T2639" s="5">
        <v>45160</v>
      </c>
      <c r="U2639">
        <v>1</v>
      </c>
      <c r="V2639">
        <v>2023</v>
      </c>
      <c r="X2639">
        <f t="shared" si="123"/>
        <v>7.0397360999999998</v>
      </c>
      <c r="Y2639">
        <f t="shared" si="124"/>
        <v>5.2397361</v>
      </c>
      <c r="Z2639">
        <f t="shared" si="125"/>
        <v>72.499736100000007</v>
      </c>
    </row>
    <row r="2640" spans="1:26" x14ac:dyDescent="0.3">
      <c r="A2640" t="s">
        <v>2730</v>
      </c>
      <c r="B2640" t="s">
        <v>67</v>
      </c>
      <c r="C2640" t="s">
        <v>56</v>
      </c>
      <c r="D2640" t="s">
        <v>57</v>
      </c>
      <c r="E2640">
        <v>22</v>
      </c>
      <c r="F2640" s="3">
        <v>7.04</v>
      </c>
      <c r="G2640" s="4">
        <v>98</v>
      </c>
      <c r="H2640">
        <v>0</v>
      </c>
      <c r="I2640">
        <v>2</v>
      </c>
      <c r="J2640">
        <v>2</v>
      </c>
      <c r="K2640" s="4">
        <v>60.1</v>
      </c>
      <c r="L2640" s="4">
        <v>48.8</v>
      </c>
      <c r="M2640" s="4">
        <v>67.3</v>
      </c>
      <c r="N2640">
        <v>2</v>
      </c>
      <c r="O2640" t="s">
        <v>64</v>
      </c>
      <c r="P2640" t="s">
        <v>65</v>
      </c>
      <c r="S2640" s="3">
        <v>0</v>
      </c>
      <c r="T2640" s="5"/>
      <c r="U2640">
        <v>0</v>
      </c>
      <c r="V2640">
        <v>2023</v>
      </c>
      <c r="X2640">
        <f t="shared" si="123"/>
        <v>7.0397360000000004</v>
      </c>
      <c r="Y2640">
        <f t="shared" si="124"/>
        <v>-2.6399999999999997E-4</v>
      </c>
      <c r="Z2640">
        <f t="shared" si="125"/>
        <v>48.799735999999996</v>
      </c>
    </row>
    <row r="2641" spans="1:26" x14ac:dyDescent="0.3">
      <c r="A2641" t="s">
        <v>2731</v>
      </c>
      <c r="B2641" t="s">
        <v>63</v>
      </c>
      <c r="C2641" t="s">
        <v>89</v>
      </c>
      <c r="D2641" t="s">
        <v>57</v>
      </c>
      <c r="E2641">
        <v>21</v>
      </c>
      <c r="F2641" s="3">
        <v>7.78</v>
      </c>
      <c r="G2641" s="4">
        <v>82.9</v>
      </c>
      <c r="H2641">
        <v>2</v>
      </c>
      <c r="I2641">
        <v>2</v>
      </c>
      <c r="J2641">
        <v>4</v>
      </c>
      <c r="K2641" s="4">
        <v>70.400000000000006</v>
      </c>
      <c r="L2641" s="4">
        <v>62.6</v>
      </c>
      <c r="M2641" s="4">
        <v>85.2</v>
      </c>
      <c r="N2641">
        <v>0</v>
      </c>
      <c r="O2641" t="s">
        <v>58</v>
      </c>
      <c r="P2641" t="s">
        <v>79</v>
      </c>
      <c r="Q2641" t="s">
        <v>71</v>
      </c>
      <c r="R2641" t="s">
        <v>80</v>
      </c>
      <c r="S2641" s="3">
        <v>6.99</v>
      </c>
      <c r="T2641" s="5">
        <v>45926</v>
      </c>
      <c r="U2641">
        <v>1</v>
      </c>
      <c r="V2641">
        <v>2025</v>
      </c>
      <c r="X2641">
        <f t="shared" si="123"/>
        <v>7.7797359000000004</v>
      </c>
      <c r="Y2641">
        <f t="shared" si="124"/>
        <v>6.9897359000000003</v>
      </c>
      <c r="Z2641">
        <f t="shared" si="125"/>
        <v>62.599735899999999</v>
      </c>
    </row>
    <row r="2642" spans="1:26" x14ac:dyDescent="0.3">
      <c r="A2642" t="s">
        <v>2732</v>
      </c>
      <c r="B2642" t="s">
        <v>67</v>
      </c>
      <c r="C2642" t="s">
        <v>68</v>
      </c>
      <c r="D2642" t="s">
        <v>57</v>
      </c>
      <c r="E2642">
        <v>23</v>
      </c>
      <c r="F2642" s="3">
        <v>8.5500000000000007</v>
      </c>
      <c r="G2642" s="4">
        <v>91.7</v>
      </c>
      <c r="H2642">
        <v>2</v>
      </c>
      <c r="I2642">
        <v>0</v>
      </c>
      <c r="J2642">
        <v>4</v>
      </c>
      <c r="K2642" s="4">
        <v>44.5</v>
      </c>
      <c r="L2642" s="4">
        <v>74</v>
      </c>
      <c r="M2642" s="4">
        <v>58.9</v>
      </c>
      <c r="N2642">
        <v>0</v>
      </c>
      <c r="O2642" t="s">
        <v>58</v>
      </c>
      <c r="P2642" t="s">
        <v>104</v>
      </c>
      <c r="Q2642" t="s">
        <v>105</v>
      </c>
      <c r="R2642" t="s">
        <v>109</v>
      </c>
      <c r="S2642" s="3">
        <v>16.89</v>
      </c>
      <c r="T2642" s="5">
        <v>45183</v>
      </c>
      <c r="U2642">
        <v>2</v>
      </c>
      <c r="V2642">
        <v>2023</v>
      </c>
      <c r="X2642">
        <f t="shared" si="123"/>
        <v>8.5497358000000006</v>
      </c>
      <c r="Y2642">
        <f t="shared" si="124"/>
        <v>16.8897358</v>
      </c>
      <c r="Z2642">
        <f t="shared" si="125"/>
        <v>73.999735799999996</v>
      </c>
    </row>
    <row r="2643" spans="1:26" x14ac:dyDescent="0.3">
      <c r="A2643" t="s">
        <v>2733</v>
      </c>
      <c r="B2643" t="s">
        <v>67</v>
      </c>
      <c r="C2643" t="s">
        <v>68</v>
      </c>
      <c r="D2643" t="s">
        <v>57</v>
      </c>
      <c r="E2643">
        <v>20</v>
      </c>
      <c r="F2643" s="3">
        <v>8.6</v>
      </c>
      <c r="G2643" s="4">
        <v>68.599999999999994</v>
      </c>
      <c r="H2643">
        <v>1</v>
      </c>
      <c r="I2643">
        <v>2</v>
      </c>
      <c r="J2643">
        <v>5</v>
      </c>
      <c r="K2643" s="4">
        <v>78.099999999999994</v>
      </c>
      <c r="L2643" s="4">
        <v>58.7</v>
      </c>
      <c r="M2643" s="4">
        <v>72.5</v>
      </c>
      <c r="N2643">
        <v>1</v>
      </c>
      <c r="O2643" t="s">
        <v>58</v>
      </c>
      <c r="P2643" t="s">
        <v>92</v>
      </c>
      <c r="Q2643" t="s">
        <v>93</v>
      </c>
      <c r="R2643" t="s">
        <v>61</v>
      </c>
      <c r="S2643" s="3">
        <v>10.28</v>
      </c>
      <c r="T2643" s="5">
        <v>45219</v>
      </c>
      <c r="U2643">
        <v>1</v>
      </c>
      <c r="V2643">
        <v>2023</v>
      </c>
      <c r="X2643">
        <f t="shared" si="123"/>
        <v>8.5997357000000001</v>
      </c>
      <c r="Y2643">
        <f t="shared" si="124"/>
        <v>10.2797357</v>
      </c>
      <c r="Z2643">
        <f t="shared" si="125"/>
        <v>58.699735700000005</v>
      </c>
    </row>
    <row r="2644" spans="1:26" x14ac:dyDescent="0.3">
      <c r="A2644" t="s">
        <v>2734</v>
      </c>
      <c r="B2644" t="s">
        <v>55</v>
      </c>
      <c r="C2644" t="s">
        <v>78</v>
      </c>
      <c r="D2644" t="s">
        <v>57</v>
      </c>
      <c r="E2644">
        <v>20</v>
      </c>
      <c r="F2644" s="3">
        <v>8.36</v>
      </c>
      <c r="G2644" s="4">
        <v>75.599999999999994</v>
      </c>
      <c r="H2644">
        <v>0</v>
      </c>
      <c r="I2644">
        <v>1</v>
      </c>
      <c r="J2644">
        <v>6</v>
      </c>
      <c r="K2644" s="4">
        <v>46.6</v>
      </c>
      <c r="L2644" s="4">
        <v>72.599999999999994</v>
      </c>
      <c r="M2644" s="4">
        <v>79.2</v>
      </c>
      <c r="N2644">
        <v>0</v>
      </c>
      <c r="O2644" t="s">
        <v>58</v>
      </c>
      <c r="P2644" t="s">
        <v>112</v>
      </c>
      <c r="Q2644" t="s">
        <v>93</v>
      </c>
      <c r="R2644" t="s">
        <v>109</v>
      </c>
      <c r="S2644" s="3">
        <v>5.9</v>
      </c>
      <c r="T2644" s="5">
        <v>45591</v>
      </c>
      <c r="U2644">
        <v>3</v>
      </c>
      <c r="V2644">
        <v>2024</v>
      </c>
      <c r="X2644">
        <f t="shared" si="123"/>
        <v>8.3597355999999987</v>
      </c>
      <c r="Y2644">
        <f t="shared" si="124"/>
        <v>5.8997356000000005</v>
      </c>
      <c r="Z2644">
        <f t="shared" si="125"/>
        <v>72.599735599999988</v>
      </c>
    </row>
    <row r="2645" spans="1:26" x14ac:dyDescent="0.3">
      <c r="A2645" t="s">
        <v>2735</v>
      </c>
      <c r="B2645" t="s">
        <v>82</v>
      </c>
      <c r="C2645" t="s">
        <v>101</v>
      </c>
      <c r="D2645" t="s">
        <v>69</v>
      </c>
      <c r="E2645">
        <v>22</v>
      </c>
      <c r="F2645" s="3">
        <v>7.39</v>
      </c>
      <c r="G2645" s="4">
        <v>86</v>
      </c>
      <c r="H2645">
        <v>1</v>
      </c>
      <c r="I2645">
        <v>2</v>
      </c>
      <c r="J2645">
        <v>4</v>
      </c>
      <c r="K2645" s="4">
        <v>67.5</v>
      </c>
      <c r="L2645" s="4">
        <v>67.2</v>
      </c>
      <c r="M2645" s="4">
        <v>61.2</v>
      </c>
      <c r="N2645">
        <v>1</v>
      </c>
      <c r="O2645" t="s">
        <v>58</v>
      </c>
      <c r="P2645" t="s">
        <v>104</v>
      </c>
      <c r="Q2645" t="s">
        <v>105</v>
      </c>
      <c r="R2645" t="s">
        <v>61</v>
      </c>
      <c r="S2645" s="3">
        <v>13.82</v>
      </c>
      <c r="T2645" s="5">
        <v>44876</v>
      </c>
      <c r="U2645">
        <v>2</v>
      </c>
      <c r="V2645">
        <v>2022</v>
      </c>
      <c r="X2645">
        <f t="shared" si="123"/>
        <v>7.3897354999999996</v>
      </c>
      <c r="Y2645">
        <f t="shared" si="124"/>
        <v>13.8197355</v>
      </c>
      <c r="Z2645">
        <f t="shared" si="125"/>
        <v>67.199735500000003</v>
      </c>
    </row>
    <row r="2646" spans="1:26" x14ac:dyDescent="0.3">
      <c r="A2646" t="s">
        <v>2736</v>
      </c>
      <c r="B2646" t="s">
        <v>55</v>
      </c>
      <c r="C2646" t="s">
        <v>74</v>
      </c>
      <c r="D2646" t="s">
        <v>69</v>
      </c>
      <c r="E2646">
        <v>21</v>
      </c>
      <c r="F2646" s="3">
        <v>9.65</v>
      </c>
      <c r="G2646" s="4">
        <v>85.9</v>
      </c>
      <c r="H2646">
        <v>2</v>
      </c>
      <c r="I2646">
        <v>5</v>
      </c>
      <c r="J2646">
        <v>3</v>
      </c>
      <c r="K2646" s="4">
        <v>53.4</v>
      </c>
      <c r="L2646" s="4">
        <v>78.900000000000006</v>
      </c>
      <c r="M2646" s="4">
        <v>80.3</v>
      </c>
      <c r="N2646">
        <v>0</v>
      </c>
      <c r="O2646" t="s">
        <v>58</v>
      </c>
      <c r="P2646" t="s">
        <v>75</v>
      </c>
      <c r="Q2646" t="s">
        <v>71</v>
      </c>
      <c r="R2646" t="s">
        <v>76</v>
      </c>
      <c r="S2646" s="3">
        <v>7.73</v>
      </c>
      <c r="T2646" s="5">
        <v>45534</v>
      </c>
      <c r="U2646">
        <v>3</v>
      </c>
      <c r="V2646">
        <v>2024</v>
      </c>
      <c r="X2646">
        <f t="shared" si="123"/>
        <v>9.6497354000000009</v>
      </c>
      <c r="Y2646">
        <f t="shared" si="124"/>
        <v>7.7297354</v>
      </c>
      <c r="Z2646">
        <f t="shared" si="125"/>
        <v>78.899735400000012</v>
      </c>
    </row>
    <row r="2647" spans="1:26" x14ac:dyDescent="0.3">
      <c r="A2647" t="s">
        <v>2737</v>
      </c>
      <c r="B2647" t="s">
        <v>55</v>
      </c>
      <c r="C2647" t="s">
        <v>84</v>
      </c>
      <c r="D2647" t="s">
        <v>57</v>
      </c>
      <c r="E2647">
        <v>23</v>
      </c>
      <c r="F2647" s="3">
        <v>7.68</v>
      </c>
      <c r="G2647" s="4">
        <v>75.5</v>
      </c>
      <c r="H2647">
        <v>3</v>
      </c>
      <c r="I2647">
        <v>0</v>
      </c>
      <c r="J2647">
        <v>4</v>
      </c>
      <c r="K2647" s="4">
        <v>72.7</v>
      </c>
      <c r="L2647" s="4">
        <v>67.5</v>
      </c>
      <c r="M2647" s="4">
        <v>86.4</v>
      </c>
      <c r="N2647">
        <v>0</v>
      </c>
      <c r="O2647" t="s">
        <v>64</v>
      </c>
      <c r="P2647" t="s">
        <v>65</v>
      </c>
      <c r="S2647" s="3">
        <v>0</v>
      </c>
      <c r="T2647" s="5"/>
      <c r="U2647">
        <v>0</v>
      </c>
      <c r="V2647">
        <v>2024</v>
      </c>
      <c r="X2647">
        <f t="shared" si="123"/>
        <v>7.6797352999999999</v>
      </c>
      <c r="Y2647">
        <f t="shared" si="124"/>
        <v>-2.6469999999999998E-4</v>
      </c>
      <c r="Z2647">
        <f t="shared" si="125"/>
        <v>67.499735299999998</v>
      </c>
    </row>
    <row r="2648" spans="1:26" x14ac:dyDescent="0.3">
      <c r="A2648" t="s">
        <v>2738</v>
      </c>
      <c r="B2648" t="s">
        <v>107</v>
      </c>
      <c r="C2648" t="s">
        <v>56</v>
      </c>
      <c r="D2648" t="s">
        <v>57</v>
      </c>
      <c r="E2648">
        <v>20</v>
      </c>
      <c r="F2648" s="3">
        <v>7.3</v>
      </c>
      <c r="G2648" s="4">
        <v>90.6</v>
      </c>
      <c r="H2648">
        <v>1</v>
      </c>
      <c r="I2648">
        <v>3</v>
      </c>
      <c r="J2648">
        <v>3</v>
      </c>
      <c r="K2648" s="4">
        <v>65.400000000000006</v>
      </c>
      <c r="L2648" s="4">
        <v>100</v>
      </c>
      <c r="M2648" s="4">
        <v>71.599999999999994</v>
      </c>
      <c r="N2648">
        <v>0</v>
      </c>
      <c r="O2648" t="s">
        <v>58</v>
      </c>
      <c r="P2648" t="s">
        <v>92</v>
      </c>
      <c r="Q2648" t="s">
        <v>93</v>
      </c>
      <c r="R2648" t="s">
        <v>85</v>
      </c>
      <c r="S2648" s="3">
        <v>9.5</v>
      </c>
      <c r="T2648" s="5">
        <v>44422</v>
      </c>
      <c r="U2648">
        <v>2</v>
      </c>
      <c r="V2648">
        <v>2021</v>
      </c>
      <c r="X2648">
        <f t="shared" si="123"/>
        <v>7.2997351999999998</v>
      </c>
      <c r="Y2648">
        <f t="shared" si="124"/>
        <v>9.4997351999999999</v>
      </c>
      <c r="Z2648">
        <f t="shared" si="125"/>
        <v>99.999735200000003</v>
      </c>
    </row>
    <row r="2649" spans="1:26" x14ac:dyDescent="0.3">
      <c r="A2649" t="s">
        <v>2739</v>
      </c>
      <c r="B2649" t="s">
        <v>55</v>
      </c>
      <c r="C2649" t="s">
        <v>56</v>
      </c>
      <c r="D2649" t="s">
        <v>57</v>
      </c>
      <c r="E2649">
        <v>23</v>
      </c>
      <c r="F2649" s="3">
        <v>6.42</v>
      </c>
      <c r="G2649" s="4">
        <v>80.5</v>
      </c>
      <c r="H2649">
        <v>2</v>
      </c>
      <c r="I2649">
        <v>1</v>
      </c>
      <c r="J2649">
        <v>6</v>
      </c>
      <c r="K2649" s="4">
        <v>64.8</v>
      </c>
      <c r="L2649" s="4">
        <v>40.5</v>
      </c>
      <c r="M2649" s="4">
        <v>78.7</v>
      </c>
      <c r="N2649">
        <v>0</v>
      </c>
      <c r="O2649" t="s">
        <v>64</v>
      </c>
      <c r="P2649" t="s">
        <v>65</v>
      </c>
      <c r="S2649" s="3">
        <v>0</v>
      </c>
      <c r="T2649" s="5"/>
      <c r="U2649">
        <v>0</v>
      </c>
      <c r="V2649">
        <v>2024</v>
      </c>
      <c r="X2649">
        <f t="shared" si="123"/>
        <v>6.4197350999999996</v>
      </c>
      <c r="Y2649">
        <f t="shared" si="124"/>
        <v>-2.6489999999999999E-4</v>
      </c>
      <c r="Z2649">
        <f t="shared" si="125"/>
        <v>40.499735100000002</v>
      </c>
    </row>
    <row r="2650" spans="1:26" x14ac:dyDescent="0.3">
      <c r="A2650" t="s">
        <v>2740</v>
      </c>
      <c r="B2650" t="s">
        <v>63</v>
      </c>
      <c r="C2650" t="s">
        <v>74</v>
      </c>
      <c r="D2650" t="s">
        <v>57</v>
      </c>
      <c r="E2650">
        <v>22</v>
      </c>
      <c r="F2650" s="3">
        <v>7.34</v>
      </c>
      <c r="G2650" s="4">
        <v>80.3</v>
      </c>
      <c r="H2650">
        <v>1</v>
      </c>
      <c r="I2650">
        <v>1</v>
      </c>
      <c r="J2650">
        <v>5</v>
      </c>
      <c r="K2650" s="4">
        <v>67.099999999999994</v>
      </c>
      <c r="L2650" s="4">
        <v>58.1</v>
      </c>
      <c r="M2650" s="4">
        <v>64.5</v>
      </c>
      <c r="N2650">
        <v>0</v>
      </c>
      <c r="O2650" t="s">
        <v>58</v>
      </c>
      <c r="P2650" t="s">
        <v>79</v>
      </c>
      <c r="Q2650" t="s">
        <v>71</v>
      </c>
      <c r="R2650" t="s">
        <v>76</v>
      </c>
      <c r="S2650" s="3">
        <v>5.69</v>
      </c>
      <c r="T2650" s="5">
        <v>45949</v>
      </c>
      <c r="U2650">
        <v>2</v>
      </c>
      <c r="V2650">
        <v>2025</v>
      </c>
      <c r="X2650">
        <f t="shared" si="123"/>
        <v>7.3397350000000001</v>
      </c>
      <c r="Y2650">
        <f t="shared" si="124"/>
        <v>5.6897350000000007</v>
      </c>
      <c r="Z2650">
        <f t="shared" si="125"/>
        <v>58.099735000000003</v>
      </c>
    </row>
    <row r="2651" spans="1:26" x14ac:dyDescent="0.3">
      <c r="A2651" t="s">
        <v>2741</v>
      </c>
      <c r="B2651" t="s">
        <v>63</v>
      </c>
      <c r="C2651" t="s">
        <v>56</v>
      </c>
      <c r="D2651" t="s">
        <v>57</v>
      </c>
      <c r="E2651">
        <v>21</v>
      </c>
      <c r="F2651" s="3">
        <v>8.0399999999999991</v>
      </c>
      <c r="G2651" s="4">
        <v>81.3</v>
      </c>
      <c r="H2651">
        <v>2</v>
      </c>
      <c r="I2651">
        <v>1</v>
      </c>
      <c r="J2651">
        <v>3</v>
      </c>
      <c r="K2651" s="4">
        <v>68.400000000000006</v>
      </c>
      <c r="L2651" s="4">
        <v>80.2</v>
      </c>
      <c r="M2651" s="4">
        <v>100</v>
      </c>
      <c r="N2651">
        <v>0</v>
      </c>
      <c r="O2651" t="s">
        <v>58</v>
      </c>
      <c r="P2651" t="s">
        <v>59</v>
      </c>
      <c r="Q2651" t="s">
        <v>60</v>
      </c>
      <c r="R2651" t="s">
        <v>85</v>
      </c>
      <c r="S2651" s="3">
        <v>20.51</v>
      </c>
      <c r="T2651" s="5">
        <v>45982</v>
      </c>
      <c r="U2651">
        <v>1</v>
      </c>
      <c r="V2651">
        <v>2025</v>
      </c>
      <c r="X2651">
        <f t="shared" si="123"/>
        <v>8.0397348999999991</v>
      </c>
      <c r="Y2651">
        <f t="shared" si="124"/>
        <v>20.509734900000002</v>
      </c>
      <c r="Z2651">
        <f t="shared" si="125"/>
        <v>80.19973490000001</v>
      </c>
    </row>
    <row r="2652" spans="1:26" x14ac:dyDescent="0.3">
      <c r="A2652" t="s">
        <v>2742</v>
      </c>
      <c r="B2652" t="s">
        <v>107</v>
      </c>
      <c r="C2652" t="s">
        <v>56</v>
      </c>
      <c r="D2652" t="s">
        <v>69</v>
      </c>
      <c r="E2652">
        <v>22</v>
      </c>
      <c r="F2652" s="3">
        <v>6.22</v>
      </c>
      <c r="G2652" s="4">
        <v>94</v>
      </c>
      <c r="H2652">
        <v>0</v>
      </c>
      <c r="I2652">
        <v>1</v>
      </c>
      <c r="J2652">
        <v>5</v>
      </c>
      <c r="K2652" s="4">
        <v>87.7</v>
      </c>
      <c r="L2652" s="4">
        <v>72.8</v>
      </c>
      <c r="M2652" s="4">
        <v>74.099999999999994</v>
      </c>
      <c r="N2652">
        <v>0</v>
      </c>
      <c r="O2652" t="s">
        <v>58</v>
      </c>
      <c r="P2652" t="s">
        <v>112</v>
      </c>
      <c r="Q2652" t="s">
        <v>93</v>
      </c>
      <c r="R2652" t="s">
        <v>130</v>
      </c>
      <c r="S2652" s="3">
        <v>4.96</v>
      </c>
      <c r="T2652" s="5">
        <v>44456</v>
      </c>
      <c r="U2652">
        <v>1</v>
      </c>
      <c r="V2652">
        <v>2021</v>
      </c>
      <c r="X2652">
        <f t="shared" si="123"/>
        <v>6.2197347999999995</v>
      </c>
      <c r="Y2652">
        <f t="shared" si="124"/>
        <v>4.9597347999999997</v>
      </c>
      <c r="Z2652">
        <f t="shared" si="125"/>
        <v>72.799734799999996</v>
      </c>
    </row>
    <row r="2653" spans="1:26" x14ac:dyDescent="0.3">
      <c r="A2653" t="s">
        <v>2743</v>
      </c>
      <c r="B2653" t="s">
        <v>82</v>
      </c>
      <c r="C2653" t="s">
        <v>56</v>
      </c>
      <c r="D2653" t="s">
        <v>57</v>
      </c>
      <c r="E2653">
        <v>23</v>
      </c>
      <c r="F2653" s="3">
        <v>6.79</v>
      </c>
      <c r="G2653" s="4">
        <v>91.8</v>
      </c>
      <c r="H2653">
        <v>1</v>
      </c>
      <c r="I2653">
        <v>1</v>
      </c>
      <c r="J2653">
        <v>3</v>
      </c>
      <c r="K2653" s="4">
        <v>74.599999999999994</v>
      </c>
      <c r="L2653" s="4">
        <v>76.5</v>
      </c>
      <c r="M2653" s="4">
        <v>78</v>
      </c>
      <c r="N2653">
        <v>0</v>
      </c>
      <c r="O2653" t="s">
        <v>58</v>
      </c>
      <c r="P2653" t="s">
        <v>59</v>
      </c>
      <c r="Q2653" t="s">
        <v>60</v>
      </c>
      <c r="R2653" t="s">
        <v>109</v>
      </c>
      <c r="S2653" s="3">
        <v>18.760000000000002</v>
      </c>
      <c r="T2653" s="5">
        <v>44791</v>
      </c>
      <c r="U2653">
        <v>1</v>
      </c>
      <c r="V2653">
        <v>2022</v>
      </c>
      <c r="X2653">
        <f t="shared" si="123"/>
        <v>6.7897347000000003</v>
      </c>
      <c r="Y2653">
        <f t="shared" si="124"/>
        <v>18.759734700000003</v>
      </c>
      <c r="Z2653">
        <f t="shared" si="125"/>
        <v>76.499734700000005</v>
      </c>
    </row>
    <row r="2654" spans="1:26" x14ac:dyDescent="0.3">
      <c r="A2654" t="s">
        <v>2744</v>
      </c>
      <c r="B2654" t="s">
        <v>82</v>
      </c>
      <c r="C2654" t="s">
        <v>101</v>
      </c>
      <c r="D2654" t="s">
        <v>69</v>
      </c>
      <c r="E2654">
        <v>22</v>
      </c>
      <c r="F2654" s="3">
        <v>7.23</v>
      </c>
      <c r="G2654" s="4">
        <v>98.9</v>
      </c>
      <c r="H2654">
        <v>1</v>
      </c>
      <c r="I2654">
        <v>1</v>
      </c>
      <c r="J2654">
        <v>2</v>
      </c>
      <c r="K2654" s="4">
        <v>58.4</v>
      </c>
      <c r="L2654" s="4">
        <v>21.9</v>
      </c>
      <c r="M2654" s="4">
        <v>70.8</v>
      </c>
      <c r="N2654">
        <v>1</v>
      </c>
      <c r="O2654" t="s">
        <v>58</v>
      </c>
      <c r="P2654" t="s">
        <v>70</v>
      </c>
      <c r="Q2654" t="s">
        <v>71</v>
      </c>
      <c r="R2654" t="s">
        <v>80</v>
      </c>
      <c r="S2654" s="3">
        <v>3.89</v>
      </c>
      <c r="T2654" s="5">
        <v>44805</v>
      </c>
      <c r="U2654">
        <v>2</v>
      </c>
      <c r="V2654">
        <v>2022</v>
      </c>
      <c r="X2654">
        <f t="shared" si="123"/>
        <v>7.2297346000000005</v>
      </c>
      <c r="Y2654">
        <f t="shared" si="124"/>
        <v>3.8897346000000002</v>
      </c>
      <c r="Z2654">
        <f t="shared" si="125"/>
        <v>21.899734599999999</v>
      </c>
    </row>
    <row r="2655" spans="1:26" x14ac:dyDescent="0.3">
      <c r="A2655" t="s">
        <v>2745</v>
      </c>
      <c r="B2655" t="s">
        <v>55</v>
      </c>
      <c r="C2655" t="s">
        <v>56</v>
      </c>
      <c r="D2655" t="s">
        <v>57</v>
      </c>
      <c r="E2655">
        <v>23</v>
      </c>
      <c r="F2655" s="3">
        <v>6.95</v>
      </c>
      <c r="G2655" s="4">
        <v>87</v>
      </c>
      <c r="H2655">
        <v>3</v>
      </c>
      <c r="I2655">
        <v>2</v>
      </c>
      <c r="J2655">
        <v>4</v>
      </c>
      <c r="K2655" s="4">
        <v>59.5</v>
      </c>
      <c r="L2655" s="4">
        <v>67.3</v>
      </c>
      <c r="M2655" s="4">
        <v>66.099999999999994</v>
      </c>
      <c r="N2655">
        <v>2</v>
      </c>
      <c r="O2655" t="s">
        <v>64</v>
      </c>
      <c r="P2655" t="s">
        <v>65</v>
      </c>
      <c r="S2655" s="3">
        <v>0</v>
      </c>
      <c r="T2655" s="5"/>
      <c r="U2655">
        <v>0</v>
      </c>
      <c r="V2655">
        <v>2024</v>
      </c>
      <c r="X2655">
        <f t="shared" si="123"/>
        <v>6.9497344999999999</v>
      </c>
      <c r="Y2655">
        <f t="shared" si="124"/>
        <v>-2.655E-4</v>
      </c>
      <c r="Z2655">
        <f t="shared" si="125"/>
        <v>67.2997345</v>
      </c>
    </row>
    <row r="2656" spans="1:26" x14ac:dyDescent="0.3">
      <c r="A2656" t="s">
        <v>2746</v>
      </c>
      <c r="B2656" t="s">
        <v>55</v>
      </c>
      <c r="C2656" t="s">
        <v>78</v>
      </c>
      <c r="D2656" t="s">
        <v>69</v>
      </c>
      <c r="E2656">
        <v>20</v>
      </c>
      <c r="F2656" s="3">
        <v>6.88</v>
      </c>
      <c r="G2656" s="4">
        <v>99.4</v>
      </c>
      <c r="H2656">
        <v>1</v>
      </c>
      <c r="I2656">
        <v>0</v>
      </c>
      <c r="J2656">
        <v>3</v>
      </c>
      <c r="K2656" s="4">
        <v>82.2</v>
      </c>
      <c r="L2656" s="4">
        <v>70.099999999999994</v>
      </c>
      <c r="M2656" s="4">
        <v>85.6</v>
      </c>
      <c r="N2656">
        <v>0</v>
      </c>
      <c r="O2656" t="s">
        <v>58</v>
      </c>
      <c r="P2656" t="s">
        <v>87</v>
      </c>
      <c r="Q2656" t="s">
        <v>71</v>
      </c>
      <c r="R2656" t="s">
        <v>72</v>
      </c>
      <c r="S2656" s="3">
        <v>5.85</v>
      </c>
      <c r="T2656" s="5">
        <v>45542</v>
      </c>
      <c r="U2656">
        <v>1</v>
      </c>
      <c r="V2656">
        <v>2024</v>
      </c>
      <c r="X2656">
        <f t="shared" si="123"/>
        <v>6.8797344000000002</v>
      </c>
      <c r="Y2656">
        <f t="shared" si="124"/>
        <v>5.8497344</v>
      </c>
      <c r="Z2656">
        <f t="shared" si="125"/>
        <v>70.099734399999988</v>
      </c>
    </row>
    <row r="2657" spans="1:26" x14ac:dyDescent="0.3">
      <c r="A2657" t="s">
        <v>2747</v>
      </c>
      <c r="B2657" t="s">
        <v>55</v>
      </c>
      <c r="C2657" t="s">
        <v>56</v>
      </c>
      <c r="D2657" t="s">
        <v>69</v>
      </c>
      <c r="E2657">
        <v>20</v>
      </c>
      <c r="F2657" s="3">
        <v>8.66</v>
      </c>
      <c r="G2657" s="4">
        <v>84.1</v>
      </c>
      <c r="H2657">
        <v>1</v>
      </c>
      <c r="I2657">
        <v>1</v>
      </c>
      <c r="J2657">
        <v>6</v>
      </c>
      <c r="K2657" s="4">
        <v>53</v>
      </c>
      <c r="L2657" s="4">
        <v>79.099999999999994</v>
      </c>
      <c r="M2657" s="4">
        <v>45.1</v>
      </c>
      <c r="N2657">
        <v>2</v>
      </c>
      <c r="O2657" t="s">
        <v>58</v>
      </c>
      <c r="P2657" t="s">
        <v>104</v>
      </c>
      <c r="Q2657" t="s">
        <v>105</v>
      </c>
      <c r="R2657" t="s">
        <v>76</v>
      </c>
      <c r="S2657" s="3">
        <v>16.61</v>
      </c>
      <c r="T2657" s="5">
        <v>45620</v>
      </c>
      <c r="U2657">
        <v>1</v>
      </c>
      <c r="V2657">
        <v>2024</v>
      </c>
      <c r="X2657">
        <f t="shared" si="123"/>
        <v>8.6597343000000002</v>
      </c>
      <c r="Y2657">
        <f t="shared" si="124"/>
        <v>16.6097343</v>
      </c>
      <c r="Z2657">
        <f t="shared" si="125"/>
        <v>79.099734299999994</v>
      </c>
    </row>
    <row r="2658" spans="1:26" x14ac:dyDescent="0.3">
      <c r="A2658" t="s">
        <v>2748</v>
      </c>
      <c r="B2658" t="s">
        <v>82</v>
      </c>
      <c r="C2658" t="s">
        <v>84</v>
      </c>
      <c r="D2658" t="s">
        <v>69</v>
      </c>
      <c r="E2658">
        <v>22</v>
      </c>
      <c r="F2658" s="3">
        <v>6.16</v>
      </c>
      <c r="G2658" s="4">
        <v>80.900000000000006</v>
      </c>
      <c r="H2658">
        <v>2</v>
      </c>
      <c r="I2658">
        <v>1</v>
      </c>
      <c r="J2658">
        <v>3</v>
      </c>
      <c r="K2658" s="4">
        <v>68.2</v>
      </c>
      <c r="L2658" s="4">
        <v>75.3</v>
      </c>
      <c r="M2658" s="4">
        <v>52.1</v>
      </c>
      <c r="N2658">
        <v>0</v>
      </c>
      <c r="O2658" t="s">
        <v>58</v>
      </c>
      <c r="P2658" t="s">
        <v>95</v>
      </c>
      <c r="Q2658" t="s">
        <v>93</v>
      </c>
      <c r="R2658" t="s">
        <v>72</v>
      </c>
      <c r="S2658" s="3">
        <v>6.78</v>
      </c>
      <c r="T2658" s="5">
        <v>44826</v>
      </c>
      <c r="U2658">
        <v>2</v>
      </c>
      <c r="V2658">
        <v>2022</v>
      </c>
      <c r="X2658">
        <f t="shared" si="123"/>
        <v>6.1597341999999999</v>
      </c>
      <c r="Y2658">
        <f t="shared" si="124"/>
        <v>6.7797342</v>
      </c>
      <c r="Z2658">
        <f t="shared" si="125"/>
        <v>75.299734200000003</v>
      </c>
    </row>
    <row r="2659" spans="1:26" x14ac:dyDescent="0.3">
      <c r="A2659" t="s">
        <v>2749</v>
      </c>
      <c r="B2659" t="s">
        <v>67</v>
      </c>
      <c r="C2659" t="s">
        <v>78</v>
      </c>
      <c r="D2659" t="s">
        <v>57</v>
      </c>
      <c r="E2659">
        <v>20</v>
      </c>
      <c r="F2659" s="3">
        <v>7.81</v>
      </c>
      <c r="G2659" s="4">
        <v>78.099999999999994</v>
      </c>
      <c r="H2659">
        <v>1</v>
      </c>
      <c r="I2659">
        <v>3</v>
      </c>
      <c r="J2659">
        <v>5</v>
      </c>
      <c r="K2659" s="4">
        <v>44.4</v>
      </c>
      <c r="L2659" s="4">
        <v>70.2</v>
      </c>
      <c r="M2659" s="4">
        <v>77.8</v>
      </c>
      <c r="N2659">
        <v>0</v>
      </c>
      <c r="O2659" t="s">
        <v>58</v>
      </c>
      <c r="P2659" t="s">
        <v>112</v>
      </c>
      <c r="Q2659" t="s">
        <v>93</v>
      </c>
      <c r="R2659" t="s">
        <v>85</v>
      </c>
      <c r="S2659" s="3">
        <v>7.61</v>
      </c>
      <c r="T2659" s="5">
        <v>45153</v>
      </c>
      <c r="U2659">
        <v>1</v>
      </c>
      <c r="V2659">
        <v>2023</v>
      </c>
      <c r="X2659">
        <f t="shared" si="123"/>
        <v>7.8097341</v>
      </c>
      <c r="Y2659">
        <f t="shared" si="124"/>
        <v>7.6097341000000007</v>
      </c>
      <c r="Z2659">
        <f t="shared" si="125"/>
        <v>70.199734100000001</v>
      </c>
    </row>
    <row r="2660" spans="1:26" x14ac:dyDescent="0.3">
      <c r="A2660" t="s">
        <v>2750</v>
      </c>
      <c r="B2660" t="s">
        <v>63</v>
      </c>
      <c r="C2660" t="s">
        <v>56</v>
      </c>
      <c r="D2660" t="s">
        <v>69</v>
      </c>
      <c r="E2660">
        <v>23</v>
      </c>
      <c r="F2660" s="3">
        <v>8.1199999999999992</v>
      </c>
      <c r="G2660" s="4">
        <v>80.400000000000006</v>
      </c>
      <c r="H2660">
        <v>1</v>
      </c>
      <c r="I2660">
        <v>0</v>
      </c>
      <c r="J2660">
        <v>4</v>
      </c>
      <c r="K2660" s="4">
        <v>66.400000000000006</v>
      </c>
      <c r="L2660" s="4">
        <v>68.5</v>
      </c>
      <c r="M2660" s="4">
        <v>69.599999999999994</v>
      </c>
      <c r="N2660">
        <v>0</v>
      </c>
      <c r="O2660" t="s">
        <v>58</v>
      </c>
      <c r="P2660" t="s">
        <v>87</v>
      </c>
      <c r="Q2660" t="s">
        <v>71</v>
      </c>
      <c r="R2660" t="s">
        <v>109</v>
      </c>
      <c r="S2660" s="3">
        <v>6.83</v>
      </c>
      <c r="T2660" s="5">
        <v>45906</v>
      </c>
      <c r="U2660">
        <v>2</v>
      </c>
      <c r="V2660">
        <v>2025</v>
      </c>
      <c r="X2660">
        <f t="shared" si="123"/>
        <v>8.1197339999999993</v>
      </c>
      <c r="Y2660">
        <f t="shared" si="124"/>
        <v>6.8297340000000002</v>
      </c>
      <c r="Z2660">
        <f t="shared" si="125"/>
        <v>68.499734000000004</v>
      </c>
    </row>
    <row r="2661" spans="1:26" x14ac:dyDescent="0.3">
      <c r="A2661" t="s">
        <v>2751</v>
      </c>
      <c r="B2661" t="s">
        <v>67</v>
      </c>
      <c r="C2661" t="s">
        <v>78</v>
      </c>
      <c r="D2661" t="s">
        <v>69</v>
      </c>
      <c r="E2661">
        <v>20</v>
      </c>
      <c r="F2661" s="3">
        <v>7.21</v>
      </c>
      <c r="G2661" s="4">
        <v>80.900000000000006</v>
      </c>
      <c r="H2661">
        <v>1</v>
      </c>
      <c r="I2661">
        <v>4</v>
      </c>
      <c r="J2661">
        <v>5</v>
      </c>
      <c r="K2661" s="4">
        <v>52.6</v>
      </c>
      <c r="L2661" s="4">
        <v>51.1</v>
      </c>
      <c r="M2661" s="4">
        <v>84.1</v>
      </c>
      <c r="N2661">
        <v>0</v>
      </c>
      <c r="O2661" t="s">
        <v>58</v>
      </c>
      <c r="P2661" t="s">
        <v>59</v>
      </c>
      <c r="Q2661" t="s">
        <v>60</v>
      </c>
      <c r="R2661" t="s">
        <v>130</v>
      </c>
      <c r="S2661" s="3">
        <v>19.29</v>
      </c>
      <c r="T2661" s="5">
        <v>45187</v>
      </c>
      <c r="U2661">
        <v>1</v>
      </c>
      <c r="V2661">
        <v>2023</v>
      </c>
      <c r="X2661">
        <f t="shared" si="123"/>
        <v>7.2097338999999998</v>
      </c>
      <c r="Y2661">
        <f t="shared" si="124"/>
        <v>19.289733899999998</v>
      </c>
      <c r="Z2661">
        <f t="shared" si="125"/>
        <v>51.099733900000004</v>
      </c>
    </row>
    <row r="2662" spans="1:26" x14ac:dyDescent="0.3">
      <c r="A2662" t="s">
        <v>2752</v>
      </c>
      <c r="B2662" t="s">
        <v>67</v>
      </c>
      <c r="C2662" t="s">
        <v>68</v>
      </c>
      <c r="D2662" t="s">
        <v>69</v>
      </c>
      <c r="E2662">
        <v>21</v>
      </c>
      <c r="F2662" s="3">
        <v>7.45</v>
      </c>
      <c r="G2662" s="4">
        <v>75.8</v>
      </c>
      <c r="H2662">
        <v>2</v>
      </c>
      <c r="I2662">
        <v>1</v>
      </c>
      <c r="J2662">
        <v>3</v>
      </c>
      <c r="K2662" s="4">
        <v>58.9</v>
      </c>
      <c r="L2662" s="4">
        <v>75.2</v>
      </c>
      <c r="M2662" s="4">
        <v>67.8</v>
      </c>
      <c r="N2662">
        <v>0</v>
      </c>
      <c r="O2662" t="s">
        <v>58</v>
      </c>
      <c r="P2662" t="s">
        <v>90</v>
      </c>
      <c r="Q2662" t="s">
        <v>60</v>
      </c>
      <c r="R2662" t="s">
        <v>76</v>
      </c>
      <c r="S2662" s="3">
        <v>9</v>
      </c>
      <c r="T2662" s="5">
        <v>45171</v>
      </c>
      <c r="U2662">
        <v>1</v>
      </c>
      <c r="V2662">
        <v>2023</v>
      </c>
      <c r="X2662">
        <f t="shared" si="123"/>
        <v>7.4497337999999997</v>
      </c>
      <c r="Y2662">
        <f t="shared" si="124"/>
        <v>8.9997337999999996</v>
      </c>
      <c r="Z2662">
        <f t="shared" si="125"/>
        <v>75.199733800000004</v>
      </c>
    </row>
    <row r="2663" spans="1:26" x14ac:dyDescent="0.3">
      <c r="A2663" t="s">
        <v>2753</v>
      </c>
      <c r="B2663" t="s">
        <v>82</v>
      </c>
      <c r="C2663" t="s">
        <v>78</v>
      </c>
      <c r="D2663" t="s">
        <v>57</v>
      </c>
      <c r="E2663">
        <v>21</v>
      </c>
      <c r="F2663" s="3">
        <v>7.61</v>
      </c>
      <c r="G2663" s="4">
        <v>76.7</v>
      </c>
      <c r="H2663">
        <v>1</v>
      </c>
      <c r="I2663">
        <v>1</v>
      </c>
      <c r="J2663">
        <v>3</v>
      </c>
      <c r="K2663" s="4">
        <v>70.599999999999994</v>
      </c>
      <c r="L2663" s="4">
        <v>68.2</v>
      </c>
      <c r="M2663" s="4">
        <v>53.9</v>
      </c>
      <c r="N2663">
        <v>1</v>
      </c>
      <c r="O2663" t="s">
        <v>64</v>
      </c>
      <c r="P2663" t="s">
        <v>65</v>
      </c>
      <c r="S2663" s="3">
        <v>0</v>
      </c>
      <c r="T2663" s="5"/>
      <c r="U2663">
        <v>0</v>
      </c>
      <c r="V2663">
        <v>2022</v>
      </c>
      <c r="X2663">
        <f t="shared" si="123"/>
        <v>7.6097337000000005</v>
      </c>
      <c r="Y2663">
        <f t="shared" si="124"/>
        <v>-2.6629999999999997E-4</v>
      </c>
      <c r="Z2663">
        <f t="shared" si="125"/>
        <v>68.199733699999996</v>
      </c>
    </row>
    <row r="2664" spans="1:26" x14ac:dyDescent="0.3">
      <c r="A2664" t="s">
        <v>2754</v>
      </c>
      <c r="B2664" t="s">
        <v>67</v>
      </c>
      <c r="C2664" t="s">
        <v>68</v>
      </c>
      <c r="D2664" t="s">
        <v>69</v>
      </c>
      <c r="E2664">
        <v>22</v>
      </c>
      <c r="F2664" s="3">
        <v>8.2200000000000006</v>
      </c>
      <c r="G2664" s="4">
        <v>87.5</v>
      </c>
      <c r="H2664">
        <v>0</v>
      </c>
      <c r="I2664">
        <v>1</v>
      </c>
      <c r="J2664">
        <v>5</v>
      </c>
      <c r="K2664" s="4">
        <v>76.5</v>
      </c>
      <c r="L2664" s="4">
        <v>63.5</v>
      </c>
      <c r="M2664" s="4">
        <v>73.2</v>
      </c>
      <c r="N2664">
        <v>1</v>
      </c>
      <c r="O2664" t="s">
        <v>58</v>
      </c>
      <c r="P2664" t="s">
        <v>90</v>
      </c>
      <c r="Q2664" t="s">
        <v>60</v>
      </c>
      <c r="R2664" t="s">
        <v>72</v>
      </c>
      <c r="S2664" s="3">
        <v>6.69</v>
      </c>
      <c r="T2664" s="5">
        <v>45209</v>
      </c>
      <c r="U2664">
        <v>1</v>
      </c>
      <c r="V2664">
        <v>2023</v>
      </c>
      <c r="X2664">
        <f t="shared" si="123"/>
        <v>8.2197336000000014</v>
      </c>
      <c r="Y2664">
        <f t="shared" si="124"/>
        <v>6.6897336000000003</v>
      </c>
      <c r="Z2664">
        <f t="shared" si="125"/>
        <v>63.499733599999999</v>
      </c>
    </row>
    <row r="2665" spans="1:26" x14ac:dyDescent="0.3">
      <c r="A2665" t="s">
        <v>2755</v>
      </c>
      <c r="B2665" t="s">
        <v>107</v>
      </c>
      <c r="C2665" t="s">
        <v>89</v>
      </c>
      <c r="D2665" t="s">
        <v>57</v>
      </c>
      <c r="E2665">
        <v>22</v>
      </c>
      <c r="F2665" s="3">
        <v>9.0299999999999994</v>
      </c>
      <c r="G2665" s="4">
        <v>77.599999999999994</v>
      </c>
      <c r="H2665">
        <v>1</v>
      </c>
      <c r="I2665">
        <v>1</v>
      </c>
      <c r="J2665">
        <v>4</v>
      </c>
      <c r="K2665" s="4">
        <v>58</v>
      </c>
      <c r="L2665" s="4">
        <v>69.8</v>
      </c>
      <c r="M2665" s="4">
        <v>70.8</v>
      </c>
      <c r="N2665">
        <v>0</v>
      </c>
      <c r="O2665" t="s">
        <v>58</v>
      </c>
      <c r="P2665" t="s">
        <v>79</v>
      </c>
      <c r="Q2665" t="s">
        <v>71</v>
      </c>
      <c r="R2665" t="s">
        <v>80</v>
      </c>
      <c r="S2665" s="3">
        <v>8.1199999999999992</v>
      </c>
      <c r="T2665" s="5">
        <v>44472</v>
      </c>
      <c r="U2665">
        <v>1</v>
      </c>
      <c r="V2665">
        <v>2021</v>
      </c>
      <c r="X2665">
        <f t="shared" si="123"/>
        <v>9.029733499999999</v>
      </c>
      <c r="Y2665">
        <f t="shared" si="124"/>
        <v>8.1197334999999988</v>
      </c>
      <c r="Z2665">
        <f t="shared" si="125"/>
        <v>69.799733500000002</v>
      </c>
    </row>
    <row r="2666" spans="1:26" x14ac:dyDescent="0.3">
      <c r="A2666" t="s">
        <v>2756</v>
      </c>
      <c r="B2666" t="s">
        <v>55</v>
      </c>
      <c r="C2666" t="s">
        <v>101</v>
      </c>
      <c r="D2666" t="s">
        <v>69</v>
      </c>
      <c r="E2666">
        <v>22</v>
      </c>
      <c r="F2666" s="3">
        <v>6.49</v>
      </c>
      <c r="G2666" s="4">
        <v>66.7</v>
      </c>
      <c r="H2666">
        <v>3</v>
      </c>
      <c r="I2666">
        <v>3</v>
      </c>
      <c r="J2666">
        <v>3</v>
      </c>
      <c r="K2666" s="4">
        <v>83.7</v>
      </c>
      <c r="L2666" s="4">
        <v>64.599999999999994</v>
      </c>
      <c r="M2666" s="4">
        <v>61</v>
      </c>
      <c r="N2666">
        <v>1</v>
      </c>
      <c r="O2666" t="s">
        <v>58</v>
      </c>
      <c r="P2666" t="s">
        <v>70</v>
      </c>
      <c r="Q2666" t="s">
        <v>71</v>
      </c>
      <c r="R2666" t="s">
        <v>130</v>
      </c>
      <c r="S2666" s="3">
        <v>5.2</v>
      </c>
      <c r="T2666" s="5">
        <v>45523</v>
      </c>
      <c r="U2666">
        <v>1</v>
      </c>
      <c r="V2666">
        <v>2024</v>
      </c>
      <c r="X2666">
        <f t="shared" si="123"/>
        <v>6.4897334000000004</v>
      </c>
      <c r="Y2666">
        <f t="shared" si="124"/>
        <v>5.1997334000000004</v>
      </c>
      <c r="Z2666">
        <f t="shared" si="125"/>
        <v>64.599733399999991</v>
      </c>
    </row>
    <row r="2667" spans="1:26" x14ac:dyDescent="0.3">
      <c r="A2667" t="s">
        <v>2757</v>
      </c>
      <c r="B2667" t="s">
        <v>107</v>
      </c>
      <c r="C2667" t="s">
        <v>74</v>
      </c>
      <c r="D2667" t="s">
        <v>69</v>
      </c>
      <c r="E2667">
        <v>22</v>
      </c>
      <c r="F2667" s="3">
        <v>6.83</v>
      </c>
      <c r="G2667" s="4">
        <v>66.2</v>
      </c>
      <c r="H2667">
        <v>0</v>
      </c>
      <c r="I2667">
        <v>2</v>
      </c>
      <c r="J2667">
        <v>4</v>
      </c>
      <c r="K2667" s="4">
        <v>51.4</v>
      </c>
      <c r="L2667" s="4">
        <v>48.3</v>
      </c>
      <c r="M2667" s="4">
        <v>83.4</v>
      </c>
      <c r="N2667">
        <v>0</v>
      </c>
      <c r="O2667" t="s">
        <v>64</v>
      </c>
      <c r="P2667" t="s">
        <v>65</v>
      </c>
      <c r="S2667" s="3">
        <v>0</v>
      </c>
      <c r="T2667" s="5"/>
      <c r="U2667">
        <v>0</v>
      </c>
      <c r="V2667">
        <v>2021</v>
      </c>
      <c r="X2667">
        <f t="shared" si="123"/>
        <v>6.8297333</v>
      </c>
      <c r="Y2667">
        <f t="shared" si="124"/>
        <v>-2.6669999999999998E-4</v>
      </c>
      <c r="Z2667">
        <f t="shared" si="125"/>
        <v>48.2997333</v>
      </c>
    </row>
    <row r="2668" spans="1:26" x14ac:dyDescent="0.3">
      <c r="A2668" t="s">
        <v>2758</v>
      </c>
      <c r="B2668" t="s">
        <v>63</v>
      </c>
      <c r="C2668" t="s">
        <v>56</v>
      </c>
      <c r="D2668" t="s">
        <v>57</v>
      </c>
      <c r="E2668">
        <v>23</v>
      </c>
      <c r="F2668" s="3">
        <v>6.87</v>
      </c>
      <c r="G2668" s="4">
        <v>63.1</v>
      </c>
      <c r="H2668">
        <v>1</v>
      </c>
      <c r="I2668">
        <v>1</v>
      </c>
      <c r="J2668">
        <v>6</v>
      </c>
      <c r="K2668" s="4">
        <v>79</v>
      </c>
      <c r="L2668" s="4">
        <v>79.900000000000006</v>
      </c>
      <c r="M2668" s="4">
        <v>78.3</v>
      </c>
      <c r="N2668">
        <v>0</v>
      </c>
      <c r="O2668" t="s">
        <v>58</v>
      </c>
      <c r="P2668" t="s">
        <v>112</v>
      </c>
      <c r="Q2668" t="s">
        <v>93</v>
      </c>
      <c r="R2668" t="s">
        <v>61</v>
      </c>
      <c r="S2668" s="3">
        <v>7.75</v>
      </c>
      <c r="T2668" s="5">
        <v>45925</v>
      </c>
      <c r="U2668">
        <v>1</v>
      </c>
      <c r="V2668">
        <v>2025</v>
      </c>
      <c r="X2668">
        <f t="shared" si="123"/>
        <v>6.8697331999999998</v>
      </c>
      <c r="Y2668">
        <f t="shared" si="124"/>
        <v>7.7497331999999997</v>
      </c>
      <c r="Z2668">
        <f t="shared" si="125"/>
        <v>79.8997332</v>
      </c>
    </row>
    <row r="2669" spans="1:26" x14ac:dyDescent="0.3">
      <c r="A2669" t="s">
        <v>2759</v>
      </c>
      <c r="B2669" t="s">
        <v>55</v>
      </c>
      <c r="C2669" t="s">
        <v>101</v>
      </c>
      <c r="D2669" t="s">
        <v>57</v>
      </c>
      <c r="E2669">
        <v>23</v>
      </c>
      <c r="F2669" s="3">
        <v>7.64</v>
      </c>
      <c r="G2669" s="4">
        <v>69.2</v>
      </c>
      <c r="H2669">
        <v>2</v>
      </c>
      <c r="I2669">
        <v>0</v>
      </c>
      <c r="J2669">
        <v>5</v>
      </c>
      <c r="K2669" s="4">
        <v>62.2</v>
      </c>
      <c r="L2669" s="4">
        <v>98.1</v>
      </c>
      <c r="M2669" s="4">
        <v>62.2</v>
      </c>
      <c r="N2669">
        <v>0</v>
      </c>
      <c r="O2669" t="s">
        <v>58</v>
      </c>
      <c r="P2669" t="s">
        <v>104</v>
      </c>
      <c r="Q2669" t="s">
        <v>105</v>
      </c>
      <c r="R2669" t="s">
        <v>80</v>
      </c>
      <c r="S2669" s="3">
        <v>15.94</v>
      </c>
      <c r="T2669" s="5">
        <v>45541</v>
      </c>
      <c r="U2669">
        <v>1</v>
      </c>
      <c r="V2669">
        <v>2024</v>
      </c>
      <c r="X2669">
        <f t="shared" si="123"/>
        <v>7.6397330999999999</v>
      </c>
      <c r="Y2669">
        <f t="shared" si="124"/>
        <v>15.9397331</v>
      </c>
      <c r="Z2669">
        <f t="shared" si="125"/>
        <v>98.099733099999995</v>
      </c>
    </row>
    <row r="2670" spans="1:26" x14ac:dyDescent="0.3">
      <c r="A2670" t="s">
        <v>2760</v>
      </c>
      <c r="B2670" t="s">
        <v>67</v>
      </c>
      <c r="C2670" t="s">
        <v>74</v>
      </c>
      <c r="D2670" t="s">
        <v>57</v>
      </c>
      <c r="E2670">
        <v>21</v>
      </c>
      <c r="F2670" s="3">
        <v>7.29</v>
      </c>
      <c r="G2670" s="4">
        <v>71.2</v>
      </c>
      <c r="H2670">
        <v>0</v>
      </c>
      <c r="I2670">
        <v>1</v>
      </c>
      <c r="J2670">
        <v>4</v>
      </c>
      <c r="K2670" s="4">
        <v>81.400000000000006</v>
      </c>
      <c r="L2670" s="4">
        <v>74.2</v>
      </c>
      <c r="M2670" s="4">
        <v>55.6</v>
      </c>
      <c r="N2670">
        <v>0</v>
      </c>
      <c r="O2670" t="s">
        <v>64</v>
      </c>
      <c r="P2670" t="s">
        <v>65</v>
      </c>
      <c r="S2670" s="3">
        <v>0</v>
      </c>
      <c r="T2670" s="5"/>
      <c r="U2670">
        <v>0</v>
      </c>
      <c r="V2670">
        <v>2023</v>
      </c>
      <c r="X2670">
        <f t="shared" si="123"/>
        <v>7.289733</v>
      </c>
      <c r="Y2670">
        <f t="shared" si="124"/>
        <v>-2.6699999999999998E-4</v>
      </c>
      <c r="Z2670">
        <f t="shared" si="125"/>
        <v>74.199733000000009</v>
      </c>
    </row>
    <row r="2671" spans="1:26" x14ac:dyDescent="0.3">
      <c r="A2671" t="s">
        <v>2761</v>
      </c>
      <c r="B2671" t="s">
        <v>63</v>
      </c>
      <c r="C2671" t="s">
        <v>68</v>
      </c>
      <c r="D2671" t="s">
        <v>69</v>
      </c>
      <c r="E2671">
        <v>23</v>
      </c>
      <c r="F2671" s="3">
        <v>8.25</v>
      </c>
      <c r="G2671" s="4">
        <v>73.2</v>
      </c>
      <c r="H2671">
        <v>1</v>
      </c>
      <c r="I2671">
        <v>4</v>
      </c>
      <c r="J2671">
        <v>5</v>
      </c>
      <c r="K2671" s="4">
        <v>62.1</v>
      </c>
      <c r="L2671" s="4">
        <v>74.400000000000006</v>
      </c>
      <c r="M2671" s="4">
        <v>78.3</v>
      </c>
      <c r="N2671">
        <v>0</v>
      </c>
      <c r="O2671" t="s">
        <v>58</v>
      </c>
      <c r="P2671" t="s">
        <v>75</v>
      </c>
      <c r="Q2671" t="s">
        <v>71</v>
      </c>
      <c r="R2671" t="s">
        <v>72</v>
      </c>
      <c r="S2671" s="3">
        <v>7.17</v>
      </c>
      <c r="T2671" s="5">
        <v>45878</v>
      </c>
      <c r="U2671">
        <v>1</v>
      </c>
      <c r="V2671">
        <v>2025</v>
      </c>
      <c r="X2671">
        <f t="shared" si="123"/>
        <v>8.2497328999999997</v>
      </c>
      <c r="Y2671">
        <f t="shared" si="124"/>
        <v>7.1697328999999996</v>
      </c>
      <c r="Z2671">
        <f t="shared" si="125"/>
        <v>74.399732900000004</v>
      </c>
    </row>
    <row r="2672" spans="1:26" x14ac:dyDescent="0.3">
      <c r="A2672" t="s">
        <v>2762</v>
      </c>
      <c r="B2672" t="s">
        <v>55</v>
      </c>
      <c r="C2672" t="s">
        <v>56</v>
      </c>
      <c r="D2672" t="s">
        <v>57</v>
      </c>
      <c r="E2672">
        <v>20</v>
      </c>
      <c r="F2672" s="3">
        <v>7.06</v>
      </c>
      <c r="G2672" s="4">
        <v>84.6</v>
      </c>
      <c r="H2672">
        <v>3</v>
      </c>
      <c r="I2672">
        <v>3</v>
      </c>
      <c r="J2672">
        <v>3</v>
      </c>
      <c r="K2672" s="4">
        <v>58.3</v>
      </c>
      <c r="L2672" s="4">
        <v>92.5</v>
      </c>
      <c r="M2672" s="4">
        <v>62.5</v>
      </c>
      <c r="N2672">
        <v>0</v>
      </c>
      <c r="O2672" t="s">
        <v>58</v>
      </c>
      <c r="P2672" t="s">
        <v>95</v>
      </c>
      <c r="Q2672" t="s">
        <v>93</v>
      </c>
      <c r="R2672" t="s">
        <v>61</v>
      </c>
      <c r="S2672" s="3">
        <v>8.08</v>
      </c>
      <c r="T2672" s="5">
        <v>45508</v>
      </c>
      <c r="U2672">
        <v>1</v>
      </c>
      <c r="V2672">
        <v>2024</v>
      </c>
      <c r="X2672">
        <f t="shared" si="123"/>
        <v>7.0597327999999999</v>
      </c>
      <c r="Y2672">
        <f t="shared" si="124"/>
        <v>8.0797328000000004</v>
      </c>
      <c r="Z2672">
        <f t="shared" si="125"/>
        <v>92.499732800000004</v>
      </c>
    </row>
    <row r="2673" spans="1:26" x14ac:dyDescent="0.3">
      <c r="A2673" t="s">
        <v>2763</v>
      </c>
      <c r="B2673" t="s">
        <v>67</v>
      </c>
      <c r="C2673" t="s">
        <v>68</v>
      </c>
      <c r="D2673" t="s">
        <v>57</v>
      </c>
      <c r="E2673">
        <v>21</v>
      </c>
      <c r="F2673" s="3">
        <v>6.85</v>
      </c>
      <c r="G2673" s="4">
        <v>70.599999999999994</v>
      </c>
      <c r="H2673">
        <v>0</v>
      </c>
      <c r="I2673">
        <v>2</v>
      </c>
      <c r="J2673">
        <v>6</v>
      </c>
      <c r="K2673" s="4">
        <v>76.5</v>
      </c>
      <c r="L2673" s="4">
        <v>98.5</v>
      </c>
      <c r="M2673" s="4">
        <v>62.5</v>
      </c>
      <c r="N2673">
        <v>0</v>
      </c>
      <c r="O2673" t="s">
        <v>64</v>
      </c>
      <c r="P2673" t="s">
        <v>65</v>
      </c>
      <c r="S2673" s="3">
        <v>0</v>
      </c>
      <c r="T2673" s="5"/>
      <c r="U2673">
        <v>0</v>
      </c>
      <c r="V2673">
        <v>2023</v>
      </c>
      <c r="X2673">
        <f t="shared" si="123"/>
        <v>6.8497326999999997</v>
      </c>
      <c r="Y2673">
        <f t="shared" si="124"/>
        <v>-2.6729999999999999E-4</v>
      </c>
      <c r="Z2673">
        <f t="shared" si="125"/>
        <v>98.499732699999996</v>
      </c>
    </row>
    <row r="2674" spans="1:26" x14ac:dyDescent="0.3">
      <c r="A2674" t="s">
        <v>2764</v>
      </c>
      <c r="B2674" t="s">
        <v>107</v>
      </c>
      <c r="C2674" t="s">
        <v>84</v>
      </c>
      <c r="D2674" t="s">
        <v>57</v>
      </c>
      <c r="E2674">
        <v>22</v>
      </c>
      <c r="F2674" s="3">
        <v>6.96</v>
      </c>
      <c r="G2674" s="4">
        <v>73.7</v>
      </c>
      <c r="H2674">
        <v>2</v>
      </c>
      <c r="I2674">
        <v>2</v>
      </c>
      <c r="J2674">
        <v>4</v>
      </c>
      <c r="K2674" s="4">
        <v>74.2</v>
      </c>
      <c r="L2674" s="4">
        <v>67.400000000000006</v>
      </c>
      <c r="M2674" s="4">
        <v>72.7</v>
      </c>
      <c r="N2674">
        <v>1</v>
      </c>
      <c r="O2674" t="s">
        <v>58</v>
      </c>
      <c r="P2674" t="s">
        <v>95</v>
      </c>
      <c r="Q2674" t="s">
        <v>93</v>
      </c>
      <c r="R2674" t="s">
        <v>130</v>
      </c>
      <c r="S2674" s="3">
        <v>6.57</v>
      </c>
      <c r="T2674" s="5">
        <v>44479</v>
      </c>
      <c r="U2674">
        <v>1</v>
      </c>
      <c r="V2674">
        <v>2021</v>
      </c>
      <c r="X2674">
        <f t="shared" si="123"/>
        <v>6.9597325999999997</v>
      </c>
      <c r="Y2674">
        <f t="shared" si="124"/>
        <v>6.5697326</v>
      </c>
      <c r="Z2674">
        <f t="shared" si="125"/>
        <v>67.399732600000007</v>
      </c>
    </row>
    <row r="2675" spans="1:26" x14ac:dyDescent="0.3">
      <c r="A2675" t="s">
        <v>2765</v>
      </c>
      <c r="B2675" t="s">
        <v>55</v>
      </c>
      <c r="C2675" t="s">
        <v>74</v>
      </c>
      <c r="D2675" t="s">
        <v>69</v>
      </c>
      <c r="E2675">
        <v>22</v>
      </c>
      <c r="F2675" s="3">
        <v>7.75</v>
      </c>
      <c r="G2675" s="4">
        <v>65.5</v>
      </c>
      <c r="H2675">
        <v>2</v>
      </c>
      <c r="I2675">
        <v>4</v>
      </c>
      <c r="J2675">
        <v>3</v>
      </c>
      <c r="K2675" s="4">
        <v>60.4</v>
      </c>
      <c r="L2675" s="4">
        <v>59.2</v>
      </c>
      <c r="M2675" s="4">
        <v>74.599999999999994</v>
      </c>
      <c r="N2675">
        <v>0</v>
      </c>
      <c r="O2675" t="s">
        <v>58</v>
      </c>
      <c r="P2675" t="s">
        <v>90</v>
      </c>
      <c r="Q2675" t="s">
        <v>60</v>
      </c>
      <c r="R2675" t="s">
        <v>130</v>
      </c>
      <c r="S2675" s="3">
        <v>8.99</v>
      </c>
      <c r="T2675" s="5">
        <v>45517</v>
      </c>
      <c r="U2675">
        <v>1</v>
      </c>
      <c r="V2675">
        <v>2024</v>
      </c>
      <c r="X2675">
        <f t="shared" si="123"/>
        <v>7.7497325000000004</v>
      </c>
      <c r="Y2675">
        <f t="shared" si="124"/>
        <v>8.9897325000000006</v>
      </c>
      <c r="Z2675">
        <f t="shared" si="125"/>
        <v>59.199732500000003</v>
      </c>
    </row>
    <row r="2676" spans="1:26" x14ac:dyDescent="0.3">
      <c r="A2676" t="s">
        <v>2766</v>
      </c>
      <c r="B2676" t="s">
        <v>67</v>
      </c>
      <c r="C2676" t="s">
        <v>74</v>
      </c>
      <c r="D2676" t="s">
        <v>57</v>
      </c>
      <c r="E2676">
        <v>23</v>
      </c>
      <c r="F2676" s="3">
        <v>8.52</v>
      </c>
      <c r="G2676" s="4">
        <v>76.099999999999994</v>
      </c>
      <c r="H2676">
        <v>1</v>
      </c>
      <c r="I2676">
        <v>2</v>
      </c>
      <c r="J2676">
        <v>2</v>
      </c>
      <c r="K2676" s="4">
        <v>75.599999999999994</v>
      </c>
      <c r="L2676" s="4">
        <v>76.5</v>
      </c>
      <c r="M2676" s="4">
        <v>80</v>
      </c>
      <c r="N2676">
        <v>0</v>
      </c>
      <c r="O2676" t="s">
        <v>58</v>
      </c>
      <c r="P2676" t="s">
        <v>87</v>
      </c>
      <c r="Q2676" t="s">
        <v>71</v>
      </c>
      <c r="R2676" t="s">
        <v>61</v>
      </c>
      <c r="S2676" s="3">
        <v>7.77</v>
      </c>
      <c r="T2676" s="5">
        <v>45201</v>
      </c>
      <c r="U2676">
        <v>1</v>
      </c>
      <c r="V2676">
        <v>2023</v>
      </c>
      <c r="X2676">
        <f t="shared" si="123"/>
        <v>8.5197323999999988</v>
      </c>
      <c r="Y2676">
        <f t="shared" si="124"/>
        <v>7.7697323999999997</v>
      </c>
      <c r="Z2676">
        <f t="shared" si="125"/>
        <v>76.499732399999999</v>
      </c>
    </row>
    <row r="2677" spans="1:26" x14ac:dyDescent="0.3">
      <c r="A2677" t="s">
        <v>2767</v>
      </c>
      <c r="B2677" t="s">
        <v>107</v>
      </c>
      <c r="C2677" t="s">
        <v>78</v>
      </c>
      <c r="D2677" t="s">
        <v>69</v>
      </c>
      <c r="E2677">
        <v>21</v>
      </c>
      <c r="F2677" s="3">
        <v>7.61</v>
      </c>
      <c r="G2677" s="4">
        <v>88.5</v>
      </c>
      <c r="H2677">
        <v>1</v>
      </c>
      <c r="I2677">
        <v>4</v>
      </c>
      <c r="J2677">
        <v>3</v>
      </c>
      <c r="K2677" s="4">
        <v>66.099999999999994</v>
      </c>
      <c r="L2677" s="4">
        <v>72.400000000000006</v>
      </c>
      <c r="M2677" s="4">
        <v>86.7</v>
      </c>
      <c r="N2677">
        <v>0</v>
      </c>
      <c r="O2677" t="s">
        <v>58</v>
      </c>
      <c r="P2677" t="s">
        <v>75</v>
      </c>
      <c r="Q2677" t="s">
        <v>71</v>
      </c>
      <c r="R2677" t="s">
        <v>85</v>
      </c>
      <c r="S2677" s="3">
        <v>7.09</v>
      </c>
      <c r="T2677" s="5">
        <v>44512</v>
      </c>
      <c r="U2677">
        <v>1</v>
      </c>
      <c r="V2677">
        <v>2021</v>
      </c>
      <c r="X2677">
        <f t="shared" si="123"/>
        <v>7.6097323000000001</v>
      </c>
      <c r="Y2677">
        <f t="shared" si="124"/>
        <v>7.0897322999999997</v>
      </c>
      <c r="Z2677">
        <f t="shared" si="125"/>
        <v>72.399732300000011</v>
      </c>
    </row>
    <row r="2678" spans="1:26" x14ac:dyDescent="0.3">
      <c r="A2678" t="s">
        <v>2768</v>
      </c>
      <c r="B2678" t="s">
        <v>63</v>
      </c>
      <c r="C2678" t="s">
        <v>101</v>
      </c>
      <c r="D2678" t="s">
        <v>57</v>
      </c>
      <c r="E2678">
        <v>23</v>
      </c>
      <c r="F2678" s="3">
        <v>7.15</v>
      </c>
      <c r="G2678" s="4">
        <v>81.8</v>
      </c>
      <c r="H2678">
        <v>3</v>
      </c>
      <c r="I2678">
        <v>2</v>
      </c>
      <c r="J2678">
        <v>4</v>
      </c>
      <c r="K2678" s="4">
        <v>70.099999999999994</v>
      </c>
      <c r="L2678" s="4">
        <v>84.5</v>
      </c>
      <c r="M2678" s="4">
        <v>68.400000000000006</v>
      </c>
      <c r="N2678">
        <v>0</v>
      </c>
      <c r="O2678" t="s">
        <v>58</v>
      </c>
      <c r="P2678" t="s">
        <v>112</v>
      </c>
      <c r="Q2678" t="s">
        <v>93</v>
      </c>
      <c r="R2678" t="s">
        <v>109</v>
      </c>
      <c r="S2678" s="3">
        <v>7.3</v>
      </c>
      <c r="T2678" s="5">
        <v>45988</v>
      </c>
      <c r="U2678">
        <v>1</v>
      </c>
      <c r="V2678">
        <v>2025</v>
      </c>
      <c r="X2678">
        <f t="shared" si="123"/>
        <v>7.1497322000000008</v>
      </c>
      <c r="Y2678">
        <f t="shared" si="124"/>
        <v>7.2997322000000002</v>
      </c>
      <c r="Z2678">
        <f t="shared" si="125"/>
        <v>84.499732199999997</v>
      </c>
    </row>
    <row r="2679" spans="1:26" x14ac:dyDescent="0.3">
      <c r="A2679" t="s">
        <v>2769</v>
      </c>
      <c r="B2679" t="s">
        <v>63</v>
      </c>
      <c r="C2679" t="s">
        <v>68</v>
      </c>
      <c r="D2679" t="s">
        <v>69</v>
      </c>
      <c r="E2679">
        <v>23</v>
      </c>
      <c r="F2679" s="3">
        <v>6.72</v>
      </c>
      <c r="G2679" s="4">
        <v>82.7</v>
      </c>
      <c r="H2679">
        <v>2</v>
      </c>
      <c r="I2679">
        <v>1</v>
      </c>
      <c r="J2679">
        <v>4</v>
      </c>
      <c r="K2679" s="4">
        <v>72.7</v>
      </c>
      <c r="L2679" s="4">
        <v>70.099999999999994</v>
      </c>
      <c r="M2679" s="4">
        <v>81.099999999999994</v>
      </c>
      <c r="N2679">
        <v>0</v>
      </c>
      <c r="O2679" t="s">
        <v>58</v>
      </c>
      <c r="P2679" t="s">
        <v>87</v>
      </c>
      <c r="Q2679" t="s">
        <v>71</v>
      </c>
      <c r="R2679" t="s">
        <v>130</v>
      </c>
      <c r="S2679" s="3">
        <v>7.01</v>
      </c>
      <c r="T2679" s="5">
        <v>45932</v>
      </c>
      <c r="U2679">
        <v>1</v>
      </c>
      <c r="V2679">
        <v>2025</v>
      </c>
      <c r="X2679">
        <f t="shared" si="123"/>
        <v>6.7197320999999999</v>
      </c>
      <c r="Y2679">
        <f t="shared" si="124"/>
        <v>7.0097320999999999</v>
      </c>
      <c r="Z2679">
        <f t="shared" si="125"/>
        <v>70.099732099999997</v>
      </c>
    </row>
    <row r="2680" spans="1:26" x14ac:dyDescent="0.3">
      <c r="A2680" t="s">
        <v>2770</v>
      </c>
      <c r="B2680" t="s">
        <v>63</v>
      </c>
      <c r="C2680" t="s">
        <v>74</v>
      </c>
      <c r="D2680" t="s">
        <v>69</v>
      </c>
      <c r="E2680">
        <v>23</v>
      </c>
      <c r="F2680" s="3">
        <v>8.9700000000000006</v>
      </c>
      <c r="G2680" s="4">
        <v>82</v>
      </c>
      <c r="H2680">
        <v>0</v>
      </c>
      <c r="I2680">
        <v>3</v>
      </c>
      <c r="J2680">
        <v>5</v>
      </c>
      <c r="K2680" s="4">
        <v>48.3</v>
      </c>
      <c r="L2680" s="4">
        <v>71.2</v>
      </c>
      <c r="M2680" s="4">
        <v>71.900000000000006</v>
      </c>
      <c r="N2680">
        <v>0</v>
      </c>
      <c r="O2680" t="s">
        <v>58</v>
      </c>
      <c r="P2680" t="s">
        <v>112</v>
      </c>
      <c r="Q2680" t="s">
        <v>93</v>
      </c>
      <c r="R2680" t="s">
        <v>76</v>
      </c>
      <c r="S2680" s="3">
        <v>8.84</v>
      </c>
      <c r="T2680" s="5">
        <v>45930</v>
      </c>
      <c r="U2680">
        <v>2</v>
      </c>
      <c r="V2680">
        <v>2025</v>
      </c>
      <c r="X2680">
        <f t="shared" si="123"/>
        <v>8.9697320000000005</v>
      </c>
      <c r="Y2680">
        <f t="shared" si="124"/>
        <v>8.8397319999999997</v>
      </c>
      <c r="Z2680">
        <f t="shared" si="125"/>
        <v>71.199731999999997</v>
      </c>
    </row>
    <row r="2681" spans="1:26" x14ac:dyDescent="0.3">
      <c r="A2681" t="s">
        <v>2771</v>
      </c>
      <c r="B2681" t="s">
        <v>63</v>
      </c>
      <c r="C2681" t="s">
        <v>84</v>
      </c>
      <c r="D2681" t="s">
        <v>57</v>
      </c>
      <c r="E2681">
        <v>21</v>
      </c>
      <c r="F2681" s="3">
        <v>6.07</v>
      </c>
      <c r="G2681" s="4">
        <v>70.400000000000006</v>
      </c>
      <c r="H2681">
        <v>1</v>
      </c>
      <c r="I2681">
        <v>2</v>
      </c>
      <c r="J2681">
        <v>6</v>
      </c>
      <c r="K2681" s="4">
        <v>68</v>
      </c>
      <c r="L2681" s="4">
        <v>55.6</v>
      </c>
      <c r="M2681" s="4">
        <v>88.1</v>
      </c>
      <c r="N2681">
        <v>1</v>
      </c>
      <c r="O2681" t="s">
        <v>64</v>
      </c>
      <c r="P2681" t="s">
        <v>65</v>
      </c>
      <c r="S2681" s="3">
        <v>0</v>
      </c>
      <c r="T2681" s="5"/>
      <c r="U2681">
        <v>0</v>
      </c>
      <c r="V2681">
        <v>2025</v>
      </c>
      <c r="X2681">
        <f t="shared" si="123"/>
        <v>6.0697318999999998</v>
      </c>
      <c r="Y2681">
        <f t="shared" si="124"/>
        <v>-2.6810000000000001E-4</v>
      </c>
      <c r="Z2681">
        <f t="shared" si="125"/>
        <v>55.599731900000002</v>
      </c>
    </row>
    <row r="2682" spans="1:26" x14ac:dyDescent="0.3">
      <c r="A2682" t="s">
        <v>2772</v>
      </c>
      <c r="B2682" t="s">
        <v>82</v>
      </c>
      <c r="C2682" t="s">
        <v>78</v>
      </c>
      <c r="D2682" t="s">
        <v>57</v>
      </c>
      <c r="E2682">
        <v>22</v>
      </c>
      <c r="F2682" s="3">
        <v>7.48</v>
      </c>
      <c r="G2682" s="4">
        <v>78.3</v>
      </c>
      <c r="H2682">
        <v>2</v>
      </c>
      <c r="I2682">
        <v>2</v>
      </c>
      <c r="J2682">
        <v>2</v>
      </c>
      <c r="K2682" s="4">
        <v>47.5</v>
      </c>
      <c r="L2682" s="4">
        <v>85.3</v>
      </c>
      <c r="M2682" s="4">
        <v>63.8</v>
      </c>
      <c r="N2682">
        <v>0</v>
      </c>
      <c r="O2682" t="s">
        <v>58</v>
      </c>
      <c r="P2682" t="s">
        <v>75</v>
      </c>
      <c r="Q2682" t="s">
        <v>71</v>
      </c>
      <c r="R2682" t="s">
        <v>109</v>
      </c>
      <c r="S2682" s="3">
        <v>7.95</v>
      </c>
      <c r="T2682" s="5">
        <v>44781</v>
      </c>
      <c r="U2682">
        <v>1</v>
      </c>
      <c r="V2682">
        <v>2022</v>
      </c>
      <c r="X2682">
        <f t="shared" si="123"/>
        <v>7.4797318000000006</v>
      </c>
      <c r="Y2682">
        <f t="shared" si="124"/>
        <v>7.9497318000000003</v>
      </c>
      <c r="Z2682">
        <f t="shared" si="125"/>
        <v>85.299731800000004</v>
      </c>
    </row>
    <row r="2683" spans="1:26" x14ac:dyDescent="0.3">
      <c r="A2683" t="s">
        <v>2773</v>
      </c>
      <c r="B2683" t="s">
        <v>55</v>
      </c>
      <c r="C2683" t="s">
        <v>56</v>
      </c>
      <c r="D2683" t="s">
        <v>69</v>
      </c>
      <c r="E2683">
        <v>20</v>
      </c>
      <c r="F2683" s="3">
        <v>8.32</v>
      </c>
      <c r="G2683" s="4">
        <v>84</v>
      </c>
      <c r="H2683">
        <v>1</v>
      </c>
      <c r="I2683">
        <v>1</v>
      </c>
      <c r="J2683">
        <v>4</v>
      </c>
      <c r="K2683" s="4">
        <v>53.3</v>
      </c>
      <c r="L2683" s="4">
        <v>60.5</v>
      </c>
      <c r="M2683" s="4">
        <v>80.3</v>
      </c>
      <c r="N2683">
        <v>0</v>
      </c>
      <c r="O2683" t="s">
        <v>64</v>
      </c>
      <c r="P2683" t="s">
        <v>65</v>
      </c>
      <c r="S2683" s="3">
        <v>0</v>
      </c>
      <c r="T2683" s="5"/>
      <c r="U2683">
        <v>0</v>
      </c>
      <c r="V2683">
        <v>2024</v>
      </c>
      <c r="X2683">
        <f t="shared" si="123"/>
        <v>8.3197317000000002</v>
      </c>
      <c r="Y2683">
        <f t="shared" si="124"/>
        <v>-2.6829999999999996E-4</v>
      </c>
      <c r="Z2683">
        <f t="shared" si="125"/>
        <v>60.499731699999998</v>
      </c>
    </row>
    <row r="2684" spans="1:26" x14ac:dyDescent="0.3">
      <c r="A2684" t="s">
        <v>2774</v>
      </c>
      <c r="B2684" t="s">
        <v>55</v>
      </c>
      <c r="C2684" t="s">
        <v>56</v>
      </c>
      <c r="D2684" t="s">
        <v>57</v>
      </c>
      <c r="E2684">
        <v>22</v>
      </c>
      <c r="F2684" s="3">
        <v>7.47</v>
      </c>
      <c r="G2684" s="4">
        <v>90.7</v>
      </c>
      <c r="H2684">
        <v>1</v>
      </c>
      <c r="I2684">
        <v>2</v>
      </c>
      <c r="J2684">
        <v>4</v>
      </c>
      <c r="K2684" s="4">
        <v>66.5</v>
      </c>
      <c r="L2684" s="4">
        <v>52.1</v>
      </c>
      <c r="M2684" s="4">
        <v>64.099999999999994</v>
      </c>
      <c r="N2684">
        <v>0</v>
      </c>
      <c r="O2684" t="s">
        <v>58</v>
      </c>
      <c r="P2684" t="s">
        <v>79</v>
      </c>
      <c r="Q2684" t="s">
        <v>71</v>
      </c>
      <c r="R2684" t="s">
        <v>76</v>
      </c>
      <c r="S2684" s="3">
        <v>5.46</v>
      </c>
      <c r="T2684" s="5">
        <v>45531</v>
      </c>
      <c r="U2684">
        <v>1</v>
      </c>
      <c r="V2684">
        <v>2024</v>
      </c>
      <c r="X2684">
        <f t="shared" si="123"/>
        <v>7.4697315999999994</v>
      </c>
      <c r="Y2684">
        <f t="shared" si="124"/>
        <v>5.4597315999999996</v>
      </c>
      <c r="Z2684">
        <f t="shared" si="125"/>
        <v>52.099731599999998</v>
      </c>
    </row>
    <row r="2685" spans="1:26" x14ac:dyDescent="0.3">
      <c r="A2685" t="s">
        <v>2775</v>
      </c>
      <c r="B2685" t="s">
        <v>82</v>
      </c>
      <c r="C2685" t="s">
        <v>68</v>
      </c>
      <c r="D2685" t="s">
        <v>57</v>
      </c>
      <c r="E2685">
        <v>21</v>
      </c>
      <c r="F2685" s="3">
        <v>7.14</v>
      </c>
      <c r="G2685" s="4">
        <v>85.3</v>
      </c>
      <c r="H2685">
        <v>3</v>
      </c>
      <c r="I2685">
        <v>1</v>
      </c>
      <c r="J2685">
        <v>2</v>
      </c>
      <c r="K2685" s="4">
        <v>81.7</v>
      </c>
      <c r="L2685" s="4">
        <v>30.2</v>
      </c>
      <c r="M2685" s="4">
        <v>63.1</v>
      </c>
      <c r="N2685">
        <v>0</v>
      </c>
      <c r="O2685" t="s">
        <v>58</v>
      </c>
      <c r="P2685" t="s">
        <v>87</v>
      </c>
      <c r="Q2685" t="s">
        <v>71</v>
      </c>
      <c r="R2685" t="s">
        <v>130</v>
      </c>
      <c r="S2685" s="3">
        <v>5.82</v>
      </c>
      <c r="T2685" s="5">
        <v>44885</v>
      </c>
      <c r="U2685">
        <v>1</v>
      </c>
      <c r="V2685">
        <v>2022</v>
      </c>
      <c r="X2685">
        <f t="shared" si="123"/>
        <v>7.1397314999999999</v>
      </c>
      <c r="Y2685">
        <f t="shared" si="124"/>
        <v>5.8197315000000005</v>
      </c>
      <c r="Z2685">
        <f t="shared" si="125"/>
        <v>30.199731499999999</v>
      </c>
    </row>
    <row r="2686" spans="1:26" x14ac:dyDescent="0.3">
      <c r="A2686" t="s">
        <v>2776</v>
      </c>
      <c r="B2686" t="s">
        <v>67</v>
      </c>
      <c r="C2686" t="s">
        <v>56</v>
      </c>
      <c r="D2686" t="s">
        <v>69</v>
      </c>
      <c r="E2686">
        <v>22</v>
      </c>
      <c r="F2686" s="3">
        <v>8.1300000000000008</v>
      </c>
      <c r="G2686" s="4">
        <v>89.9</v>
      </c>
      <c r="H2686">
        <v>1</v>
      </c>
      <c r="I2686">
        <v>1</v>
      </c>
      <c r="J2686">
        <v>4</v>
      </c>
      <c r="K2686" s="4">
        <v>64.7</v>
      </c>
      <c r="L2686" s="4">
        <v>68.5</v>
      </c>
      <c r="M2686" s="4">
        <v>68.5</v>
      </c>
      <c r="N2686">
        <v>3</v>
      </c>
      <c r="O2686" t="s">
        <v>58</v>
      </c>
      <c r="P2686" t="s">
        <v>79</v>
      </c>
      <c r="Q2686" t="s">
        <v>71</v>
      </c>
      <c r="R2686" t="s">
        <v>109</v>
      </c>
      <c r="S2686" s="3">
        <v>6.48</v>
      </c>
      <c r="T2686" s="5">
        <v>45164</v>
      </c>
      <c r="U2686">
        <v>1</v>
      </c>
      <c r="V2686">
        <v>2023</v>
      </c>
      <c r="X2686">
        <f t="shared" si="123"/>
        <v>8.1297314000000007</v>
      </c>
      <c r="Y2686">
        <f t="shared" si="124"/>
        <v>6.4797314000000004</v>
      </c>
      <c r="Z2686">
        <f t="shared" si="125"/>
        <v>68.499731400000002</v>
      </c>
    </row>
    <row r="2687" spans="1:26" x14ac:dyDescent="0.3">
      <c r="A2687" t="s">
        <v>2777</v>
      </c>
      <c r="B2687" t="s">
        <v>67</v>
      </c>
      <c r="C2687" t="s">
        <v>74</v>
      </c>
      <c r="D2687" t="s">
        <v>69</v>
      </c>
      <c r="E2687">
        <v>22</v>
      </c>
      <c r="F2687" s="3">
        <v>6.67</v>
      </c>
      <c r="G2687" s="4">
        <v>72.2</v>
      </c>
      <c r="H2687">
        <v>2</v>
      </c>
      <c r="I2687">
        <v>2</v>
      </c>
      <c r="J2687">
        <v>3</v>
      </c>
      <c r="K2687" s="4">
        <v>63</v>
      </c>
      <c r="L2687" s="4">
        <v>59.3</v>
      </c>
      <c r="M2687" s="4">
        <v>48.8</v>
      </c>
      <c r="N2687">
        <v>1</v>
      </c>
      <c r="O2687" t="s">
        <v>58</v>
      </c>
      <c r="P2687" t="s">
        <v>79</v>
      </c>
      <c r="Q2687" t="s">
        <v>71</v>
      </c>
      <c r="R2687" t="s">
        <v>61</v>
      </c>
      <c r="S2687" s="3">
        <v>4.8899999999999997</v>
      </c>
      <c r="T2687" s="5">
        <v>45183</v>
      </c>
      <c r="U2687">
        <v>1</v>
      </c>
      <c r="V2687">
        <v>2023</v>
      </c>
      <c r="X2687">
        <f t="shared" si="123"/>
        <v>6.6697312999999996</v>
      </c>
      <c r="Y2687">
        <f t="shared" si="124"/>
        <v>4.8897312999999993</v>
      </c>
      <c r="Z2687">
        <f t="shared" si="125"/>
        <v>59.299731299999998</v>
      </c>
    </row>
    <row r="2688" spans="1:26" x14ac:dyDescent="0.3">
      <c r="A2688" t="s">
        <v>2778</v>
      </c>
      <c r="B2688" t="s">
        <v>63</v>
      </c>
      <c r="C2688" t="s">
        <v>101</v>
      </c>
      <c r="D2688" t="s">
        <v>57</v>
      </c>
      <c r="E2688">
        <v>20</v>
      </c>
      <c r="F2688" s="3">
        <v>6.08</v>
      </c>
      <c r="G2688" s="4">
        <v>68.5</v>
      </c>
      <c r="H2688">
        <v>2</v>
      </c>
      <c r="I2688">
        <v>2</v>
      </c>
      <c r="J2688">
        <v>2</v>
      </c>
      <c r="K2688" s="4">
        <v>61.7</v>
      </c>
      <c r="L2688" s="4">
        <v>66.5</v>
      </c>
      <c r="M2688" s="4">
        <v>85.8</v>
      </c>
      <c r="N2688">
        <v>0</v>
      </c>
      <c r="O2688" t="s">
        <v>58</v>
      </c>
      <c r="P2688" t="s">
        <v>79</v>
      </c>
      <c r="Q2688" t="s">
        <v>71</v>
      </c>
      <c r="R2688" t="s">
        <v>61</v>
      </c>
      <c r="S2688" s="3">
        <v>4.41</v>
      </c>
      <c r="T2688" s="5">
        <v>45911</v>
      </c>
      <c r="U2688">
        <v>2</v>
      </c>
      <c r="V2688">
        <v>2025</v>
      </c>
      <c r="X2688">
        <f t="shared" si="123"/>
        <v>6.0797312000000003</v>
      </c>
      <c r="Y2688">
        <f t="shared" si="124"/>
        <v>4.4097312000000004</v>
      </c>
      <c r="Z2688">
        <f t="shared" si="125"/>
        <v>66.499731199999999</v>
      </c>
    </row>
    <row r="2689" spans="1:26" x14ac:dyDescent="0.3">
      <c r="A2689" t="s">
        <v>2779</v>
      </c>
      <c r="B2689" t="s">
        <v>107</v>
      </c>
      <c r="C2689" t="s">
        <v>56</v>
      </c>
      <c r="D2689" t="s">
        <v>57</v>
      </c>
      <c r="E2689">
        <v>22</v>
      </c>
      <c r="F2689" s="3">
        <v>7.97</v>
      </c>
      <c r="G2689" s="4">
        <v>66.2</v>
      </c>
      <c r="H2689">
        <v>0</v>
      </c>
      <c r="I2689">
        <v>2</v>
      </c>
      <c r="J2689">
        <v>2</v>
      </c>
      <c r="K2689" s="4">
        <v>73.5</v>
      </c>
      <c r="L2689" s="4">
        <v>62.7</v>
      </c>
      <c r="M2689" s="4">
        <v>63.5</v>
      </c>
      <c r="N2689">
        <v>0</v>
      </c>
      <c r="O2689" t="s">
        <v>58</v>
      </c>
      <c r="P2689" t="s">
        <v>79</v>
      </c>
      <c r="Q2689" t="s">
        <v>71</v>
      </c>
      <c r="R2689" t="s">
        <v>80</v>
      </c>
      <c r="S2689" s="3">
        <v>6.36</v>
      </c>
      <c r="T2689" s="5">
        <v>44422</v>
      </c>
      <c r="U2689">
        <v>2</v>
      </c>
      <c r="V2689">
        <v>2021</v>
      </c>
      <c r="X2689">
        <f t="shared" si="123"/>
        <v>7.9697310999999997</v>
      </c>
      <c r="Y2689">
        <f t="shared" si="124"/>
        <v>6.3597311000000003</v>
      </c>
      <c r="Z2689">
        <f t="shared" si="125"/>
        <v>62.699731100000001</v>
      </c>
    </row>
    <row r="2690" spans="1:26" x14ac:dyDescent="0.3">
      <c r="A2690" t="s">
        <v>2780</v>
      </c>
      <c r="B2690" t="s">
        <v>67</v>
      </c>
      <c r="C2690" t="s">
        <v>78</v>
      </c>
      <c r="D2690" t="s">
        <v>57</v>
      </c>
      <c r="E2690">
        <v>22</v>
      </c>
      <c r="F2690" s="3">
        <v>6.75</v>
      </c>
      <c r="G2690" s="4">
        <v>89.4</v>
      </c>
      <c r="H2690">
        <v>2</v>
      </c>
      <c r="I2690">
        <v>5</v>
      </c>
      <c r="J2690">
        <v>5</v>
      </c>
      <c r="K2690" s="4">
        <v>52.3</v>
      </c>
      <c r="L2690" s="4">
        <v>64.5</v>
      </c>
      <c r="M2690" s="4">
        <v>68.5</v>
      </c>
      <c r="N2690">
        <v>0</v>
      </c>
      <c r="O2690" t="s">
        <v>58</v>
      </c>
      <c r="P2690" t="s">
        <v>92</v>
      </c>
      <c r="Q2690" t="s">
        <v>93</v>
      </c>
      <c r="R2690" t="s">
        <v>61</v>
      </c>
      <c r="S2690" s="3">
        <v>9.1</v>
      </c>
      <c r="T2690" s="5">
        <v>45222</v>
      </c>
      <c r="U2690">
        <v>2</v>
      </c>
      <c r="V2690">
        <v>2023</v>
      </c>
      <c r="X2690">
        <f t="shared" ref="X2690:X2753" si="126">F2690-ROW()*0.0000001</f>
        <v>6.7497309999999997</v>
      </c>
      <c r="Y2690">
        <f t="shared" ref="Y2690:Y2753" si="127">S2690-ROW()*0.0000001</f>
        <v>9.0997310000000002</v>
      </c>
      <c r="Z2690">
        <f t="shared" ref="Z2690:Z2753" si="128">L2690-ROW()*0.0000001</f>
        <v>64.499730999999997</v>
      </c>
    </row>
    <row r="2691" spans="1:26" x14ac:dyDescent="0.3">
      <c r="A2691" t="s">
        <v>2781</v>
      </c>
      <c r="B2691" t="s">
        <v>107</v>
      </c>
      <c r="C2691" t="s">
        <v>74</v>
      </c>
      <c r="D2691" t="s">
        <v>57</v>
      </c>
      <c r="E2691">
        <v>22</v>
      </c>
      <c r="F2691" s="3">
        <v>7.77</v>
      </c>
      <c r="G2691" s="4">
        <v>69</v>
      </c>
      <c r="H2691">
        <v>1</v>
      </c>
      <c r="I2691">
        <v>3</v>
      </c>
      <c r="J2691">
        <v>4</v>
      </c>
      <c r="K2691" s="4">
        <v>48.3</v>
      </c>
      <c r="L2691" s="4">
        <v>57.6</v>
      </c>
      <c r="M2691" s="4">
        <v>62.4</v>
      </c>
      <c r="N2691">
        <v>0</v>
      </c>
      <c r="O2691" t="s">
        <v>58</v>
      </c>
      <c r="P2691" t="s">
        <v>95</v>
      </c>
      <c r="Q2691" t="s">
        <v>93</v>
      </c>
      <c r="R2691" t="s">
        <v>85</v>
      </c>
      <c r="S2691" s="3">
        <v>4.76</v>
      </c>
      <c r="T2691" s="5">
        <v>44514</v>
      </c>
      <c r="U2691">
        <v>3</v>
      </c>
      <c r="V2691">
        <v>2021</v>
      </c>
      <c r="X2691">
        <f t="shared" si="126"/>
        <v>7.7697308999999999</v>
      </c>
      <c r="Y2691">
        <f t="shared" si="127"/>
        <v>4.7597309000000001</v>
      </c>
      <c r="Z2691">
        <f t="shared" si="128"/>
        <v>57.599730900000004</v>
      </c>
    </row>
    <row r="2692" spans="1:26" x14ac:dyDescent="0.3">
      <c r="A2692" t="s">
        <v>2782</v>
      </c>
      <c r="B2692" t="s">
        <v>55</v>
      </c>
      <c r="C2692" t="s">
        <v>78</v>
      </c>
      <c r="D2692" t="s">
        <v>69</v>
      </c>
      <c r="E2692">
        <v>23</v>
      </c>
      <c r="F2692" s="3">
        <v>7.54</v>
      </c>
      <c r="G2692" s="4">
        <v>91.6</v>
      </c>
      <c r="H2692">
        <v>1</v>
      </c>
      <c r="I2692">
        <v>2</v>
      </c>
      <c r="J2692">
        <v>4</v>
      </c>
      <c r="K2692" s="4">
        <v>86.9</v>
      </c>
      <c r="L2692" s="4">
        <v>58.8</v>
      </c>
      <c r="M2692" s="4">
        <v>85.4</v>
      </c>
      <c r="N2692">
        <v>0</v>
      </c>
      <c r="O2692" t="s">
        <v>58</v>
      </c>
      <c r="P2692" t="s">
        <v>59</v>
      </c>
      <c r="Q2692" t="s">
        <v>60</v>
      </c>
      <c r="R2692" t="s">
        <v>85</v>
      </c>
      <c r="S2692" s="3">
        <v>19.350000000000001</v>
      </c>
      <c r="T2692" s="5">
        <v>45613</v>
      </c>
      <c r="U2692">
        <v>2</v>
      </c>
      <c r="V2692">
        <v>2024</v>
      </c>
      <c r="X2692">
        <f t="shared" si="126"/>
        <v>7.5397308000000001</v>
      </c>
      <c r="Y2692">
        <f t="shared" si="127"/>
        <v>19.3497308</v>
      </c>
      <c r="Z2692">
        <f t="shared" si="128"/>
        <v>58.799730799999999</v>
      </c>
    </row>
    <row r="2693" spans="1:26" x14ac:dyDescent="0.3">
      <c r="A2693" t="s">
        <v>2783</v>
      </c>
      <c r="B2693" t="s">
        <v>107</v>
      </c>
      <c r="C2693" t="s">
        <v>78</v>
      </c>
      <c r="D2693" t="s">
        <v>69</v>
      </c>
      <c r="E2693">
        <v>21</v>
      </c>
      <c r="F2693" s="3">
        <v>7.88</v>
      </c>
      <c r="G2693" s="4">
        <v>78</v>
      </c>
      <c r="H2693">
        <v>1</v>
      </c>
      <c r="I2693">
        <v>2</v>
      </c>
      <c r="J2693">
        <v>4</v>
      </c>
      <c r="K2693" s="4">
        <v>73.8</v>
      </c>
      <c r="L2693" s="4">
        <v>55.8</v>
      </c>
      <c r="M2693" s="4">
        <v>77.2</v>
      </c>
      <c r="N2693">
        <v>1</v>
      </c>
      <c r="O2693" t="s">
        <v>58</v>
      </c>
      <c r="P2693" t="s">
        <v>75</v>
      </c>
      <c r="Q2693" t="s">
        <v>71</v>
      </c>
      <c r="R2693" t="s">
        <v>76</v>
      </c>
      <c r="S2693" s="3">
        <v>5.83</v>
      </c>
      <c r="T2693" s="5">
        <v>44500</v>
      </c>
      <c r="U2693">
        <v>2</v>
      </c>
      <c r="V2693">
        <v>2021</v>
      </c>
      <c r="X2693">
        <f t="shared" si="126"/>
        <v>7.8797306999999996</v>
      </c>
      <c r="Y2693">
        <f t="shared" si="127"/>
        <v>5.8297306999999998</v>
      </c>
      <c r="Z2693">
        <f t="shared" si="128"/>
        <v>55.799730699999998</v>
      </c>
    </row>
    <row r="2694" spans="1:26" x14ac:dyDescent="0.3">
      <c r="A2694" t="s">
        <v>2784</v>
      </c>
      <c r="B2694" t="s">
        <v>55</v>
      </c>
      <c r="C2694" t="s">
        <v>56</v>
      </c>
      <c r="D2694" t="s">
        <v>69</v>
      </c>
      <c r="E2694">
        <v>21</v>
      </c>
      <c r="F2694" s="3">
        <v>7.45</v>
      </c>
      <c r="G2694" s="4">
        <v>97</v>
      </c>
      <c r="H2694">
        <v>1</v>
      </c>
      <c r="I2694">
        <v>1</v>
      </c>
      <c r="J2694">
        <v>2</v>
      </c>
      <c r="K2694" s="4">
        <v>58.2</v>
      </c>
      <c r="L2694" s="4">
        <v>67</v>
      </c>
      <c r="M2694" s="4">
        <v>80.599999999999994</v>
      </c>
      <c r="N2694">
        <v>1</v>
      </c>
      <c r="O2694" t="s">
        <v>58</v>
      </c>
      <c r="P2694" t="s">
        <v>70</v>
      </c>
      <c r="Q2694" t="s">
        <v>71</v>
      </c>
      <c r="R2694" t="s">
        <v>130</v>
      </c>
      <c r="S2694" s="3">
        <v>5.09</v>
      </c>
      <c r="T2694" s="5">
        <v>45576</v>
      </c>
      <c r="U2694">
        <v>1</v>
      </c>
      <c r="V2694">
        <v>2024</v>
      </c>
      <c r="X2694">
        <f t="shared" si="126"/>
        <v>7.4497306000000005</v>
      </c>
      <c r="Y2694">
        <f t="shared" si="127"/>
        <v>5.0897306000000002</v>
      </c>
      <c r="Z2694">
        <f t="shared" si="128"/>
        <v>66.999730600000007</v>
      </c>
    </row>
    <row r="2695" spans="1:26" x14ac:dyDescent="0.3">
      <c r="A2695" t="s">
        <v>2785</v>
      </c>
      <c r="B2695" t="s">
        <v>82</v>
      </c>
      <c r="C2695" t="s">
        <v>68</v>
      </c>
      <c r="D2695" t="s">
        <v>57</v>
      </c>
      <c r="E2695">
        <v>20</v>
      </c>
      <c r="F2695" s="3">
        <v>8.15</v>
      </c>
      <c r="G2695" s="4">
        <v>78</v>
      </c>
      <c r="H2695">
        <v>2</v>
      </c>
      <c r="I2695">
        <v>3</v>
      </c>
      <c r="J2695">
        <v>2</v>
      </c>
      <c r="K2695" s="4">
        <v>59</v>
      </c>
      <c r="L2695" s="4">
        <v>52.8</v>
      </c>
      <c r="M2695" s="4">
        <v>76</v>
      </c>
      <c r="N2695">
        <v>0</v>
      </c>
      <c r="O2695" t="s">
        <v>58</v>
      </c>
      <c r="P2695" t="s">
        <v>90</v>
      </c>
      <c r="Q2695" t="s">
        <v>60</v>
      </c>
      <c r="R2695" t="s">
        <v>76</v>
      </c>
      <c r="S2695" s="3">
        <v>8.75</v>
      </c>
      <c r="T2695" s="5">
        <v>44893</v>
      </c>
      <c r="U2695">
        <v>1</v>
      </c>
      <c r="V2695">
        <v>2022</v>
      </c>
      <c r="X2695">
        <f t="shared" si="126"/>
        <v>8.1497305000000004</v>
      </c>
      <c r="Y2695">
        <f t="shared" si="127"/>
        <v>8.7497305000000001</v>
      </c>
      <c r="Z2695">
        <f t="shared" si="128"/>
        <v>52.799730499999995</v>
      </c>
    </row>
    <row r="2696" spans="1:26" x14ac:dyDescent="0.3">
      <c r="A2696" t="s">
        <v>2786</v>
      </c>
      <c r="B2696" t="s">
        <v>82</v>
      </c>
      <c r="C2696" t="s">
        <v>56</v>
      </c>
      <c r="D2696" t="s">
        <v>57</v>
      </c>
      <c r="E2696">
        <v>23</v>
      </c>
      <c r="F2696" s="3">
        <v>7.02</v>
      </c>
      <c r="G2696" s="4">
        <v>78.5</v>
      </c>
      <c r="H2696">
        <v>3</v>
      </c>
      <c r="I2696">
        <v>1</v>
      </c>
      <c r="J2696">
        <v>3</v>
      </c>
      <c r="K2696" s="4">
        <v>60.2</v>
      </c>
      <c r="L2696" s="4">
        <v>88.9</v>
      </c>
      <c r="M2696" s="4">
        <v>76</v>
      </c>
      <c r="N2696">
        <v>0</v>
      </c>
      <c r="O2696" t="s">
        <v>58</v>
      </c>
      <c r="P2696" t="s">
        <v>59</v>
      </c>
      <c r="Q2696" t="s">
        <v>60</v>
      </c>
      <c r="R2696" t="s">
        <v>130</v>
      </c>
      <c r="S2696" s="3">
        <v>19.62</v>
      </c>
      <c r="T2696" s="5">
        <v>44825</v>
      </c>
      <c r="U2696">
        <v>2</v>
      </c>
      <c r="V2696">
        <v>2022</v>
      </c>
      <c r="X2696">
        <f t="shared" si="126"/>
        <v>7.0197303999999994</v>
      </c>
      <c r="Y2696">
        <f t="shared" si="127"/>
        <v>19.619730400000002</v>
      </c>
      <c r="Z2696">
        <f t="shared" si="128"/>
        <v>88.89973040000001</v>
      </c>
    </row>
    <row r="2697" spans="1:26" x14ac:dyDescent="0.3">
      <c r="A2697" t="s">
        <v>2787</v>
      </c>
      <c r="B2697" t="s">
        <v>63</v>
      </c>
      <c r="C2697" t="s">
        <v>101</v>
      </c>
      <c r="D2697" t="s">
        <v>57</v>
      </c>
      <c r="E2697">
        <v>23</v>
      </c>
      <c r="F2697" s="3">
        <v>8.35</v>
      </c>
      <c r="G2697" s="4">
        <v>82.6</v>
      </c>
      <c r="H2697">
        <v>2</v>
      </c>
      <c r="I2697">
        <v>3</v>
      </c>
      <c r="J2697">
        <v>3</v>
      </c>
      <c r="K2697" s="4">
        <v>49.7</v>
      </c>
      <c r="L2697" s="4">
        <v>69.900000000000006</v>
      </c>
      <c r="M2697" s="4">
        <v>78</v>
      </c>
      <c r="N2697">
        <v>0</v>
      </c>
      <c r="O2697" t="s">
        <v>58</v>
      </c>
      <c r="P2697" t="s">
        <v>70</v>
      </c>
      <c r="Q2697" t="s">
        <v>71</v>
      </c>
      <c r="R2697" t="s">
        <v>76</v>
      </c>
      <c r="S2697" s="3">
        <v>6.36</v>
      </c>
      <c r="T2697" s="5">
        <v>45938</v>
      </c>
      <c r="U2697">
        <v>3</v>
      </c>
      <c r="V2697">
        <v>2025</v>
      </c>
      <c r="X2697">
        <f t="shared" si="126"/>
        <v>8.3497302999999992</v>
      </c>
      <c r="Y2697">
        <f t="shared" si="127"/>
        <v>6.3597303000000007</v>
      </c>
      <c r="Z2697">
        <f t="shared" si="128"/>
        <v>69.899730300000002</v>
      </c>
    </row>
    <row r="2698" spans="1:26" x14ac:dyDescent="0.3">
      <c r="A2698" t="s">
        <v>2788</v>
      </c>
      <c r="B2698" t="s">
        <v>67</v>
      </c>
      <c r="C2698" t="s">
        <v>101</v>
      </c>
      <c r="D2698" t="s">
        <v>57</v>
      </c>
      <c r="E2698">
        <v>22</v>
      </c>
      <c r="F2698" s="3">
        <v>6.55</v>
      </c>
      <c r="G2698" s="4">
        <v>78.3</v>
      </c>
      <c r="H2698">
        <v>1</v>
      </c>
      <c r="I2698">
        <v>1</v>
      </c>
      <c r="J2698">
        <v>6</v>
      </c>
      <c r="K2698" s="4">
        <v>63.6</v>
      </c>
      <c r="L2698" s="4">
        <v>47</v>
      </c>
      <c r="M2698" s="4">
        <v>85.4</v>
      </c>
      <c r="N2698">
        <v>0</v>
      </c>
      <c r="O2698" t="s">
        <v>58</v>
      </c>
      <c r="P2698" t="s">
        <v>70</v>
      </c>
      <c r="Q2698" t="s">
        <v>71</v>
      </c>
      <c r="R2698" t="s">
        <v>130</v>
      </c>
      <c r="S2698" s="3">
        <v>3.53</v>
      </c>
      <c r="T2698" s="5">
        <v>45191</v>
      </c>
      <c r="U2698">
        <v>3</v>
      </c>
      <c r="V2698">
        <v>2023</v>
      </c>
      <c r="X2698">
        <f t="shared" si="126"/>
        <v>6.5497301999999999</v>
      </c>
      <c r="Y2698">
        <f t="shared" si="127"/>
        <v>3.5297301999999999</v>
      </c>
      <c r="Z2698">
        <f t="shared" si="128"/>
        <v>46.999730200000002</v>
      </c>
    </row>
    <row r="2699" spans="1:26" x14ac:dyDescent="0.3">
      <c r="A2699" t="s">
        <v>2789</v>
      </c>
      <c r="B2699" t="s">
        <v>63</v>
      </c>
      <c r="C2699" t="s">
        <v>68</v>
      </c>
      <c r="D2699" t="s">
        <v>69</v>
      </c>
      <c r="E2699">
        <v>21</v>
      </c>
      <c r="F2699" s="3">
        <v>8.7100000000000009</v>
      </c>
      <c r="G2699" s="4">
        <v>85.8</v>
      </c>
      <c r="H2699">
        <v>2</v>
      </c>
      <c r="I2699">
        <v>0</v>
      </c>
      <c r="J2699">
        <v>4</v>
      </c>
      <c r="K2699" s="4">
        <v>68.3</v>
      </c>
      <c r="L2699" s="4">
        <v>73.3</v>
      </c>
      <c r="M2699" s="4">
        <v>60.2</v>
      </c>
      <c r="N2699">
        <v>1</v>
      </c>
      <c r="O2699" t="s">
        <v>58</v>
      </c>
      <c r="P2699" t="s">
        <v>112</v>
      </c>
      <c r="Q2699" t="s">
        <v>93</v>
      </c>
      <c r="R2699" t="s">
        <v>130</v>
      </c>
      <c r="S2699" s="3">
        <v>8.7799999999999994</v>
      </c>
      <c r="T2699" s="5">
        <v>45986</v>
      </c>
      <c r="U2699">
        <v>1</v>
      </c>
      <c r="V2699">
        <v>2025</v>
      </c>
      <c r="X2699">
        <f t="shared" si="126"/>
        <v>8.7097301000000016</v>
      </c>
      <c r="Y2699">
        <f t="shared" si="127"/>
        <v>8.7797301000000001</v>
      </c>
      <c r="Z2699">
        <f t="shared" si="128"/>
        <v>73.299730099999991</v>
      </c>
    </row>
    <row r="2700" spans="1:26" x14ac:dyDescent="0.3">
      <c r="A2700" t="s">
        <v>2790</v>
      </c>
      <c r="B2700" t="s">
        <v>55</v>
      </c>
      <c r="C2700" t="s">
        <v>68</v>
      </c>
      <c r="D2700" t="s">
        <v>57</v>
      </c>
      <c r="E2700">
        <v>20</v>
      </c>
      <c r="F2700" s="3">
        <v>9.5</v>
      </c>
      <c r="G2700" s="4">
        <v>72.599999999999994</v>
      </c>
      <c r="H2700">
        <v>0</v>
      </c>
      <c r="I2700">
        <v>0</v>
      </c>
      <c r="J2700">
        <v>3</v>
      </c>
      <c r="K2700" s="4">
        <v>87</v>
      </c>
      <c r="L2700" s="4">
        <v>56.5</v>
      </c>
      <c r="M2700" s="4">
        <v>67.2</v>
      </c>
      <c r="N2700">
        <v>0</v>
      </c>
      <c r="O2700" t="s">
        <v>64</v>
      </c>
      <c r="P2700" t="s">
        <v>65</v>
      </c>
      <c r="S2700" s="3">
        <v>0</v>
      </c>
      <c r="T2700" s="5"/>
      <c r="U2700">
        <v>0</v>
      </c>
      <c r="V2700">
        <v>2024</v>
      </c>
      <c r="X2700">
        <f t="shared" si="126"/>
        <v>9.4997299999999996</v>
      </c>
      <c r="Y2700">
        <f t="shared" si="127"/>
        <v>-2.7E-4</v>
      </c>
      <c r="Z2700">
        <f t="shared" si="128"/>
        <v>56.49973</v>
      </c>
    </row>
    <row r="2701" spans="1:26" x14ac:dyDescent="0.3">
      <c r="A2701" t="s">
        <v>2791</v>
      </c>
      <c r="B2701" t="s">
        <v>63</v>
      </c>
      <c r="C2701" t="s">
        <v>74</v>
      </c>
      <c r="D2701" t="s">
        <v>69</v>
      </c>
      <c r="E2701">
        <v>23</v>
      </c>
      <c r="F2701" s="3">
        <v>7.75</v>
      </c>
      <c r="G2701" s="4">
        <v>83.7</v>
      </c>
      <c r="H2701">
        <v>0</v>
      </c>
      <c r="I2701">
        <v>2</v>
      </c>
      <c r="J2701">
        <v>2</v>
      </c>
      <c r="K2701" s="4">
        <v>69.5</v>
      </c>
      <c r="L2701" s="4">
        <v>85.7</v>
      </c>
      <c r="M2701" s="4">
        <v>61.4</v>
      </c>
      <c r="N2701">
        <v>0</v>
      </c>
      <c r="O2701" t="s">
        <v>58</v>
      </c>
      <c r="P2701" t="s">
        <v>104</v>
      </c>
      <c r="Q2701" t="s">
        <v>105</v>
      </c>
      <c r="R2701" t="s">
        <v>76</v>
      </c>
      <c r="S2701" s="3">
        <v>15.04</v>
      </c>
      <c r="T2701" s="5">
        <v>45946</v>
      </c>
      <c r="U2701">
        <v>1</v>
      </c>
      <c r="V2701">
        <v>2025</v>
      </c>
      <c r="X2701">
        <f t="shared" si="126"/>
        <v>7.7497299000000002</v>
      </c>
      <c r="Y2701">
        <f t="shared" si="127"/>
        <v>15.039729899999999</v>
      </c>
      <c r="Z2701">
        <f t="shared" si="128"/>
        <v>85.699729900000008</v>
      </c>
    </row>
    <row r="2702" spans="1:26" x14ac:dyDescent="0.3">
      <c r="A2702" t="s">
        <v>2792</v>
      </c>
      <c r="B2702" t="s">
        <v>107</v>
      </c>
      <c r="C2702" t="s">
        <v>78</v>
      </c>
      <c r="D2702" t="s">
        <v>69</v>
      </c>
      <c r="E2702">
        <v>22</v>
      </c>
      <c r="F2702" s="3">
        <v>9.06</v>
      </c>
      <c r="G2702" s="4">
        <v>75.2</v>
      </c>
      <c r="H2702">
        <v>1</v>
      </c>
      <c r="I2702">
        <v>1</v>
      </c>
      <c r="J2702">
        <v>4</v>
      </c>
      <c r="K2702" s="4">
        <v>78.400000000000006</v>
      </c>
      <c r="L2702" s="4">
        <v>60.8</v>
      </c>
      <c r="M2702" s="4">
        <v>81.2</v>
      </c>
      <c r="N2702">
        <v>0</v>
      </c>
      <c r="O2702" t="s">
        <v>58</v>
      </c>
      <c r="P2702" t="s">
        <v>70</v>
      </c>
      <c r="Q2702" t="s">
        <v>71</v>
      </c>
      <c r="R2702" t="s">
        <v>80</v>
      </c>
      <c r="S2702" s="3">
        <v>5.86</v>
      </c>
      <c r="T2702" s="5">
        <v>44410</v>
      </c>
      <c r="U2702">
        <v>2</v>
      </c>
      <c r="V2702">
        <v>2021</v>
      </c>
      <c r="X2702">
        <f t="shared" si="126"/>
        <v>9.0597298000000013</v>
      </c>
      <c r="Y2702">
        <f t="shared" si="127"/>
        <v>5.8597298000000002</v>
      </c>
      <c r="Z2702">
        <f t="shared" si="128"/>
        <v>60.799729799999994</v>
      </c>
    </row>
    <row r="2703" spans="1:26" x14ac:dyDescent="0.3">
      <c r="A2703" t="s">
        <v>2793</v>
      </c>
      <c r="B2703" t="s">
        <v>55</v>
      </c>
      <c r="C2703" t="s">
        <v>74</v>
      </c>
      <c r="D2703" t="s">
        <v>69</v>
      </c>
      <c r="E2703">
        <v>20</v>
      </c>
      <c r="F2703" s="3">
        <v>9.3000000000000007</v>
      </c>
      <c r="G2703" s="4">
        <v>80.2</v>
      </c>
      <c r="H2703">
        <v>1</v>
      </c>
      <c r="I2703">
        <v>1</v>
      </c>
      <c r="J2703">
        <v>4</v>
      </c>
      <c r="K2703" s="4">
        <v>63.9</v>
      </c>
      <c r="L2703" s="4">
        <v>90.9</v>
      </c>
      <c r="M2703" s="4">
        <v>79.3</v>
      </c>
      <c r="N2703">
        <v>0</v>
      </c>
      <c r="O2703" t="s">
        <v>58</v>
      </c>
      <c r="P2703" t="s">
        <v>59</v>
      </c>
      <c r="Q2703" t="s">
        <v>60</v>
      </c>
      <c r="R2703" t="s">
        <v>85</v>
      </c>
      <c r="S2703" s="3">
        <v>21.74</v>
      </c>
      <c r="T2703" s="5">
        <v>45552</v>
      </c>
      <c r="U2703">
        <v>2</v>
      </c>
      <c r="V2703">
        <v>2024</v>
      </c>
      <c r="X2703">
        <f t="shared" si="126"/>
        <v>9.2997297000000003</v>
      </c>
      <c r="Y2703">
        <f t="shared" si="127"/>
        <v>21.739729699999998</v>
      </c>
      <c r="Z2703">
        <f t="shared" si="128"/>
        <v>90.899729700000009</v>
      </c>
    </row>
    <row r="2704" spans="1:26" x14ac:dyDescent="0.3">
      <c r="A2704" t="s">
        <v>2794</v>
      </c>
      <c r="B2704" t="s">
        <v>82</v>
      </c>
      <c r="C2704" t="s">
        <v>74</v>
      </c>
      <c r="D2704" t="s">
        <v>69</v>
      </c>
      <c r="E2704">
        <v>23</v>
      </c>
      <c r="F2704" s="3">
        <v>7.36</v>
      </c>
      <c r="G2704" s="4">
        <v>69.599999999999994</v>
      </c>
      <c r="H2704">
        <v>1</v>
      </c>
      <c r="I2704">
        <v>2</v>
      </c>
      <c r="J2704">
        <v>4</v>
      </c>
      <c r="K2704" s="4">
        <v>61.6</v>
      </c>
      <c r="L2704" s="4">
        <v>85</v>
      </c>
      <c r="M2704" s="4">
        <v>82.6</v>
      </c>
      <c r="N2704">
        <v>0</v>
      </c>
      <c r="O2704" t="s">
        <v>58</v>
      </c>
      <c r="P2704" t="s">
        <v>90</v>
      </c>
      <c r="Q2704" t="s">
        <v>60</v>
      </c>
      <c r="R2704" t="s">
        <v>61</v>
      </c>
      <c r="S2704" s="3">
        <v>9.08</v>
      </c>
      <c r="T2704" s="5">
        <v>44851</v>
      </c>
      <c r="U2704">
        <v>1</v>
      </c>
      <c r="V2704">
        <v>2022</v>
      </c>
      <c r="X2704">
        <f t="shared" si="126"/>
        <v>7.3597296000000005</v>
      </c>
      <c r="Y2704">
        <f t="shared" si="127"/>
        <v>9.0797296000000003</v>
      </c>
      <c r="Z2704">
        <f t="shared" si="128"/>
        <v>84.999729599999995</v>
      </c>
    </row>
    <row r="2705" spans="1:26" x14ac:dyDescent="0.3">
      <c r="A2705" t="s">
        <v>2795</v>
      </c>
      <c r="B2705" t="s">
        <v>67</v>
      </c>
      <c r="C2705" t="s">
        <v>68</v>
      </c>
      <c r="D2705" t="s">
        <v>69</v>
      </c>
      <c r="E2705">
        <v>20</v>
      </c>
      <c r="F2705" s="3">
        <v>7.69</v>
      </c>
      <c r="G2705" s="4">
        <v>89.9</v>
      </c>
      <c r="H2705">
        <v>1</v>
      </c>
      <c r="I2705">
        <v>0</v>
      </c>
      <c r="J2705">
        <v>3</v>
      </c>
      <c r="K2705" s="4">
        <v>67.900000000000006</v>
      </c>
      <c r="L2705" s="4">
        <v>100</v>
      </c>
      <c r="M2705" s="4">
        <v>43.4</v>
      </c>
      <c r="N2705">
        <v>0</v>
      </c>
      <c r="O2705" t="s">
        <v>64</v>
      </c>
      <c r="P2705" t="s">
        <v>65</v>
      </c>
      <c r="S2705" s="3">
        <v>0</v>
      </c>
      <c r="T2705" s="5"/>
      <c r="U2705">
        <v>0</v>
      </c>
      <c r="V2705">
        <v>2023</v>
      </c>
      <c r="X2705">
        <f t="shared" si="126"/>
        <v>7.6897295000000003</v>
      </c>
      <c r="Y2705">
        <f t="shared" si="127"/>
        <v>-2.7049999999999996E-4</v>
      </c>
      <c r="Z2705">
        <f t="shared" si="128"/>
        <v>99.999729500000001</v>
      </c>
    </row>
    <row r="2706" spans="1:26" x14ac:dyDescent="0.3">
      <c r="A2706" t="s">
        <v>2796</v>
      </c>
      <c r="B2706" t="s">
        <v>55</v>
      </c>
      <c r="C2706" t="s">
        <v>56</v>
      </c>
      <c r="D2706" t="s">
        <v>57</v>
      </c>
      <c r="E2706">
        <v>23</v>
      </c>
      <c r="F2706" s="3">
        <v>6.92</v>
      </c>
      <c r="G2706" s="4">
        <v>78.8</v>
      </c>
      <c r="H2706">
        <v>1</v>
      </c>
      <c r="I2706">
        <v>1</v>
      </c>
      <c r="J2706">
        <v>4</v>
      </c>
      <c r="K2706" s="4">
        <v>80</v>
      </c>
      <c r="L2706" s="4">
        <v>71.5</v>
      </c>
      <c r="M2706" s="4">
        <v>68.8</v>
      </c>
      <c r="N2706">
        <v>1</v>
      </c>
      <c r="O2706" t="s">
        <v>64</v>
      </c>
      <c r="P2706" t="s">
        <v>65</v>
      </c>
      <c r="S2706" s="3">
        <v>0</v>
      </c>
      <c r="T2706" s="5"/>
      <c r="U2706">
        <v>0</v>
      </c>
      <c r="V2706">
        <v>2024</v>
      </c>
      <c r="X2706">
        <f t="shared" si="126"/>
        <v>6.9197293999999996</v>
      </c>
      <c r="Y2706">
        <f t="shared" si="127"/>
        <v>-2.7059999999999996E-4</v>
      </c>
      <c r="Z2706">
        <f t="shared" si="128"/>
        <v>71.499729400000007</v>
      </c>
    </row>
    <row r="2707" spans="1:26" x14ac:dyDescent="0.3">
      <c r="A2707" t="s">
        <v>2797</v>
      </c>
      <c r="B2707" t="s">
        <v>55</v>
      </c>
      <c r="C2707" t="s">
        <v>78</v>
      </c>
      <c r="D2707" t="s">
        <v>57</v>
      </c>
      <c r="E2707">
        <v>20</v>
      </c>
      <c r="F2707" s="3">
        <v>6.98</v>
      </c>
      <c r="G2707" s="4">
        <v>90.2</v>
      </c>
      <c r="H2707">
        <v>1</v>
      </c>
      <c r="I2707">
        <v>1</v>
      </c>
      <c r="J2707">
        <v>3</v>
      </c>
      <c r="K2707" s="4">
        <v>59.6</v>
      </c>
      <c r="L2707" s="4">
        <v>80.3</v>
      </c>
      <c r="M2707" s="4">
        <v>45.4</v>
      </c>
      <c r="N2707">
        <v>1</v>
      </c>
      <c r="O2707" t="s">
        <v>64</v>
      </c>
      <c r="P2707" t="s">
        <v>65</v>
      </c>
      <c r="S2707" s="3">
        <v>0</v>
      </c>
      <c r="T2707" s="5"/>
      <c r="U2707">
        <v>0</v>
      </c>
      <c r="V2707">
        <v>2024</v>
      </c>
      <c r="X2707">
        <f t="shared" si="126"/>
        <v>6.9797293000000007</v>
      </c>
      <c r="Y2707">
        <f t="shared" si="127"/>
        <v>-2.7069999999999997E-4</v>
      </c>
      <c r="Z2707">
        <f t="shared" si="128"/>
        <v>80.299729299999996</v>
      </c>
    </row>
    <row r="2708" spans="1:26" x14ac:dyDescent="0.3">
      <c r="A2708" t="s">
        <v>2798</v>
      </c>
      <c r="B2708" t="s">
        <v>107</v>
      </c>
      <c r="C2708" t="s">
        <v>56</v>
      </c>
      <c r="D2708" t="s">
        <v>57</v>
      </c>
      <c r="E2708">
        <v>23</v>
      </c>
      <c r="F2708" s="3">
        <v>7.86</v>
      </c>
      <c r="G2708" s="4">
        <v>75.400000000000006</v>
      </c>
      <c r="H2708">
        <v>3</v>
      </c>
      <c r="I2708">
        <v>3</v>
      </c>
      <c r="J2708">
        <v>5</v>
      </c>
      <c r="K2708" s="4">
        <v>71.099999999999994</v>
      </c>
      <c r="L2708" s="4">
        <v>70.2</v>
      </c>
      <c r="M2708" s="4">
        <v>97.4</v>
      </c>
      <c r="N2708">
        <v>1</v>
      </c>
      <c r="O2708" t="s">
        <v>58</v>
      </c>
      <c r="P2708" t="s">
        <v>87</v>
      </c>
      <c r="Q2708" t="s">
        <v>71</v>
      </c>
      <c r="R2708" t="s">
        <v>72</v>
      </c>
      <c r="S2708" s="3">
        <v>6.64</v>
      </c>
      <c r="T2708" s="5">
        <v>44488</v>
      </c>
      <c r="U2708">
        <v>1</v>
      </c>
      <c r="V2708">
        <v>2021</v>
      </c>
      <c r="X2708">
        <f t="shared" si="126"/>
        <v>7.8597292000000003</v>
      </c>
      <c r="Y2708">
        <f t="shared" si="127"/>
        <v>6.6397291999999997</v>
      </c>
      <c r="Z2708">
        <f t="shared" si="128"/>
        <v>70.199729200000007</v>
      </c>
    </row>
    <row r="2709" spans="1:26" x14ac:dyDescent="0.3">
      <c r="A2709" t="s">
        <v>2799</v>
      </c>
      <c r="B2709" t="s">
        <v>67</v>
      </c>
      <c r="C2709" t="s">
        <v>89</v>
      </c>
      <c r="D2709" t="s">
        <v>57</v>
      </c>
      <c r="E2709">
        <v>23</v>
      </c>
      <c r="F2709" s="3">
        <v>6.18</v>
      </c>
      <c r="G2709" s="4">
        <v>81.900000000000006</v>
      </c>
      <c r="H2709">
        <v>3</v>
      </c>
      <c r="I2709">
        <v>2</v>
      </c>
      <c r="J2709">
        <v>2</v>
      </c>
      <c r="K2709" s="4">
        <v>70.7</v>
      </c>
      <c r="L2709" s="4">
        <v>71.3</v>
      </c>
      <c r="M2709" s="4">
        <v>75.5</v>
      </c>
      <c r="N2709">
        <v>0</v>
      </c>
      <c r="O2709" t="s">
        <v>64</v>
      </c>
      <c r="P2709" t="s">
        <v>65</v>
      </c>
      <c r="S2709" s="3">
        <v>0</v>
      </c>
      <c r="T2709" s="5"/>
      <c r="U2709">
        <v>0</v>
      </c>
      <c r="V2709">
        <v>2023</v>
      </c>
      <c r="X2709">
        <f t="shared" si="126"/>
        <v>6.1797290999999994</v>
      </c>
      <c r="Y2709">
        <f t="shared" si="127"/>
        <v>-2.7089999999999997E-4</v>
      </c>
      <c r="Z2709">
        <f t="shared" si="128"/>
        <v>71.299729099999993</v>
      </c>
    </row>
    <row r="2710" spans="1:26" x14ac:dyDescent="0.3">
      <c r="A2710" t="s">
        <v>2800</v>
      </c>
      <c r="B2710" t="s">
        <v>82</v>
      </c>
      <c r="C2710" t="s">
        <v>56</v>
      </c>
      <c r="D2710" t="s">
        <v>69</v>
      </c>
      <c r="E2710">
        <v>20</v>
      </c>
      <c r="F2710" s="3">
        <v>8.4</v>
      </c>
      <c r="G2710" s="4">
        <v>90.3</v>
      </c>
      <c r="H2710">
        <v>2</v>
      </c>
      <c r="I2710">
        <v>3</v>
      </c>
      <c r="J2710">
        <v>3</v>
      </c>
      <c r="K2710" s="4">
        <v>67.7</v>
      </c>
      <c r="L2710" s="4">
        <v>88.5</v>
      </c>
      <c r="M2710" s="4">
        <v>64.2</v>
      </c>
      <c r="N2710">
        <v>2</v>
      </c>
      <c r="O2710" t="s">
        <v>58</v>
      </c>
      <c r="P2710" t="s">
        <v>87</v>
      </c>
      <c r="Q2710" t="s">
        <v>71</v>
      </c>
      <c r="R2710" t="s">
        <v>72</v>
      </c>
      <c r="S2710" s="3">
        <v>7.69</v>
      </c>
      <c r="T2710" s="5">
        <v>44876</v>
      </c>
      <c r="U2710">
        <v>3</v>
      </c>
      <c r="V2710">
        <v>2022</v>
      </c>
      <c r="X2710">
        <f t="shared" si="126"/>
        <v>8.3997290000000007</v>
      </c>
      <c r="Y2710">
        <f t="shared" si="127"/>
        <v>7.6897290000000007</v>
      </c>
      <c r="Z2710">
        <f t="shared" si="128"/>
        <v>88.499729000000002</v>
      </c>
    </row>
    <row r="2711" spans="1:26" x14ac:dyDescent="0.3">
      <c r="A2711" t="s">
        <v>2801</v>
      </c>
      <c r="B2711" t="s">
        <v>55</v>
      </c>
      <c r="C2711" t="s">
        <v>56</v>
      </c>
      <c r="D2711" t="s">
        <v>69</v>
      </c>
      <c r="E2711">
        <v>23</v>
      </c>
      <c r="F2711" s="3">
        <v>7.8</v>
      </c>
      <c r="G2711" s="4">
        <v>71.400000000000006</v>
      </c>
      <c r="H2711">
        <v>1</v>
      </c>
      <c r="I2711">
        <v>1</v>
      </c>
      <c r="J2711">
        <v>4</v>
      </c>
      <c r="K2711" s="4">
        <v>80.099999999999994</v>
      </c>
      <c r="L2711" s="4">
        <v>81.599999999999994</v>
      </c>
      <c r="M2711" s="4">
        <v>72.5</v>
      </c>
      <c r="N2711">
        <v>0</v>
      </c>
      <c r="O2711" t="s">
        <v>58</v>
      </c>
      <c r="P2711" t="s">
        <v>79</v>
      </c>
      <c r="Q2711" t="s">
        <v>71</v>
      </c>
      <c r="R2711" t="s">
        <v>85</v>
      </c>
      <c r="S2711" s="3">
        <v>5.66</v>
      </c>
      <c r="T2711" s="5">
        <v>45506</v>
      </c>
      <c r="U2711">
        <v>3</v>
      </c>
      <c r="V2711">
        <v>2024</v>
      </c>
      <c r="X2711">
        <f t="shared" si="126"/>
        <v>7.7997288999999999</v>
      </c>
      <c r="Y2711">
        <f t="shared" si="127"/>
        <v>5.6597289000000002</v>
      </c>
      <c r="Z2711">
        <f t="shared" si="128"/>
        <v>81.599728899999988</v>
      </c>
    </row>
    <row r="2712" spans="1:26" x14ac:dyDescent="0.3">
      <c r="A2712" t="s">
        <v>2802</v>
      </c>
      <c r="B2712" t="s">
        <v>55</v>
      </c>
      <c r="C2712" t="s">
        <v>89</v>
      </c>
      <c r="D2712" t="s">
        <v>57</v>
      </c>
      <c r="E2712">
        <v>23</v>
      </c>
      <c r="F2712" s="3">
        <v>8.26</v>
      </c>
      <c r="G2712" s="4">
        <v>74.099999999999994</v>
      </c>
      <c r="H2712">
        <v>2</v>
      </c>
      <c r="I2712">
        <v>1</v>
      </c>
      <c r="J2712">
        <v>3</v>
      </c>
      <c r="K2712" s="4">
        <v>68.599999999999994</v>
      </c>
      <c r="L2712" s="4">
        <v>68.599999999999994</v>
      </c>
      <c r="M2712" s="4">
        <v>73.8</v>
      </c>
      <c r="N2712">
        <v>1</v>
      </c>
      <c r="O2712" t="s">
        <v>58</v>
      </c>
      <c r="P2712" t="s">
        <v>75</v>
      </c>
      <c r="Q2712" t="s">
        <v>71</v>
      </c>
      <c r="R2712" t="s">
        <v>61</v>
      </c>
      <c r="S2712" s="3">
        <v>8.09</v>
      </c>
      <c r="T2712" s="5">
        <v>45579</v>
      </c>
      <c r="U2712">
        <v>2</v>
      </c>
      <c r="V2712">
        <v>2024</v>
      </c>
      <c r="X2712">
        <f t="shared" si="126"/>
        <v>8.2597287999999995</v>
      </c>
      <c r="Y2712">
        <f t="shared" si="127"/>
        <v>8.0897287999999996</v>
      </c>
      <c r="Z2712">
        <f t="shared" si="128"/>
        <v>68.599728799999994</v>
      </c>
    </row>
    <row r="2713" spans="1:26" x14ac:dyDescent="0.3">
      <c r="A2713" t="s">
        <v>2803</v>
      </c>
      <c r="B2713" t="s">
        <v>107</v>
      </c>
      <c r="C2713" t="s">
        <v>84</v>
      </c>
      <c r="D2713" t="s">
        <v>57</v>
      </c>
      <c r="E2713">
        <v>23</v>
      </c>
      <c r="F2713" s="3">
        <v>7.49</v>
      </c>
      <c r="G2713" s="4">
        <v>89.3</v>
      </c>
      <c r="H2713">
        <v>2</v>
      </c>
      <c r="I2713">
        <v>0</v>
      </c>
      <c r="J2713">
        <v>4</v>
      </c>
      <c r="K2713" s="4">
        <v>66</v>
      </c>
      <c r="L2713" s="4">
        <v>89.8</v>
      </c>
      <c r="M2713" s="4">
        <v>97.7</v>
      </c>
      <c r="N2713">
        <v>0</v>
      </c>
      <c r="O2713" t="s">
        <v>58</v>
      </c>
      <c r="P2713" t="s">
        <v>95</v>
      </c>
      <c r="Q2713" t="s">
        <v>93</v>
      </c>
      <c r="R2713" t="s">
        <v>130</v>
      </c>
      <c r="S2713" s="3">
        <v>6.18</v>
      </c>
      <c r="T2713" s="5">
        <v>44496</v>
      </c>
      <c r="U2713">
        <v>1</v>
      </c>
      <c r="V2713">
        <v>2021</v>
      </c>
      <c r="X2713">
        <f t="shared" si="126"/>
        <v>7.4897287000000006</v>
      </c>
      <c r="Y2713">
        <f t="shared" si="127"/>
        <v>6.1797287000000001</v>
      </c>
      <c r="Z2713">
        <f t="shared" si="128"/>
        <v>89.799728700000003</v>
      </c>
    </row>
    <row r="2714" spans="1:26" x14ac:dyDescent="0.3">
      <c r="A2714" t="s">
        <v>2804</v>
      </c>
      <c r="B2714" t="s">
        <v>63</v>
      </c>
      <c r="C2714" t="s">
        <v>78</v>
      </c>
      <c r="D2714" t="s">
        <v>57</v>
      </c>
      <c r="E2714">
        <v>20</v>
      </c>
      <c r="F2714" s="3">
        <v>8.26</v>
      </c>
      <c r="G2714" s="4">
        <v>94.1</v>
      </c>
      <c r="H2714">
        <v>2</v>
      </c>
      <c r="I2714">
        <v>4</v>
      </c>
      <c r="J2714">
        <v>2</v>
      </c>
      <c r="K2714" s="4">
        <v>67.3</v>
      </c>
      <c r="L2714" s="4">
        <v>85</v>
      </c>
      <c r="M2714" s="4">
        <v>71.7</v>
      </c>
      <c r="N2714">
        <v>1</v>
      </c>
      <c r="O2714" t="s">
        <v>58</v>
      </c>
      <c r="P2714" t="s">
        <v>112</v>
      </c>
      <c r="Q2714" t="s">
        <v>93</v>
      </c>
      <c r="R2714" t="s">
        <v>109</v>
      </c>
      <c r="S2714" s="3">
        <v>7.18</v>
      </c>
      <c r="T2714" s="5">
        <v>45912</v>
      </c>
      <c r="U2714">
        <v>1</v>
      </c>
      <c r="V2714">
        <v>2025</v>
      </c>
      <c r="X2714">
        <f t="shared" si="126"/>
        <v>8.259728599999999</v>
      </c>
      <c r="Y2714">
        <f t="shared" si="127"/>
        <v>7.1797285999999998</v>
      </c>
      <c r="Z2714">
        <f t="shared" si="128"/>
        <v>84.999728599999997</v>
      </c>
    </row>
    <row r="2715" spans="1:26" x14ac:dyDescent="0.3">
      <c r="A2715" t="s">
        <v>2805</v>
      </c>
      <c r="B2715" t="s">
        <v>82</v>
      </c>
      <c r="C2715" t="s">
        <v>56</v>
      </c>
      <c r="D2715" t="s">
        <v>69</v>
      </c>
      <c r="E2715">
        <v>20</v>
      </c>
      <c r="F2715" s="3">
        <v>7.87</v>
      </c>
      <c r="G2715" s="4">
        <v>82.1</v>
      </c>
      <c r="H2715">
        <v>0</v>
      </c>
      <c r="I2715">
        <v>2</v>
      </c>
      <c r="J2715">
        <v>1</v>
      </c>
      <c r="K2715" s="4">
        <v>38.299999999999997</v>
      </c>
      <c r="L2715" s="4">
        <v>93.3</v>
      </c>
      <c r="M2715" s="4">
        <v>76.2</v>
      </c>
      <c r="N2715">
        <v>0</v>
      </c>
      <c r="O2715" t="s">
        <v>58</v>
      </c>
      <c r="P2715" t="s">
        <v>90</v>
      </c>
      <c r="Q2715" t="s">
        <v>60</v>
      </c>
      <c r="R2715" t="s">
        <v>76</v>
      </c>
      <c r="S2715" s="3">
        <v>8.08</v>
      </c>
      <c r="T2715" s="5">
        <v>44866</v>
      </c>
      <c r="U2715">
        <v>1</v>
      </c>
      <c r="V2715">
        <v>2022</v>
      </c>
      <c r="X2715">
        <f t="shared" si="126"/>
        <v>7.8697284999999999</v>
      </c>
      <c r="Y2715">
        <f t="shared" si="127"/>
        <v>8.0797284999999999</v>
      </c>
      <c r="Z2715">
        <f t="shared" si="128"/>
        <v>93.299728500000001</v>
      </c>
    </row>
    <row r="2716" spans="1:26" x14ac:dyDescent="0.3">
      <c r="A2716" t="s">
        <v>2806</v>
      </c>
      <c r="B2716" t="s">
        <v>67</v>
      </c>
      <c r="C2716" t="s">
        <v>56</v>
      </c>
      <c r="D2716" t="s">
        <v>69</v>
      </c>
      <c r="E2716">
        <v>23</v>
      </c>
      <c r="F2716" s="3">
        <v>8.11</v>
      </c>
      <c r="G2716" s="4">
        <v>73.3</v>
      </c>
      <c r="H2716">
        <v>1</v>
      </c>
      <c r="I2716">
        <v>2</v>
      </c>
      <c r="J2716">
        <v>5</v>
      </c>
      <c r="K2716" s="4">
        <v>65.8</v>
      </c>
      <c r="L2716" s="4">
        <v>88.3</v>
      </c>
      <c r="M2716" s="4">
        <v>66.900000000000006</v>
      </c>
      <c r="N2716">
        <v>1</v>
      </c>
      <c r="O2716" t="s">
        <v>58</v>
      </c>
      <c r="P2716" t="s">
        <v>92</v>
      </c>
      <c r="Q2716" t="s">
        <v>93</v>
      </c>
      <c r="R2716" t="s">
        <v>72</v>
      </c>
      <c r="S2716" s="3">
        <v>9.14</v>
      </c>
      <c r="T2716" s="5">
        <v>45152</v>
      </c>
      <c r="U2716">
        <v>1</v>
      </c>
      <c r="V2716">
        <v>2023</v>
      </c>
      <c r="X2716">
        <f t="shared" si="126"/>
        <v>8.1097283999999998</v>
      </c>
      <c r="Y2716">
        <f t="shared" si="127"/>
        <v>9.139728400000001</v>
      </c>
      <c r="Z2716">
        <f t="shared" si="128"/>
        <v>88.299728399999992</v>
      </c>
    </row>
    <row r="2717" spans="1:26" x14ac:dyDescent="0.3">
      <c r="A2717" t="s">
        <v>2807</v>
      </c>
      <c r="B2717" t="s">
        <v>55</v>
      </c>
      <c r="C2717" t="s">
        <v>101</v>
      </c>
      <c r="D2717" t="s">
        <v>69</v>
      </c>
      <c r="E2717">
        <v>23</v>
      </c>
      <c r="F2717" s="3">
        <v>8.4600000000000009</v>
      </c>
      <c r="G2717" s="4">
        <v>79.099999999999994</v>
      </c>
      <c r="H2717">
        <v>1</v>
      </c>
      <c r="I2717">
        <v>4</v>
      </c>
      <c r="J2717">
        <v>3</v>
      </c>
      <c r="K2717" s="4">
        <v>53.1</v>
      </c>
      <c r="L2717" s="4">
        <v>64.7</v>
      </c>
      <c r="M2717" s="4">
        <v>99.3</v>
      </c>
      <c r="N2717">
        <v>0</v>
      </c>
      <c r="O2717" t="s">
        <v>64</v>
      </c>
      <c r="P2717" t="s">
        <v>65</v>
      </c>
      <c r="S2717" s="3">
        <v>0</v>
      </c>
      <c r="T2717" s="5"/>
      <c r="U2717">
        <v>0</v>
      </c>
      <c r="V2717">
        <v>2024</v>
      </c>
      <c r="X2717">
        <f t="shared" si="126"/>
        <v>8.4597283000000001</v>
      </c>
      <c r="Y2717">
        <f t="shared" si="127"/>
        <v>-2.7169999999999999E-4</v>
      </c>
      <c r="Z2717">
        <f t="shared" si="128"/>
        <v>64.699728300000004</v>
      </c>
    </row>
    <row r="2718" spans="1:26" x14ac:dyDescent="0.3">
      <c r="A2718" t="s">
        <v>2808</v>
      </c>
      <c r="B2718" t="s">
        <v>55</v>
      </c>
      <c r="C2718" t="s">
        <v>68</v>
      </c>
      <c r="D2718" t="s">
        <v>57</v>
      </c>
      <c r="E2718">
        <v>20</v>
      </c>
      <c r="F2718" s="3">
        <v>6.51</v>
      </c>
      <c r="G2718" s="4">
        <v>99.7</v>
      </c>
      <c r="H2718">
        <v>1</v>
      </c>
      <c r="I2718">
        <v>1</v>
      </c>
      <c r="J2718">
        <v>2</v>
      </c>
      <c r="K2718" s="4">
        <v>65.099999999999994</v>
      </c>
      <c r="L2718" s="4">
        <v>63.1</v>
      </c>
      <c r="M2718" s="4">
        <v>92.9</v>
      </c>
      <c r="N2718">
        <v>0</v>
      </c>
      <c r="O2718" t="s">
        <v>64</v>
      </c>
      <c r="P2718" t="s">
        <v>65</v>
      </c>
      <c r="S2718" s="3">
        <v>0</v>
      </c>
      <c r="T2718" s="5"/>
      <c r="U2718">
        <v>0</v>
      </c>
      <c r="V2718">
        <v>2024</v>
      </c>
      <c r="X2718">
        <f t="shared" si="126"/>
        <v>6.5097281999999996</v>
      </c>
      <c r="Y2718">
        <f t="shared" si="127"/>
        <v>-2.7179999999999999E-4</v>
      </c>
      <c r="Z2718">
        <f t="shared" si="128"/>
        <v>63.099728200000001</v>
      </c>
    </row>
    <row r="2719" spans="1:26" x14ac:dyDescent="0.3">
      <c r="A2719" t="s">
        <v>2809</v>
      </c>
      <c r="B2719" t="s">
        <v>82</v>
      </c>
      <c r="C2719" t="s">
        <v>56</v>
      </c>
      <c r="D2719" t="s">
        <v>57</v>
      </c>
      <c r="E2719">
        <v>22</v>
      </c>
      <c r="F2719" s="3">
        <v>7.02</v>
      </c>
      <c r="G2719" s="4">
        <v>70</v>
      </c>
      <c r="H2719">
        <v>1</v>
      </c>
      <c r="I2719">
        <v>1</v>
      </c>
      <c r="J2719">
        <v>2</v>
      </c>
      <c r="K2719" s="4">
        <v>67.7</v>
      </c>
      <c r="L2719" s="4">
        <v>63.6</v>
      </c>
      <c r="M2719" s="4">
        <v>50.5</v>
      </c>
      <c r="N2719">
        <v>0</v>
      </c>
      <c r="O2719" t="s">
        <v>58</v>
      </c>
      <c r="P2719" t="s">
        <v>70</v>
      </c>
      <c r="Q2719" t="s">
        <v>71</v>
      </c>
      <c r="R2719" t="s">
        <v>76</v>
      </c>
      <c r="S2719" s="3">
        <v>6.95</v>
      </c>
      <c r="T2719" s="5">
        <v>44828</v>
      </c>
      <c r="U2719">
        <v>2</v>
      </c>
      <c r="V2719">
        <v>2022</v>
      </c>
      <c r="X2719">
        <f t="shared" si="126"/>
        <v>7.0197280999999991</v>
      </c>
      <c r="Y2719">
        <f t="shared" si="127"/>
        <v>6.9497280999999997</v>
      </c>
      <c r="Z2719">
        <f t="shared" si="128"/>
        <v>63.5997281</v>
      </c>
    </row>
    <row r="2720" spans="1:26" x14ac:dyDescent="0.3">
      <c r="A2720" t="s">
        <v>2810</v>
      </c>
      <c r="B2720" t="s">
        <v>63</v>
      </c>
      <c r="C2720" t="s">
        <v>101</v>
      </c>
      <c r="D2720" t="s">
        <v>69</v>
      </c>
      <c r="E2720">
        <v>23</v>
      </c>
      <c r="F2720" s="3">
        <v>9.73</v>
      </c>
      <c r="G2720" s="4">
        <v>86.8</v>
      </c>
      <c r="H2720">
        <v>2</v>
      </c>
      <c r="I2720">
        <v>2</v>
      </c>
      <c r="J2720">
        <v>5</v>
      </c>
      <c r="K2720" s="4">
        <v>74.400000000000006</v>
      </c>
      <c r="L2720" s="4">
        <v>81.7</v>
      </c>
      <c r="M2720" s="4">
        <v>84.2</v>
      </c>
      <c r="N2720">
        <v>0</v>
      </c>
      <c r="O2720" t="s">
        <v>58</v>
      </c>
      <c r="P2720" t="s">
        <v>90</v>
      </c>
      <c r="Q2720" t="s">
        <v>60</v>
      </c>
      <c r="R2720" t="s">
        <v>61</v>
      </c>
      <c r="S2720" s="3">
        <v>9.02</v>
      </c>
      <c r="T2720" s="5">
        <v>45928</v>
      </c>
      <c r="U2720">
        <v>2</v>
      </c>
      <c r="V2720">
        <v>2025</v>
      </c>
      <c r="X2720">
        <f t="shared" si="126"/>
        <v>9.7297279999999997</v>
      </c>
      <c r="Y2720">
        <f t="shared" si="127"/>
        <v>9.0197279999999989</v>
      </c>
      <c r="Z2720">
        <f t="shared" si="128"/>
        <v>81.699728000000007</v>
      </c>
    </row>
    <row r="2721" spans="1:26" x14ac:dyDescent="0.3">
      <c r="A2721" t="s">
        <v>2811</v>
      </c>
      <c r="B2721" t="s">
        <v>55</v>
      </c>
      <c r="C2721" t="s">
        <v>101</v>
      </c>
      <c r="D2721" t="s">
        <v>69</v>
      </c>
      <c r="E2721">
        <v>22</v>
      </c>
      <c r="F2721" s="3">
        <v>7.84</v>
      </c>
      <c r="G2721" s="4">
        <v>83.1</v>
      </c>
      <c r="H2721">
        <v>2</v>
      </c>
      <c r="I2721">
        <v>3</v>
      </c>
      <c r="J2721">
        <v>4</v>
      </c>
      <c r="K2721" s="4">
        <v>96.2</v>
      </c>
      <c r="L2721" s="4">
        <v>90.1</v>
      </c>
      <c r="M2721" s="4">
        <v>79.400000000000006</v>
      </c>
      <c r="N2721">
        <v>0</v>
      </c>
      <c r="O2721" t="s">
        <v>58</v>
      </c>
      <c r="P2721" t="s">
        <v>70</v>
      </c>
      <c r="Q2721" t="s">
        <v>71</v>
      </c>
      <c r="R2721" t="s">
        <v>76</v>
      </c>
      <c r="S2721" s="3">
        <v>7.85</v>
      </c>
      <c r="T2721" s="5">
        <v>45590</v>
      </c>
      <c r="U2721">
        <v>1</v>
      </c>
      <c r="V2721">
        <v>2024</v>
      </c>
      <c r="X2721">
        <f t="shared" si="126"/>
        <v>7.8397278999999997</v>
      </c>
      <c r="Y2721">
        <f t="shared" si="127"/>
        <v>7.8497278999999995</v>
      </c>
      <c r="Z2721">
        <f t="shared" si="128"/>
        <v>90.099727899999991</v>
      </c>
    </row>
    <row r="2722" spans="1:26" x14ac:dyDescent="0.3">
      <c r="A2722" t="s">
        <v>2812</v>
      </c>
      <c r="B2722" t="s">
        <v>82</v>
      </c>
      <c r="C2722" t="s">
        <v>84</v>
      </c>
      <c r="D2722" t="s">
        <v>57</v>
      </c>
      <c r="E2722">
        <v>20</v>
      </c>
      <c r="F2722" s="3">
        <v>6.1</v>
      </c>
      <c r="G2722" s="4">
        <v>71.599999999999994</v>
      </c>
      <c r="H2722">
        <v>0</v>
      </c>
      <c r="I2722">
        <v>3</v>
      </c>
      <c r="J2722">
        <v>6</v>
      </c>
      <c r="K2722" s="4">
        <v>86.8</v>
      </c>
      <c r="L2722" s="4">
        <v>85.9</v>
      </c>
      <c r="M2722" s="4">
        <v>64.7</v>
      </c>
      <c r="N2722">
        <v>0</v>
      </c>
      <c r="O2722" t="s">
        <v>58</v>
      </c>
      <c r="P2722" t="s">
        <v>92</v>
      </c>
      <c r="Q2722" t="s">
        <v>93</v>
      </c>
      <c r="R2722" t="s">
        <v>76</v>
      </c>
      <c r="S2722" s="3">
        <v>7.46</v>
      </c>
      <c r="T2722" s="5">
        <v>44820</v>
      </c>
      <c r="U2722">
        <v>2</v>
      </c>
      <c r="V2722">
        <v>2022</v>
      </c>
      <c r="X2722">
        <f t="shared" si="126"/>
        <v>6.0997277999999993</v>
      </c>
      <c r="Y2722">
        <f t="shared" si="127"/>
        <v>7.4597277999999996</v>
      </c>
      <c r="Z2722">
        <f t="shared" si="128"/>
        <v>85.899727800000008</v>
      </c>
    </row>
    <row r="2723" spans="1:26" x14ac:dyDescent="0.3">
      <c r="A2723" t="s">
        <v>2813</v>
      </c>
      <c r="B2723" t="s">
        <v>107</v>
      </c>
      <c r="C2723" t="s">
        <v>84</v>
      </c>
      <c r="D2723" t="s">
        <v>69</v>
      </c>
      <c r="E2723">
        <v>23</v>
      </c>
      <c r="F2723" s="3">
        <v>6.11</v>
      </c>
      <c r="G2723" s="4">
        <v>79.2</v>
      </c>
      <c r="H2723">
        <v>1</v>
      </c>
      <c r="I2723">
        <v>3</v>
      </c>
      <c r="J2723">
        <v>5</v>
      </c>
      <c r="K2723" s="4">
        <v>67.900000000000006</v>
      </c>
      <c r="L2723" s="4">
        <v>48.6</v>
      </c>
      <c r="M2723" s="4">
        <v>62.1</v>
      </c>
      <c r="N2723">
        <v>0</v>
      </c>
      <c r="O2723" t="s">
        <v>58</v>
      </c>
      <c r="P2723" t="s">
        <v>112</v>
      </c>
      <c r="Q2723" t="s">
        <v>93</v>
      </c>
      <c r="R2723" t="s">
        <v>76</v>
      </c>
      <c r="S2723" s="3">
        <v>4.6100000000000003</v>
      </c>
      <c r="T2723" s="5">
        <v>44520</v>
      </c>
      <c r="U2723">
        <v>2</v>
      </c>
      <c r="V2723">
        <v>2021</v>
      </c>
      <c r="X2723">
        <f t="shared" si="126"/>
        <v>6.1097277000000005</v>
      </c>
      <c r="Y2723">
        <f t="shared" si="127"/>
        <v>4.6097277000000005</v>
      </c>
      <c r="Z2723">
        <f t="shared" si="128"/>
        <v>48.599727700000003</v>
      </c>
    </row>
    <row r="2724" spans="1:26" x14ac:dyDescent="0.3">
      <c r="A2724" t="s">
        <v>2814</v>
      </c>
      <c r="B2724" t="s">
        <v>63</v>
      </c>
      <c r="C2724" t="s">
        <v>101</v>
      </c>
      <c r="D2724" t="s">
        <v>57</v>
      </c>
      <c r="E2724">
        <v>22</v>
      </c>
      <c r="F2724" s="3">
        <v>7.58</v>
      </c>
      <c r="G2724" s="4">
        <v>65.8</v>
      </c>
      <c r="H2724">
        <v>2</v>
      </c>
      <c r="I2724">
        <v>2</v>
      </c>
      <c r="J2724">
        <v>5</v>
      </c>
      <c r="K2724" s="4">
        <v>75.8</v>
      </c>
      <c r="L2724" s="4">
        <v>59.3</v>
      </c>
      <c r="M2724" s="4">
        <v>49.6</v>
      </c>
      <c r="N2724">
        <v>0</v>
      </c>
      <c r="O2724" t="s">
        <v>58</v>
      </c>
      <c r="P2724" t="s">
        <v>87</v>
      </c>
      <c r="Q2724" t="s">
        <v>71</v>
      </c>
      <c r="R2724" t="s">
        <v>85</v>
      </c>
      <c r="S2724" s="3">
        <v>5.91</v>
      </c>
      <c r="T2724" s="5">
        <v>45903</v>
      </c>
      <c r="U2724">
        <v>1</v>
      </c>
      <c r="V2724">
        <v>2025</v>
      </c>
      <c r="X2724">
        <f t="shared" si="126"/>
        <v>7.5797276</v>
      </c>
      <c r="Y2724">
        <f t="shared" si="127"/>
        <v>5.9097276000000001</v>
      </c>
      <c r="Z2724">
        <f t="shared" si="128"/>
        <v>59.299727599999997</v>
      </c>
    </row>
    <row r="2725" spans="1:26" x14ac:dyDescent="0.3">
      <c r="A2725" t="s">
        <v>2815</v>
      </c>
      <c r="B2725" t="s">
        <v>67</v>
      </c>
      <c r="C2725" t="s">
        <v>56</v>
      </c>
      <c r="D2725" t="s">
        <v>69</v>
      </c>
      <c r="E2725">
        <v>20</v>
      </c>
      <c r="F2725" s="3">
        <v>7.18</v>
      </c>
      <c r="G2725" s="4">
        <v>84.6</v>
      </c>
      <c r="H2725">
        <v>0</v>
      </c>
      <c r="I2725">
        <v>4</v>
      </c>
      <c r="J2725">
        <v>4</v>
      </c>
      <c r="K2725" s="4">
        <v>62.4</v>
      </c>
      <c r="L2725" s="4">
        <v>80.2</v>
      </c>
      <c r="M2725" s="4">
        <v>81.7</v>
      </c>
      <c r="N2725">
        <v>3</v>
      </c>
      <c r="O2725" t="s">
        <v>58</v>
      </c>
      <c r="P2725" t="s">
        <v>104</v>
      </c>
      <c r="Q2725" t="s">
        <v>105</v>
      </c>
      <c r="R2725" t="s">
        <v>76</v>
      </c>
      <c r="S2725" s="3">
        <v>14.6</v>
      </c>
      <c r="T2725" s="5">
        <v>45174</v>
      </c>
      <c r="U2725">
        <v>1</v>
      </c>
      <c r="V2725">
        <v>2023</v>
      </c>
      <c r="X2725">
        <f t="shared" si="126"/>
        <v>7.1797274999999994</v>
      </c>
      <c r="Y2725">
        <f t="shared" si="127"/>
        <v>14.5997275</v>
      </c>
      <c r="Z2725">
        <f t="shared" si="128"/>
        <v>80.199727500000009</v>
      </c>
    </row>
    <row r="2726" spans="1:26" x14ac:dyDescent="0.3">
      <c r="A2726" t="s">
        <v>2816</v>
      </c>
      <c r="B2726" t="s">
        <v>55</v>
      </c>
      <c r="C2726" t="s">
        <v>56</v>
      </c>
      <c r="D2726" t="s">
        <v>69</v>
      </c>
      <c r="E2726">
        <v>22</v>
      </c>
      <c r="F2726" s="3">
        <v>6.92</v>
      </c>
      <c r="G2726" s="4">
        <v>85.9</v>
      </c>
      <c r="H2726">
        <v>0</v>
      </c>
      <c r="I2726">
        <v>2</v>
      </c>
      <c r="J2726">
        <v>5</v>
      </c>
      <c r="K2726" s="4">
        <v>70.7</v>
      </c>
      <c r="L2726" s="4">
        <v>88.4</v>
      </c>
      <c r="M2726" s="4">
        <v>57.7</v>
      </c>
      <c r="N2726">
        <v>1</v>
      </c>
      <c r="O2726" t="s">
        <v>58</v>
      </c>
      <c r="P2726" t="s">
        <v>79</v>
      </c>
      <c r="Q2726" t="s">
        <v>71</v>
      </c>
      <c r="R2726" t="s">
        <v>80</v>
      </c>
      <c r="S2726" s="3">
        <v>6.45</v>
      </c>
      <c r="T2726" s="5">
        <v>45537</v>
      </c>
      <c r="U2726">
        <v>1</v>
      </c>
      <c r="V2726">
        <v>2024</v>
      </c>
      <c r="X2726">
        <f t="shared" si="126"/>
        <v>6.9197274000000002</v>
      </c>
      <c r="Y2726">
        <f t="shared" si="127"/>
        <v>6.4497274000000004</v>
      </c>
      <c r="Z2726">
        <f t="shared" si="128"/>
        <v>88.399727400000003</v>
      </c>
    </row>
    <row r="2727" spans="1:26" x14ac:dyDescent="0.3">
      <c r="A2727" t="s">
        <v>2817</v>
      </c>
      <c r="B2727" t="s">
        <v>82</v>
      </c>
      <c r="C2727" t="s">
        <v>89</v>
      </c>
      <c r="D2727" t="s">
        <v>69</v>
      </c>
      <c r="E2727">
        <v>21</v>
      </c>
      <c r="F2727" s="3">
        <v>9.26</v>
      </c>
      <c r="G2727" s="4">
        <v>69.7</v>
      </c>
      <c r="H2727">
        <v>2</v>
      </c>
      <c r="I2727">
        <v>1</v>
      </c>
      <c r="J2727">
        <v>3</v>
      </c>
      <c r="K2727" s="4">
        <v>71</v>
      </c>
      <c r="L2727" s="4">
        <v>74.599999999999994</v>
      </c>
      <c r="M2727" s="4">
        <v>77.7</v>
      </c>
      <c r="N2727">
        <v>0</v>
      </c>
      <c r="O2727" t="s">
        <v>58</v>
      </c>
      <c r="P2727" t="s">
        <v>75</v>
      </c>
      <c r="Q2727" t="s">
        <v>71</v>
      </c>
      <c r="R2727" t="s">
        <v>61</v>
      </c>
      <c r="S2727" s="3">
        <v>7.07</v>
      </c>
      <c r="T2727" s="5">
        <v>44876</v>
      </c>
      <c r="U2727">
        <v>2</v>
      </c>
      <c r="V2727">
        <v>2022</v>
      </c>
      <c r="X2727">
        <f t="shared" si="126"/>
        <v>9.2597272999999998</v>
      </c>
      <c r="Y2727">
        <f t="shared" si="127"/>
        <v>7.0697273000000003</v>
      </c>
      <c r="Z2727">
        <f t="shared" si="128"/>
        <v>74.599727299999998</v>
      </c>
    </row>
    <row r="2728" spans="1:26" x14ac:dyDescent="0.3">
      <c r="A2728" t="s">
        <v>2818</v>
      </c>
      <c r="B2728" t="s">
        <v>107</v>
      </c>
      <c r="C2728" t="s">
        <v>68</v>
      </c>
      <c r="D2728" t="s">
        <v>57</v>
      </c>
      <c r="E2728">
        <v>20</v>
      </c>
      <c r="F2728" s="3">
        <v>7.32</v>
      </c>
      <c r="G2728" s="4">
        <v>87</v>
      </c>
      <c r="H2728">
        <v>1</v>
      </c>
      <c r="I2728">
        <v>2</v>
      </c>
      <c r="J2728">
        <v>5</v>
      </c>
      <c r="K2728" s="4">
        <v>54.3</v>
      </c>
      <c r="L2728" s="4">
        <v>92.9</v>
      </c>
      <c r="M2728" s="4">
        <v>60.9</v>
      </c>
      <c r="N2728">
        <v>0</v>
      </c>
      <c r="O2728" t="s">
        <v>58</v>
      </c>
      <c r="P2728" t="s">
        <v>95</v>
      </c>
      <c r="Q2728" t="s">
        <v>93</v>
      </c>
      <c r="R2728" t="s">
        <v>85</v>
      </c>
      <c r="S2728" s="3">
        <v>7.03</v>
      </c>
      <c r="T2728" s="5">
        <v>44471</v>
      </c>
      <c r="U2728">
        <v>2</v>
      </c>
      <c r="V2728">
        <v>2021</v>
      </c>
      <c r="X2728">
        <f t="shared" si="126"/>
        <v>7.3197272</v>
      </c>
      <c r="Y2728">
        <f t="shared" si="127"/>
        <v>7.0297272</v>
      </c>
      <c r="Z2728">
        <f t="shared" si="128"/>
        <v>92.899727200000001</v>
      </c>
    </row>
    <row r="2729" spans="1:26" x14ac:dyDescent="0.3">
      <c r="A2729" t="s">
        <v>2819</v>
      </c>
      <c r="B2729" t="s">
        <v>67</v>
      </c>
      <c r="C2729" t="s">
        <v>68</v>
      </c>
      <c r="D2729" t="s">
        <v>57</v>
      </c>
      <c r="E2729">
        <v>21</v>
      </c>
      <c r="F2729" s="3">
        <v>8.39</v>
      </c>
      <c r="G2729" s="4">
        <v>76</v>
      </c>
      <c r="H2729">
        <v>2</v>
      </c>
      <c r="I2729">
        <v>3</v>
      </c>
      <c r="J2729">
        <v>5</v>
      </c>
      <c r="K2729" s="4">
        <v>61.5</v>
      </c>
      <c r="L2729" s="4">
        <v>41.6</v>
      </c>
      <c r="M2729" s="4">
        <v>59.7</v>
      </c>
      <c r="N2729">
        <v>0</v>
      </c>
      <c r="O2729" t="s">
        <v>58</v>
      </c>
      <c r="P2729" t="s">
        <v>95</v>
      </c>
      <c r="Q2729" t="s">
        <v>93</v>
      </c>
      <c r="R2729" t="s">
        <v>85</v>
      </c>
      <c r="S2729" s="3">
        <v>7.3</v>
      </c>
      <c r="T2729" s="5">
        <v>45245</v>
      </c>
      <c r="U2729">
        <v>1</v>
      </c>
      <c r="V2729">
        <v>2023</v>
      </c>
      <c r="X2729">
        <f t="shared" si="126"/>
        <v>8.3897271</v>
      </c>
      <c r="Y2729">
        <f t="shared" si="127"/>
        <v>7.2997271000000001</v>
      </c>
      <c r="Z2729">
        <f t="shared" si="128"/>
        <v>41.599727100000003</v>
      </c>
    </row>
    <row r="2730" spans="1:26" x14ac:dyDescent="0.3">
      <c r="A2730" t="s">
        <v>2820</v>
      </c>
      <c r="B2730" t="s">
        <v>82</v>
      </c>
      <c r="C2730" t="s">
        <v>74</v>
      </c>
      <c r="D2730" t="s">
        <v>69</v>
      </c>
      <c r="E2730">
        <v>20</v>
      </c>
      <c r="F2730" s="3">
        <v>7.88</v>
      </c>
      <c r="G2730" s="4">
        <v>75.2</v>
      </c>
      <c r="H2730">
        <v>2</v>
      </c>
      <c r="I2730">
        <v>2</v>
      </c>
      <c r="J2730">
        <v>4</v>
      </c>
      <c r="K2730" s="4">
        <v>44.2</v>
      </c>
      <c r="L2730" s="4">
        <v>66.900000000000006</v>
      </c>
      <c r="M2730" s="4">
        <v>74.599999999999994</v>
      </c>
      <c r="N2730">
        <v>0</v>
      </c>
      <c r="O2730" t="s">
        <v>58</v>
      </c>
      <c r="P2730" t="s">
        <v>92</v>
      </c>
      <c r="Q2730" t="s">
        <v>93</v>
      </c>
      <c r="R2730" t="s">
        <v>72</v>
      </c>
      <c r="S2730" s="3">
        <v>7.57</v>
      </c>
      <c r="T2730" s="5">
        <v>44791</v>
      </c>
      <c r="U2730">
        <v>1</v>
      </c>
      <c r="V2730">
        <v>2022</v>
      </c>
      <c r="X2730">
        <f t="shared" si="126"/>
        <v>7.8797269999999999</v>
      </c>
      <c r="Y2730">
        <f t="shared" si="127"/>
        <v>7.5697270000000003</v>
      </c>
      <c r="Z2730">
        <f t="shared" si="128"/>
        <v>66.899726999999999</v>
      </c>
    </row>
    <row r="2731" spans="1:26" x14ac:dyDescent="0.3">
      <c r="A2731" t="s">
        <v>2821</v>
      </c>
      <c r="B2731" t="s">
        <v>82</v>
      </c>
      <c r="C2731" t="s">
        <v>68</v>
      </c>
      <c r="D2731" t="s">
        <v>69</v>
      </c>
      <c r="E2731">
        <v>20</v>
      </c>
      <c r="F2731" s="3">
        <v>7.38</v>
      </c>
      <c r="G2731" s="4">
        <v>73.2</v>
      </c>
      <c r="H2731">
        <v>2</v>
      </c>
      <c r="I2731">
        <v>1</v>
      </c>
      <c r="J2731">
        <v>3</v>
      </c>
      <c r="K2731" s="4">
        <v>65.5</v>
      </c>
      <c r="L2731" s="4">
        <v>91.3</v>
      </c>
      <c r="M2731" s="4">
        <v>89</v>
      </c>
      <c r="N2731">
        <v>0</v>
      </c>
      <c r="O2731" t="s">
        <v>58</v>
      </c>
      <c r="P2731" t="s">
        <v>75</v>
      </c>
      <c r="Q2731" t="s">
        <v>71</v>
      </c>
      <c r="R2731" t="s">
        <v>130</v>
      </c>
      <c r="S2731" s="3">
        <v>8.5</v>
      </c>
      <c r="T2731" s="5">
        <v>44795</v>
      </c>
      <c r="U2731">
        <v>1</v>
      </c>
      <c r="V2731">
        <v>2022</v>
      </c>
      <c r="X2731">
        <f t="shared" si="126"/>
        <v>7.3797268999999996</v>
      </c>
      <c r="Y2731">
        <f t="shared" si="127"/>
        <v>8.4997269000000006</v>
      </c>
      <c r="Z2731">
        <f t="shared" si="128"/>
        <v>91.299726899999996</v>
      </c>
    </row>
    <row r="2732" spans="1:26" x14ac:dyDescent="0.3">
      <c r="A2732" t="s">
        <v>2822</v>
      </c>
      <c r="B2732" t="s">
        <v>67</v>
      </c>
      <c r="C2732" t="s">
        <v>89</v>
      </c>
      <c r="D2732" t="s">
        <v>57</v>
      </c>
      <c r="E2732">
        <v>23</v>
      </c>
      <c r="F2732" s="3">
        <v>6.62</v>
      </c>
      <c r="G2732" s="4">
        <v>88</v>
      </c>
      <c r="H2732">
        <v>0</v>
      </c>
      <c r="I2732">
        <v>0</v>
      </c>
      <c r="J2732">
        <v>4</v>
      </c>
      <c r="K2732" s="4">
        <v>67.5</v>
      </c>
      <c r="L2732" s="4">
        <v>75.099999999999994</v>
      </c>
      <c r="M2732" s="4">
        <v>64.8</v>
      </c>
      <c r="N2732">
        <v>3</v>
      </c>
      <c r="O2732" t="s">
        <v>64</v>
      </c>
      <c r="P2732" t="s">
        <v>65</v>
      </c>
      <c r="S2732" s="3">
        <v>0</v>
      </c>
      <c r="T2732" s="5"/>
      <c r="U2732">
        <v>0</v>
      </c>
      <c r="V2732">
        <v>2023</v>
      </c>
      <c r="X2732">
        <f t="shared" si="126"/>
        <v>6.6197268000000005</v>
      </c>
      <c r="Y2732">
        <f t="shared" si="127"/>
        <v>-2.7319999999999997E-4</v>
      </c>
      <c r="Z2732">
        <f t="shared" si="128"/>
        <v>75.099726799999999</v>
      </c>
    </row>
    <row r="2733" spans="1:26" x14ac:dyDescent="0.3">
      <c r="A2733" t="s">
        <v>2823</v>
      </c>
      <c r="B2733" t="s">
        <v>107</v>
      </c>
      <c r="C2733" t="s">
        <v>56</v>
      </c>
      <c r="D2733" t="s">
        <v>69</v>
      </c>
      <c r="E2733">
        <v>21</v>
      </c>
      <c r="F2733" s="3">
        <v>8.34</v>
      </c>
      <c r="G2733" s="4">
        <v>66.900000000000006</v>
      </c>
      <c r="H2733">
        <v>1</v>
      </c>
      <c r="I2733">
        <v>1</v>
      </c>
      <c r="J2733">
        <v>4</v>
      </c>
      <c r="K2733" s="4">
        <v>67</v>
      </c>
      <c r="L2733" s="4">
        <v>57.9</v>
      </c>
      <c r="M2733" s="4">
        <v>73.3</v>
      </c>
      <c r="N2733">
        <v>1</v>
      </c>
      <c r="O2733" t="s">
        <v>58</v>
      </c>
      <c r="P2733" t="s">
        <v>79</v>
      </c>
      <c r="Q2733" t="s">
        <v>71</v>
      </c>
      <c r="R2733" t="s">
        <v>130</v>
      </c>
      <c r="S2733" s="3">
        <v>6.51</v>
      </c>
      <c r="T2733" s="5">
        <v>44509</v>
      </c>
      <c r="U2733">
        <v>1</v>
      </c>
      <c r="V2733">
        <v>2021</v>
      </c>
      <c r="X2733">
        <f t="shared" si="126"/>
        <v>8.3397266999999999</v>
      </c>
      <c r="Y2733">
        <f t="shared" si="127"/>
        <v>6.5097266999999999</v>
      </c>
      <c r="Z2733">
        <f t="shared" si="128"/>
        <v>57.899726699999995</v>
      </c>
    </row>
    <row r="2734" spans="1:26" x14ac:dyDescent="0.3">
      <c r="A2734" t="s">
        <v>2824</v>
      </c>
      <c r="B2734" t="s">
        <v>107</v>
      </c>
      <c r="C2734" t="s">
        <v>74</v>
      </c>
      <c r="D2734" t="s">
        <v>57</v>
      </c>
      <c r="E2734">
        <v>21</v>
      </c>
      <c r="F2734" s="3">
        <v>5.54</v>
      </c>
      <c r="G2734" s="4">
        <v>67.7</v>
      </c>
      <c r="H2734">
        <v>1</v>
      </c>
      <c r="I2734">
        <v>5</v>
      </c>
      <c r="J2734">
        <v>3</v>
      </c>
      <c r="K2734" s="4">
        <v>54</v>
      </c>
      <c r="L2734" s="4">
        <v>81.8</v>
      </c>
      <c r="M2734" s="4">
        <v>75.2</v>
      </c>
      <c r="N2734">
        <v>0</v>
      </c>
      <c r="O2734" t="s">
        <v>64</v>
      </c>
      <c r="P2734" t="s">
        <v>65</v>
      </c>
      <c r="S2734" s="3">
        <v>0</v>
      </c>
      <c r="T2734" s="5"/>
      <c r="U2734">
        <v>0</v>
      </c>
      <c r="V2734">
        <v>2021</v>
      </c>
      <c r="X2734">
        <f t="shared" si="126"/>
        <v>5.5397265999999998</v>
      </c>
      <c r="Y2734">
        <f t="shared" si="127"/>
        <v>-2.7339999999999998E-4</v>
      </c>
      <c r="Z2734">
        <f t="shared" si="128"/>
        <v>81.7997266</v>
      </c>
    </row>
    <row r="2735" spans="1:26" x14ac:dyDescent="0.3">
      <c r="A2735" t="s">
        <v>2825</v>
      </c>
      <c r="B2735" t="s">
        <v>63</v>
      </c>
      <c r="C2735" t="s">
        <v>68</v>
      </c>
      <c r="D2735" t="s">
        <v>69</v>
      </c>
      <c r="E2735">
        <v>21</v>
      </c>
      <c r="F2735" s="3">
        <v>8.43</v>
      </c>
      <c r="G2735" s="4">
        <v>76.7</v>
      </c>
      <c r="H2735">
        <v>0</v>
      </c>
      <c r="I2735">
        <v>1</v>
      </c>
      <c r="J2735">
        <v>6</v>
      </c>
      <c r="K2735" s="4">
        <v>66.900000000000006</v>
      </c>
      <c r="L2735" s="4">
        <v>72.099999999999994</v>
      </c>
      <c r="M2735" s="4">
        <v>73.099999999999994</v>
      </c>
      <c r="N2735">
        <v>0</v>
      </c>
      <c r="O2735" t="s">
        <v>58</v>
      </c>
      <c r="P2735" t="s">
        <v>79</v>
      </c>
      <c r="Q2735" t="s">
        <v>71</v>
      </c>
      <c r="R2735" t="s">
        <v>72</v>
      </c>
      <c r="S2735" s="3">
        <v>6.43</v>
      </c>
      <c r="T2735" s="5">
        <v>45901</v>
      </c>
      <c r="U2735">
        <v>3</v>
      </c>
      <c r="V2735">
        <v>2025</v>
      </c>
      <c r="X2735">
        <f t="shared" si="126"/>
        <v>8.4297264999999992</v>
      </c>
      <c r="Y2735">
        <f t="shared" si="127"/>
        <v>6.4297265000000001</v>
      </c>
      <c r="Z2735">
        <f t="shared" si="128"/>
        <v>72.099726499999989</v>
      </c>
    </row>
    <row r="2736" spans="1:26" x14ac:dyDescent="0.3">
      <c r="A2736" t="s">
        <v>2826</v>
      </c>
      <c r="B2736" t="s">
        <v>55</v>
      </c>
      <c r="C2736" t="s">
        <v>78</v>
      </c>
      <c r="D2736" t="s">
        <v>69</v>
      </c>
      <c r="E2736">
        <v>20</v>
      </c>
      <c r="F2736" s="3">
        <v>7.79</v>
      </c>
      <c r="G2736" s="4">
        <v>77</v>
      </c>
      <c r="H2736">
        <v>1</v>
      </c>
      <c r="I2736">
        <v>2</v>
      </c>
      <c r="J2736">
        <v>4</v>
      </c>
      <c r="K2736" s="4">
        <v>70.3</v>
      </c>
      <c r="L2736" s="4">
        <v>63.1</v>
      </c>
      <c r="M2736" s="4">
        <v>77.7</v>
      </c>
      <c r="N2736">
        <v>0</v>
      </c>
      <c r="O2736" t="s">
        <v>58</v>
      </c>
      <c r="P2736" t="s">
        <v>90</v>
      </c>
      <c r="Q2736" t="s">
        <v>60</v>
      </c>
      <c r="R2736" t="s">
        <v>76</v>
      </c>
      <c r="S2736" s="3">
        <v>7.64</v>
      </c>
      <c r="T2736" s="5">
        <v>45620</v>
      </c>
      <c r="U2736">
        <v>2</v>
      </c>
      <c r="V2736">
        <v>2024</v>
      </c>
      <c r="X2736">
        <f t="shared" si="126"/>
        <v>7.7897264000000002</v>
      </c>
      <c r="Y2736">
        <f t="shared" si="127"/>
        <v>7.6397263999999998</v>
      </c>
      <c r="Z2736">
        <f t="shared" si="128"/>
        <v>63.099726400000002</v>
      </c>
    </row>
    <row r="2737" spans="1:26" x14ac:dyDescent="0.3">
      <c r="A2737" t="s">
        <v>2827</v>
      </c>
      <c r="B2737" t="s">
        <v>67</v>
      </c>
      <c r="C2737" t="s">
        <v>56</v>
      </c>
      <c r="D2737" t="s">
        <v>57</v>
      </c>
      <c r="E2737">
        <v>21</v>
      </c>
      <c r="F2737" s="3">
        <v>8.2100000000000009</v>
      </c>
      <c r="G2737" s="4">
        <v>87.6</v>
      </c>
      <c r="H2737">
        <v>2</v>
      </c>
      <c r="I2737">
        <v>2</v>
      </c>
      <c r="J2737">
        <v>1</v>
      </c>
      <c r="K2737" s="4">
        <v>74.5</v>
      </c>
      <c r="L2737" s="4">
        <v>46.4</v>
      </c>
      <c r="M2737" s="4">
        <v>74.2</v>
      </c>
      <c r="N2737">
        <v>3</v>
      </c>
      <c r="O2737" t="s">
        <v>58</v>
      </c>
      <c r="P2737" t="s">
        <v>79</v>
      </c>
      <c r="Q2737" t="s">
        <v>71</v>
      </c>
      <c r="R2737" t="s">
        <v>85</v>
      </c>
      <c r="S2737" s="3">
        <v>6.77</v>
      </c>
      <c r="T2737" s="5">
        <v>45187</v>
      </c>
      <c r="U2737">
        <v>1</v>
      </c>
      <c r="V2737">
        <v>2023</v>
      </c>
      <c r="X2737">
        <f t="shared" si="126"/>
        <v>8.2097263000000016</v>
      </c>
      <c r="Y2737">
        <f t="shared" si="127"/>
        <v>6.7697262999999994</v>
      </c>
      <c r="Z2737">
        <f t="shared" si="128"/>
        <v>46.399726299999998</v>
      </c>
    </row>
    <row r="2738" spans="1:26" x14ac:dyDescent="0.3">
      <c r="A2738" t="s">
        <v>2828</v>
      </c>
      <c r="B2738" t="s">
        <v>67</v>
      </c>
      <c r="C2738" t="s">
        <v>68</v>
      </c>
      <c r="D2738" t="s">
        <v>57</v>
      </c>
      <c r="E2738">
        <v>21</v>
      </c>
      <c r="F2738" s="3">
        <v>7.66</v>
      </c>
      <c r="G2738" s="4">
        <v>81.2</v>
      </c>
      <c r="H2738">
        <v>3</v>
      </c>
      <c r="I2738">
        <v>4</v>
      </c>
      <c r="J2738">
        <v>4</v>
      </c>
      <c r="K2738" s="4">
        <v>71.8</v>
      </c>
      <c r="L2738" s="4">
        <v>80.400000000000006</v>
      </c>
      <c r="M2738" s="4">
        <v>53.1</v>
      </c>
      <c r="N2738">
        <v>0</v>
      </c>
      <c r="O2738" t="s">
        <v>58</v>
      </c>
      <c r="P2738" t="s">
        <v>112</v>
      </c>
      <c r="Q2738" t="s">
        <v>93</v>
      </c>
      <c r="R2738" t="s">
        <v>109</v>
      </c>
      <c r="S2738" s="3">
        <v>7.88</v>
      </c>
      <c r="T2738" s="5">
        <v>45174</v>
      </c>
      <c r="U2738">
        <v>1</v>
      </c>
      <c r="V2738">
        <v>2023</v>
      </c>
      <c r="X2738">
        <f t="shared" si="126"/>
        <v>7.6597261999999997</v>
      </c>
      <c r="Y2738">
        <f t="shared" si="127"/>
        <v>7.8797261999999995</v>
      </c>
      <c r="Z2738">
        <f t="shared" si="128"/>
        <v>80.399726200000003</v>
      </c>
    </row>
    <row r="2739" spans="1:26" x14ac:dyDescent="0.3">
      <c r="A2739" t="s">
        <v>2829</v>
      </c>
      <c r="B2739" t="s">
        <v>67</v>
      </c>
      <c r="C2739" t="s">
        <v>78</v>
      </c>
      <c r="D2739" t="s">
        <v>57</v>
      </c>
      <c r="E2739">
        <v>23</v>
      </c>
      <c r="F2739" s="3">
        <v>6.54</v>
      </c>
      <c r="G2739" s="4">
        <v>81.2</v>
      </c>
      <c r="H2739">
        <v>2</v>
      </c>
      <c r="I2739">
        <v>3</v>
      </c>
      <c r="J2739">
        <v>4</v>
      </c>
      <c r="K2739" s="4">
        <v>63.6</v>
      </c>
      <c r="L2739" s="4">
        <v>53.7</v>
      </c>
      <c r="M2739" s="4">
        <v>89.7</v>
      </c>
      <c r="N2739">
        <v>0</v>
      </c>
      <c r="O2739" t="s">
        <v>58</v>
      </c>
      <c r="P2739" t="s">
        <v>59</v>
      </c>
      <c r="Q2739" t="s">
        <v>60</v>
      </c>
      <c r="R2739" t="s">
        <v>72</v>
      </c>
      <c r="S2739" s="3">
        <v>17.57</v>
      </c>
      <c r="T2739" s="5">
        <v>45211</v>
      </c>
      <c r="U2739">
        <v>1</v>
      </c>
      <c r="V2739">
        <v>2023</v>
      </c>
      <c r="X2739">
        <f t="shared" si="126"/>
        <v>6.5397261000000002</v>
      </c>
      <c r="Y2739">
        <f t="shared" si="127"/>
        <v>17.5697261</v>
      </c>
      <c r="Z2739">
        <f t="shared" si="128"/>
        <v>53.699726099999999</v>
      </c>
    </row>
    <row r="2740" spans="1:26" x14ac:dyDescent="0.3">
      <c r="A2740" t="s">
        <v>2830</v>
      </c>
      <c r="B2740" t="s">
        <v>107</v>
      </c>
      <c r="C2740" t="s">
        <v>68</v>
      </c>
      <c r="D2740" t="s">
        <v>57</v>
      </c>
      <c r="E2740">
        <v>22</v>
      </c>
      <c r="F2740" s="3">
        <v>8.01</v>
      </c>
      <c r="G2740" s="4">
        <v>67.400000000000006</v>
      </c>
      <c r="H2740">
        <v>1</v>
      </c>
      <c r="I2740">
        <v>4</v>
      </c>
      <c r="J2740">
        <v>5</v>
      </c>
      <c r="K2740" s="4">
        <v>66</v>
      </c>
      <c r="L2740" s="4">
        <v>100</v>
      </c>
      <c r="M2740" s="4">
        <v>78.7</v>
      </c>
      <c r="N2740">
        <v>0</v>
      </c>
      <c r="O2740" t="s">
        <v>58</v>
      </c>
      <c r="P2740" t="s">
        <v>104</v>
      </c>
      <c r="Q2740" t="s">
        <v>105</v>
      </c>
      <c r="R2740" t="s">
        <v>85</v>
      </c>
      <c r="S2740" s="3">
        <v>17.59</v>
      </c>
      <c r="T2740" s="5">
        <v>44422</v>
      </c>
      <c r="U2740">
        <v>1</v>
      </c>
      <c r="V2740">
        <v>2021</v>
      </c>
      <c r="X2740">
        <f t="shared" si="126"/>
        <v>8.0097260000000006</v>
      </c>
      <c r="Y2740">
        <f t="shared" si="127"/>
        <v>17.589725999999999</v>
      </c>
      <c r="Z2740">
        <f t="shared" si="128"/>
        <v>99.999725999999995</v>
      </c>
    </row>
    <row r="2741" spans="1:26" x14ac:dyDescent="0.3">
      <c r="A2741" t="s">
        <v>2831</v>
      </c>
      <c r="B2741" t="s">
        <v>55</v>
      </c>
      <c r="C2741" t="s">
        <v>56</v>
      </c>
      <c r="D2741" t="s">
        <v>57</v>
      </c>
      <c r="E2741">
        <v>22</v>
      </c>
      <c r="F2741" s="3">
        <v>8.41</v>
      </c>
      <c r="G2741" s="4">
        <v>79.900000000000006</v>
      </c>
      <c r="H2741">
        <v>2</v>
      </c>
      <c r="I2741">
        <v>2</v>
      </c>
      <c r="J2741">
        <v>4</v>
      </c>
      <c r="K2741" s="4">
        <v>71.599999999999994</v>
      </c>
      <c r="L2741" s="4">
        <v>43.3</v>
      </c>
      <c r="M2741" s="4">
        <v>71.400000000000006</v>
      </c>
      <c r="N2741">
        <v>0</v>
      </c>
      <c r="O2741" t="s">
        <v>58</v>
      </c>
      <c r="P2741" t="s">
        <v>75</v>
      </c>
      <c r="Q2741" t="s">
        <v>71</v>
      </c>
      <c r="R2741" t="s">
        <v>76</v>
      </c>
      <c r="S2741" s="3">
        <v>5.22</v>
      </c>
      <c r="T2741" s="5">
        <v>45568</v>
      </c>
      <c r="U2741">
        <v>3</v>
      </c>
      <c r="V2741">
        <v>2024</v>
      </c>
      <c r="X2741">
        <f t="shared" si="126"/>
        <v>8.4097258999999998</v>
      </c>
      <c r="Y2741">
        <f t="shared" si="127"/>
        <v>5.2197258999999994</v>
      </c>
      <c r="Z2741">
        <f t="shared" si="128"/>
        <v>43.299725899999999</v>
      </c>
    </row>
    <row r="2742" spans="1:26" x14ac:dyDescent="0.3">
      <c r="A2742" t="s">
        <v>2832</v>
      </c>
      <c r="B2742" t="s">
        <v>63</v>
      </c>
      <c r="C2742" t="s">
        <v>68</v>
      </c>
      <c r="D2742" t="s">
        <v>69</v>
      </c>
      <c r="E2742">
        <v>21</v>
      </c>
      <c r="F2742" s="3">
        <v>7.22</v>
      </c>
      <c r="G2742" s="4">
        <v>60.3</v>
      </c>
      <c r="H2742">
        <v>1</v>
      </c>
      <c r="I2742">
        <v>4</v>
      </c>
      <c r="J2742">
        <v>1</v>
      </c>
      <c r="K2742" s="4">
        <v>62.1</v>
      </c>
      <c r="L2742" s="4">
        <v>70.8</v>
      </c>
      <c r="M2742" s="4">
        <v>62</v>
      </c>
      <c r="N2742">
        <v>0</v>
      </c>
      <c r="O2742" t="s">
        <v>64</v>
      </c>
      <c r="P2742" t="s">
        <v>65</v>
      </c>
      <c r="S2742" s="3">
        <v>0</v>
      </c>
      <c r="T2742" s="5"/>
      <c r="U2742">
        <v>0</v>
      </c>
      <c r="V2742">
        <v>2025</v>
      </c>
      <c r="X2742">
        <f t="shared" si="126"/>
        <v>7.2197258</v>
      </c>
      <c r="Y2742">
        <f t="shared" si="127"/>
        <v>-2.742E-4</v>
      </c>
      <c r="Z2742">
        <f t="shared" si="128"/>
        <v>70.79972579999999</v>
      </c>
    </row>
    <row r="2743" spans="1:26" x14ac:dyDescent="0.3">
      <c r="A2743" t="s">
        <v>2833</v>
      </c>
      <c r="B2743" t="s">
        <v>82</v>
      </c>
      <c r="C2743" t="s">
        <v>74</v>
      </c>
      <c r="D2743" t="s">
        <v>69</v>
      </c>
      <c r="E2743">
        <v>21</v>
      </c>
      <c r="F2743" s="3">
        <v>8.24</v>
      </c>
      <c r="G2743" s="4">
        <v>84.1</v>
      </c>
      <c r="H2743">
        <v>1</v>
      </c>
      <c r="I2743">
        <v>1</v>
      </c>
      <c r="J2743">
        <v>2</v>
      </c>
      <c r="K2743" s="4">
        <v>56.1</v>
      </c>
      <c r="L2743" s="4">
        <v>81.3</v>
      </c>
      <c r="M2743" s="4">
        <v>69.599999999999994</v>
      </c>
      <c r="N2743">
        <v>0</v>
      </c>
      <c r="O2743" t="s">
        <v>58</v>
      </c>
      <c r="P2743" t="s">
        <v>70</v>
      </c>
      <c r="Q2743" t="s">
        <v>71</v>
      </c>
      <c r="R2743" t="s">
        <v>72</v>
      </c>
      <c r="S2743" s="3">
        <v>6.44</v>
      </c>
      <c r="T2743" s="5">
        <v>44782</v>
      </c>
      <c r="U2743">
        <v>1</v>
      </c>
      <c r="V2743">
        <v>2022</v>
      </c>
      <c r="X2743">
        <f t="shared" si="126"/>
        <v>8.239725700000001</v>
      </c>
      <c r="Y2743">
        <f t="shared" si="127"/>
        <v>6.4397257000000003</v>
      </c>
      <c r="Z2743">
        <f t="shared" si="128"/>
        <v>81.299725699999996</v>
      </c>
    </row>
    <row r="2744" spans="1:26" x14ac:dyDescent="0.3">
      <c r="A2744" t="s">
        <v>2834</v>
      </c>
      <c r="B2744" t="s">
        <v>82</v>
      </c>
      <c r="C2744" t="s">
        <v>84</v>
      </c>
      <c r="D2744" t="s">
        <v>57</v>
      </c>
      <c r="E2744">
        <v>21</v>
      </c>
      <c r="F2744" s="3">
        <v>7.92</v>
      </c>
      <c r="G2744" s="4">
        <v>88.1</v>
      </c>
      <c r="H2744">
        <v>2</v>
      </c>
      <c r="I2744">
        <v>2</v>
      </c>
      <c r="J2744">
        <v>2</v>
      </c>
      <c r="K2744" s="4">
        <v>62.7</v>
      </c>
      <c r="L2744" s="4">
        <v>54.7</v>
      </c>
      <c r="M2744" s="4">
        <v>84.5</v>
      </c>
      <c r="N2744">
        <v>2</v>
      </c>
      <c r="O2744" t="s">
        <v>58</v>
      </c>
      <c r="P2744" t="s">
        <v>79</v>
      </c>
      <c r="Q2744" t="s">
        <v>71</v>
      </c>
      <c r="R2744" t="s">
        <v>61</v>
      </c>
      <c r="S2744" s="3">
        <v>6.62</v>
      </c>
      <c r="T2744" s="5">
        <v>44860</v>
      </c>
      <c r="U2744">
        <v>3</v>
      </c>
      <c r="V2744">
        <v>2022</v>
      </c>
      <c r="X2744">
        <f t="shared" si="126"/>
        <v>7.9197255999999996</v>
      </c>
      <c r="Y2744">
        <f t="shared" si="127"/>
        <v>6.6197255999999998</v>
      </c>
      <c r="Z2744">
        <f t="shared" si="128"/>
        <v>54.699725600000001</v>
      </c>
    </row>
    <row r="2745" spans="1:26" x14ac:dyDescent="0.3">
      <c r="A2745" t="s">
        <v>2835</v>
      </c>
      <c r="B2745" t="s">
        <v>67</v>
      </c>
      <c r="C2745" t="s">
        <v>56</v>
      </c>
      <c r="D2745" t="s">
        <v>57</v>
      </c>
      <c r="E2745">
        <v>21</v>
      </c>
      <c r="F2745" s="3">
        <v>8.06</v>
      </c>
      <c r="G2745" s="4">
        <v>75</v>
      </c>
      <c r="H2745">
        <v>0</v>
      </c>
      <c r="I2745">
        <v>3</v>
      </c>
      <c r="J2745">
        <v>3</v>
      </c>
      <c r="K2745" s="4">
        <v>73.400000000000006</v>
      </c>
      <c r="L2745" s="4">
        <v>59.4</v>
      </c>
      <c r="M2745" s="4">
        <v>58</v>
      </c>
      <c r="N2745">
        <v>0</v>
      </c>
      <c r="O2745" t="s">
        <v>58</v>
      </c>
      <c r="P2745" t="s">
        <v>104</v>
      </c>
      <c r="Q2745" t="s">
        <v>105</v>
      </c>
      <c r="R2745" t="s">
        <v>85</v>
      </c>
      <c r="S2745" s="3">
        <v>13.96</v>
      </c>
      <c r="T2745" s="5">
        <v>45247</v>
      </c>
      <c r="U2745">
        <v>1</v>
      </c>
      <c r="V2745">
        <v>2023</v>
      </c>
      <c r="X2745">
        <f t="shared" si="126"/>
        <v>8.0597255000000008</v>
      </c>
      <c r="Y2745">
        <f t="shared" si="127"/>
        <v>13.959725500000001</v>
      </c>
      <c r="Z2745">
        <f t="shared" si="128"/>
        <v>59.399725499999995</v>
      </c>
    </row>
    <row r="2746" spans="1:26" x14ac:dyDescent="0.3">
      <c r="A2746" t="s">
        <v>2836</v>
      </c>
      <c r="B2746" t="s">
        <v>55</v>
      </c>
      <c r="C2746" t="s">
        <v>89</v>
      </c>
      <c r="D2746" t="s">
        <v>57</v>
      </c>
      <c r="E2746">
        <v>22</v>
      </c>
      <c r="F2746" s="3">
        <v>6.88</v>
      </c>
      <c r="G2746" s="4">
        <v>85.4</v>
      </c>
      <c r="H2746">
        <v>1</v>
      </c>
      <c r="I2746">
        <v>1</v>
      </c>
      <c r="J2746">
        <v>5</v>
      </c>
      <c r="K2746" s="4">
        <v>78.099999999999994</v>
      </c>
      <c r="L2746" s="4">
        <v>82.8</v>
      </c>
      <c r="M2746" s="4">
        <v>63.9</v>
      </c>
      <c r="N2746">
        <v>1</v>
      </c>
      <c r="O2746" t="s">
        <v>58</v>
      </c>
      <c r="P2746" t="s">
        <v>104</v>
      </c>
      <c r="Q2746" t="s">
        <v>105</v>
      </c>
      <c r="R2746" t="s">
        <v>130</v>
      </c>
      <c r="S2746" s="3">
        <v>14.39</v>
      </c>
      <c r="T2746" s="5">
        <v>45552</v>
      </c>
      <c r="U2746">
        <v>1</v>
      </c>
      <c r="V2746">
        <v>2024</v>
      </c>
      <c r="X2746">
        <f t="shared" si="126"/>
        <v>6.8797253999999999</v>
      </c>
      <c r="Y2746">
        <f t="shared" si="127"/>
        <v>14.389725400000001</v>
      </c>
      <c r="Z2746">
        <f t="shared" si="128"/>
        <v>82.7997254</v>
      </c>
    </row>
    <row r="2747" spans="1:26" x14ac:dyDescent="0.3">
      <c r="A2747" t="s">
        <v>2837</v>
      </c>
      <c r="B2747" t="s">
        <v>107</v>
      </c>
      <c r="C2747" t="s">
        <v>56</v>
      </c>
      <c r="D2747" t="s">
        <v>57</v>
      </c>
      <c r="E2747">
        <v>23</v>
      </c>
      <c r="F2747" s="3">
        <v>8.8000000000000007</v>
      </c>
      <c r="G2747" s="4">
        <v>78</v>
      </c>
      <c r="H2747">
        <v>2</v>
      </c>
      <c r="I2747">
        <v>4</v>
      </c>
      <c r="J2747">
        <v>3</v>
      </c>
      <c r="K2747" s="4">
        <v>81</v>
      </c>
      <c r="L2747" s="4">
        <v>55.7</v>
      </c>
      <c r="M2747" s="4">
        <v>73</v>
      </c>
      <c r="N2747">
        <v>1</v>
      </c>
      <c r="O2747" t="s">
        <v>58</v>
      </c>
      <c r="P2747" t="s">
        <v>95</v>
      </c>
      <c r="Q2747" t="s">
        <v>93</v>
      </c>
      <c r="R2747" t="s">
        <v>76</v>
      </c>
      <c r="S2747" s="3">
        <v>7.83</v>
      </c>
      <c r="T2747" s="5">
        <v>44460</v>
      </c>
      <c r="U2747">
        <v>1</v>
      </c>
      <c r="V2747">
        <v>2021</v>
      </c>
      <c r="X2747">
        <f t="shared" si="126"/>
        <v>8.7997253000000004</v>
      </c>
      <c r="Y2747">
        <f t="shared" si="127"/>
        <v>7.8297252999999998</v>
      </c>
      <c r="Z2747">
        <f t="shared" si="128"/>
        <v>55.699725300000004</v>
      </c>
    </row>
    <row r="2748" spans="1:26" x14ac:dyDescent="0.3">
      <c r="A2748" t="s">
        <v>2838</v>
      </c>
      <c r="B2748" t="s">
        <v>55</v>
      </c>
      <c r="C2748" t="s">
        <v>68</v>
      </c>
      <c r="D2748" t="s">
        <v>57</v>
      </c>
      <c r="E2748">
        <v>20</v>
      </c>
      <c r="F2748" s="3">
        <v>7.92</v>
      </c>
      <c r="G2748" s="4">
        <v>93.1</v>
      </c>
      <c r="H2748">
        <v>0</v>
      </c>
      <c r="I2748">
        <v>1</v>
      </c>
      <c r="J2748">
        <v>3</v>
      </c>
      <c r="K2748" s="4">
        <v>56.1</v>
      </c>
      <c r="L2748" s="4">
        <v>98.8</v>
      </c>
      <c r="M2748" s="4">
        <v>54.7</v>
      </c>
      <c r="N2748">
        <v>1</v>
      </c>
      <c r="O2748" t="s">
        <v>58</v>
      </c>
      <c r="P2748" t="s">
        <v>59</v>
      </c>
      <c r="Q2748" t="s">
        <v>60</v>
      </c>
      <c r="R2748" t="s">
        <v>85</v>
      </c>
      <c r="S2748" s="3">
        <v>21.24</v>
      </c>
      <c r="T2748" s="5">
        <v>45613</v>
      </c>
      <c r="U2748">
        <v>1</v>
      </c>
      <c r="V2748">
        <v>2024</v>
      </c>
      <c r="X2748">
        <f t="shared" si="126"/>
        <v>7.9197252000000002</v>
      </c>
      <c r="Y2748">
        <f t="shared" si="127"/>
        <v>21.239725199999999</v>
      </c>
      <c r="Z2748">
        <f t="shared" si="128"/>
        <v>98.799725199999997</v>
      </c>
    </row>
    <row r="2749" spans="1:26" x14ac:dyDescent="0.3">
      <c r="A2749" t="s">
        <v>2839</v>
      </c>
      <c r="B2749" t="s">
        <v>55</v>
      </c>
      <c r="C2749" t="s">
        <v>68</v>
      </c>
      <c r="D2749" t="s">
        <v>69</v>
      </c>
      <c r="E2749">
        <v>21</v>
      </c>
      <c r="F2749" s="3">
        <v>8.4</v>
      </c>
      <c r="G2749" s="4">
        <v>84.1</v>
      </c>
      <c r="H2749">
        <v>3</v>
      </c>
      <c r="I2749">
        <v>1</v>
      </c>
      <c r="J2749">
        <v>5</v>
      </c>
      <c r="K2749" s="4">
        <v>95</v>
      </c>
      <c r="L2749" s="4">
        <v>70.8</v>
      </c>
      <c r="M2749" s="4">
        <v>62.4</v>
      </c>
      <c r="N2749">
        <v>1</v>
      </c>
      <c r="O2749" t="s">
        <v>58</v>
      </c>
      <c r="P2749" t="s">
        <v>59</v>
      </c>
      <c r="Q2749" t="s">
        <v>60</v>
      </c>
      <c r="R2749" t="s">
        <v>109</v>
      </c>
      <c r="S2749" s="3">
        <v>21.68</v>
      </c>
      <c r="T2749" s="5">
        <v>45513</v>
      </c>
      <c r="U2749">
        <v>1</v>
      </c>
      <c r="V2749">
        <v>2024</v>
      </c>
      <c r="X2749">
        <f t="shared" si="126"/>
        <v>8.3997250999999995</v>
      </c>
      <c r="Y2749">
        <f t="shared" si="127"/>
        <v>21.679725099999999</v>
      </c>
      <c r="Z2749">
        <f t="shared" si="128"/>
        <v>70.799725100000003</v>
      </c>
    </row>
    <row r="2750" spans="1:26" x14ac:dyDescent="0.3">
      <c r="A2750" t="s">
        <v>2840</v>
      </c>
      <c r="B2750" t="s">
        <v>107</v>
      </c>
      <c r="C2750" t="s">
        <v>74</v>
      </c>
      <c r="D2750" t="s">
        <v>69</v>
      </c>
      <c r="E2750">
        <v>21</v>
      </c>
      <c r="F2750" s="3">
        <v>7.3</v>
      </c>
      <c r="G2750" s="4">
        <v>72.7</v>
      </c>
      <c r="H2750">
        <v>0</v>
      </c>
      <c r="I2750">
        <v>1</v>
      </c>
      <c r="J2750">
        <v>3</v>
      </c>
      <c r="K2750" s="4">
        <v>58.1</v>
      </c>
      <c r="L2750" s="4">
        <v>63.7</v>
      </c>
      <c r="M2750" s="4">
        <v>70.7</v>
      </c>
      <c r="N2750">
        <v>0</v>
      </c>
      <c r="O2750" t="s">
        <v>58</v>
      </c>
      <c r="P2750" t="s">
        <v>112</v>
      </c>
      <c r="Q2750" t="s">
        <v>93</v>
      </c>
      <c r="R2750" t="s">
        <v>109</v>
      </c>
      <c r="S2750" s="3">
        <v>6.11</v>
      </c>
      <c r="T2750" s="5">
        <v>44493</v>
      </c>
      <c r="U2750">
        <v>1</v>
      </c>
      <c r="V2750">
        <v>2021</v>
      </c>
      <c r="X2750">
        <f t="shared" si="126"/>
        <v>7.2997249999999996</v>
      </c>
      <c r="Y2750">
        <f t="shared" si="127"/>
        <v>6.1097250000000001</v>
      </c>
      <c r="Z2750">
        <f t="shared" si="128"/>
        <v>63.699725000000001</v>
      </c>
    </row>
    <row r="2751" spans="1:26" x14ac:dyDescent="0.3">
      <c r="A2751" t="s">
        <v>2841</v>
      </c>
      <c r="B2751" t="s">
        <v>67</v>
      </c>
      <c r="C2751" t="s">
        <v>68</v>
      </c>
      <c r="D2751" t="s">
        <v>57</v>
      </c>
      <c r="E2751">
        <v>22</v>
      </c>
      <c r="F2751" s="3">
        <v>8.5299999999999994</v>
      </c>
      <c r="G2751" s="4">
        <v>92.5</v>
      </c>
      <c r="H2751">
        <v>2</v>
      </c>
      <c r="I2751">
        <v>2</v>
      </c>
      <c r="J2751">
        <v>2</v>
      </c>
      <c r="K2751" s="4">
        <v>64.8</v>
      </c>
      <c r="L2751" s="4">
        <v>94.3</v>
      </c>
      <c r="M2751" s="4">
        <v>44.6</v>
      </c>
      <c r="N2751">
        <v>0</v>
      </c>
      <c r="O2751" t="s">
        <v>64</v>
      </c>
      <c r="P2751" t="s">
        <v>65</v>
      </c>
      <c r="S2751" s="3">
        <v>0</v>
      </c>
      <c r="T2751" s="5"/>
      <c r="U2751">
        <v>0</v>
      </c>
      <c r="V2751">
        <v>2023</v>
      </c>
      <c r="X2751">
        <f t="shared" si="126"/>
        <v>8.5297248999999997</v>
      </c>
      <c r="Y2751">
        <f t="shared" si="127"/>
        <v>-2.7509999999999996E-4</v>
      </c>
      <c r="Z2751">
        <f t="shared" si="128"/>
        <v>94.299724900000001</v>
      </c>
    </row>
    <row r="2752" spans="1:26" x14ac:dyDescent="0.3">
      <c r="A2752" t="s">
        <v>2842</v>
      </c>
      <c r="B2752" t="s">
        <v>55</v>
      </c>
      <c r="C2752" t="s">
        <v>56</v>
      </c>
      <c r="D2752" t="s">
        <v>69</v>
      </c>
      <c r="E2752">
        <v>21</v>
      </c>
      <c r="F2752" s="3">
        <v>7.27</v>
      </c>
      <c r="G2752" s="4">
        <v>89.4</v>
      </c>
      <c r="H2752">
        <v>1</v>
      </c>
      <c r="I2752">
        <v>0</v>
      </c>
      <c r="J2752">
        <v>4</v>
      </c>
      <c r="K2752" s="4">
        <v>84.7</v>
      </c>
      <c r="L2752" s="4">
        <v>54.1</v>
      </c>
      <c r="M2752" s="4">
        <v>71.099999999999994</v>
      </c>
      <c r="N2752">
        <v>3</v>
      </c>
      <c r="O2752" t="s">
        <v>64</v>
      </c>
      <c r="P2752" t="s">
        <v>65</v>
      </c>
      <c r="S2752" s="3">
        <v>0</v>
      </c>
      <c r="T2752" s="5"/>
      <c r="U2752">
        <v>0</v>
      </c>
      <c r="V2752">
        <v>2024</v>
      </c>
      <c r="X2752">
        <f t="shared" si="126"/>
        <v>7.2697247999999997</v>
      </c>
      <c r="Y2752">
        <f t="shared" si="127"/>
        <v>-2.7519999999999997E-4</v>
      </c>
      <c r="Z2752">
        <f t="shared" si="128"/>
        <v>54.099724800000004</v>
      </c>
    </row>
    <row r="2753" spans="1:26" x14ac:dyDescent="0.3">
      <c r="A2753" t="s">
        <v>2843</v>
      </c>
      <c r="B2753" t="s">
        <v>82</v>
      </c>
      <c r="C2753" t="s">
        <v>74</v>
      </c>
      <c r="D2753" t="s">
        <v>69</v>
      </c>
      <c r="E2753">
        <v>23</v>
      </c>
      <c r="F2753" s="3">
        <v>6.85</v>
      </c>
      <c r="G2753" s="4">
        <v>78.3</v>
      </c>
      <c r="H2753">
        <v>0</v>
      </c>
      <c r="I2753">
        <v>0</v>
      </c>
      <c r="J2753">
        <v>2</v>
      </c>
      <c r="K2753" s="4">
        <v>44.7</v>
      </c>
      <c r="L2753" s="4">
        <v>95.9</v>
      </c>
      <c r="M2753" s="4">
        <v>58.2</v>
      </c>
      <c r="N2753">
        <v>0</v>
      </c>
      <c r="O2753" t="s">
        <v>64</v>
      </c>
      <c r="P2753" t="s">
        <v>65</v>
      </c>
      <c r="S2753" s="3">
        <v>0</v>
      </c>
      <c r="T2753" s="5"/>
      <c r="U2753">
        <v>0</v>
      </c>
      <c r="V2753">
        <v>2022</v>
      </c>
      <c r="X2753">
        <f t="shared" si="126"/>
        <v>6.8497246999999994</v>
      </c>
      <c r="Y2753">
        <f t="shared" si="127"/>
        <v>-2.7529999999999997E-4</v>
      </c>
      <c r="Z2753">
        <f t="shared" si="128"/>
        <v>95.899724700000007</v>
      </c>
    </row>
    <row r="2754" spans="1:26" x14ac:dyDescent="0.3">
      <c r="A2754" t="s">
        <v>2844</v>
      </c>
      <c r="B2754" t="s">
        <v>107</v>
      </c>
      <c r="C2754" t="s">
        <v>89</v>
      </c>
      <c r="D2754" t="s">
        <v>57</v>
      </c>
      <c r="E2754">
        <v>23</v>
      </c>
      <c r="F2754" s="3">
        <v>9.24</v>
      </c>
      <c r="G2754" s="4">
        <v>86.5</v>
      </c>
      <c r="H2754">
        <v>0</v>
      </c>
      <c r="I2754">
        <v>4</v>
      </c>
      <c r="J2754">
        <v>4</v>
      </c>
      <c r="K2754" s="4">
        <v>69.8</v>
      </c>
      <c r="L2754" s="4">
        <v>55.3</v>
      </c>
      <c r="M2754" s="4">
        <v>88.2</v>
      </c>
      <c r="N2754">
        <v>0</v>
      </c>
      <c r="O2754" t="s">
        <v>64</v>
      </c>
      <c r="P2754" t="s">
        <v>65</v>
      </c>
      <c r="S2754" s="3">
        <v>0</v>
      </c>
      <c r="T2754" s="5"/>
      <c r="U2754">
        <v>0</v>
      </c>
      <c r="V2754">
        <v>2021</v>
      </c>
      <c r="X2754">
        <f t="shared" ref="X2754:X2817" si="129">F2754-ROW()*0.0000001</f>
        <v>9.2397246000000006</v>
      </c>
      <c r="Y2754">
        <f t="shared" ref="Y2754:Y2817" si="130">S2754-ROW()*0.0000001</f>
        <v>-2.7539999999999997E-4</v>
      </c>
      <c r="Z2754">
        <f t="shared" ref="Z2754:Z2817" si="131">L2754-ROW()*0.0000001</f>
        <v>55.299724599999998</v>
      </c>
    </row>
    <row r="2755" spans="1:26" x14ac:dyDescent="0.3">
      <c r="A2755" t="s">
        <v>2845</v>
      </c>
      <c r="B2755" t="s">
        <v>63</v>
      </c>
      <c r="C2755" t="s">
        <v>74</v>
      </c>
      <c r="D2755" t="s">
        <v>69</v>
      </c>
      <c r="E2755">
        <v>21</v>
      </c>
      <c r="F2755" s="3">
        <v>5.51</v>
      </c>
      <c r="G2755" s="4">
        <v>86.3</v>
      </c>
      <c r="H2755">
        <v>2</v>
      </c>
      <c r="I2755">
        <v>4</v>
      </c>
      <c r="J2755">
        <v>5</v>
      </c>
      <c r="K2755" s="4">
        <v>64</v>
      </c>
      <c r="L2755" s="4">
        <v>88.9</v>
      </c>
      <c r="M2755" s="4">
        <v>67.3</v>
      </c>
      <c r="N2755">
        <v>0</v>
      </c>
      <c r="O2755" t="s">
        <v>58</v>
      </c>
      <c r="P2755" t="s">
        <v>92</v>
      </c>
      <c r="Q2755" t="s">
        <v>93</v>
      </c>
      <c r="R2755" t="s">
        <v>130</v>
      </c>
      <c r="S2755" s="3">
        <v>9.43</v>
      </c>
      <c r="T2755" s="5">
        <v>45962</v>
      </c>
      <c r="U2755">
        <v>2</v>
      </c>
      <c r="V2755">
        <v>2025</v>
      </c>
      <c r="X2755">
        <f t="shared" si="129"/>
        <v>5.5097244999999999</v>
      </c>
      <c r="Y2755">
        <f t="shared" si="130"/>
        <v>9.429724499999999</v>
      </c>
      <c r="Z2755">
        <f t="shared" si="131"/>
        <v>88.899724500000005</v>
      </c>
    </row>
    <row r="2756" spans="1:26" x14ac:dyDescent="0.3">
      <c r="A2756" t="s">
        <v>2846</v>
      </c>
      <c r="B2756" t="s">
        <v>67</v>
      </c>
      <c r="C2756" t="s">
        <v>84</v>
      </c>
      <c r="D2756" t="s">
        <v>69</v>
      </c>
      <c r="E2756">
        <v>22</v>
      </c>
      <c r="F2756" s="3">
        <v>10</v>
      </c>
      <c r="G2756" s="4">
        <v>78.2</v>
      </c>
      <c r="H2756">
        <v>2</v>
      </c>
      <c r="I2756">
        <v>0</v>
      </c>
      <c r="J2756">
        <v>6</v>
      </c>
      <c r="K2756" s="4">
        <v>48.5</v>
      </c>
      <c r="L2756" s="4">
        <v>98</v>
      </c>
      <c r="M2756" s="4">
        <v>82.9</v>
      </c>
      <c r="N2756">
        <v>3</v>
      </c>
      <c r="O2756" t="s">
        <v>58</v>
      </c>
      <c r="P2756" t="s">
        <v>70</v>
      </c>
      <c r="Q2756" t="s">
        <v>71</v>
      </c>
      <c r="R2756" t="s">
        <v>80</v>
      </c>
      <c r="S2756" s="3">
        <v>9.3000000000000007</v>
      </c>
      <c r="T2756" s="5">
        <v>45236</v>
      </c>
      <c r="U2756">
        <v>3</v>
      </c>
      <c r="V2756">
        <v>2023</v>
      </c>
      <c r="X2756">
        <f t="shared" si="129"/>
        <v>9.9997243999999998</v>
      </c>
      <c r="Y2756">
        <f t="shared" si="130"/>
        <v>9.2997244000000006</v>
      </c>
      <c r="Z2756">
        <f t="shared" si="131"/>
        <v>97.999724400000005</v>
      </c>
    </row>
    <row r="2757" spans="1:26" x14ac:dyDescent="0.3">
      <c r="A2757" t="s">
        <v>2847</v>
      </c>
      <c r="B2757" t="s">
        <v>107</v>
      </c>
      <c r="C2757" t="s">
        <v>89</v>
      </c>
      <c r="D2757" t="s">
        <v>69</v>
      </c>
      <c r="E2757">
        <v>21</v>
      </c>
      <c r="F2757" s="3">
        <v>8.2799999999999994</v>
      </c>
      <c r="G2757" s="4">
        <v>82.6</v>
      </c>
      <c r="H2757">
        <v>2</v>
      </c>
      <c r="I2757">
        <v>2</v>
      </c>
      <c r="J2757">
        <v>2</v>
      </c>
      <c r="K2757" s="4">
        <v>48.7</v>
      </c>
      <c r="L2757" s="4">
        <v>68.400000000000006</v>
      </c>
      <c r="M2757" s="4">
        <v>78.599999999999994</v>
      </c>
      <c r="N2757">
        <v>3</v>
      </c>
      <c r="O2757" t="s">
        <v>58</v>
      </c>
      <c r="P2757" t="s">
        <v>90</v>
      </c>
      <c r="Q2757" t="s">
        <v>60</v>
      </c>
      <c r="R2757" t="s">
        <v>85</v>
      </c>
      <c r="S2757" s="3">
        <v>7.41</v>
      </c>
      <c r="T2757" s="5">
        <v>44494</v>
      </c>
      <c r="U2757">
        <v>2</v>
      </c>
      <c r="V2757">
        <v>2021</v>
      </c>
      <c r="X2757">
        <f t="shared" si="129"/>
        <v>8.2797242999999998</v>
      </c>
      <c r="Y2757">
        <f t="shared" si="130"/>
        <v>7.4097242999999997</v>
      </c>
      <c r="Z2757">
        <f t="shared" si="131"/>
        <v>68.399724300000003</v>
      </c>
    </row>
    <row r="2758" spans="1:26" x14ac:dyDescent="0.3">
      <c r="A2758" t="s">
        <v>2848</v>
      </c>
      <c r="B2758" t="s">
        <v>63</v>
      </c>
      <c r="C2758" t="s">
        <v>68</v>
      </c>
      <c r="D2758" t="s">
        <v>57</v>
      </c>
      <c r="E2758">
        <v>21</v>
      </c>
      <c r="F2758" s="3">
        <v>7.37</v>
      </c>
      <c r="G2758" s="4">
        <v>84.2</v>
      </c>
      <c r="H2758">
        <v>3</v>
      </c>
      <c r="I2758">
        <v>2</v>
      </c>
      <c r="J2758">
        <v>3</v>
      </c>
      <c r="K2758" s="4">
        <v>83.7</v>
      </c>
      <c r="L2758" s="4">
        <v>68.400000000000006</v>
      </c>
      <c r="M2758" s="4">
        <v>64.5</v>
      </c>
      <c r="N2758">
        <v>0</v>
      </c>
      <c r="O2758" t="s">
        <v>58</v>
      </c>
      <c r="P2758" t="s">
        <v>92</v>
      </c>
      <c r="Q2758" t="s">
        <v>93</v>
      </c>
      <c r="R2758" t="s">
        <v>72</v>
      </c>
      <c r="S2758" s="3">
        <v>9.27</v>
      </c>
      <c r="T2758" s="5">
        <v>45938</v>
      </c>
      <c r="U2758">
        <v>1</v>
      </c>
      <c r="V2758">
        <v>2025</v>
      </c>
      <c r="X2758">
        <f t="shared" si="129"/>
        <v>7.3697242000000003</v>
      </c>
      <c r="Y2758">
        <f t="shared" si="130"/>
        <v>9.2697241999999989</v>
      </c>
      <c r="Z2758">
        <f t="shared" si="131"/>
        <v>68.399724200000009</v>
      </c>
    </row>
    <row r="2759" spans="1:26" x14ac:dyDescent="0.3">
      <c r="A2759" t="s">
        <v>2849</v>
      </c>
      <c r="B2759" t="s">
        <v>63</v>
      </c>
      <c r="C2759" t="s">
        <v>56</v>
      </c>
      <c r="D2759" t="s">
        <v>69</v>
      </c>
      <c r="E2759">
        <v>22</v>
      </c>
      <c r="F2759" s="3">
        <v>7.94</v>
      </c>
      <c r="G2759" s="4">
        <v>75.900000000000006</v>
      </c>
      <c r="H2759">
        <v>2</v>
      </c>
      <c r="I2759">
        <v>1</v>
      </c>
      <c r="J2759">
        <v>4</v>
      </c>
      <c r="K2759" s="4">
        <v>75.2</v>
      </c>
      <c r="L2759" s="4">
        <v>65.7</v>
      </c>
      <c r="M2759" s="4">
        <v>78.2</v>
      </c>
      <c r="N2759">
        <v>1</v>
      </c>
      <c r="O2759" t="s">
        <v>64</v>
      </c>
      <c r="P2759" t="s">
        <v>65</v>
      </c>
      <c r="S2759" s="3">
        <v>0</v>
      </c>
      <c r="T2759" s="5"/>
      <c r="U2759">
        <v>0</v>
      </c>
      <c r="V2759">
        <v>2025</v>
      </c>
      <c r="X2759">
        <f t="shared" si="129"/>
        <v>7.9397241000000003</v>
      </c>
      <c r="Y2759">
        <f t="shared" si="130"/>
        <v>-2.7589999999999998E-4</v>
      </c>
      <c r="Z2759">
        <f t="shared" si="131"/>
        <v>65.699724099999997</v>
      </c>
    </row>
    <row r="2760" spans="1:26" x14ac:dyDescent="0.3">
      <c r="A2760" t="s">
        <v>2850</v>
      </c>
      <c r="B2760" t="s">
        <v>55</v>
      </c>
      <c r="C2760" t="s">
        <v>68</v>
      </c>
      <c r="D2760" t="s">
        <v>69</v>
      </c>
      <c r="E2760">
        <v>23</v>
      </c>
      <c r="F2760" s="3">
        <v>8.2799999999999994</v>
      </c>
      <c r="G2760" s="4">
        <v>94.1</v>
      </c>
      <c r="H2760">
        <v>0</v>
      </c>
      <c r="I2760">
        <v>2</v>
      </c>
      <c r="J2760">
        <v>3</v>
      </c>
      <c r="K2760" s="4">
        <v>81.3</v>
      </c>
      <c r="L2760" s="4">
        <v>58.3</v>
      </c>
      <c r="M2760" s="4">
        <v>94.4</v>
      </c>
      <c r="N2760">
        <v>0</v>
      </c>
      <c r="O2760" t="s">
        <v>64</v>
      </c>
      <c r="P2760" t="s">
        <v>65</v>
      </c>
      <c r="S2760" s="3">
        <v>0</v>
      </c>
      <c r="T2760" s="5"/>
      <c r="U2760">
        <v>0</v>
      </c>
      <c r="V2760">
        <v>2024</v>
      </c>
      <c r="X2760">
        <f t="shared" si="129"/>
        <v>8.2797239999999999</v>
      </c>
      <c r="Y2760">
        <f t="shared" si="130"/>
        <v>-2.7599999999999999E-4</v>
      </c>
      <c r="Z2760">
        <f t="shared" si="131"/>
        <v>58.299723999999998</v>
      </c>
    </row>
    <row r="2761" spans="1:26" x14ac:dyDescent="0.3">
      <c r="A2761" t="s">
        <v>2851</v>
      </c>
      <c r="B2761" t="s">
        <v>55</v>
      </c>
      <c r="C2761" t="s">
        <v>78</v>
      </c>
      <c r="D2761" t="s">
        <v>57</v>
      </c>
      <c r="E2761">
        <v>20</v>
      </c>
      <c r="F2761" s="3">
        <v>7.35</v>
      </c>
      <c r="G2761" s="4">
        <v>64.2</v>
      </c>
      <c r="H2761">
        <v>2</v>
      </c>
      <c r="I2761">
        <v>2</v>
      </c>
      <c r="J2761">
        <v>3</v>
      </c>
      <c r="K2761" s="4">
        <v>53.4</v>
      </c>
      <c r="L2761" s="4">
        <v>71.3</v>
      </c>
      <c r="M2761" s="4">
        <v>74.599999999999994</v>
      </c>
      <c r="N2761">
        <v>0</v>
      </c>
      <c r="O2761" t="s">
        <v>58</v>
      </c>
      <c r="P2761" t="s">
        <v>79</v>
      </c>
      <c r="Q2761" t="s">
        <v>71</v>
      </c>
      <c r="R2761" t="s">
        <v>109</v>
      </c>
      <c r="S2761" s="3">
        <v>6.03</v>
      </c>
      <c r="T2761" s="5">
        <v>45532</v>
      </c>
      <c r="U2761">
        <v>1</v>
      </c>
      <c r="V2761">
        <v>2024</v>
      </c>
      <c r="X2761">
        <f t="shared" si="129"/>
        <v>7.3497238999999999</v>
      </c>
      <c r="Y2761">
        <f t="shared" si="130"/>
        <v>6.0297239000000005</v>
      </c>
      <c r="Z2761">
        <f t="shared" si="131"/>
        <v>71.299723900000004</v>
      </c>
    </row>
    <row r="2762" spans="1:26" x14ac:dyDescent="0.3">
      <c r="A2762" t="s">
        <v>2852</v>
      </c>
      <c r="B2762" t="s">
        <v>55</v>
      </c>
      <c r="C2762" t="s">
        <v>74</v>
      </c>
      <c r="D2762" t="s">
        <v>57</v>
      </c>
      <c r="E2762">
        <v>21</v>
      </c>
      <c r="F2762" s="3">
        <v>9.48</v>
      </c>
      <c r="G2762" s="4">
        <v>88.1</v>
      </c>
      <c r="H2762">
        <v>1</v>
      </c>
      <c r="I2762">
        <v>2</v>
      </c>
      <c r="J2762">
        <v>1</v>
      </c>
      <c r="K2762" s="4">
        <v>72</v>
      </c>
      <c r="L2762" s="4">
        <v>83.6</v>
      </c>
      <c r="M2762" s="4">
        <v>69.7</v>
      </c>
      <c r="N2762">
        <v>0</v>
      </c>
      <c r="O2762" t="s">
        <v>58</v>
      </c>
      <c r="P2762" t="s">
        <v>92</v>
      </c>
      <c r="Q2762" t="s">
        <v>93</v>
      </c>
      <c r="R2762" t="s">
        <v>76</v>
      </c>
      <c r="S2762" s="3">
        <v>9.65</v>
      </c>
      <c r="T2762" s="5">
        <v>45592</v>
      </c>
      <c r="U2762">
        <v>2</v>
      </c>
      <c r="V2762">
        <v>2024</v>
      </c>
      <c r="X2762">
        <f t="shared" si="129"/>
        <v>9.4797238000000004</v>
      </c>
      <c r="Y2762">
        <f t="shared" si="130"/>
        <v>9.6497238000000003</v>
      </c>
      <c r="Z2762">
        <f t="shared" si="131"/>
        <v>83.599723799999992</v>
      </c>
    </row>
    <row r="2763" spans="1:26" x14ac:dyDescent="0.3">
      <c r="A2763" t="s">
        <v>2853</v>
      </c>
      <c r="B2763" t="s">
        <v>107</v>
      </c>
      <c r="C2763" t="s">
        <v>101</v>
      </c>
      <c r="D2763" t="s">
        <v>57</v>
      </c>
      <c r="E2763">
        <v>23</v>
      </c>
      <c r="F2763" s="3">
        <v>8.98</v>
      </c>
      <c r="G2763" s="4">
        <v>71</v>
      </c>
      <c r="H2763">
        <v>1</v>
      </c>
      <c r="I2763">
        <v>3</v>
      </c>
      <c r="J2763">
        <v>4</v>
      </c>
      <c r="K2763" s="4">
        <v>99.6</v>
      </c>
      <c r="L2763" s="4">
        <v>78.8</v>
      </c>
      <c r="M2763" s="4">
        <v>78.599999999999994</v>
      </c>
      <c r="N2763">
        <v>1</v>
      </c>
      <c r="O2763" t="s">
        <v>58</v>
      </c>
      <c r="P2763" t="s">
        <v>112</v>
      </c>
      <c r="Q2763" t="s">
        <v>93</v>
      </c>
      <c r="R2763" t="s">
        <v>130</v>
      </c>
      <c r="S2763" s="3">
        <v>9.1300000000000008</v>
      </c>
      <c r="T2763" s="5">
        <v>44442</v>
      </c>
      <c r="U2763">
        <v>2</v>
      </c>
      <c r="V2763">
        <v>2021</v>
      </c>
      <c r="X2763">
        <f t="shared" si="129"/>
        <v>8.979723700000001</v>
      </c>
      <c r="Y2763">
        <f t="shared" si="130"/>
        <v>9.1297237000000013</v>
      </c>
      <c r="Z2763">
        <f t="shared" si="131"/>
        <v>78.799723700000001</v>
      </c>
    </row>
    <row r="2764" spans="1:26" x14ac:dyDescent="0.3">
      <c r="A2764" t="s">
        <v>2854</v>
      </c>
      <c r="B2764" t="s">
        <v>107</v>
      </c>
      <c r="C2764" t="s">
        <v>74</v>
      </c>
      <c r="D2764" t="s">
        <v>69</v>
      </c>
      <c r="E2764">
        <v>21</v>
      </c>
      <c r="F2764" s="3">
        <v>10</v>
      </c>
      <c r="G2764" s="4">
        <v>79.8</v>
      </c>
      <c r="H2764">
        <v>0</v>
      </c>
      <c r="I2764">
        <v>2</v>
      </c>
      <c r="J2764">
        <v>5</v>
      </c>
      <c r="K2764" s="4">
        <v>64.7</v>
      </c>
      <c r="L2764" s="4">
        <v>77.599999999999994</v>
      </c>
      <c r="M2764" s="4">
        <v>79.8</v>
      </c>
      <c r="N2764">
        <v>0</v>
      </c>
      <c r="O2764" t="s">
        <v>58</v>
      </c>
      <c r="P2764" t="s">
        <v>79</v>
      </c>
      <c r="Q2764" t="s">
        <v>71</v>
      </c>
      <c r="R2764" t="s">
        <v>85</v>
      </c>
      <c r="S2764" s="3">
        <v>6.86</v>
      </c>
      <c r="T2764" s="5">
        <v>44461</v>
      </c>
      <c r="U2764">
        <v>1</v>
      </c>
      <c r="V2764">
        <v>2021</v>
      </c>
      <c r="X2764">
        <f t="shared" si="129"/>
        <v>9.9997235999999994</v>
      </c>
      <c r="Y2764">
        <f t="shared" si="130"/>
        <v>6.8597236000000006</v>
      </c>
      <c r="Z2764">
        <f t="shared" si="131"/>
        <v>77.59972359999999</v>
      </c>
    </row>
    <row r="2765" spans="1:26" x14ac:dyDescent="0.3">
      <c r="A2765" t="s">
        <v>2855</v>
      </c>
      <c r="B2765" t="s">
        <v>67</v>
      </c>
      <c r="C2765" t="s">
        <v>101</v>
      </c>
      <c r="D2765" t="s">
        <v>57</v>
      </c>
      <c r="E2765">
        <v>20</v>
      </c>
      <c r="F2765" s="3">
        <v>6.55</v>
      </c>
      <c r="G2765" s="4">
        <v>67.599999999999994</v>
      </c>
      <c r="H2765">
        <v>1</v>
      </c>
      <c r="I2765">
        <v>1</v>
      </c>
      <c r="J2765">
        <v>6</v>
      </c>
      <c r="K2765" s="4">
        <v>68.7</v>
      </c>
      <c r="L2765" s="4">
        <v>59</v>
      </c>
      <c r="M2765" s="4">
        <v>69.599999999999994</v>
      </c>
      <c r="N2765">
        <v>0</v>
      </c>
      <c r="O2765" t="s">
        <v>64</v>
      </c>
      <c r="P2765" t="s">
        <v>65</v>
      </c>
      <c r="S2765" s="3">
        <v>0</v>
      </c>
      <c r="T2765" s="5"/>
      <c r="U2765">
        <v>0</v>
      </c>
      <c r="V2765">
        <v>2023</v>
      </c>
      <c r="X2765">
        <f t="shared" si="129"/>
        <v>6.5497234999999998</v>
      </c>
      <c r="Y2765">
        <f t="shared" si="130"/>
        <v>-2.765E-4</v>
      </c>
      <c r="Z2765">
        <f t="shared" si="131"/>
        <v>58.999723500000002</v>
      </c>
    </row>
    <row r="2766" spans="1:26" x14ac:dyDescent="0.3">
      <c r="A2766" t="s">
        <v>2856</v>
      </c>
      <c r="B2766" t="s">
        <v>55</v>
      </c>
      <c r="C2766" t="s">
        <v>56</v>
      </c>
      <c r="D2766" t="s">
        <v>69</v>
      </c>
      <c r="E2766">
        <v>22</v>
      </c>
      <c r="F2766" s="3">
        <v>7.84</v>
      </c>
      <c r="G2766" s="4">
        <v>70.099999999999994</v>
      </c>
      <c r="H2766">
        <v>2</v>
      </c>
      <c r="I2766">
        <v>2</v>
      </c>
      <c r="J2766">
        <v>5</v>
      </c>
      <c r="K2766" s="4">
        <v>68.2</v>
      </c>
      <c r="L2766" s="4">
        <v>53.8</v>
      </c>
      <c r="M2766" s="4">
        <v>39.1</v>
      </c>
      <c r="N2766">
        <v>0</v>
      </c>
      <c r="O2766" t="s">
        <v>58</v>
      </c>
      <c r="P2766" t="s">
        <v>112</v>
      </c>
      <c r="Q2766" t="s">
        <v>93</v>
      </c>
      <c r="R2766" t="s">
        <v>130</v>
      </c>
      <c r="S2766" s="3">
        <v>6.11</v>
      </c>
      <c r="T2766" s="5">
        <v>45544</v>
      </c>
      <c r="U2766">
        <v>2</v>
      </c>
      <c r="V2766">
        <v>2024</v>
      </c>
      <c r="X2766">
        <f t="shared" si="129"/>
        <v>7.8397233999999996</v>
      </c>
      <c r="Y2766">
        <f t="shared" si="130"/>
        <v>6.1097234</v>
      </c>
      <c r="Z2766">
        <f t="shared" si="131"/>
        <v>53.799723399999998</v>
      </c>
    </row>
    <row r="2767" spans="1:26" x14ac:dyDescent="0.3">
      <c r="A2767" t="s">
        <v>2857</v>
      </c>
      <c r="B2767" t="s">
        <v>63</v>
      </c>
      <c r="C2767" t="s">
        <v>101</v>
      </c>
      <c r="D2767" t="s">
        <v>57</v>
      </c>
      <c r="E2767">
        <v>23</v>
      </c>
      <c r="F2767" s="3">
        <v>6.4</v>
      </c>
      <c r="G2767" s="4">
        <v>81.2</v>
      </c>
      <c r="H2767">
        <v>1</v>
      </c>
      <c r="I2767">
        <v>2</v>
      </c>
      <c r="J2767">
        <v>1</v>
      </c>
      <c r="K2767" s="4">
        <v>66.5</v>
      </c>
      <c r="L2767" s="4">
        <v>96.5</v>
      </c>
      <c r="M2767" s="4">
        <v>63.3</v>
      </c>
      <c r="N2767">
        <v>0</v>
      </c>
      <c r="O2767" t="s">
        <v>58</v>
      </c>
      <c r="P2767" t="s">
        <v>92</v>
      </c>
      <c r="Q2767" t="s">
        <v>93</v>
      </c>
      <c r="R2767" t="s">
        <v>76</v>
      </c>
      <c r="S2767" s="3">
        <v>8.27</v>
      </c>
      <c r="T2767" s="5">
        <v>45933</v>
      </c>
      <c r="U2767">
        <v>1</v>
      </c>
      <c r="V2767">
        <v>2025</v>
      </c>
      <c r="X2767">
        <f t="shared" si="129"/>
        <v>6.3997233000000007</v>
      </c>
      <c r="Y2767">
        <f t="shared" si="130"/>
        <v>8.269723299999999</v>
      </c>
      <c r="Z2767">
        <f t="shared" si="131"/>
        <v>96.499723299999999</v>
      </c>
    </row>
    <row r="2768" spans="1:26" x14ac:dyDescent="0.3">
      <c r="A2768" t="s">
        <v>2858</v>
      </c>
      <c r="B2768" t="s">
        <v>82</v>
      </c>
      <c r="C2768" t="s">
        <v>68</v>
      </c>
      <c r="D2768" t="s">
        <v>57</v>
      </c>
      <c r="E2768">
        <v>20</v>
      </c>
      <c r="F2768" s="3">
        <v>6.67</v>
      </c>
      <c r="G2768" s="4">
        <v>82.7</v>
      </c>
      <c r="H2768">
        <v>2</v>
      </c>
      <c r="I2768">
        <v>2</v>
      </c>
      <c r="J2768">
        <v>4</v>
      </c>
      <c r="K2768" s="4">
        <v>57.1</v>
      </c>
      <c r="L2768" s="4">
        <v>50</v>
      </c>
      <c r="M2768" s="4">
        <v>58.3</v>
      </c>
      <c r="N2768">
        <v>0</v>
      </c>
      <c r="O2768" t="s">
        <v>58</v>
      </c>
      <c r="P2768" t="s">
        <v>112</v>
      </c>
      <c r="Q2768" t="s">
        <v>93</v>
      </c>
      <c r="R2768" t="s">
        <v>85</v>
      </c>
      <c r="S2768" s="3">
        <v>5.69</v>
      </c>
      <c r="T2768" s="5">
        <v>44889</v>
      </c>
      <c r="U2768">
        <v>1</v>
      </c>
      <c r="V2768">
        <v>2022</v>
      </c>
      <c r="X2768">
        <f t="shared" si="129"/>
        <v>6.6697232</v>
      </c>
      <c r="Y2768">
        <f t="shared" si="130"/>
        <v>5.6897232000000004</v>
      </c>
      <c r="Z2768">
        <f t="shared" si="131"/>
        <v>49.999723199999998</v>
      </c>
    </row>
    <row r="2769" spans="1:26" x14ac:dyDescent="0.3">
      <c r="A2769" t="s">
        <v>2859</v>
      </c>
      <c r="B2769" t="s">
        <v>67</v>
      </c>
      <c r="C2769" t="s">
        <v>74</v>
      </c>
      <c r="D2769" t="s">
        <v>57</v>
      </c>
      <c r="E2769">
        <v>21</v>
      </c>
      <c r="F2769" s="3">
        <v>7.36</v>
      </c>
      <c r="G2769" s="4">
        <v>91.5</v>
      </c>
      <c r="H2769">
        <v>3</v>
      </c>
      <c r="I2769">
        <v>2</v>
      </c>
      <c r="J2769">
        <v>4</v>
      </c>
      <c r="K2769" s="4">
        <v>68.599999999999994</v>
      </c>
      <c r="L2769" s="4">
        <v>67.7</v>
      </c>
      <c r="M2769" s="4">
        <v>73.7</v>
      </c>
      <c r="N2769">
        <v>0</v>
      </c>
      <c r="O2769" t="s">
        <v>58</v>
      </c>
      <c r="P2769" t="s">
        <v>92</v>
      </c>
      <c r="Q2769" t="s">
        <v>93</v>
      </c>
      <c r="R2769" t="s">
        <v>72</v>
      </c>
      <c r="S2769" s="3">
        <v>9.4600000000000009</v>
      </c>
      <c r="T2769" s="5">
        <v>45148</v>
      </c>
      <c r="U2769">
        <v>1</v>
      </c>
      <c r="V2769">
        <v>2023</v>
      </c>
      <c r="X2769">
        <f t="shared" si="129"/>
        <v>7.3597231000000001</v>
      </c>
      <c r="Y2769">
        <f t="shared" si="130"/>
        <v>9.4597231000000015</v>
      </c>
      <c r="Z2769">
        <f t="shared" si="131"/>
        <v>67.6997231</v>
      </c>
    </row>
    <row r="2770" spans="1:26" x14ac:dyDescent="0.3">
      <c r="A2770" t="s">
        <v>2860</v>
      </c>
      <c r="B2770" t="s">
        <v>107</v>
      </c>
      <c r="C2770" t="s">
        <v>74</v>
      </c>
      <c r="D2770" t="s">
        <v>57</v>
      </c>
      <c r="E2770">
        <v>20</v>
      </c>
      <c r="F2770" s="3">
        <v>7.37</v>
      </c>
      <c r="G2770" s="4">
        <v>78.400000000000006</v>
      </c>
      <c r="H2770">
        <v>0</v>
      </c>
      <c r="I2770">
        <v>2</v>
      </c>
      <c r="J2770">
        <v>6</v>
      </c>
      <c r="K2770" s="4">
        <v>90.8</v>
      </c>
      <c r="L2770" s="4">
        <v>81.3</v>
      </c>
      <c r="M2770" s="4">
        <v>88.1</v>
      </c>
      <c r="N2770">
        <v>0</v>
      </c>
      <c r="O2770" t="s">
        <v>58</v>
      </c>
      <c r="P2770" t="s">
        <v>95</v>
      </c>
      <c r="Q2770" t="s">
        <v>93</v>
      </c>
      <c r="R2770" t="s">
        <v>72</v>
      </c>
      <c r="S2770" s="3">
        <v>6.24</v>
      </c>
      <c r="T2770" s="5">
        <v>44434</v>
      </c>
      <c r="U2770">
        <v>1</v>
      </c>
      <c r="V2770">
        <v>2021</v>
      </c>
      <c r="X2770">
        <f t="shared" si="129"/>
        <v>7.3697230000000005</v>
      </c>
      <c r="Y2770">
        <f t="shared" si="130"/>
        <v>6.2397230000000006</v>
      </c>
      <c r="Z2770">
        <f t="shared" si="131"/>
        <v>81.299723</v>
      </c>
    </row>
    <row r="2771" spans="1:26" x14ac:dyDescent="0.3">
      <c r="A2771" t="s">
        <v>2861</v>
      </c>
      <c r="B2771" t="s">
        <v>67</v>
      </c>
      <c r="C2771" t="s">
        <v>68</v>
      </c>
      <c r="D2771" t="s">
        <v>57</v>
      </c>
      <c r="E2771">
        <v>23</v>
      </c>
      <c r="F2771" s="3">
        <v>7.98</v>
      </c>
      <c r="G2771" s="4">
        <v>87.5</v>
      </c>
      <c r="H2771">
        <v>2</v>
      </c>
      <c r="I2771">
        <v>1</v>
      </c>
      <c r="J2771">
        <v>6</v>
      </c>
      <c r="K2771" s="4">
        <v>67.3</v>
      </c>
      <c r="L2771" s="4">
        <v>92.8</v>
      </c>
      <c r="M2771" s="4">
        <v>79.900000000000006</v>
      </c>
      <c r="N2771">
        <v>0</v>
      </c>
      <c r="O2771" t="s">
        <v>58</v>
      </c>
      <c r="P2771" t="s">
        <v>87</v>
      </c>
      <c r="Q2771" t="s">
        <v>71</v>
      </c>
      <c r="R2771" t="s">
        <v>109</v>
      </c>
      <c r="S2771" s="3">
        <v>6.4</v>
      </c>
      <c r="T2771" s="5">
        <v>45181</v>
      </c>
      <c r="U2771">
        <v>1</v>
      </c>
      <c r="V2771">
        <v>2023</v>
      </c>
      <c r="X2771">
        <f t="shared" si="129"/>
        <v>7.9797229000000005</v>
      </c>
      <c r="Y2771">
        <f t="shared" si="130"/>
        <v>6.3997229000000004</v>
      </c>
      <c r="Z2771">
        <f t="shared" si="131"/>
        <v>92.799722899999992</v>
      </c>
    </row>
    <row r="2772" spans="1:26" x14ac:dyDescent="0.3">
      <c r="A2772" t="s">
        <v>2862</v>
      </c>
      <c r="B2772" t="s">
        <v>67</v>
      </c>
      <c r="C2772" t="s">
        <v>84</v>
      </c>
      <c r="D2772" t="s">
        <v>57</v>
      </c>
      <c r="E2772">
        <v>22</v>
      </c>
      <c r="F2772" s="3">
        <v>7.55</v>
      </c>
      <c r="G2772" s="4">
        <v>81.900000000000006</v>
      </c>
      <c r="H2772">
        <v>2</v>
      </c>
      <c r="I2772">
        <v>2</v>
      </c>
      <c r="J2772">
        <v>6</v>
      </c>
      <c r="K2772" s="4">
        <v>85.1</v>
      </c>
      <c r="L2772" s="4">
        <v>70.3</v>
      </c>
      <c r="M2772" s="4">
        <v>68</v>
      </c>
      <c r="N2772">
        <v>1</v>
      </c>
      <c r="O2772" t="s">
        <v>64</v>
      </c>
      <c r="P2772" t="s">
        <v>65</v>
      </c>
      <c r="S2772" s="3">
        <v>0</v>
      </c>
      <c r="T2772" s="5"/>
      <c r="U2772">
        <v>0</v>
      </c>
      <c r="V2772">
        <v>2023</v>
      </c>
      <c r="X2772">
        <f t="shared" si="129"/>
        <v>7.5497227999999996</v>
      </c>
      <c r="Y2772">
        <f t="shared" si="130"/>
        <v>-2.7719999999999996E-4</v>
      </c>
      <c r="Z2772">
        <f t="shared" si="131"/>
        <v>70.299722799999998</v>
      </c>
    </row>
    <row r="2773" spans="1:26" x14ac:dyDescent="0.3">
      <c r="A2773" t="s">
        <v>2863</v>
      </c>
      <c r="B2773" t="s">
        <v>67</v>
      </c>
      <c r="C2773" t="s">
        <v>56</v>
      </c>
      <c r="D2773" t="s">
        <v>57</v>
      </c>
      <c r="E2773">
        <v>21</v>
      </c>
      <c r="F2773" s="3">
        <v>8.3699999999999992</v>
      </c>
      <c r="G2773" s="4">
        <v>87.2</v>
      </c>
      <c r="H2773">
        <v>0</v>
      </c>
      <c r="I2773">
        <v>2</v>
      </c>
      <c r="J2773">
        <v>5</v>
      </c>
      <c r="K2773" s="4">
        <v>100</v>
      </c>
      <c r="L2773" s="4">
        <v>74.099999999999994</v>
      </c>
      <c r="M2773" s="4">
        <v>77.099999999999994</v>
      </c>
      <c r="N2773">
        <v>0</v>
      </c>
      <c r="O2773" t="s">
        <v>58</v>
      </c>
      <c r="P2773" t="s">
        <v>92</v>
      </c>
      <c r="Q2773" t="s">
        <v>93</v>
      </c>
      <c r="R2773" t="s">
        <v>76</v>
      </c>
      <c r="S2773" s="3">
        <v>10.19</v>
      </c>
      <c r="T2773" s="5">
        <v>45209</v>
      </c>
      <c r="U2773">
        <v>3</v>
      </c>
      <c r="V2773">
        <v>2023</v>
      </c>
      <c r="X2773">
        <f t="shared" si="129"/>
        <v>8.3697226999999987</v>
      </c>
      <c r="Y2773">
        <f t="shared" si="130"/>
        <v>10.189722699999999</v>
      </c>
      <c r="Z2773">
        <f t="shared" si="131"/>
        <v>74.099722700000001</v>
      </c>
    </row>
    <row r="2774" spans="1:26" x14ac:dyDescent="0.3">
      <c r="A2774" t="s">
        <v>2864</v>
      </c>
      <c r="B2774" t="s">
        <v>67</v>
      </c>
      <c r="C2774" t="s">
        <v>56</v>
      </c>
      <c r="D2774" t="s">
        <v>57</v>
      </c>
      <c r="E2774">
        <v>22</v>
      </c>
      <c r="F2774" s="3">
        <v>7.94</v>
      </c>
      <c r="G2774" s="4">
        <v>72.2</v>
      </c>
      <c r="H2774">
        <v>2</v>
      </c>
      <c r="I2774">
        <v>3</v>
      </c>
      <c r="J2774">
        <v>4</v>
      </c>
      <c r="K2774" s="4">
        <v>56.6</v>
      </c>
      <c r="L2774" s="4">
        <v>62.9</v>
      </c>
      <c r="M2774" s="4">
        <v>73.8</v>
      </c>
      <c r="N2774">
        <v>1</v>
      </c>
      <c r="O2774" t="s">
        <v>58</v>
      </c>
      <c r="P2774" t="s">
        <v>79</v>
      </c>
      <c r="Q2774" t="s">
        <v>71</v>
      </c>
      <c r="R2774" t="s">
        <v>61</v>
      </c>
      <c r="S2774" s="3">
        <v>6.61</v>
      </c>
      <c r="T2774" s="5">
        <v>45182</v>
      </c>
      <c r="U2774">
        <v>1</v>
      </c>
      <c r="V2774">
        <v>2023</v>
      </c>
      <c r="X2774">
        <f t="shared" si="129"/>
        <v>7.9397226000000005</v>
      </c>
      <c r="Y2774">
        <f t="shared" si="130"/>
        <v>6.6097226000000004</v>
      </c>
      <c r="Z2774">
        <f t="shared" si="131"/>
        <v>62.899722599999997</v>
      </c>
    </row>
    <row r="2775" spans="1:26" x14ac:dyDescent="0.3">
      <c r="A2775" t="s">
        <v>2865</v>
      </c>
      <c r="B2775" t="s">
        <v>82</v>
      </c>
      <c r="C2775" t="s">
        <v>89</v>
      </c>
      <c r="D2775" t="s">
        <v>57</v>
      </c>
      <c r="E2775">
        <v>22</v>
      </c>
      <c r="F2775" s="3">
        <v>9.1300000000000008</v>
      </c>
      <c r="G2775" s="4">
        <v>82.8</v>
      </c>
      <c r="H2775">
        <v>1</v>
      </c>
      <c r="I2775">
        <v>2</v>
      </c>
      <c r="J2775">
        <v>4</v>
      </c>
      <c r="K2775" s="4">
        <v>75.599999999999994</v>
      </c>
      <c r="L2775" s="4">
        <v>96</v>
      </c>
      <c r="M2775" s="4">
        <v>80.2</v>
      </c>
      <c r="N2775">
        <v>1</v>
      </c>
      <c r="O2775" t="s">
        <v>58</v>
      </c>
      <c r="P2775" t="s">
        <v>75</v>
      </c>
      <c r="Q2775" t="s">
        <v>71</v>
      </c>
      <c r="R2775" t="s">
        <v>85</v>
      </c>
      <c r="S2775" s="3">
        <v>7.7</v>
      </c>
      <c r="T2775" s="5">
        <v>44844</v>
      </c>
      <c r="U2775">
        <v>2</v>
      </c>
      <c r="V2775">
        <v>2022</v>
      </c>
      <c r="X2775">
        <f t="shared" si="129"/>
        <v>9.1297225000000015</v>
      </c>
      <c r="Y2775">
        <f t="shared" si="130"/>
        <v>7.6997225</v>
      </c>
      <c r="Z2775">
        <f t="shared" si="131"/>
        <v>95.999722500000004</v>
      </c>
    </row>
    <row r="2776" spans="1:26" x14ac:dyDescent="0.3">
      <c r="A2776" t="s">
        <v>2866</v>
      </c>
      <c r="B2776" t="s">
        <v>55</v>
      </c>
      <c r="C2776" t="s">
        <v>68</v>
      </c>
      <c r="D2776" t="s">
        <v>57</v>
      </c>
      <c r="E2776">
        <v>20</v>
      </c>
      <c r="F2776" s="3">
        <v>8.4</v>
      </c>
      <c r="G2776" s="4">
        <v>85.4</v>
      </c>
      <c r="H2776">
        <v>1</v>
      </c>
      <c r="I2776">
        <v>1</v>
      </c>
      <c r="J2776">
        <v>6</v>
      </c>
      <c r="K2776" s="4">
        <v>51.7</v>
      </c>
      <c r="L2776" s="4">
        <v>90.6</v>
      </c>
      <c r="M2776" s="4">
        <v>80.900000000000006</v>
      </c>
      <c r="N2776">
        <v>0</v>
      </c>
      <c r="O2776" t="s">
        <v>58</v>
      </c>
      <c r="P2776" t="s">
        <v>112</v>
      </c>
      <c r="Q2776" t="s">
        <v>93</v>
      </c>
      <c r="R2776" t="s">
        <v>85</v>
      </c>
      <c r="S2776" s="3">
        <v>8.89</v>
      </c>
      <c r="T2776" s="5">
        <v>45616</v>
      </c>
      <c r="U2776">
        <v>2</v>
      </c>
      <c r="V2776">
        <v>2024</v>
      </c>
      <c r="X2776">
        <f t="shared" si="129"/>
        <v>8.3997223999999999</v>
      </c>
      <c r="Y2776">
        <f t="shared" si="130"/>
        <v>8.8897224000000001</v>
      </c>
      <c r="Z2776">
        <f t="shared" si="131"/>
        <v>90.59972239999999</v>
      </c>
    </row>
    <row r="2777" spans="1:26" x14ac:dyDescent="0.3">
      <c r="A2777" t="s">
        <v>2867</v>
      </c>
      <c r="B2777" t="s">
        <v>63</v>
      </c>
      <c r="C2777" t="s">
        <v>68</v>
      </c>
      <c r="D2777" t="s">
        <v>69</v>
      </c>
      <c r="E2777">
        <v>20</v>
      </c>
      <c r="F2777" s="3">
        <v>6.59</v>
      </c>
      <c r="G2777" s="4">
        <v>77.5</v>
      </c>
      <c r="H2777">
        <v>0</v>
      </c>
      <c r="I2777">
        <v>3</v>
      </c>
      <c r="J2777">
        <v>4</v>
      </c>
      <c r="K2777" s="4">
        <v>66</v>
      </c>
      <c r="L2777" s="4">
        <v>55</v>
      </c>
      <c r="M2777" s="4">
        <v>89.6</v>
      </c>
      <c r="N2777">
        <v>0</v>
      </c>
      <c r="O2777" t="s">
        <v>58</v>
      </c>
      <c r="P2777" t="s">
        <v>104</v>
      </c>
      <c r="Q2777" t="s">
        <v>105</v>
      </c>
      <c r="R2777" t="s">
        <v>72</v>
      </c>
      <c r="S2777" s="3">
        <v>13.98</v>
      </c>
      <c r="T2777" s="5">
        <v>45926</v>
      </c>
      <c r="U2777">
        <v>2</v>
      </c>
      <c r="V2777">
        <v>2025</v>
      </c>
      <c r="X2777">
        <f t="shared" si="129"/>
        <v>6.5897223</v>
      </c>
      <c r="Y2777">
        <f t="shared" si="130"/>
        <v>13.979722300000001</v>
      </c>
      <c r="Z2777">
        <f t="shared" si="131"/>
        <v>54.999722300000002</v>
      </c>
    </row>
    <row r="2778" spans="1:26" x14ac:dyDescent="0.3">
      <c r="A2778" t="s">
        <v>2868</v>
      </c>
      <c r="B2778" t="s">
        <v>67</v>
      </c>
      <c r="C2778" t="s">
        <v>78</v>
      </c>
      <c r="D2778" t="s">
        <v>69</v>
      </c>
      <c r="E2778">
        <v>23</v>
      </c>
      <c r="F2778" s="3">
        <v>7.52</v>
      </c>
      <c r="G2778" s="4">
        <v>85.4</v>
      </c>
      <c r="H2778">
        <v>1</v>
      </c>
      <c r="I2778">
        <v>1</v>
      </c>
      <c r="J2778">
        <v>5</v>
      </c>
      <c r="K2778" s="4">
        <v>100</v>
      </c>
      <c r="L2778" s="4">
        <v>79.8</v>
      </c>
      <c r="M2778" s="4">
        <v>72.3</v>
      </c>
      <c r="N2778">
        <v>0</v>
      </c>
      <c r="O2778" t="s">
        <v>58</v>
      </c>
      <c r="P2778" t="s">
        <v>87</v>
      </c>
      <c r="Q2778" t="s">
        <v>71</v>
      </c>
      <c r="R2778" t="s">
        <v>72</v>
      </c>
      <c r="S2778" s="3">
        <v>6.5</v>
      </c>
      <c r="T2778" s="5">
        <v>45253</v>
      </c>
      <c r="U2778">
        <v>2</v>
      </c>
      <c r="V2778">
        <v>2023</v>
      </c>
      <c r="X2778">
        <f t="shared" si="129"/>
        <v>7.5197221999999995</v>
      </c>
      <c r="Y2778">
        <f t="shared" si="130"/>
        <v>6.4997221999999999</v>
      </c>
      <c r="Z2778">
        <f t="shared" si="131"/>
        <v>79.799722199999991</v>
      </c>
    </row>
    <row r="2779" spans="1:26" x14ac:dyDescent="0.3">
      <c r="A2779" t="s">
        <v>2869</v>
      </c>
      <c r="B2779" t="s">
        <v>67</v>
      </c>
      <c r="C2779" t="s">
        <v>74</v>
      </c>
      <c r="D2779" t="s">
        <v>69</v>
      </c>
      <c r="E2779">
        <v>23</v>
      </c>
      <c r="F2779" s="3">
        <v>7.58</v>
      </c>
      <c r="G2779" s="4">
        <v>86.3</v>
      </c>
      <c r="H2779">
        <v>1</v>
      </c>
      <c r="I2779">
        <v>0</v>
      </c>
      <c r="J2779">
        <v>6</v>
      </c>
      <c r="K2779" s="4">
        <v>77.099999999999994</v>
      </c>
      <c r="L2779" s="4">
        <v>68.3</v>
      </c>
      <c r="M2779" s="4">
        <v>52.4</v>
      </c>
      <c r="N2779">
        <v>2</v>
      </c>
      <c r="O2779" t="s">
        <v>58</v>
      </c>
      <c r="P2779" t="s">
        <v>87</v>
      </c>
      <c r="Q2779" t="s">
        <v>71</v>
      </c>
      <c r="R2779" t="s">
        <v>109</v>
      </c>
      <c r="S2779" s="3">
        <v>5.8</v>
      </c>
      <c r="T2779" s="5">
        <v>45186</v>
      </c>
      <c r="U2779">
        <v>1</v>
      </c>
      <c r="V2779">
        <v>2023</v>
      </c>
      <c r="X2779">
        <f t="shared" si="129"/>
        <v>7.5797220999999997</v>
      </c>
      <c r="Y2779">
        <f t="shared" si="130"/>
        <v>5.7997220999999994</v>
      </c>
      <c r="Z2779">
        <f t="shared" si="131"/>
        <v>68.299722099999997</v>
      </c>
    </row>
    <row r="2780" spans="1:26" x14ac:dyDescent="0.3">
      <c r="A2780" t="s">
        <v>2870</v>
      </c>
      <c r="B2780" t="s">
        <v>67</v>
      </c>
      <c r="C2780" t="s">
        <v>84</v>
      </c>
      <c r="D2780" t="s">
        <v>57</v>
      </c>
      <c r="E2780">
        <v>22</v>
      </c>
      <c r="F2780" s="3">
        <v>8.0500000000000007</v>
      </c>
      <c r="G2780" s="4">
        <v>77.3</v>
      </c>
      <c r="H2780">
        <v>1</v>
      </c>
      <c r="I2780">
        <v>2</v>
      </c>
      <c r="J2780">
        <v>4</v>
      </c>
      <c r="K2780" s="4">
        <v>72.3</v>
      </c>
      <c r="L2780" s="4">
        <v>74.7</v>
      </c>
      <c r="M2780" s="4">
        <v>58.1</v>
      </c>
      <c r="N2780">
        <v>0</v>
      </c>
      <c r="O2780" t="s">
        <v>58</v>
      </c>
      <c r="P2780" t="s">
        <v>70</v>
      </c>
      <c r="Q2780" t="s">
        <v>71</v>
      </c>
      <c r="R2780" t="s">
        <v>130</v>
      </c>
      <c r="S2780" s="3">
        <v>6.23</v>
      </c>
      <c r="T2780" s="5">
        <v>45217</v>
      </c>
      <c r="U2780">
        <v>1</v>
      </c>
      <c r="V2780">
        <v>2023</v>
      </c>
      <c r="X2780">
        <f t="shared" si="129"/>
        <v>8.0497220000000009</v>
      </c>
      <c r="Y2780">
        <f t="shared" si="130"/>
        <v>6.2297220000000006</v>
      </c>
      <c r="Z2780">
        <f t="shared" si="131"/>
        <v>74.699722000000008</v>
      </c>
    </row>
    <row r="2781" spans="1:26" x14ac:dyDescent="0.3">
      <c r="A2781" t="s">
        <v>2871</v>
      </c>
      <c r="B2781" t="s">
        <v>55</v>
      </c>
      <c r="C2781" t="s">
        <v>68</v>
      </c>
      <c r="D2781" t="s">
        <v>57</v>
      </c>
      <c r="E2781">
        <v>23</v>
      </c>
      <c r="F2781" s="3">
        <v>8.6199999999999992</v>
      </c>
      <c r="G2781" s="4">
        <v>89</v>
      </c>
      <c r="H2781">
        <v>0</v>
      </c>
      <c r="I2781">
        <v>1</v>
      </c>
      <c r="J2781">
        <v>2</v>
      </c>
      <c r="K2781" s="4">
        <v>51.4</v>
      </c>
      <c r="L2781" s="4">
        <v>58</v>
      </c>
      <c r="M2781" s="4">
        <v>74.2</v>
      </c>
      <c r="N2781">
        <v>0</v>
      </c>
      <c r="O2781" t="s">
        <v>58</v>
      </c>
      <c r="P2781" t="s">
        <v>70</v>
      </c>
      <c r="Q2781" t="s">
        <v>71</v>
      </c>
      <c r="R2781" t="s">
        <v>85</v>
      </c>
      <c r="S2781" s="3">
        <v>4.1500000000000004</v>
      </c>
      <c r="T2781" s="5">
        <v>45566</v>
      </c>
      <c r="U2781">
        <v>3</v>
      </c>
      <c r="V2781">
        <v>2024</v>
      </c>
      <c r="X2781">
        <f t="shared" si="129"/>
        <v>8.6197219</v>
      </c>
      <c r="Y2781">
        <f t="shared" si="130"/>
        <v>4.1497219000000003</v>
      </c>
      <c r="Z2781">
        <f t="shared" si="131"/>
        <v>57.999721899999997</v>
      </c>
    </row>
    <row r="2782" spans="1:26" x14ac:dyDescent="0.3">
      <c r="A2782" t="s">
        <v>2872</v>
      </c>
      <c r="B2782" t="s">
        <v>107</v>
      </c>
      <c r="C2782" t="s">
        <v>56</v>
      </c>
      <c r="D2782" t="s">
        <v>57</v>
      </c>
      <c r="E2782">
        <v>22</v>
      </c>
      <c r="F2782" s="3">
        <v>7.9</v>
      </c>
      <c r="G2782" s="4">
        <v>61.3</v>
      </c>
      <c r="H2782">
        <v>2</v>
      </c>
      <c r="I2782">
        <v>1</v>
      </c>
      <c r="J2782">
        <v>2</v>
      </c>
      <c r="K2782" s="4">
        <v>59.5</v>
      </c>
      <c r="L2782" s="4">
        <v>40.700000000000003</v>
      </c>
      <c r="M2782" s="4">
        <v>70.8</v>
      </c>
      <c r="N2782">
        <v>3</v>
      </c>
      <c r="O2782" t="s">
        <v>64</v>
      </c>
      <c r="P2782" t="s">
        <v>65</v>
      </c>
      <c r="S2782" s="3">
        <v>0</v>
      </c>
      <c r="T2782" s="5"/>
      <c r="U2782">
        <v>0</v>
      </c>
      <c r="V2782">
        <v>2021</v>
      </c>
      <c r="X2782">
        <f t="shared" si="129"/>
        <v>7.8997218</v>
      </c>
      <c r="Y2782">
        <f t="shared" si="130"/>
        <v>-2.7819999999999999E-4</v>
      </c>
      <c r="Z2782">
        <f t="shared" si="131"/>
        <v>40.699721800000006</v>
      </c>
    </row>
    <row r="2783" spans="1:26" x14ac:dyDescent="0.3">
      <c r="A2783" t="s">
        <v>2873</v>
      </c>
      <c r="B2783" t="s">
        <v>107</v>
      </c>
      <c r="C2783" t="s">
        <v>78</v>
      </c>
      <c r="D2783" t="s">
        <v>57</v>
      </c>
      <c r="E2783">
        <v>21</v>
      </c>
      <c r="F2783" s="3">
        <v>8.17</v>
      </c>
      <c r="G2783" s="4">
        <v>64.8</v>
      </c>
      <c r="H2783">
        <v>2</v>
      </c>
      <c r="I2783">
        <v>1</v>
      </c>
      <c r="J2783">
        <v>2</v>
      </c>
      <c r="K2783" s="4">
        <v>56.3</v>
      </c>
      <c r="L2783" s="4">
        <v>53.4</v>
      </c>
      <c r="M2783" s="4">
        <v>82.7</v>
      </c>
      <c r="N2783">
        <v>1</v>
      </c>
      <c r="O2783" t="s">
        <v>64</v>
      </c>
      <c r="P2783" t="s">
        <v>65</v>
      </c>
      <c r="S2783" s="3">
        <v>0</v>
      </c>
      <c r="T2783" s="5"/>
      <c r="U2783">
        <v>0</v>
      </c>
      <c r="V2783">
        <v>2021</v>
      </c>
      <c r="X2783">
        <f t="shared" si="129"/>
        <v>8.1697217000000002</v>
      </c>
      <c r="Y2783">
        <f t="shared" si="130"/>
        <v>-2.7829999999999999E-4</v>
      </c>
      <c r="Z2783">
        <f t="shared" si="131"/>
        <v>53.399721700000001</v>
      </c>
    </row>
    <row r="2784" spans="1:26" x14ac:dyDescent="0.3">
      <c r="A2784" t="s">
        <v>2874</v>
      </c>
      <c r="B2784" t="s">
        <v>82</v>
      </c>
      <c r="C2784" t="s">
        <v>89</v>
      </c>
      <c r="D2784" t="s">
        <v>69</v>
      </c>
      <c r="E2784">
        <v>22</v>
      </c>
      <c r="F2784" s="3">
        <v>6.63</v>
      </c>
      <c r="G2784" s="4">
        <v>72.7</v>
      </c>
      <c r="H2784">
        <v>1</v>
      </c>
      <c r="I2784">
        <v>3</v>
      </c>
      <c r="J2784">
        <v>3</v>
      </c>
      <c r="K2784" s="4">
        <v>53.6</v>
      </c>
      <c r="L2784" s="4">
        <v>61.7</v>
      </c>
      <c r="M2784" s="4">
        <v>86.4</v>
      </c>
      <c r="N2784">
        <v>0</v>
      </c>
      <c r="O2784" t="s">
        <v>58</v>
      </c>
      <c r="P2784" t="s">
        <v>70</v>
      </c>
      <c r="Q2784" t="s">
        <v>71</v>
      </c>
      <c r="R2784" t="s">
        <v>61</v>
      </c>
      <c r="S2784" s="3">
        <v>3.1</v>
      </c>
      <c r="T2784" s="5">
        <v>44834</v>
      </c>
      <c r="U2784">
        <v>1</v>
      </c>
      <c r="V2784">
        <v>2022</v>
      </c>
      <c r="X2784">
        <f t="shared" si="129"/>
        <v>6.6297215999999999</v>
      </c>
      <c r="Y2784">
        <f t="shared" si="130"/>
        <v>3.0997216000000001</v>
      </c>
      <c r="Z2784">
        <f t="shared" si="131"/>
        <v>61.699721600000004</v>
      </c>
    </row>
    <row r="2785" spans="1:26" x14ac:dyDescent="0.3">
      <c r="A2785" t="s">
        <v>2875</v>
      </c>
      <c r="B2785" t="s">
        <v>107</v>
      </c>
      <c r="C2785" t="s">
        <v>74</v>
      </c>
      <c r="D2785" t="s">
        <v>57</v>
      </c>
      <c r="E2785">
        <v>23</v>
      </c>
      <c r="F2785" s="3">
        <v>7.24</v>
      </c>
      <c r="G2785" s="4">
        <v>84.5</v>
      </c>
      <c r="H2785">
        <v>1</v>
      </c>
      <c r="I2785">
        <v>1</v>
      </c>
      <c r="J2785">
        <v>4</v>
      </c>
      <c r="K2785" s="4">
        <v>79.599999999999994</v>
      </c>
      <c r="L2785" s="4">
        <v>62.5</v>
      </c>
      <c r="M2785" s="4">
        <v>74.400000000000006</v>
      </c>
      <c r="N2785">
        <v>0</v>
      </c>
      <c r="O2785" t="s">
        <v>58</v>
      </c>
      <c r="P2785" t="s">
        <v>87</v>
      </c>
      <c r="Q2785" t="s">
        <v>71</v>
      </c>
      <c r="R2785" t="s">
        <v>130</v>
      </c>
      <c r="S2785" s="3">
        <v>3.88</v>
      </c>
      <c r="T2785" s="5">
        <v>44475</v>
      </c>
      <c r="U2785">
        <v>2</v>
      </c>
      <c r="V2785">
        <v>2021</v>
      </c>
      <c r="X2785">
        <f t="shared" si="129"/>
        <v>7.2397214999999999</v>
      </c>
      <c r="Y2785">
        <f t="shared" si="130"/>
        <v>3.8797215</v>
      </c>
      <c r="Z2785">
        <f t="shared" si="131"/>
        <v>62.4997215</v>
      </c>
    </row>
    <row r="2786" spans="1:26" x14ac:dyDescent="0.3">
      <c r="A2786" t="s">
        <v>2876</v>
      </c>
      <c r="B2786" t="s">
        <v>67</v>
      </c>
      <c r="C2786" t="s">
        <v>89</v>
      </c>
      <c r="D2786" t="s">
        <v>57</v>
      </c>
      <c r="E2786">
        <v>23</v>
      </c>
      <c r="F2786" s="3">
        <v>5.93</v>
      </c>
      <c r="G2786" s="4">
        <v>75.2</v>
      </c>
      <c r="H2786">
        <v>0</v>
      </c>
      <c r="I2786">
        <v>2</v>
      </c>
      <c r="J2786">
        <v>4</v>
      </c>
      <c r="K2786" s="4">
        <v>77.7</v>
      </c>
      <c r="L2786" s="4">
        <v>34.799999999999997</v>
      </c>
      <c r="M2786" s="4">
        <v>59</v>
      </c>
      <c r="N2786">
        <v>0</v>
      </c>
      <c r="O2786" t="s">
        <v>58</v>
      </c>
      <c r="P2786" t="s">
        <v>79</v>
      </c>
      <c r="Q2786" t="s">
        <v>71</v>
      </c>
      <c r="R2786" t="s">
        <v>130</v>
      </c>
      <c r="S2786" s="3">
        <v>3.85</v>
      </c>
      <c r="T2786" s="5">
        <v>45183</v>
      </c>
      <c r="U2786">
        <v>1</v>
      </c>
      <c r="V2786">
        <v>2023</v>
      </c>
      <c r="X2786">
        <f t="shared" si="129"/>
        <v>5.9297214</v>
      </c>
      <c r="Y2786">
        <f t="shared" si="130"/>
        <v>3.8497214</v>
      </c>
      <c r="Z2786">
        <f t="shared" si="131"/>
        <v>34.799721399999996</v>
      </c>
    </row>
    <row r="2787" spans="1:26" x14ac:dyDescent="0.3">
      <c r="A2787" t="s">
        <v>2877</v>
      </c>
      <c r="B2787" t="s">
        <v>67</v>
      </c>
      <c r="C2787" t="s">
        <v>56</v>
      </c>
      <c r="D2787" t="s">
        <v>57</v>
      </c>
      <c r="E2787">
        <v>22</v>
      </c>
      <c r="F2787" s="3">
        <v>8.0500000000000007</v>
      </c>
      <c r="G2787" s="4">
        <v>70</v>
      </c>
      <c r="H2787">
        <v>2</v>
      </c>
      <c r="I2787">
        <v>2</v>
      </c>
      <c r="J2787">
        <v>4</v>
      </c>
      <c r="K2787" s="4">
        <v>65.7</v>
      </c>
      <c r="L2787" s="4">
        <v>74.7</v>
      </c>
      <c r="M2787" s="4">
        <v>80.7</v>
      </c>
      <c r="N2787">
        <v>0</v>
      </c>
      <c r="O2787" t="s">
        <v>58</v>
      </c>
      <c r="P2787" t="s">
        <v>75</v>
      </c>
      <c r="Q2787" t="s">
        <v>71</v>
      </c>
      <c r="R2787" t="s">
        <v>80</v>
      </c>
      <c r="S2787" s="3">
        <v>8.51</v>
      </c>
      <c r="T2787" s="5">
        <v>45199</v>
      </c>
      <c r="U2787">
        <v>1</v>
      </c>
      <c r="V2787">
        <v>2023</v>
      </c>
      <c r="X2787">
        <f t="shared" si="129"/>
        <v>8.0497212999999999</v>
      </c>
      <c r="Y2787">
        <f t="shared" si="130"/>
        <v>8.5097212999999989</v>
      </c>
      <c r="Z2787">
        <f t="shared" si="131"/>
        <v>74.699721300000007</v>
      </c>
    </row>
    <row r="2788" spans="1:26" x14ac:dyDescent="0.3">
      <c r="A2788" t="s">
        <v>2878</v>
      </c>
      <c r="B2788" t="s">
        <v>67</v>
      </c>
      <c r="C2788" t="s">
        <v>68</v>
      </c>
      <c r="D2788" t="s">
        <v>69</v>
      </c>
      <c r="E2788">
        <v>20</v>
      </c>
      <c r="F2788" s="3">
        <v>8.41</v>
      </c>
      <c r="G2788" s="4">
        <v>81.2</v>
      </c>
      <c r="H2788">
        <v>0</v>
      </c>
      <c r="I2788">
        <v>2</v>
      </c>
      <c r="J2788">
        <v>6</v>
      </c>
      <c r="K2788" s="4">
        <v>60.4</v>
      </c>
      <c r="L2788" s="4">
        <v>48.9</v>
      </c>
      <c r="M2788" s="4">
        <v>77.3</v>
      </c>
      <c r="N2788">
        <v>0</v>
      </c>
      <c r="O2788" t="s">
        <v>58</v>
      </c>
      <c r="P2788" t="s">
        <v>92</v>
      </c>
      <c r="Q2788" t="s">
        <v>93</v>
      </c>
      <c r="R2788" t="s">
        <v>85</v>
      </c>
      <c r="S2788" s="3">
        <v>9.7100000000000009</v>
      </c>
      <c r="T2788" s="5">
        <v>45228</v>
      </c>
      <c r="U2788">
        <v>1</v>
      </c>
      <c r="V2788">
        <v>2023</v>
      </c>
      <c r="X2788">
        <f t="shared" si="129"/>
        <v>8.4097211999999999</v>
      </c>
      <c r="Y2788">
        <f t="shared" si="130"/>
        <v>9.7097212000000006</v>
      </c>
      <c r="Z2788">
        <f t="shared" si="131"/>
        <v>48.899721200000002</v>
      </c>
    </row>
    <row r="2789" spans="1:26" x14ac:dyDescent="0.3">
      <c r="A2789" t="s">
        <v>2879</v>
      </c>
      <c r="B2789" t="s">
        <v>82</v>
      </c>
      <c r="C2789" t="s">
        <v>84</v>
      </c>
      <c r="D2789" t="s">
        <v>69</v>
      </c>
      <c r="E2789">
        <v>22</v>
      </c>
      <c r="F2789" s="3">
        <v>6.46</v>
      </c>
      <c r="G2789" s="4">
        <v>82.9</v>
      </c>
      <c r="H2789">
        <v>0</v>
      </c>
      <c r="I2789">
        <v>0</v>
      </c>
      <c r="J2789">
        <v>3</v>
      </c>
      <c r="K2789" s="4">
        <v>78.2</v>
      </c>
      <c r="L2789" s="4">
        <v>69.400000000000006</v>
      </c>
      <c r="M2789" s="4">
        <v>81.599999999999994</v>
      </c>
      <c r="N2789">
        <v>0</v>
      </c>
      <c r="O2789" t="s">
        <v>64</v>
      </c>
      <c r="P2789" t="s">
        <v>65</v>
      </c>
      <c r="S2789" s="3">
        <v>0</v>
      </c>
      <c r="T2789" s="5"/>
      <c r="U2789">
        <v>0</v>
      </c>
      <c r="V2789">
        <v>2022</v>
      </c>
      <c r="X2789">
        <f t="shared" si="129"/>
        <v>6.4597211000000003</v>
      </c>
      <c r="Y2789">
        <f t="shared" si="130"/>
        <v>-2.789E-4</v>
      </c>
      <c r="Z2789">
        <f t="shared" si="131"/>
        <v>69.399721100000008</v>
      </c>
    </row>
    <row r="2790" spans="1:26" x14ac:dyDescent="0.3">
      <c r="A2790" t="s">
        <v>2880</v>
      </c>
      <c r="B2790" t="s">
        <v>67</v>
      </c>
      <c r="C2790" t="s">
        <v>56</v>
      </c>
      <c r="D2790" t="s">
        <v>57</v>
      </c>
      <c r="E2790">
        <v>22</v>
      </c>
      <c r="F2790" s="3">
        <v>7.79</v>
      </c>
      <c r="G2790" s="4">
        <v>76.3</v>
      </c>
      <c r="H2790">
        <v>1</v>
      </c>
      <c r="I2790">
        <v>3</v>
      </c>
      <c r="J2790">
        <v>5</v>
      </c>
      <c r="K2790" s="4">
        <v>91.6</v>
      </c>
      <c r="L2790" s="4">
        <v>52.2</v>
      </c>
      <c r="M2790" s="4">
        <v>65.3</v>
      </c>
      <c r="N2790">
        <v>0</v>
      </c>
      <c r="O2790" t="s">
        <v>58</v>
      </c>
      <c r="P2790" t="s">
        <v>104</v>
      </c>
      <c r="Q2790" t="s">
        <v>105</v>
      </c>
      <c r="R2790" t="s">
        <v>80</v>
      </c>
      <c r="S2790" s="3">
        <v>15.27</v>
      </c>
      <c r="T2790" s="5">
        <v>45140</v>
      </c>
      <c r="U2790">
        <v>1</v>
      </c>
      <c r="V2790">
        <v>2023</v>
      </c>
      <c r="X2790">
        <f t="shared" si="129"/>
        <v>7.7897210000000001</v>
      </c>
      <c r="Y2790">
        <f t="shared" si="130"/>
        <v>15.269720999999999</v>
      </c>
      <c r="Z2790">
        <f t="shared" si="131"/>
        <v>52.199721000000004</v>
      </c>
    </row>
    <row r="2791" spans="1:26" x14ac:dyDescent="0.3">
      <c r="A2791" t="s">
        <v>2881</v>
      </c>
      <c r="B2791" t="s">
        <v>107</v>
      </c>
      <c r="C2791" t="s">
        <v>74</v>
      </c>
      <c r="D2791" t="s">
        <v>57</v>
      </c>
      <c r="E2791">
        <v>20</v>
      </c>
      <c r="F2791" s="3">
        <v>7.56</v>
      </c>
      <c r="G2791" s="4">
        <v>71.3</v>
      </c>
      <c r="H2791">
        <v>2</v>
      </c>
      <c r="I2791">
        <v>0</v>
      </c>
      <c r="J2791">
        <v>2</v>
      </c>
      <c r="K2791" s="4">
        <v>81.900000000000006</v>
      </c>
      <c r="L2791" s="4">
        <v>43.2</v>
      </c>
      <c r="M2791" s="4">
        <v>100</v>
      </c>
      <c r="N2791">
        <v>0</v>
      </c>
      <c r="O2791" t="s">
        <v>58</v>
      </c>
      <c r="P2791" t="s">
        <v>92</v>
      </c>
      <c r="Q2791" t="s">
        <v>93</v>
      </c>
      <c r="R2791" t="s">
        <v>109</v>
      </c>
      <c r="S2791" s="3">
        <v>9.2100000000000009</v>
      </c>
      <c r="T2791" s="5">
        <v>44482</v>
      </c>
      <c r="U2791">
        <v>1</v>
      </c>
      <c r="V2791">
        <v>2021</v>
      </c>
      <c r="X2791">
        <f t="shared" si="129"/>
        <v>7.5597208999999994</v>
      </c>
      <c r="Y2791">
        <f t="shared" si="130"/>
        <v>9.2097209000000007</v>
      </c>
      <c r="Z2791">
        <f t="shared" si="131"/>
        <v>43.199720900000003</v>
      </c>
    </row>
    <row r="2792" spans="1:26" x14ac:dyDescent="0.3">
      <c r="A2792" t="s">
        <v>2882</v>
      </c>
      <c r="B2792" t="s">
        <v>55</v>
      </c>
      <c r="C2792" t="s">
        <v>101</v>
      </c>
      <c r="D2792" t="s">
        <v>69</v>
      </c>
      <c r="E2792">
        <v>21</v>
      </c>
      <c r="F2792" s="3">
        <v>9.17</v>
      </c>
      <c r="G2792" s="4">
        <v>82.1</v>
      </c>
      <c r="H2792">
        <v>1</v>
      </c>
      <c r="I2792">
        <v>0</v>
      </c>
      <c r="J2792">
        <v>4</v>
      </c>
      <c r="K2792" s="4">
        <v>69.5</v>
      </c>
      <c r="L2792" s="4">
        <v>69.3</v>
      </c>
      <c r="M2792" s="4">
        <v>53.1</v>
      </c>
      <c r="N2792">
        <v>0</v>
      </c>
      <c r="O2792" t="s">
        <v>58</v>
      </c>
      <c r="P2792" t="s">
        <v>104</v>
      </c>
      <c r="Q2792" t="s">
        <v>105</v>
      </c>
      <c r="R2792" t="s">
        <v>61</v>
      </c>
      <c r="S2792" s="3">
        <v>15.17</v>
      </c>
      <c r="T2792" s="5">
        <v>45598</v>
      </c>
      <c r="U2792">
        <v>1</v>
      </c>
      <c r="V2792">
        <v>2024</v>
      </c>
      <c r="X2792">
        <f t="shared" si="129"/>
        <v>9.1697208000000003</v>
      </c>
      <c r="Y2792">
        <f t="shared" si="130"/>
        <v>15.1697208</v>
      </c>
      <c r="Z2792">
        <f t="shared" si="131"/>
        <v>69.299720800000003</v>
      </c>
    </row>
    <row r="2793" spans="1:26" x14ac:dyDescent="0.3">
      <c r="A2793" t="s">
        <v>2883</v>
      </c>
      <c r="B2793" t="s">
        <v>55</v>
      </c>
      <c r="C2793" t="s">
        <v>84</v>
      </c>
      <c r="D2793" t="s">
        <v>69</v>
      </c>
      <c r="E2793">
        <v>20</v>
      </c>
      <c r="F2793" s="3">
        <v>6.85</v>
      </c>
      <c r="G2793" s="4">
        <v>89.2</v>
      </c>
      <c r="H2793">
        <v>0</v>
      </c>
      <c r="I2793">
        <v>1</v>
      </c>
      <c r="J2793">
        <v>4</v>
      </c>
      <c r="K2793" s="4">
        <v>80.900000000000006</v>
      </c>
      <c r="L2793" s="4">
        <v>67</v>
      </c>
      <c r="M2793" s="4">
        <v>75.099999999999994</v>
      </c>
      <c r="N2793">
        <v>0</v>
      </c>
      <c r="O2793" t="s">
        <v>58</v>
      </c>
      <c r="P2793" t="s">
        <v>79</v>
      </c>
      <c r="Q2793" t="s">
        <v>71</v>
      </c>
      <c r="R2793" t="s">
        <v>85</v>
      </c>
      <c r="S2793" s="3">
        <v>3.52</v>
      </c>
      <c r="T2793" s="5">
        <v>45551</v>
      </c>
      <c r="U2793">
        <v>1</v>
      </c>
      <c r="V2793">
        <v>2024</v>
      </c>
      <c r="X2793">
        <f t="shared" si="129"/>
        <v>6.8497206999999998</v>
      </c>
      <c r="Y2793">
        <f t="shared" si="130"/>
        <v>3.5197207000000001</v>
      </c>
      <c r="Z2793">
        <f t="shared" si="131"/>
        <v>66.999720699999997</v>
      </c>
    </row>
    <row r="2794" spans="1:26" x14ac:dyDescent="0.3">
      <c r="A2794" t="s">
        <v>2884</v>
      </c>
      <c r="B2794" t="s">
        <v>63</v>
      </c>
      <c r="C2794" t="s">
        <v>68</v>
      </c>
      <c r="D2794" t="s">
        <v>57</v>
      </c>
      <c r="E2794">
        <v>23</v>
      </c>
      <c r="F2794" s="3">
        <v>8.48</v>
      </c>
      <c r="G2794" s="4">
        <v>71.099999999999994</v>
      </c>
      <c r="H2794">
        <v>2</v>
      </c>
      <c r="I2794">
        <v>1</v>
      </c>
      <c r="J2794">
        <v>5</v>
      </c>
      <c r="K2794" s="4">
        <v>81.599999999999994</v>
      </c>
      <c r="L2794" s="4">
        <v>71.400000000000006</v>
      </c>
      <c r="M2794" s="4">
        <v>82.6</v>
      </c>
      <c r="N2794">
        <v>0</v>
      </c>
      <c r="O2794" t="s">
        <v>58</v>
      </c>
      <c r="P2794" t="s">
        <v>92</v>
      </c>
      <c r="Q2794" t="s">
        <v>93</v>
      </c>
      <c r="R2794" t="s">
        <v>80</v>
      </c>
      <c r="S2794" s="3">
        <v>9.69</v>
      </c>
      <c r="T2794" s="5">
        <v>45936</v>
      </c>
      <c r="U2794">
        <v>1</v>
      </c>
      <c r="V2794">
        <v>2025</v>
      </c>
      <c r="X2794">
        <f t="shared" si="129"/>
        <v>8.4797206000000003</v>
      </c>
      <c r="Y2794">
        <f t="shared" si="130"/>
        <v>9.6897205999999994</v>
      </c>
      <c r="Z2794">
        <f t="shared" si="131"/>
        <v>71.399720600000009</v>
      </c>
    </row>
    <row r="2795" spans="1:26" x14ac:dyDescent="0.3">
      <c r="A2795" t="s">
        <v>2885</v>
      </c>
      <c r="B2795" t="s">
        <v>107</v>
      </c>
      <c r="C2795" t="s">
        <v>68</v>
      </c>
      <c r="D2795" t="s">
        <v>57</v>
      </c>
      <c r="E2795">
        <v>20</v>
      </c>
      <c r="F2795" s="3">
        <v>8.68</v>
      </c>
      <c r="G2795" s="4">
        <v>96.2</v>
      </c>
      <c r="H2795">
        <v>2</v>
      </c>
      <c r="I2795">
        <v>3</v>
      </c>
      <c r="J2795">
        <v>4</v>
      </c>
      <c r="K2795" s="4">
        <v>70.099999999999994</v>
      </c>
      <c r="L2795" s="4">
        <v>93.9</v>
      </c>
      <c r="M2795" s="4">
        <v>83.9</v>
      </c>
      <c r="N2795">
        <v>0</v>
      </c>
      <c r="O2795" t="s">
        <v>58</v>
      </c>
      <c r="P2795" t="s">
        <v>59</v>
      </c>
      <c r="Q2795" t="s">
        <v>60</v>
      </c>
      <c r="R2795" t="s">
        <v>80</v>
      </c>
      <c r="S2795" s="3">
        <v>20.57</v>
      </c>
      <c r="T2795" s="5">
        <v>44510</v>
      </c>
      <c r="U2795">
        <v>1</v>
      </c>
      <c r="V2795">
        <v>2021</v>
      </c>
      <c r="X2795">
        <f t="shared" si="129"/>
        <v>8.6797205000000002</v>
      </c>
      <c r="Y2795">
        <f t="shared" si="130"/>
        <v>20.569720499999999</v>
      </c>
      <c r="Z2795">
        <f t="shared" si="131"/>
        <v>93.899720500000001</v>
      </c>
    </row>
    <row r="2796" spans="1:26" x14ac:dyDescent="0.3">
      <c r="A2796" t="s">
        <v>2886</v>
      </c>
      <c r="B2796" t="s">
        <v>67</v>
      </c>
      <c r="C2796" t="s">
        <v>89</v>
      </c>
      <c r="D2796" t="s">
        <v>69</v>
      </c>
      <c r="E2796">
        <v>23</v>
      </c>
      <c r="F2796" s="3">
        <v>7.47</v>
      </c>
      <c r="G2796" s="4">
        <v>76.900000000000006</v>
      </c>
      <c r="H2796">
        <v>2</v>
      </c>
      <c r="I2796">
        <v>2</v>
      </c>
      <c r="J2796">
        <v>2</v>
      </c>
      <c r="K2796" s="4">
        <v>70.099999999999994</v>
      </c>
      <c r="L2796" s="4">
        <v>80.599999999999994</v>
      </c>
      <c r="M2796" s="4">
        <v>74.099999999999994</v>
      </c>
      <c r="N2796">
        <v>0</v>
      </c>
      <c r="O2796" t="s">
        <v>58</v>
      </c>
      <c r="P2796" t="s">
        <v>104</v>
      </c>
      <c r="Q2796" t="s">
        <v>105</v>
      </c>
      <c r="R2796" t="s">
        <v>72</v>
      </c>
      <c r="S2796" s="3">
        <v>16.23</v>
      </c>
      <c r="T2796" s="5">
        <v>45167</v>
      </c>
      <c r="U2796">
        <v>1</v>
      </c>
      <c r="V2796">
        <v>2023</v>
      </c>
      <c r="X2796">
        <f t="shared" si="129"/>
        <v>7.4697203999999999</v>
      </c>
      <c r="Y2796">
        <f t="shared" si="130"/>
        <v>16.229720400000001</v>
      </c>
      <c r="Z2796">
        <f t="shared" si="131"/>
        <v>80.599720399999995</v>
      </c>
    </row>
    <row r="2797" spans="1:26" x14ac:dyDescent="0.3">
      <c r="A2797" t="s">
        <v>2887</v>
      </c>
      <c r="B2797" t="s">
        <v>55</v>
      </c>
      <c r="C2797" t="s">
        <v>84</v>
      </c>
      <c r="D2797" t="s">
        <v>69</v>
      </c>
      <c r="E2797">
        <v>23</v>
      </c>
      <c r="F2797" s="3">
        <v>7.91</v>
      </c>
      <c r="G2797" s="4">
        <v>76.3</v>
      </c>
      <c r="H2797">
        <v>1</v>
      </c>
      <c r="I2797">
        <v>1</v>
      </c>
      <c r="J2797">
        <v>3</v>
      </c>
      <c r="K2797" s="4">
        <v>60.6</v>
      </c>
      <c r="L2797" s="4">
        <v>99.6</v>
      </c>
      <c r="M2797" s="4">
        <v>81.5</v>
      </c>
      <c r="N2797">
        <v>0</v>
      </c>
      <c r="O2797" t="s">
        <v>58</v>
      </c>
      <c r="P2797" t="s">
        <v>104</v>
      </c>
      <c r="Q2797" t="s">
        <v>105</v>
      </c>
      <c r="R2797" t="s">
        <v>130</v>
      </c>
      <c r="S2797" s="3">
        <v>16.21</v>
      </c>
      <c r="T2797" s="5">
        <v>45567</v>
      </c>
      <c r="U2797">
        <v>1</v>
      </c>
      <c r="V2797">
        <v>2024</v>
      </c>
      <c r="X2797">
        <f t="shared" si="129"/>
        <v>7.9097203</v>
      </c>
      <c r="Y2797">
        <f t="shared" si="130"/>
        <v>16.209720300000001</v>
      </c>
      <c r="Z2797">
        <f t="shared" si="131"/>
        <v>99.599720300000001</v>
      </c>
    </row>
    <row r="2798" spans="1:26" x14ac:dyDescent="0.3">
      <c r="A2798" t="s">
        <v>2888</v>
      </c>
      <c r="B2798" t="s">
        <v>107</v>
      </c>
      <c r="C2798" t="s">
        <v>101</v>
      </c>
      <c r="D2798" t="s">
        <v>57</v>
      </c>
      <c r="E2798">
        <v>22</v>
      </c>
      <c r="F2798" s="3">
        <v>8.6199999999999992</v>
      </c>
      <c r="G2798" s="4">
        <v>83.2</v>
      </c>
      <c r="H2798">
        <v>2</v>
      </c>
      <c r="I2798">
        <v>5</v>
      </c>
      <c r="J2798">
        <v>3</v>
      </c>
      <c r="K2798" s="4">
        <v>79.599999999999994</v>
      </c>
      <c r="L2798" s="4">
        <v>65.400000000000006</v>
      </c>
      <c r="M2798" s="4">
        <v>84.9</v>
      </c>
      <c r="N2798">
        <v>0</v>
      </c>
      <c r="O2798" t="s">
        <v>58</v>
      </c>
      <c r="P2798" t="s">
        <v>90</v>
      </c>
      <c r="Q2798" t="s">
        <v>60</v>
      </c>
      <c r="R2798" t="s">
        <v>80</v>
      </c>
      <c r="S2798" s="3">
        <v>10.71</v>
      </c>
      <c r="T2798" s="5">
        <v>44433</v>
      </c>
      <c r="U2798">
        <v>1</v>
      </c>
      <c r="V2798">
        <v>2021</v>
      </c>
      <c r="X2798">
        <f t="shared" si="129"/>
        <v>8.6197201999999997</v>
      </c>
      <c r="Y2798">
        <f t="shared" si="130"/>
        <v>10.709720200000001</v>
      </c>
      <c r="Z2798">
        <f t="shared" si="131"/>
        <v>65.399720200000004</v>
      </c>
    </row>
    <row r="2799" spans="1:26" x14ac:dyDescent="0.3">
      <c r="A2799" t="s">
        <v>2889</v>
      </c>
      <c r="B2799" t="s">
        <v>55</v>
      </c>
      <c r="C2799" t="s">
        <v>56</v>
      </c>
      <c r="D2799" t="s">
        <v>69</v>
      </c>
      <c r="E2799">
        <v>22</v>
      </c>
      <c r="F2799" s="3">
        <v>6.66</v>
      </c>
      <c r="G2799" s="4">
        <v>82.9</v>
      </c>
      <c r="H2799">
        <v>1</v>
      </c>
      <c r="I2799">
        <v>1</v>
      </c>
      <c r="J2799">
        <v>3</v>
      </c>
      <c r="K2799" s="4">
        <v>65.599999999999994</v>
      </c>
      <c r="L2799" s="4">
        <v>59.2</v>
      </c>
      <c r="M2799" s="4">
        <v>75.3</v>
      </c>
      <c r="N2799">
        <v>0</v>
      </c>
      <c r="O2799" t="s">
        <v>58</v>
      </c>
      <c r="P2799" t="s">
        <v>70</v>
      </c>
      <c r="Q2799" t="s">
        <v>71</v>
      </c>
      <c r="R2799" t="s">
        <v>80</v>
      </c>
      <c r="S2799" s="3">
        <v>5.27</v>
      </c>
      <c r="T2799" s="5">
        <v>45614</v>
      </c>
      <c r="U2799">
        <v>1</v>
      </c>
      <c r="V2799">
        <v>2024</v>
      </c>
      <c r="X2799">
        <f t="shared" si="129"/>
        <v>6.6597201000000004</v>
      </c>
      <c r="Y2799">
        <f t="shared" si="130"/>
        <v>5.2697200999999998</v>
      </c>
      <c r="Z2799">
        <f t="shared" si="131"/>
        <v>59.1997201</v>
      </c>
    </row>
    <row r="2800" spans="1:26" x14ac:dyDescent="0.3">
      <c r="A2800" t="s">
        <v>2890</v>
      </c>
      <c r="B2800" t="s">
        <v>67</v>
      </c>
      <c r="C2800" t="s">
        <v>68</v>
      </c>
      <c r="D2800" t="s">
        <v>69</v>
      </c>
      <c r="E2800">
        <v>21</v>
      </c>
      <c r="F2800" s="3">
        <v>7.27</v>
      </c>
      <c r="G2800" s="4">
        <v>61.9</v>
      </c>
      <c r="H2800">
        <v>1</v>
      </c>
      <c r="I2800">
        <v>2</v>
      </c>
      <c r="J2800">
        <v>4</v>
      </c>
      <c r="K2800" s="4">
        <v>54.3</v>
      </c>
      <c r="L2800" s="4">
        <v>76.900000000000006</v>
      </c>
      <c r="M2800" s="4">
        <v>76.7</v>
      </c>
      <c r="N2800">
        <v>0</v>
      </c>
      <c r="O2800" t="s">
        <v>58</v>
      </c>
      <c r="P2800" t="s">
        <v>75</v>
      </c>
      <c r="Q2800" t="s">
        <v>71</v>
      </c>
      <c r="R2800" t="s">
        <v>109</v>
      </c>
      <c r="S2800" s="3">
        <v>5.73</v>
      </c>
      <c r="T2800" s="5">
        <v>45142</v>
      </c>
      <c r="U2800">
        <v>1</v>
      </c>
      <c r="V2800">
        <v>2023</v>
      </c>
      <c r="X2800">
        <f t="shared" si="129"/>
        <v>7.2697199999999995</v>
      </c>
      <c r="Y2800">
        <f t="shared" si="130"/>
        <v>5.7297200000000004</v>
      </c>
      <c r="Z2800">
        <f t="shared" si="131"/>
        <v>76.899720000000002</v>
      </c>
    </row>
    <row r="2801" spans="1:26" x14ac:dyDescent="0.3">
      <c r="A2801" t="s">
        <v>2891</v>
      </c>
      <c r="B2801" t="s">
        <v>55</v>
      </c>
      <c r="C2801" t="s">
        <v>68</v>
      </c>
      <c r="D2801" t="s">
        <v>69</v>
      </c>
      <c r="E2801">
        <v>23</v>
      </c>
      <c r="F2801" s="3">
        <v>7.82</v>
      </c>
      <c r="G2801" s="4">
        <v>81</v>
      </c>
      <c r="H2801">
        <v>1</v>
      </c>
      <c r="I2801">
        <v>3</v>
      </c>
      <c r="J2801">
        <v>4</v>
      </c>
      <c r="K2801" s="4">
        <v>54.8</v>
      </c>
      <c r="L2801" s="4">
        <v>97.9</v>
      </c>
      <c r="M2801" s="4">
        <v>81.7</v>
      </c>
      <c r="N2801">
        <v>0</v>
      </c>
      <c r="O2801" t="s">
        <v>64</v>
      </c>
      <c r="P2801" t="s">
        <v>65</v>
      </c>
      <c r="S2801" s="3">
        <v>0</v>
      </c>
      <c r="T2801" s="5"/>
      <c r="U2801">
        <v>0</v>
      </c>
      <c r="V2801">
        <v>2024</v>
      </c>
      <c r="X2801">
        <f t="shared" si="129"/>
        <v>7.8197198999999999</v>
      </c>
      <c r="Y2801">
        <f t="shared" si="130"/>
        <v>-2.8009999999999998E-4</v>
      </c>
      <c r="Z2801">
        <f t="shared" si="131"/>
        <v>97.899719900000008</v>
      </c>
    </row>
    <row r="2802" spans="1:26" x14ac:dyDescent="0.3">
      <c r="A2802" t="s">
        <v>2892</v>
      </c>
      <c r="B2802" t="s">
        <v>63</v>
      </c>
      <c r="C2802" t="s">
        <v>101</v>
      </c>
      <c r="D2802" t="s">
        <v>69</v>
      </c>
      <c r="E2802">
        <v>22</v>
      </c>
      <c r="F2802" s="3">
        <v>9.51</v>
      </c>
      <c r="G2802" s="4">
        <v>87.2</v>
      </c>
      <c r="H2802">
        <v>1</v>
      </c>
      <c r="I2802">
        <v>3</v>
      </c>
      <c r="J2802">
        <v>5</v>
      </c>
      <c r="K2802" s="4">
        <v>67.400000000000006</v>
      </c>
      <c r="L2802" s="4">
        <v>53.2</v>
      </c>
      <c r="M2802" s="4">
        <v>74.3</v>
      </c>
      <c r="N2802">
        <v>0</v>
      </c>
      <c r="O2802" t="s">
        <v>58</v>
      </c>
      <c r="P2802" t="s">
        <v>87</v>
      </c>
      <c r="Q2802" t="s">
        <v>71</v>
      </c>
      <c r="R2802" t="s">
        <v>85</v>
      </c>
      <c r="S2802" s="3">
        <v>7.36</v>
      </c>
      <c r="T2802" s="5">
        <v>45938</v>
      </c>
      <c r="U2802">
        <v>1</v>
      </c>
      <c r="V2802">
        <v>2025</v>
      </c>
      <c r="X2802">
        <f t="shared" si="129"/>
        <v>9.5097197999999992</v>
      </c>
      <c r="Y2802">
        <f t="shared" si="130"/>
        <v>7.3597198000000006</v>
      </c>
      <c r="Z2802">
        <f t="shared" si="131"/>
        <v>53.199719800000004</v>
      </c>
    </row>
    <row r="2803" spans="1:26" x14ac:dyDescent="0.3">
      <c r="A2803" t="s">
        <v>2893</v>
      </c>
      <c r="B2803" t="s">
        <v>63</v>
      </c>
      <c r="C2803" t="s">
        <v>89</v>
      </c>
      <c r="D2803" t="s">
        <v>69</v>
      </c>
      <c r="E2803">
        <v>23</v>
      </c>
      <c r="F2803" s="3">
        <v>7.29</v>
      </c>
      <c r="G2803" s="4">
        <v>91.3</v>
      </c>
      <c r="H2803">
        <v>1</v>
      </c>
      <c r="I2803">
        <v>0</v>
      </c>
      <c r="J2803">
        <v>6</v>
      </c>
      <c r="K2803" s="4">
        <v>54.8</v>
      </c>
      <c r="L2803" s="4">
        <v>91</v>
      </c>
      <c r="M2803" s="4">
        <v>90</v>
      </c>
      <c r="N2803">
        <v>0</v>
      </c>
      <c r="O2803" t="s">
        <v>58</v>
      </c>
      <c r="P2803" t="s">
        <v>75</v>
      </c>
      <c r="Q2803" t="s">
        <v>71</v>
      </c>
      <c r="R2803" t="s">
        <v>72</v>
      </c>
      <c r="S2803" s="3">
        <v>6.61</v>
      </c>
      <c r="T2803" s="5">
        <v>45932</v>
      </c>
      <c r="U2803">
        <v>2</v>
      </c>
      <c r="V2803">
        <v>2025</v>
      </c>
      <c r="X2803">
        <f t="shared" si="129"/>
        <v>7.2897197</v>
      </c>
      <c r="Y2803">
        <f t="shared" si="130"/>
        <v>6.6097197000000003</v>
      </c>
      <c r="Z2803">
        <f t="shared" si="131"/>
        <v>90.9997197</v>
      </c>
    </row>
    <row r="2804" spans="1:26" x14ac:dyDescent="0.3">
      <c r="A2804" t="s">
        <v>2894</v>
      </c>
      <c r="B2804" t="s">
        <v>55</v>
      </c>
      <c r="C2804" t="s">
        <v>89</v>
      </c>
      <c r="D2804" t="s">
        <v>57</v>
      </c>
      <c r="E2804">
        <v>21</v>
      </c>
      <c r="F2804" s="3">
        <v>7.41</v>
      </c>
      <c r="G2804" s="4">
        <v>81</v>
      </c>
      <c r="H2804">
        <v>0</v>
      </c>
      <c r="I2804">
        <v>3</v>
      </c>
      <c r="J2804">
        <v>3</v>
      </c>
      <c r="K2804" s="4">
        <v>100</v>
      </c>
      <c r="L2804" s="4">
        <v>77.099999999999994</v>
      </c>
      <c r="M2804" s="4">
        <v>86</v>
      </c>
      <c r="N2804">
        <v>0</v>
      </c>
      <c r="O2804" t="s">
        <v>58</v>
      </c>
      <c r="P2804" t="s">
        <v>75</v>
      </c>
      <c r="Q2804" t="s">
        <v>71</v>
      </c>
      <c r="R2804" t="s">
        <v>72</v>
      </c>
      <c r="S2804" s="3">
        <v>5.33</v>
      </c>
      <c r="T2804" s="5">
        <v>45510</v>
      </c>
      <c r="U2804">
        <v>2</v>
      </c>
      <c r="V2804">
        <v>2024</v>
      </c>
      <c r="X2804">
        <f t="shared" si="129"/>
        <v>7.4097195999999999</v>
      </c>
      <c r="Y2804">
        <f t="shared" si="130"/>
        <v>5.3297195999999998</v>
      </c>
      <c r="Z2804">
        <f t="shared" si="131"/>
        <v>77.0997196</v>
      </c>
    </row>
    <row r="2805" spans="1:26" x14ac:dyDescent="0.3">
      <c r="A2805" t="s">
        <v>2895</v>
      </c>
      <c r="B2805" t="s">
        <v>107</v>
      </c>
      <c r="C2805" t="s">
        <v>84</v>
      </c>
      <c r="D2805" t="s">
        <v>69</v>
      </c>
      <c r="E2805">
        <v>23</v>
      </c>
      <c r="F2805" s="3">
        <v>9.0399999999999991</v>
      </c>
      <c r="G2805" s="4">
        <v>78.8</v>
      </c>
      <c r="H2805">
        <v>1</v>
      </c>
      <c r="I2805">
        <v>1</v>
      </c>
      <c r="J2805">
        <v>2</v>
      </c>
      <c r="K2805" s="4">
        <v>74.8</v>
      </c>
      <c r="L2805" s="4">
        <v>63.4</v>
      </c>
      <c r="M2805" s="4">
        <v>70.3</v>
      </c>
      <c r="N2805">
        <v>0</v>
      </c>
      <c r="O2805" t="s">
        <v>58</v>
      </c>
      <c r="P2805" t="s">
        <v>59</v>
      </c>
      <c r="Q2805" t="s">
        <v>60</v>
      </c>
      <c r="R2805" t="s">
        <v>85</v>
      </c>
      <c r="S2805" s="3">
        <v>19.559999999999999</v>
      </c>
      <c r="T2805" s="5">
        <v>44491</v>
      </c>
      <c r="U2805">
        <v>1</v>
      </c>
      <c r="V2805">
        <v>2021</v>
      </c>
      <c r="X2805">
        <f t="shared" si="129"/>
        <v>9.0397194999999986</v>
      </c>
      <c r="Y2805">
        <f t="shared" si="130"/>
        <v>19.5597195</v>
      </c>
      <c r="Z2805">
        <f t="shared" si="131"/>
        <v>63.399719499999996</v>
      </c>
    </row>
    <row r="2806" spans="1:26" x14ac:dyDescent="0.3">
      <c r="A2806" t="s">
        <v>2896</v>
      </c>
      <c r="B2806" t="s">
        <v>107</v>
      </c>
      <c r="C2806" t="s">
        <v>56</v>
      </c>
      <c r="D2806" t="s">
        <v>57</v>
      </c>
      <c r="E2806">
        <v>21</v>
      </c>
      <c r="F2806" s="3">
        <v>8.25</v>
      </c>
      <c r="G2806" s="4">
        <v>88.5</v>
      </c>
      <c r="H2806">
        <v>1</v>
      </c>
      <c r="I2806">
        <v>1</v>
      </c>
      <c r="J2806">
        <v>5</v>
      </c>
      <c r="K2806" s="4">
        <v>61.1</v>
      </c>
      <c r="L2806" s="4">
        <v>92.5</v>
      </c>
      <c r="M2806" s="4">
        <v>65.400000000000006</v>
      </c>
      <c r="N2806">
        <v>0</v>
      </c>
      <c r="O2806" t="s">
        <v>58</v>
      </c>
      <c r="P2806" t="s">
        <v>87</v>
      </c>
      <c r="Q2806" t="s">
        <v>71</v>
      </c>
      <c r="R2806" t="s">
        <v>130</v>
      </c>
      <c r="S2806" s="3">
        <v>7.06</v>
      </c>
      <c r="T2806" s="5">
        <v>44426</v>
      </c>
      <c r="U2806">
        <v>3</v>
      </c>
      <c r="V2806">
        <v>2021</v>
      </c>
      <c r="X2806">
        <f t="shared" si="129"/>
        <v>8.2497194</v>
      </c>
      <c r="Y2806">
        <f t="shared" si="130"/>
        <v>7.0597193999999996</v>
      </c>
      <c r="Z2806">
        <f t="shared" si="131"/>
        <v>92.499719400000004</v>
      </c>
    </row>
    <row r="2807" spans="1:26" x14ac:dyDescent="0.3">
      <c r="A2807" t="s">
        <v>2897</v>
      </c>
      <c r="B2807" t="s">
        <v>107</v>
      </c>
      <c r="C2807" t="s">
        <v>56</v>
      </c>
      <c r="D2807" t="s">
        <v>69</v>
      </c>
      <c r="E2807">
        <v>21</v>
      </c>
      <c r="F2807" s="3">
        <v>9.61</v>
      </c>
      <c r="G2807" s="4">
        <v>98.1</v>
      </c>
      <c r="H2807">
        <v>2</v>
      </c>
      <c r="I2807">
        <v>2</v>
      </c>
      <c r="J2807">
        <v>3</v>
      </c>
      <c r="K2807" s="4">
        <v>70.599999999999994</v>
      </c>
      <c r="L2807" s="4">
        <v>52</v>
      </c>
      <c r="M2807" s="4">
        <v>83.3</v>
      </c>
      <c r="N2807">
        <v>0</v>
      </c>
      <c r="O2807" t="s">
        <v>58</v>
      </c>
      <c r="P2807" t="s">
        <v>92</v>
      </c>
      <c r="Q2807" t="s">
        <v>93</v>
      </c>
      <c r="R2807" t="s">
        <v>72</v>
      </c>
      <c r="S2807" s="3">
        <v>11.17</v>
      </c>
      <c r="T2807" s="5">
        <v>44524</v>
      </c>
      <c r="U2807">
        <v>2</v>
      </c>
      <c r="V2807">
        <v>2021</v>
      </c>
      <c r="X2807">
        <f t="shared" si="129"/>
        <v>9.6097193000000001</v>
      </c>
      <c r="Y2807">
        <f t="shared" si="130"/>
        <v>11.169719300000001</v>
      </c>
      <c r="Z2807">
        <f t="shared" si="131"/>
        <v>51.999719300000002</v>
      </c>
    </row>
    <row r="2808" spans="1:26" x14ac:dyDescent="0.3">
      <c r="A2808" t="s">
        <v>2898</v>
      </c>
      <c r="B2808" t="s">
        <v>55</v>
      </c>
      <c r="C2808" t="s">
        <v>74</v>
      </c>
      <c r="D2808" t="s">
        <v>57</v>
      </c>
      <c r="E2808">
        <v>21</v>
      </c>
      <c r="F2808" s="3">
        <v>8.6300000000000008</v>
      </c>
      <c r="G2808" s="4">
        <v>82.8</v>
      </c>
      <c r="H2808">
        <v>0</v>
      </c>
      <c r="I2808">
        <v>3</v>
      </c>
      <c r="J2808">
        <v>4</v>
      </c>
      <c r="K2808" s="4">
        <v>78.3</v>
      </c>
      <c r="L2808" s="4">
        <v>80</v>
      </c>
      <c r="M2808" s="4">
        <v>75</v>
      </c>
      <c r="N2808">
        <v>0</v>
      </c>
      <c r="O2808" t="s">
        <v>58</v>
      </c>
      <c r="P2808" t="s">
        <v>95</v>
      </c>
      <c r="Q2808" t="s">
        <v>93</v>
      </c>
      <c r="R2808" t="s">
        <v>85</v>
      </c>
      <c r="S2808" s="3">
        <v>8.15</v>
      </c>
      <c r="T2808" s="5">
        <v>45606</v>
      </c>
      <c r="U2808">
        <v>1</v>
      </c>
      <c r="V2808">
        <v>2024</v>
      </c>
      <c r="X2808">
        <f t="shared" si="129"/>
        <v>8.6297192000000003</v>
      </c>
      <c r="Y2808">
        <f t="shared" si="130"/>
        <v>8.1497191999999998</v>
      </c>
      <c r="Z2808">
        <f t="shared" si="131"/>
        <v>79.999719200000001</v>
      </c>
    </row>
    <row r="2809" spans="1:26" x14ac:dyDescent="0.3">
      <c r="A2809" t="s">
        <v>2899</v>
      </c>
      <c r="B2809" t="s">
        <v>107</v>
      </c>
      <c r="C2809" t="s">
        <v>74</v>
      </c>
      <c r="D2809" t="s">
        <v>69</v>
      </c>
      <c r="E2809">
        <v>22</v>
      </c>
      <c r="F2809" s="3">
        <v>7.52</v>
      </c>
      <c r="G2809" s="4">
        <v>80.400000000000006</v>
      </c>
      <c r="H2809">
        <v>3</v>
      </c>
      <c r="I2809">
        <v>1</v>
      </c>
      <c r="J2809">
        <v>4</v>
      </c>
      <c r="K2809" s="4">
        <v>71</v>
      </c>
      <c r="L2809" s="4">
        <v>67.2</v>
      </c>
      <c r="M2809" s="4">
        <v>66.900000000000006</v>
      </c>
      <c r="N2809">
        <v>0</v>
      </c>
      <c r="O2809" t="s">
        <v>58</v>
      </c>
      <c r="P2809" t="s">
        <v>112</v>
      </c>
      <c r="Q2809" t="s">
        <v>93</v>
      </c>
      <c r="R2809" t="s">
        <v>61</v>
      </c>
      <c r="S2809" s="3">
        <v>7.23</v>
      </c>
      <c r="T2809" s="5">
        <v>44444</v>
      </c>
      <c r="U2809">
        <v>1</v>
      </c>
      <c r="V2809">
        <v>2021</v>
      </c>
      <c r="X2809">
        <f t="shared" si="129"/>
        <v>7.5197190999999997</v>
      </c>
      <c r="Y2809">
        <f t="shared" si="130"/>
        <v>7.2297191000000005</v>
      </c>
      <c r="Z2809">
        <f t="shared" si="131"/>
        <v>67.199719099999996</v>
      </c>
    </row>
    <row r="2810" spans="1:26" x14ac:dyDescent="0.3">
      <c r="A2810" t="s">
        <v>2900</v>
      </c>
      <c r="B2810" t="s">
        <v>67</v>
      </c>
      <c r="C2810" t="s">
        <v>56</v>
      </c>
      <c r="D2810" t="s">
        <v>57</v>
      </c>
      <c r="E2810">
        <v>20</v>
      </c>
      <c r="F2810" s="3">
        <v>7.39</v>
      </c>
      <c r="G2810" s="4">
        <v>93.3</v>
      </c>
      <c r="H2810">
        <v>1</v>
      </c>
      <c r="I2810">
        <v>0</v>
      </c>
      <c r="J2810">
        <v>4</v>
      </c>
      <c r="K2810" s="4">
        <v>54.6</v>
      </c>
      <c r="L2810" s="4">
        <v>86.8</v>
      </c>
      <c r="M2810" s="4">
        <v>68.2</v>
      </c>
      <c r="N2810">
        <v>1</v>
      </c>
      <c r="O2810" t="s">
        <v>58</v>
      </c>
      <c r="P2810" t="s">
        <v>75</v>
      </c>
      <c r="Q2810" t="s">
        <v>71</v>
      </c>
      <c r="R2810" t="s">
        <v>130</v>
      </c>
      <c r="S2810" s="3">
        <v>6.63</v>
      </c>
      <c r="T2810" s="5">
        <v>45214</v>
      </c>
      <c r="U2810">
        <v>1</v>
      </c>
      <c r="V2810">
        <v>2023</v>
      </c>
      <c r="X2810">
        <f t="shared" si="129"/>
        <v>7.3897189999999995</v>
      </c>
      <c r="Y2810">
        <f t="shared" si="130"/>
        <v>6.6297189999999997</v>
      </c>
      <c r="Z2810">
        <f t="shared" si="131"/>
        <v>86.799718999999996</v>
      </c>
    </row>
    <row r="2811" spans="1:26" x14ac:dyDescent="0.3">
      <c r="A2811" t="s">
        <v>2901</v>
      </c>
      <c r="B2811" t="s">
        <v>63</v>
      </c>
      <c r="C2811" t="s">
        <v>56</v>
      </c>
      <c r="D2811" t="s">
        <v>57</v>
      </c>
      <c r="E2811">
        <v>20</v>
      </c>
      <c r="F2811" s="3">
        <v>6.91</v>
      </c>
      <c r="G2811" s="4">
        <v>71.8</v>
      </c>
      <c r="H2811">
        <v>1</v>
      </c>
      <c r="I2811">
        <v>1</v>
      </c>
      <c r="J2811">
        <v>5</v>
      </c>
      <c r="K2811" s="4">
        <v>66.5</v>
      </c>
      <c r="L2811" s="4">
        <v>75</v>
      </c>
      <c r="M2811" s="4">
        <v>81.8</v>
      </c>
      <c r="N2811">
        <v>0</v>
      </c>
      <c r="O2811" t="s">
        <v>64</v>
      </c>
      <c r="P2811" t="s">
        <v>65</v>
      </c>
      <c r="S2811" s="3">
        <v>0</v>
      </c>
      <c r="T2811" s="5"/>
      <c r="U2811">
        <v>0</v>
      </c>
      <c r="V2811">
        <v>2025</v>
      </c>
      <c r="X2811">
        <f t="shared" si="129"/>
        <v>6.9097189000000006</v>
      </c>
      <c r="Y2811">
        <f t="shared" si="130"/>
        <v>-2.811E-4</v>
      </c>
      <c r="Z2811">
        <f t="shared" si="131"/>
        <v>74.999718900000005</v>
      </c>
    </row>
    <row r="2812" spans="1:26" x14ac:dyDescent="0.3">
      <c r="A2812" t="s">
        <v>2902</v>
      </c>
      <c r="B2812" t="s">
        <v>67</v>
      </c>
      <c r="C2812" t="s">
        <v>78</v>
      </c>
      <c r="D2812" t="s">
        <v>57</v>
      </c>
      <c r="E2812">
        <v>22</v>
      </c>
      <c r="F2812" s="3">
        <v>6.48</v>
      </c>
      <c r="G2812" s="4">
        <v>82.6</v>
      </c>
      <c r="H2812">
        <v>0</v>
      </c>
      <c r="I2812">
        <v>1</v>
      </c>
      <c r="J2812">
        <v>6</v>
      </c>
      <c r="K2812" s="4">
        <v>64.599999999999994</v>
      </c>
      <c r="L2812" s="4">
        <v>86.5</v>
      </c>
      <c r="M2812" s="4">
        <v>68.400000000000006</v>
      </c>
      <c r="N2812">
        <v>0</v>
      </c>
      <c r="O2812" t="s">
        <v>58</v>
      </c>
      <c r="P2812" t="s">
        <v>75</v>
      </c>
      <c r="Q2812" t="s">
        <v>71</v>
      </c>
      <c r="R2812" t="s">
        <v>61</v>
      </c>
      <c r="S2812" s="3">
        <v>4.18</v>
      </c>
      <c r="T2812" s="5">
        <v>45195</v>
      </c>
      <c r="U2812">
        <v>1</v>
      </c>
      <c r="V2812">
        <v>2023</v>
      </c>
      <c r="X2812">
        <f t="shared" si="129"/>
        <v>6.4797188000000006</v>
      </c>
      <c r="Y2812">
        <f t="shared" si="130"/>
        <v>4.1797187999999998</v>
      </c>
      <c r="Z2812">
        <f t="shared" si="131"/>
        <v>86.499718799999997</v>
      </c>
    </row>
    <row r="2813" spans="1:26" x14ac:dyDescent="0.3">
      <c r="A2813" t="s">
        <v>2903</v>
      </c>
      <c r="B2813" t="s">
        <v>107</v>
      </c>
      <c r="C2813" t="s">
        <v>101</v>
      </c>
      <c r="D2813" t="s">
        <v>69</v>
      </c>
      <c r="E2813">
        <v>23</v>
      </c>
      <c r="F2813" s="3">
        <v>7.96</v>
      </c>
      <c r="G2813" s="4">
        <v>100</v>
      </c>
      <c r="H2813">
        <v>2</v>
      </c>
      <c r="I2813">
        <v>0</v>
      </c>
      <c r="J2813">
        <v>6</v>
      </c>
      <c r="K2813" s="4">
        <v>61.6</v>
      </c>
      <c r="L2813" s="4">
        <v>70.7</v>
      </c>
      <c r="M2813" s="4">
        <v>91.4</v>
      </c>
      <c r="N2813">
        <v>2</v>
      </c>
      <c r="O2813" t="s">
        <v>58</v>
      </c>
      <c r="P2813" t="s">
        <v>79</v>
      </c>
      <c r="Q2813" t="s">
        <v>71</v>
      </c>
      <c r="R2813" t="s">
        <v>85</v>
      </c>
      <c r="S2813" s="3">
        <v>6.22</v>
      </c>
      <c r="T2813" s="5">
        <v>44438</v>
      </c>
      <c r="U2813">
        <v>1</v>
      </c>
      <c r="V2813">
        <v>2021</v>
      </c>
      <c r="X2813">
        <f t="shared" si="129"/>
        <v>7.9597186999999998</v>
      </c>
      <c r="Y2813">
        <f t="shared" si="130"/>
        <v>6.2197186999999996</v>
      </c>
      <c r="Z2813">
        <f t="shared" si="131"/>
        <v>70.699718700000005</v>
      </c>
    </row>
    <row r="2814" spans="1:26" x14ac:dyDescent="0.3">
      <c r="A2814" t="s">
        <v>2904</v>
      </c>
      <c r="B2814" t="s">
        <v>67</v>
      </c>
      <c r="C2814" t="s">
        <v>68</v>
      </c>
      <c r="D2814" t="s">
        <v>69</v>
      </c>
      <c r="E2814">
        <v>22</v>
      </c>
      <c r="F2814" s="3">
        <v>8.2100000000000009</v>
      </c>
      <c r="G2814" s="4">
        <v>86.1</v>
      </c>
      <c r="H2814">
        <v>2</v>
      </c>
      <c r="I2814">
        <v>4</v>
      </c>
      <c r="J2814">
        <v>5</v>
      </c>
      <c r="K2814" s="4">
        <v>56.4</v>
      </c>
      <c r="L2814" s="4">
        <v>63.5</v>
      </c>
      <c r="M2814" s="4">
        <v>62</v>
      </c>
      <c r="N2814">
        <v>2</v>
      </c>
      <c r="O2814" t="s">
        <v>58</v>
      </c>
      <c r="P2814" t="s">
        <v>87</v>
      </c>
      <c r="Q2814" t="s">
        <v>71</v>
      </c>
      <c r="R2814" t="s">
        <v>85</v>
      </c>
      <c r="S2814" s="3">
        <v>7.97</v>
      </c>
      <c r="T2814" s="5">
        <v>45258</v>
      </c>
      <c r="U2814">
        <v>3</v>
      </c>
      <c r="V2814">
        <v>2023</v>
      </c>
      <c r="X2814">
        <f t="shared" si="129"/>
        <v>8.2097186000000004</v>
      </c>
      <c r="Y2814">
        <f t="shared" si="130"/>
        <v>7.9697185999999993</v>
      </c>
      <c r="Z2814">
        <f t="shared" si="131"/>
        <v>63.499718600000001</v>
      </c>
    </row>
    <row r="2815" spans="1:26" x14ac:dyDescent="0.3">
      <c r="A2815" t="s">
        <v>2905</v>
      </c>
      <c r="B2815" t="s">
        <v>107</v>
      </c>
      <c r="C2815" t="s">
        <v>68</v>
      </c>
      <c r="D2815" t="s">
        <v>69</v>
      </c>
      <c r="E2815">
        <v>23</v>
      </c>
      <c r="F2815" s="3">
        <v>8.32</v>
      </c>
      <c r="G2815" s="4">
        <v>88.9</v>
      </c>
      <c r="H2815">
        <v>3</v>
      </c>
      <c r="I2815">
        <v>1</v>
      </c>
      <c r="J2815">
        <v>5</v>
      </c>
      <c r="K2815" s="4">
        <v>80.3</v>
      </c>
      <c r="L2815" s="4">
        <v>68.8</v>
      </c>
      <c r="M2815" s="4">
        <v>68</v>
      </c>
      <c r="N2815">
        <v>0</v>
      </c>
      <c r="O2815" t="s">
        <v>58</v>
      </c>
      <c r="P2815" t="s">
        <v>79</v>
      </c>
      <c r="Q2815" t="s">
        <v>71</v>
      </c>
      <c r="R2815" t="s">
        <v>130</v>
      </c>
      <c r="S2815" s="3">
        <v>6.61</v>
      </c>
      <c r="T2815" s="5">
        <v>44422</v>
      </c>
      <c r="U2815">
        <v>1</v>
      </c>
      <c r="V2815">
        <v>2021</v>
      </c>
      <c r="X2815">
        <f t="shared" si="129"/>
        <v>8.3197185000000005</v>
      </c>
      <c r="Y2815">
        <f t="shared" si="130"/>
        <v>6.6097185000000005</v>
      </c>
      <c r="Z2815">
        <f t="shared" si="131"/>
        <v>68.799718499999997</v>
      </c>
    </row>
    <row r="2816" spans="1:26" x14ac:dyDescent="0.3">
      <c r="A2816" t="s">
        <v>2906</v>
      </c>
      <c r="B2816" t="s">
        <v>55</v>
      </c>
      <c r="C2816" t="s">
        <v>74</v>
      </c>
      <c r="D2816" t="s">
        <v>57</v>
      </c>
      <c r="E2816">
        <v>21</v>
      </c>
      <c r="F2816" s="3">
        <v>7.54</v>
      </c>
      <c r="G2816" s="4">
        <v>79</v>
      </c>
      <c r="H2816">
        <v>1</v>
      </c>
      <c r="I2816">
        <v>1</v>
      </c>
      <c r="J2816">
        <v>1</v>
      </c>
      <c r="K2816" s="4">
        <v>74.599999999999994</v>
      </c>
      <c r="L2816" s="4">
        <v>72.7</v>
      </c>
      <c r="M2816" s="4">
        <v>62.8</v>
      </c>
      <c r="N2816">
        <v>0</v>
      </c>
      <c r="O2816" t="s">
        <v>58</v>
      </c>
      <c r="P2816" t="s">
        <v>79</v>
      </c>
      <c r="Q2816" t="s">
        <v>71</v>
      </c>
      <c r="R2816" t="s">
        <v>72</v>
      </c>
      <c r="S2816" s="3">
        <v>5.66</v>
      </c>
      <c r="T2816" s="5">
        <v>45543</v>
      </c>
      <c r="U2816">
        <v>3</v>
      </c>
      <c r="V2816">
        <v>2024</v>
      </c>
      <c r="X2816">
        <f t="shared" si="129"/>
        <v>7.5397183999999999</v>
      </c>
      <c r="Y2816">
        <f t="shared" si="130"/>
        <v>5.6597184</v>
      </c>
      <c r="Z2816">
        <f t="shared" si="131"/>
        <v>72.699718400000009</v>
      </c>
    </row>
    <row r="2817" spans="1:26" x14ac:dyDescent="0.3">
      <c r="A2817" t="s">
        <v>2907</v>
      </c>
      <c r="B2817" t="s">
        <v>67</v>
      </c>
      <c r="C2817" t="s">
        <v>78</v>
      </c>
      <c r="D2817" t="s">
        <v>57</v>
      </c>
      <c r="E2817">
        <v>22</v>
      </c>
      <c r="F2817" s="3">
        <v>9.39</v>
      </c>
      <c r="G2817" s="4">
        <v>87.3</v>
      </c>
      <c r="H2817">
        <v>1</v>
      </c>
      <c r="I2817">
        <v>2</v>
      </c>
      <c r="J2817">
        <v>5</v>
      </c>
      <c r="K2817" s="4">
        <v>74.5</v>
      </c>
      <c r="L2817" s="4">
        <v>75.3</v>
      </c>
      <c r="M2817" s="4">
        <v>59.4</v>
      </c>
      <c r="N2817">
        <v>0</v>
      </c>
      <c r="O2817" t="s">
        <v>58</v>
      </c>
      <c r="P2817" t="s">
        <v>112</v>
      </c>
      <c r="Q2817" t="s">
        <v>93</v>
      </c>
      <c r="R2817" t="s">
        <v>80</v>
      </c>
      <c r="S2817" s="3">
        <v>8.0299999999999994</v>
      </c>
      <c r="T2817" s="5">
        <v>45140</v>
      </c>
      <c r="U2817">
        <v>1</v>
      </c>
      <c r="V2817">
        <v>2023</v>
      </c>
      <c r="X2817">
        <f t="shared" si="129"/>
        <v>9.3897183000000002</v>
      </c>
      <c r="Y2817">
        <f t="shared" si="130"/>
        <v>8.029718299999999</v>
      </c>
      <c r="Z2817">
        <f t="shared" si="131"/>
        <v>75.299718299999995</v>
      </c>
    </row>
    <row r="2818" spans="1:26" x14ac:dyDescent="0.3">
      <c r="A2818" t="s">
        <v>2908</v>
      </c>
      <c r="B2818" t="s">
        <v>55</v>
      </c>
      <c r="C2818" t="s">
        <v>78</v>
      </c>
      <c r="D2818" t="s">
        <v>69</v>
      </c>
      <c r="E2818">
        <v>20</v>
      </c>
      <c r="F2818" s="3">
        <v>6.43</v>
      </c>
      <c r="G2818" s="4">
        <v>92.9</v>
      </c>
      <c r="H2818">
        <v>2</v>
      </c>
      <c r="I2818">
        <v>3</v>
      </c>
      <c r="J2818">
        <v>2</v>
      </c>
      <c r="K2818" s="4">
        <v>42.1</v>
      </c>
      <c r="L2818" s="4">
        <v>80.2</v>
      </c>
      <c r="M2818" s="4">
        <v>64.400000000000006</v>
      </c>
      <c r="N2818">
        <v>1</v>
      </c>
      <c r="O2818" t="s">
        <v>64</v>
      </c>
      <c r="P2818" t="s">
        <v>65</v>
      </c>
      <c r="S2818" s="3">
        <v>0</v>
      </c>
      <c r="T2818" s="5"/>
      <c r="U2818">
        <v>0</v>
      </c>
      <c r="V2818">
        <v>2024</v>
      </c>
      <c r="X2818">
        <f t="shared" ref="X2818:X2881" si="132">F2818-ROW()*0.0000001</f>
        <v>6.4297181999999999</v>
      </c>
      <c r="Y2818">
        <f t="shared" ref="Y2818:Y2881" si="133">S2818-ROW()*0.0000001</f>
        <v>-2.8179999999999997E-4</v>
      </c>
      <c r="Z2818">
        <f t="shared" ref="Z2818:Z2881" si="134">L2818-ROW()*0.0000001</f>
        <v>80.199718200000007</v>
      </c>
    </row>
    <row r="2819" spans="1:26" x14ac:dyDescent="0.3">
      <c r="A2819" t="s">
        <v>2909</v>
      </c>
      <c r="B2819" t="s">
        <v>55</v>
      </c>
      <c r="C2819" t="s">
        <v>89</v>
      </c>
      <c r="D2819" t="s">
        <v>69</v>
      </c>
      <c r="E2819">
        <v>23</v>
      </c>
      <c r="F2819" s="3">
        <v>6.33</v>
      </c>
      <c r="G2819" s="4">
        <v>68.400000000000006</v>
      </c>
      <c r="H2819">
        <v>2</v>
      </c>
      <c r="I2819">
        <v>3</v>
      </c>
      <c r="J2819">
        <v>5</v>
      </c>
      <c r="K2819" s="4">
        <v>62.4</v>
      </c>
      <c r="L2819" s="4">
        <v>70.2</v>
      </c>
      <c r="M2819" s="4">
        <v>67.900000000000006</v>
      </c>
      <c r="N2819">
        <v>0</v>
      </c>
      <c r="O2819" t="s">
        <v>58</v>
      </c>
      <c r="P2819" t="s">
        <v>90</v>
      </c>
      <c r="Q2819" t="s">
        <v>60</v>
      </c>
      <c r="R2819" t="s">
        <v>76</v>
      </c>
      <c r="S2819" s="3">
        <v>7.08</v>
      </c>
      <c r="T2819" s="5">
        <v>45562</v>
      </c>
      <c r="U2819">
        <v>1</v>
      </c>
      <c r="V2819">
        <v>2024</v>
      </c>
      <c r="X2819">
        <f t="shared" si="132"/>
        <v>6.3297181</v>
      </c>
      <c r="Y2819">
        <f t="shared" si="133"/>
        <v>7.0797181</v>
      </c>
      <c r="Z2819">
        <f t="shared" si="134"/>
        <v>70.199718099999998</v>
      </c>
    </row>
    <row r="2820" spans="1:26" x14ac:dyDescent="0.3">
      <c r="A2820" t="s">
        <v>2910</v>
      </c>
      <c r="B2820" t="s">
        <v>82</v>
      </c>
      <c r="C2820" t="s">
        <v>56</v>
      </c>
      <c r="D2820" t="s">
        <v>69</v>
      </c>
      <c r="E2820">
        <v>22</v>
      </c>
      <c r="F2820" s="3">
        <v>6.91</v>
      </c>
      <c r="G2820" s="4">
        <v>81.099999999999994</v>
      </c>
      <c r="H2820">
        <v>3</v>
      </c>
      <c r="I2820">
        <v>3</v>
      </c>
      <c r="J2820">
        <v>2</v>
      </c>
      <c r="K2820" s="4">
        <v>85.5</v>
      </c>
      <c r="L2820" s="4">
        <v>80.2</v>
      </c>
      <c r="M2820" s="4">
        <v>69</v>
      </c>
      <c r="N2820">
        <v>0</v>
      </c>
      <c r="O2820" t="s">
        <v>58</v>
      </c>
      <c r="P2820" t="s">
        <v>90</v>
      </c>
      <c r="Q2820" t="s">
        <v>60</v>
      </c>
      <c r="R2820" t="s">
        <v>76</v>
      </c>
      <c r="S2820" s="3">
        <v>8.74</v>
      </c>
      <c r="T2820" s="5">
        <v>44890</v>
      </c>
      <c r="U2820">
        <v>1</v>
      </c>
      <c r="V2820">
        <v>2022</v>
      </c>
      <c r="X2820">
        <f t="shared" si="132"/>
        <v>6.9097179999999998</v>
      </c>
      <c r="Y2820">
        <f t="shared" si="133"/>
        <v>8.7397179999999999</v>
      </c>
      <c r="Z2820">
        <f t="shared" si="134"/>
        <v>80.199718000000004</v>
      </c>
    </row>
    <row r="2821" spans="1:26" x14ac:dyDescent="0.3">
      <c r="A2821" t="s">
        <v>2911</v>
      </c>
      <c r="B2821" t="s">
        <v>107</v>
      </c>
      <c r="C2821" t="s">
        <v>56</v>
      </c>
      <c r="D2821" t="s">
        <v>69</v>
      </c>
      <c r="E2821">
        <v>22</v>
      </c>
      <c r="F2821" s="3">
        <v>7.66</v>
      </c>
      <c r="G2821" s="4">
        <v>85.1</v>
      </c>
      <c r="H2821">
        <v>1</v>
      </c>
      <c r="I2821">
        <v>0</v>
      </c>
      <c r="J2821">
        <v>3</v>
      </c>
      <c r="K2821" s="4">
        <v>73.5</v>
      </c>
      <c r="L2821" s="4">
        <v>100</v>
      </c>
      <c r="M2821" s="4">
        <v>48</v>
      </c>
      <c r="N2821">
        <v>2</v>
      </c>
      <c r="O2821" t="s">
        <v>58</v>
      </c>
      <c r="P2821" t="s">
        <v>92</v>
      </c>
      <c r="Q2821" t="s">
        <v>93</v>
      </c>
      <c r="R2821" t="s">
        <v>85</v>
      </c>
      <c r="S2821" s="3">
        <v>8.2899999999999991</v>
      </c>
      <c r="T2821" s="5">
        <v>44492</v>
      </c>
      <c r="U2821">
        <v>2</v>
      </c>
      <c r="V2821">
        <v>2021</v>
      </c>
      <c r="X2821">
        <f t="shared" si="132"/>
        <v>7.6597179000000004</v>
      </c>
      <c r="Y2821">
        <f t="shared" si="133"/>
        <v>8.2897178999999994</v>
      </c>
      <c r="Z2821">
        <f t="shared" si="134"/>
        <v>99.999717899999993</v>
      </c>
    </row>
    <row r="2822" spans="1:26" x14ac:dyDescent="0.3">
      <c r="A2822" t="s">
        <v>2912</v>
      </c>
      <c r="B2822" t="s">
        <v>63</v>
      </c>
      <c r="C2822" t="s">
        <v>56</v>
      </c>
      <c r="D2822" t="s">
        <v>69</v>
      </c>
      <c r="E2822">
        <v>23</v>
      </c>
      <c r="F2822" s="3">
        <v>6.66</v>
      </c>
      <c r="G2822" s="4">
        <v>81.5</v>
      </c>
      <c r="H2822">
        <v>2</v>
      </c>
      <c r="I2822">
        <v>3</v>
      </c>
      <c r="J2822">
        <v>2</v>
      </c>
      <c r="K2822" s="4">
        <v>51.7</v>
      </c>
      <c r="L2822" s="4">
        <v>59.1</v>
      </c>
      <c r="M2822" s="4">
        <v>59.7</v>
      </c>
      <c r="N2822">
        <v>0</v>
      </c>
      <c r="O2822" t="s">
        <v>64</v>
      </c>
      <c r="P2822" t="s">
        <v>65</v>
      </c>
      <c r="S2822" s="3">
        <v>0</v>
      </c>
      <c r="T2822" s="5"/>
      <c r="U2822">
        <v>0</v>
      </c>
      <c r="V2822">
        <v>2025</v>
      </c>
      <c r="X2822">
        <f t="shared" si="132"/>
        <v>6.6597178000000001</v>
      </c>
      <c r="Y2822">
        <f t="shared" si="133"/>
        <v>-2.8219999999999997E-4</v>
      </c>
      <c r="Z2822">
        <f t="shared" si="134"/>
        <v>59.099717800000001</v>
      </c>
    </row>
    <row r="2823" spans="1:26" x14ac:dyDescent="0.3">
      <c r="A2823" t="s">
        <v>2913</v>
      </c>
      <c r="B2823" t="s">
        <v>107</v>
      </c>
      <c r="C2823" t="s">
        <v>89</v>
      </c>
      <c r="D2823" t="s">
        <v>57</v>
      </c>
      <c r="E2823">
        <v>21</v>
      </c>
      <c r="F2823" s="3">
        <v>8.86</v>
      </c>
      <c r="G2823" s="4">
        <v>77.599999999999994</v>
      </c>
      <c r="H2823">
        <v>0</v>
      </c>
      <c r="I2823">
        <v>2</v>
      </c>
      <c r="J2823">
        <v>3</v>
      </c>
      <c r="K2823" s="4">
        <v>91.3</v>
      </c>
      <c r="L2823" s="4">
        <v>85.1</v>
      </c>
      <c r="M2823" s="4">
        <v>76.2</v>
      </c>
      <c r="N2823">
        <v>0</v>
      </c>
      <c r="O2823" t="s">
        <v>64</v>
      </c>
      <c r="P2823" t="s">
        <v>65</v>
      </c>
      <c r="S2823" s="3">
        <v>0</v>
      </c>
      <c r="T2823" s="5"/>
      <c r="U2823">
        <v>0</v>
      </c>
      <c r="V2823">
        <v>2021</v>
      </c>
      <c r="X2823">
        <f t="shared" si="132"/>
        <v>8.8597176999999991</v>
      </c>
      <c r="Y2823">
        <f t="shared" si="133"/>
        <v>-2.8229999999999998E-4</v>
      </c>
      <c r="Z2823">
        <f t="shared" si="134"/>
        <v>85.099717699999999</v>
      </c>
    </row>
    <row r="2824" spans="1:26" x14ac:dyDescent="0.3">
      <c r="A2824" t="s">
        <v>2914</v>
      </c>
      <c r="B2824" t="s">
        <v>63</v>
      </c>
      <c r="C2824" t="s">
        <v>101</v>
      </c>
      <c r="D2824" t="s">
        <v>69</v>
      </c>
      <c r="E2824">
        <v>21</v>
      </c>
      <c r="F2824" s="3">
        <v>6.98</v>
      </c>
      <c r="G2824" s="4">
        <v>94.6</v>
      </c>
      <c r="H2824">
        <v>1</v>
      </c>
      <c r="I2824">
        <v>2</v>
      </c>
      <c r="J2824">
        <v>3</v>
      </c>
      <c r="K2824" s="4">
        <v>34.1</v>
      </c>
      <c r="L2824" s="4">
        <v>59.8</v>
      </c>
      <c r="M2824" s="4">
        <v>65.599999999999994</v>
      </c>
      <c r="N2824">
        <v>1</v>
      </c>
      <c r="O2824" t="s">
        <v>58</v>
      </c>
      <c r="P2824" t="s">
        <v>90</v>
      </c>
      <c r="Q2824" t="s">
        <v>60</v>
      </c>
      <c r="R2824" t="s">
        <v>61</v>
      </c>
      <c r="S2824" s="3">
        <v>6.3</v>
      </c>
      <c r="T2824" s="5">
        <v>45956</v>
      </c>
      <c r="U2824">
        <v>1</v>
      </c>
      <c r="V2824">
        <v>2025</v>
      </c>
      <c r="X2824">
        <f t="shared" si="132"/>
        <v>6.9797176000000007</v>
      </c>
      <c r="Y2824">
        <f t="shared" si="133"/>
        <v>6.2997176000000001</v>
      </c>
      <c r="Z2824">
        <f t="shared" si="134"/>
        <v>59.799717599999994</v>
      </c>
    </row>
    <row r="2825" spans="1:26" x14ac:dyDescent="0.3">
      <c r="A2825" t="s">
        <v>2915</v>
      </c>
      <c r="B2825" t="s">
        <v>107</v>
      </c>
      <c r="C2825" t="s">
        <v>101</v>
      </c>
      <c r="D2825" t="s">
        <v>69</v>
      </c>
      <c r="E2825">
        <v>21</v>
      </c>
      <c r="F2825" s="3">
        <v>6.82</v>
      </c>
      <c r="G2825" s="4">
        <v>83.8</v>
      </c>
      <c r="H2825">
        <v>0</v>
      </c>
      <c r="I2825">
        <v>4</v>
      </c>
      <c r="J2825">
        <v>1</v>
      </c>
      <c r="K2825" s="4">
        <v>69.8</v>
      </c>
      <c r="L2825" s="4">
        <v>55.8</v>
      </c>
      <c r="M2825" s="4">
        <v>86.5</v>
      </c>
      <c r="N2825">
        <v>1</v>
      </c>
      <c r="O2825" t="s">
        <v>64</v>
      </c>
      <c r="P2825" t="s">
        <v>65</v>
      </c>
      <c r="S2825" s="3">
        <v>0</v>
      </c>
      <c r="T2825" s="5"/>
      <c r="U2825">
        <v>0</v>
      </c>
      <c r="V2825">
        <v>2021</v>
      </c>
      <c r="X2825">
        <f t="shared" si="132"/>
        <v>6.8197175000000003</v>
      </c>
      <c r="Y2825">
        <f t="shared" si="133"/>
        <v>-2.8249999999999998E-4</v>
      </c>
      <c r="Z2825">
        <f t="shared" si="134"/>
        <v>55.7997175</v>
      </c>
    </row>
    <row r="2826" spans="1:26" x14ac:dyDescent="0.3">
      <c r="A2826" t="s">
        <v>2916</v>
      </c>
      <c r="B2826" t="s">
        <v>55</v>
      </c>
      <c r="C2826" t="s">
        <v>68</v>
      </c>
      <c r="D2826" t="s">
        <v>69</v>
      </c>
      <c r="E2826">
        <v>21</v>
      </c>
      <c r="F2826" s="3">
        <v>8.6</v>
      </c>
      <c r="G2826" s="4">
        <v>75.7</v>
      </c>
      <c r="H2826">
        <v>2</v>
      </c>
      <c r="I2826">
        <v>3</v>
      </c>
      <c r="J2826">
        <v>5</v>
      </c>
      <c r="K2826" s="4">
        <v>92</v>
      </c>
      <c r="L2826" s="4">
        <v>91.5</v>
      </c>
      <c r="M2826" s="4">
        <v>71.099999999999994</v>
      </c>
      <c r="N2826">
        <v>0</v>
      </c>
      <c r="O2826" t="s">
        <v>58</v>
      </c>
      <c r="P2826" t="s">
        <v>90</v>
      </c>
      <c r="Q2826" t="s">
        <v>60</v>
      </c>
      <c r="R2826" t="s">
        <v>130</v>
      </c>
      <c r="S2826" s="3">
        <v>8.42</v>
      </c>
      <c r="T2826" s="5">
        <v>45538</v>
      </c>
      <c r="U2826">
        <v>1</v>
      </c>
      <c r="V2826">
        <v>2024</v>
      </c>
      <c r="X2826">
        <f t="shared" si="132"/>
        <v>8.5997173999999994</v>
      </c>
      <c r="Y2826">
        <f t="shared" si="133"/>
        <v>8.4197173999999997</v>
      </c>
      <c r="Z2826">
        <f t="shared" si="134"/>
        <v>91.499717399999994</v>
      </c>
    </row>
    <row r="2827" spans="1:26" x14ac:dyDescent="0.3">
      <c r="A2827" t="s">
        <v>2917</v>
      </c>
      <c r="B2827" t="s">
        <v>67</v>
      </c>
      <c r="C2827" t="s">
        <v>101</v>
      </c>
      <c r="D2827" t="s">
        <v>69</v>
      </c>
      <c r="E2827">
        <v>23</v>
      </c>
      <c r="F2827" s="3">
        <v>7.84</v>
      </c>
      <c r="G2827" s="4">
        <v>90.9</v>
      </c>
      <c r="H2827">
        <v>2</v>
      </c>
      <c r="I2827">
        <v>3</v>
      </c>
      <c r="J2827">
        <v>5</v>
      </c>
      <c r="K2827" s="4">
        <v>46</v>
      </c>
      <c r="L2827" s="4">
        <v>56.5</v>
      </c>
      <c r="M2827" s="4">
        <v>81.099999999999994</v>
      </c>
      <c r="N2827">
        <v>0</v>
      </c>
      <c r="O2827" t="s">
        <v>58</v>
      </c>
      <c r="P2827" t="s">
        <v>112</v>
      </c>
      <c r="Q2827" t="s">
        <v>93</v>
      </c>
      <c r="R2827" t="s">
        <v>80</v>
      </c>
      <c r="S2827" s="3">
        <v>5.97</v>
      </c>
      <c r="T2827" s="5">
        <v>45223</v>
      </c>
      <c r="U2827">
        <v>1</v>
      </c>
      <c r="V2827">
        <v>2023</v>
      </c>
      <c r="X2827">
        <f t="shared" si="132"/>
        <v>7.8397173000000002</v>
      </c>
      <c r="Y2827">
        <f t="shared" si="133"/>
        <v>5.9697173000000001</v>
      </c>
      <c r="Z2827">
        <f t="shared" si="134"/>
        <v>56.4997173</v>
      </c>
    </row>
    <row r="2828" spans="1:26" x14ac:dyDescent="0.3">
      <c r="A2828" t="s">
        <v>2918</v>
      </c>
      <c r="B2828" t="s">
        <v>67</v>
      </c>
      <c r="C2828" t="s">
        <v>84</v>
      </c>
      <c r="D2828" t="s">
        <v>57</v>
      </c>
      <c r="E2828">
        <v>20</v>
      </c>
      <c r="F2828" s="3">
        <v>8.36</v>
      </c>
      <c r="G2828" s="4">
        <v>94.5</v>
      </c>
      <c r="H2828">
        <v>0</v>
      </c>
      <c r="I2828">
        <v>1</v>
      </c>
      <c r="J2828">
        <v>5</v>
      </c>
      <c r="K2828" s="4">
        <v>61.3</v>
      </c>
      <c r="L2828" s="4">
        <v>69.599999999999994</v>
      </c>
      <c r="M2828" s="4">
        <v>69.5</v>
      </c>
      <c r="N2828">
        <v>0</v>
      </c>
      <c r="O2828" t="s">
        <v>58</v>
      </c>
      <c r="P2828" t="s">
        <v>87</v>
      </c>
      <c r="Q2828" t="s">
        <v>71</v>
      </c>
      <c r="R2828" t="s">
        <v>109</v>
      </c>
      <c r="S2828" s="3">
        <v>4.93</v>
      </c>
      <c r="T2828" s="5">
        <v>45240</v>
      </c>
      <c r="U2828">
        <v>2</v>
      </c>
      <c r="V2828">
        <v>2023</v>
      </c>
      <c r="X2828">
        <f t="shared" si="132"/>
        <v>8.3597171999999986</v>
      </c>
      <c r="Y2828">
        <f t="shared" si="133"/>
        <v>4.9297171999999998</v>
      </c>
      <c r="Z2828">
        <f t="shared" si="134"/>
        <v>69.599717200000001</v>
      </c>
    </row>
    <row r="2829" spans="1:26" x14ac:dyDescent="0.3">
      <c r="A2829" t="s">
        <v>2919</v>
      </c>
      <c r="B2829" t="s">
        <v>82</v>
      </c>
      <c r="C2829" t="s">
        <v>74</v>
      </c>
      <c r="D2829" t="s">
        <v>57</v>
      </c>
      <c r="E2829">
        <v>22</v>
      </c>
      <c r="F2829" s="3">
        <v>7.61</v>
      </c>
      <c r="G2829" s="4">
        <v>92.3</v>
      </c>
      <c r="H2829">
        <v>1</v>
      </c>
      <c r="I2829">
        <v>2</v>
      </c>
      <c r="J2829">
        <v>5</v>
      </c>
      <c r="K2829" s="4">
        <v>48.3</v>
      </c>
      <c r="L2829" s="4">
        <v>58</v>
      </c>
      <c r="M2829" s="4">
        <v>85</v>
      </c>
      <c r="N2829">
        <v>0</v>
      </c>
      <c r="O2829" t="s">
        <v>58</v>
      </c>
      <c r="P2829" t="s">
        <v>95</v>
      </c>
      <c r="Q2829" t="s">
        <v>93</v>
      </c>
      <c r="R2829" t="s">
        <v>85</v>
      </c>
      <c r="S2829" s="3">
        <v>7.86</v>
      </c>
      <c r="T2829" s="5">
        <v>44883</v>
      </c>
      <c r="U2829">
        <v>3</v>
      </c>
      <c r="V2829">
        <v>2022</v>
      </c>
      <c r="X2829">
        <f t="shared" si="132"/>
        <v>7.6097171000000001</v>
      </c>
      <c r="Y2829">
        <f t="shared" si="133"/>
        <v>7.8597171000000001</v>
      </c>
      <c r="Z2829">
        <f t="shared" si="134"/>
        <v>57.999717099999998</v>
      </c>
    </row>
    <row r="2830" spans="1:26" x14ac:dyDescent="0.3">
      <c r="A2830" t="s">
        <v>2920</v>
      </c>
      <c r="B2830" t="s">
        <v>63</v>
      </c>
      <c r="C2830" t="s">
        <v>74</v>
      </c>
      <c r="D2830" t="s">
        <v>57</v>
      </c>
      <c r="E2830">
        <v>22</v>
      </c>
      <c r="F2830" s="3">
        <v>7.89</v>
      </c>
      <c r="G2830" s="4">
        <v>78.3</v>
      </c>
      <c r="H2830">
        <v>1</v>
      </c>
      <c r="I2830">
        <v>4</v>
      </c>
      <c r="J2830">
        <v>5</v>
      </c>
      <c r="K2830" s="4">
        <v>87.8</v>
      </c>
      <c r="L2830" s="4">
        <v>100</v>
      </c>
      <c r="M2830" s="4">
        <v>46</v>
      </c>
      <c r="N2830">
        <v>0</v>
      </c>
      <c r="O2830" t="s">
        <v>58</v>
      </c>
      <c r="P2830" t="s">
        <v>104</v>
      </c>
      <c r="Q2830" t="s">
        <v>105</v>
      </c>
      <c r="R2830" t="s">
        <v>61</v>
      </c>
      <c r="S2830" s="3">
        <v>16.71</v>
      </c>
      <c r="T2830" s="5">
        <v>45877</v>
      </c>
      <c r="U2830">
        <v>1</v>
      </c>
      <c r="V2830">
        <v>2025</v>
      </c>
      <c r="X2830">
        <f t="shared" si="132"/>
        <v>7.8897170000000001</v>
      </c>
      <c r="Y2830">
        <f t="shared" si="133"/>
        <v>16.709717000000001</v>
      </c>
      <c r="Z2830">
        <f t="shared" si="134"/>
        <v>99.999717000000004</v>
      </c>
    </row>
    <row r="2831" spans="1:26" x14ac:dyDescent="0.3">
      <c r="A2831" t="s">
        <v>2921</v>
      </c>
      <c r="B2831" t="s">
        <v>63</v>
      </c>
      <c r="C2831" t="s">
        <v>84</v>
      </c>
      <c r="D2831" t="s">
        <v>57</v>
      </c>
      <c r="E2831">
        <v>21</v>
      </c>
      <c r="F2831" s="3">
        <v>6.36</v>
      </c>
      <c r="G2831" s="4">
        <v>78.599999999999994</v>
      </c>
      <c r="H2831">
        <v>1</v>
      </c>
      <c r="I2831">
        <v>2</v>
      </c>
      <c r="J2831">
        <v>6</v>
      </c>
      <c r="K2831" s="4">
        <v>56.5</v>
      </c>
      <c r="L2831" s="4">
        <v>69.599999999999994</v>
      </c>
      <c r="M2831" s="4">
        <v>75.3</v>
      </c>
      <c r="N2831">
        <v>0</v>
      </c>
      <c r="O2831" t="s">
        <v>64</v>
      </c>
      <c r="P2831" t="s">
        <v>65</v>
      </c>
      <c r="S2831" s="3">
        <v>0</v>
      </c>
      <c r="T2831" s="5"/>
      <c r="U2831">
        <v>0</v>
      </c>
      <c r="V2831">
        <v>2025</v>
      </c>
      <c r="X2831">
        <f t="shared" si="132"/>
        <v>6.3597169000000005</v>
      </c>
      <c r="Y2831">
        <f t="shared" si="133"/>
        <v>-2.831E-4</v>
      </c>
      <c r="Z2831">
        <f t="shared" si="134"/>
        <v>69.59971689999999</v>
      </c>
    </row>
    <row r="2832" spans="1:26" x14ac:dyDescent="0.3">
      <c r="A2832" t="s">
        <v>2922</v>
      </c>
      <c r="B2832" t="s">
        <v>63</v>
      </c>
      <c r="C2832" t="s">
        <v>74</v>
      </c>
      <c r="D2832" t="s">
        <v>69</v>
      </c>
      <c r="E2832">
        <v>23</v>
      </c>
      <c r="F2832" s="3">
        <v>7.52</v>
      </c>
      <c r="G2832" s="4">
        <v>72.599999999999994</v>
      </c>
      <c r="H2832">
        <v>0</v>
      </c>
      <c r="I2832">
        <v>0</v>
      </c>
      <c r="J2832">
        <v>4</v>
      </c>
      <c r="K2832" s="4">
        <v>81.900000000000006</v>
      </c>
      <c r="L2832" s="4">
        <v>53.5</v>
      </c>
      <c r="M2832" s="4">
        <v>92.4</v>
      </c>
      <c r="N2832">
        <v>1</v>
      </c>
      <c r="O2832" t="s">
        <v>64</v>
      </c>
      <c r="P2832" t="s">
        <v>65</v>
      </c>
      <c r="S2832" s="3">
        <v>0</v>
      </c>
      <c r="T2832" s="5"/>
      <c r="U2832">
        <v>0</v>
      </c>
      <c r="V2832">
        <v>2025</v>
      </c>
      <c r="X2832">
        <f t="shared" si="132"/>
        <v>7.5197167999999994</v>
      </c>
      <c r="Y2832">
        <f t="shared" si="133"/>
        <v>-2.832E-4</v>
      </c>
      <c r="Z2832">
        <f t="shared" si="134"/>
        <v>53.499716800000002</v>
      </c>
    </row>
    <row r="2833" spans="1:26" x14ac:dyDescent="0.3">
      <c r="A2833" t="s">
        <v>2923</v>
      </c>
      <c r="B2833" t="s">
        <v>55</v>
      </c>
      <c r="C2833" t="s">
        <v>84</v>
      </c>
      <c r="D2833" t="s">
        <v>69</v>
      </c>
      <c r="E2833">
        <v>20</v>
      </c>
      <c r="F2833" s="3">
        <v>6.71</v>
      </c>
      <c r="G2833" s="4">
        <v>84.3</v>
      </c>
      <c r="H2833">
        <v>1</v>
      </c>
      <c r="I2833">
        <v>3</v>
      </c>
      <c r="J2833">
        <v>4</v>
      </c>
      <c r="K2833" s="4">
        <v>87.4</v>
      </c>
      <c r="L2833" s="4">
        <v>57</v>
      </c>
      <c r="M2833" s="4">
        <v>56.5</v>
      </c>
      <c r="N2833">
        <v>1</v>
      </c>
      <c r="O2833" t="s">
        <v>64</v>
      </c>
      <c r="P2833" t="s">
        <v>65</v>
      </c>
      <c r="S2833" s="3">
        <v>0</v>
      </c>
      <c r="T2833" s="5"/>
      <c r="U2833">
        <v>0</v>
      </c>
      <c r="V2833">
        <v>2024</v>
      </c>
      <c r="X2833">
        <f t="shared" si="132"/>
        <v>6.7097166999999995</v>
      </c>
      <c r="Y2833">
        <f t="shared" si="133"/>
        <v>-2.833E-4</v>
      </c>
      <c r="Z2833">
        <f t="shared" si="134"/>
        <v>56.9997167</v>
      </c>
    </row>
    <row r="2834" spans="1:26" x14ac:dyDescent="0.3">
      <c r="A2834" t="s">
        <v>2924</v>
      </c>
      <c r="B2834" t="s">
        <v>63</v>
      </c>
      <c r="C2834" t="s">
        <v>84</v>
      </c>
      <c r="D2834" t="s">
        <v>57</v>
      </c>
      <c r="E2834">
        <v>20</v>
      </c>
      <c r="F2834" s="3">
        <v>9.41</v>
      </c>
      <c r="G2834" s="4">
        <v>91.9</v>
      </c>
      <c r="H2834">
        <v>2</v>
      </c>
      <c r="I2834">
        <v>0</v>
      </c>
      <c r="J2834">
        <v>5</v>
      </c>
      <c r="K2834" s="4">
        <v>50</v>
      </c>
      <c r="L2834" s="4">
        <v>100</v>
      </c>
      <c r="M2834" s="4">
        <v>83</v>
      </c>
      <c r="N2834">
        <v>1</v>
      </c>
      <c r="O2834" t="s">
        <v>58</v>
      </c>
      <c r="P2834" t="s">
        <v>59</v>
      </c>
      <c r="Q2834" t="s">
        <v>60</v>
      </c>
      <c r="R2834" t="s">
        <v>85</v>
      </c>
      <c r="S2834" s="3">
        <v>22.13</v>
      </c>
      <c r="T2834" s="5">
        <v>45931</v>
      </c>
      <c r="U2834">
        <v>2</v>
      </c>
      <c r="V2834">
        <v>2025</v>
      </c>
      <c r="X2834">
        <f t="shared" si="132"/>
        <v>9.4097165999999994</v>
      </c>
      <c r="Y2834">
        <f t="shared" si="133"/>
        <v>22.129716599999998</v>
      </c>
      <c r="Z2834">
        <f t="shared" si="134"/>
        <v>99.999716599999999</v>
      </c>
    </row>
    <row r="2835" spans="1:26" x14ac:dyDescent="0.3">
      <c r="A2835" t="s">
        <v>2925</v>
      </c>
      <c r="B2835" t="s">
        <v>67</v>
      </c>
      <c r="C2835" t="s">
        <v>78</v>
      </c>
      <c r="D2835" t="s">
        <v>57</v>
      </c>
      <c r="E2835">
        <v>22</v>
      </c>
      <c r="F2835" s="3">
        <v>8.81</v>
      </c>
      <c r="G2835" s="4">
        <v>87.1</v>
      </c>
      <c r="H2835">
        <v>1</v>
      </c>
      <c r="I2835">
        <v>3</v>
      </c>
      <c r="J2835">
        <v>3</v>
      </c>
      <c r="K2835" s="4">
        <v>47.1</v>
      </c>
      <c r="L2835" s="4">
        <v>66.8</v>
      </c>
      <c r="M2835" s="4">
        <v>78.7</v>
      </c>
      <c r="N2835">
        <v>3</v>
      </c>
      <c r="O2835" t="s">
        <v>58</v>
      </c>
      <c r="P2835" t="s">
        <v>112</v>
      </c>
      <c r="Q2835" t="s">
        <v>93</v>
      </c>
      <c r="R2835" t="s">
        <v>109</v>
      </c>
      <c r="S2835" s="3">
        <v>8.1</v>
      </c>
      <c r="T2835" s="5">
        <v>45232</v>
      </c>
      <c r="U2835">
        <v>1</v>
      </c>
      <c r="V2835">
        <v>2023</v>
      </c>
      <c r="X2835">
        <f t="shared" si="132"/>
        <v>8.8097165000000004</v>
      </c>
      <c r="Y2835">
        <f t="shared" si="133"/>
        <v>8.0997164999999995</v>
      </c>
      <c r="Z2835">
        <f t="shared" si="134"/>
        <v>66.799716500000002</v>
      </c>
    </row>
    <row r="2836" spans="1:26" x14ac:dyDescent="0.3">
      <c r="A2836" t="s">
        <v>2926</v>
      </c>
      <c r="B2836" t="s">
        <v>55</v>
      </c>
      <c r="C2836" t="s">
        <v>101</v>
      </c>
      <c r="D2836" t="s">
        <v>69</v>
      </c>
      <c r="E2836">
        <v>21</v>
      </c>
      <c r="F2836" s="3">
        <v>7.06</v>
      </c>
      <c r="G2836" s="4">
        <v>97.8</v>
      </c>
      <c r="H2836">
        <v>1</v>
      </c>
      <c r="I2836">
        <v>4</v>
      </c>
      <c r="J2836">
        <v>2</v>
      </c>
      <c r="K2836" s="4">
        <v>74.7</v>
      </c>
      <c r="L2836" s="4">
        <v>68.8</v>
      </c>
      <c r="M2836" s="4">
        <v>56.9</v>
      </c>
      <c r="N2836">
        <v>0</v>
      </c>
      <c r="O2836" t="s">
        <v>58</v>
      </c>
      <c r="P2836" t="s">
        <v>104</v>
      </c>
      <c r="Q2836" t="s">
        <v>105</v>
      </c>
      <c r="R2836" t="s">
        <v>76</v>
      </c>
      <c r="S2836" s="3">
        <v>14.43</v>
      </c>
      <c r="T2836" s="5">
        <v>45615</v>
      </c>
      <c r="U2836">
        <v>2</v>
      </c>
      <c r="V2836">
        <v>2024</v>
      </c>
      <c r="X2836">
        <f t="shared" si="132"/>
        <v>7.0597163999999992</v>
      </c>
      <c r="Y2836">
        <f t="shared" si="133"/>
        <v>14.4297164</v>
      </c>
      <c r="Z2836">
        <f t="shared" si="134"/>
        <v>68.799716399999994</v>
      </c>
    </row>
    <row r="2837" spans="1:26" x14ac:dyDescent="0.3">
      <c r="A2837" t="s">
        <v>2927</v>
      </c>
      <c r="B2837" t="s">
        <v>107</v>
      </c>
      <c r="C2837" t="s">
        <v>78</v>
      </c>
      <c r="D2837" t="s">
        <v>69</v>
      </c>
      <c r="E2837">
        <v>22</v>
      </c>
      <c r="F2837" s="3">
        <v>7.46</v>
      </c>
      <c r="G2837" s="4">
        <v>64.5</v>
      </c>
      <c r="H2837">
        <v>3</v>
      </c>
      <c r="I2837">
        <v>2</v>
      </c>
      <c r="J2837">
        <v>5</v>
      </c>
      <c r="K2837" s="4">
        <v>78.900000000000006</v>
      </c>
      <c r="L2837" s="4">
        <v>92.3</v>
      </c>
      <c r="M2837" s="4">
        <v>78.2</v>
      </c>
      <c r="N2837">
        <v>0</v>
      </c>
      <c r="O2837" t="s">
        <v>58</v>
      </c>
      <c r="P2837" t="s">
        <v>70</v>
      </c>
      <c r="Q2837" t="s">
        <v>71</v>
      </c>
      <c r="R2837" t="s">
        <v>85</v>
      </c>
      <c r="S2837" s="3">
        <v>6.83</v>
      </c>
      <c r="T2837" s="5">
        <v>44428</v>
      </c>
      <c r="U2837">
        <v>2</v>
      </c>
      <c r="V2837">
        <v>2021</v>
      </c>
      <c r="X2837">
        <f t="shared" si="132"/>
        <v>7.4597163000000002</v>
      </c>
      <c r="Y2837">
        <f t="shared" si="133"/>
        <v>6.8297163000000003</v>
      </c>
      <c r="Z2837">
        <f t="shared" si="134"/>
        <v>92.2997163</v>
      </c>
    </row>
    <row r="2838" spans="1:26" x14ac:dyDescent="0.3">
      <c r="A2838" t="s">
        <v>2928</v>
      </c>
      <c r="B2838" t="s">
        <v>63</v>
      </c>
      <c r="C2838" t="s">
        <v>78</v>
      </c>
      <c r="D2838" t="s">
        <v>57</v>
      </c>
      <c r="E2838">
        <v>22</v>
      </c>
      <c r="F2838" s="3">
        <v>7.51</v>
      </c>
      <c r="G2838" s="4">
        <v>83.3</v>
      </c>
      <c r="H2838">
        <v>0</v>
      </c>
      <c r="I2838">
        <v>2</v>
      </c>
      <c r="J2838">
        <v>3</v>
      </c>
      <c r="K2838" s="4">
        <v>67</v>
      </c>
      <c r="L2838" s="4">
        <v>89.1</v>
      </c>
      <c r="M2838" s="4">
        <v>78.099999999999994</v>
      </c>
      <c r="N2838">
        <v>0</v>
      </c>
      <c r="O2838" t="s">
        <v>58</v>
      </c>
      <c r="P2838" t="s">
        <v>90</v>
      </c>
      <c r="Q2838" t="s">
        <v>60</v>
      </c>
      <c r="R2838" t="s">
        <v>61</v>
      </c>
      <c r="S2838" s="3">
        <v>7.89</v>
      </c>
      <c r="T2838" s="5">
        <v>45921</v>
      </c>
      <c r="U2838">
        <v>1</v>
      </c>
      <c r="V2838">
        <v>2025</v>
      </c>
      <c r="X2838">
        <f t="shared" si="132"/>
        <v>7.5097161999999997</v>
      </c>
      <c r="Y2838">
        <f t="shared" si="133"/>
        <v>7.8897161999999996</v>
      </c>
      <c r="Z2838">
        <f t="shared" si="134"/>
        <v>89.099716199999989</v>
      </c>
    </row>
    <row r="2839" spans="1:26" x14ac:dyDescent="0.3">
      <c r="A2839" t="s">
        <v>2929</v>
      </c>
      <c r="B2839" t="s">
        <v>63</v>
      </c>
      <c r="C2839" t="s">
        <v>74</v>
      </c>
      <c r="D2839" t="s">
        <v>69</v>
      </c>
      <c r="E2839">
        <v>20</v>
      </c>
      <c r="F2839" s="3">
        <v>9.59</v>
      </c>
      <c r="G2839" s="4">
        <v>89.5</v>
      </c>
      <c r="H2839">
        <v>2</v>
      </c>
      <c r="I2839">
        <v>1</v>
      </c>
      <c r="J2839">
        <v>3</v>
      </c>
      <c r="K2839" s="4">
        <v>68.400000000000006</v>
      </c>
      <c r="L2839" s="4">
        <v>56.8</v>
      </c>
      <c r="M2839" s="4">
        <v>72.900000000000006</v>
      </c>
      <c r="N2839">
        <v>0</v>
      </c>
      <c r="O2839" t="s">
        <v>64</v>
      </c>
      <c r="P2839" t="s">
        <v>65</v>
      </c>
      <c r="S2839" s="3">
        <v>0</v>
      </c>
      <c r="T2839" s="5"/>
      <c r="U2839">
        <v>0</v>
      </c>
      <c r="V2839">
        <v>2025</v>
      </c>
      <c r="X2839">
        <f t="shared" si="132"/>
        <v>9.5897161000000004</v>
      </c>
      <c r="Y2839">
        <f t="shared" si="133"/>
        <v>-2.8389999999999996E-4</v>
      </c>
      <c r="Z2839">
        <f t="shared" si="134"/>
        <v>56.799716099999998</v>
      </c>
    </row>
    <row r="2840" spans="1:26" x14ac:dyDescent="0.3">
      <c r="A2840" t="s">
        <v>2930</v>
      </c>
      <c r="B2840" t="s">
        <v>107</v>
      </c>
      <c r="C2840" t="s">
        <v>56</v>
      </c>
      <c r="D2840" t="s">
        <v>57</v>
      </c>
      <c r="E2840">
        <v>23</v>
      </c>
      <c r="F2840" s="3">
        <v>8.01</v>
      </c>
      <c r="G2840" s="4">
        <v>76.5</v>
      </c>
      <c r="H2840">
        <v>1</v>
      </c>
      <c r="I2840">
        <v>4</v>
      </c>
      <c r="J2840">
        <v>3</v>
      </c>
      <c r="K2840" s="4">
        <v>88.7</v>
      </c>
      <c r="L2840" s="4">
        <v>58.1</v>
      </c>
      <c r="M2840" s="4">
        <v>87.7</v>
      </c>
      <c r="N2840">
        <v>1</v>
      </c>
      <c r="O2840" t="s">
        <v>64</v>
      </c>
      <c r="P2840" t="s">
        <v>65</v>
      </c>
      <c r="S2840" s="3">
        <v>0</v>
      </c>
      <c r="T2840" s="5"/>
      <c r="U2840">
        <v>0</v>
      </c>
      <c r="V2840">
        <v>2021</v>
      </c>
      <c r="X2840">
        <f t="shared" si="132"/>
        <v>8.0097159999999992</v>
      </c>
      <c r="Y2840">
        <f t="shared" si="133"/>
        <v>-2.8399999999999996E-4</v>
      </c>
      <c r="Z2840">
        <f t="shared" si="134"/>
        <v>58.099716000000001</v>
      </c>
    </row>
    <row r="2841" spans="1:26" x14ac:dyDescent="0.3">
      <c r="A2841" t="s">
        <v>2931</v>
      </c>
      <c r="B2841" t="s">
        <v>63</v>
      </c>
      <c r="C2841" t="s">
        <v>74</v>
      </c>
      <c r="D2841" t="s">
        <v>57</v>
      </c>
      <c r="E2841">
        <v>20</v>
      </c>
      <c r="F2841" s="3">
        <v>7.26</v>
      </c>
      <c r="G2841" s="4">
        <v>71.8</v>
      </c>
      <c r="H2841">
        <v>3</v>
      </c>
      <c r="I2841">
        <v>2</v>
      </c>
      <c r="J2841">
        <v>5</v>
      </c>
      <c r="K2841" s="4">
        <v>64.599999999999994</v>
      </c>
      <c r="L2841" s="4">
        <v>61.7</v>
      </c>
      <c r="M2841" s="4">
        <v>86</v>
      </c>
      <c r="N2841">
        <v>0</v>
      </c>
      <c r="O2841" t="s">
        <v>58</v>
      </c>
      <c r="P2841" t="s">
        <v>79</v>
      </c>
      <c r="Q2841" t="s">
        <v>71</v>
      </c>
      <c r="R2841" t="s">
        <v>76</v>
      </c>
      <c r="S2841" s="3">
        <v>7.45</v>
      </c>
      <c r="T2841" s="5">
        <v>45953</v>
      </c>
      <c r="U2841">
        <v>2</v>
      </c>
      <c r="V2841">
        <v>2025</v>
      </c>
      <c r="X2841">
        <f t="shared" si="132"/>
        <v>7.2597158999999998</v>
      </c>
      <c r="Y2841">
        <f t="shared" si="133"/>
        <v>7.4497159000000002</v>
      </c>
      <c r="Z2841">
        <f t="shared" si="134"/>
        <v>61.699715900000001</v>
      </c>
    </row>
    <row r="2842" spans="1:26" x14ac:dyDescent="0.3">
      <c r="A2842" t="s">
        <v>2932</v>
      </c>
      <c r="B2842" t="s">
        <v>107</v>
      </c>
      <c r="C2842" t="s">
        <v>78</v>
      </c>
      <c r="D2842" t="s">
        <v>57</v>
      </c>
      <c r="E2842">
        <v>22</v>
      </c>
      <c r="F2842" s="3">
        <v>7.78</v>
      </c>
      <c r="G2842" s="4">
        <v>71.099999999999994</v>
      </c>
      <c r="H2842">
        <v>1</v>
      </c>
      <c r="I2842">
        <v>2</v>
      </c>
      <c r="J2842">
        <v>6</v>
      </c>
      <c r="K2842" s="4">
        <v>87.3</v>
      </c>
      <c r="L2842" s="4">
        <v>65.099999999999994</v>
      </c>
      <c r="M2842" s="4">
        <v>83.8</v>
      </c>
      <c r="N2842">
        <v>0</v>
      </c>
      <c r="O2842" t="s">
        <v>58</v>
      </c>
      <c r="P2842" t="s">
        <v>95</v>
      </c>
      <c r="Q2842" t="s">
        <v>93</v>
      </c>
      <c r="R2842" t="s">
        <v>109</v>
      </c>
      <c r="S2842" s="3">
        <v>7.38</v>
      </c>
      <c r="T2842" s="5">
        <v>44454</v>
      </c>
      <c r="U2842">
        <v>1</v>
      </c>
      <c r="V2842">
        <v>2021</v>
      </c>
      <c r="X2842">
        <f t="shared" si="132"/>
        <v>7.7797158</v>
      </c>
      <c r="Y2842">
        <f t="shared" si="133"/>
        <v>7.3797157999999996</v>
      </c>
      <c r="Z2842">
        <f t="shared" si="134"/>
        <v>65.099715799999998</v>
      </c>
    </row>
    <row r="2843" spans="1:26" x14ac:dyDescent="0.3">
      <c r="A2843" t="s">
        <v>2933</v>
      </c>
      <c r="B2843" t="s">
        <v>55</v>
      </c>
      <c r="C2843" t="s">
        <v>56</v>
      </c>
      <c r="D2843" t="s">
        <v>57</v>
      </c>
      <c r="E2843">
        <v>21</v>
      </c>
      <c r="F2843" s="3">
        <v>6.27</v>
      </c>
      <c r="G2843" s="4">
        <v>82.9</v>
      </c>
      <c r="H2843">
        <v>2</v>
      </c>
      <c r="I2843">
        <v>2</v>
      </c>
      <c r="J2843">
        <v>2</v>
      </c>
      <c r="K2843" s="4">
        <v>59.9</v>
      </c>
      <c r="L2843" s="4">
        <v>82.5</v>
      </c>
      <c r="M2843" s="4">
        <v>90.8</v>
      </c>
      <c r="N2843">
        <v>0</v>
      </c>
      <c r="O2843" t="s">
        <v>58</v>
      </c>
      <c r="P2843" t="s">
        <v>90</v>
      </c>
      <c r="Q2843" t="s">
        <v>60</v>
      </c>
      <c r="R2843" t="s">
        <v>109</v>
      </c>
      <c r="S2843" s="3">
        <v>8.0299999999999994</v>
      </c>
      <c r="T2843" s="5">
        <v>45591</v>
      </c>
      <c r="U2843">
        <v>2</v>
      </c>
      <c r="V2843">
        <v>2024</v>
      </c>
      <c r="X2843">
        <f t="shared" si="132"/>
        <v>6.2697156999999999</v>
      </c>
      <c r="Y2843">
        <f t="shared" si="133"/>
        <v>8.0297156999999988</v>
      </c>
      <c r="Z2843">
        <f t="shared" si="134"/>
        <v>82.499715699999996</v>
      </c>
    </row>
    <row r="2844" spans="1:26" x14ac:dyDescent="0.3">
      <c r="A2844" t="s">
        <v>2934</v>
      </c>
      <c r="B2844" t="s">
        <v>67</v>
      </c>
      <c r="C2844" t="s">
        <v>56</v>
      </c>
      <c r="D2844" t="s">
        <v>57</v>
      </c>
      <c r="E2844">
        <v>21</v>
      </c>
      <c r="F2844" s="3">
        <v>7.58</v>
      </c>
      <c r="G2844" s="4">
        <v>70.900000000000006</v>
      </c>
      <c r="H2844">
        <v>0</v>
      </c>
      <c r="I2844">
        <v>1</v>
      </c>
      <c r="J2844">
        <v>3</v>
      </c>
      <c r="K2844" s="4">
        <v>100</v>
      </c>
      <c r="L2844" s="4">
        <v>68.7</v>
      </c>
      <c r="M2844" s="4">
        <v>64.3</v>
      </c>
      <c r="N2844">
        <v>1</v>
      </c>
      <c r="O2844" t="s">
        <v>64</v>
      </c>
      <c r="P2844" t="s">
        <v>65</v>
      </c>
      <c r="S2844" s="3">
        <v>0</v>
      </c>
      <c r="T2844" s="5"/>
      <c r="U2844">
        <v>0</v>
      </c>
      <c r="V2844">
        <v>2023</v>
      </c>
      <c r="X2844">
        <f t="shared" si="132"/>
        <v>7.5797156000000001</v>
      </c>
      <c r="Y2844">
        <f t="shared" si="133"/>
        <v>-2.8439999999999997E-4</v>
      </c>
      <c r="Z2844">
        <f t="shared" si="134"/>
        <v>68.699715600000005</v>
      </c>
    </row>
    <row r="2845" spans="1:26" x14ac:dyDescent="0.3">
      <c r="A2845" t="s">
        <v>2935</v>
      </c>
      <c r="B2845" t="s">
        <v>107</v>
      </c>
      <c r="C2845" t="s">
        <v>56</v>
      </c>
      <c r="D2845" t="s">
        <v>69</v>
      </c>
      <c r="E2845">
        <v>23</v>
      </c>
      <c r="F2845" s="3">
        <v>6.68</v>
      </c>
      <c r="G2845" s="4">
        <v>95.3</v>
      </c>
      <c r="H2845">
        <v>3</v>
      </c>
      <c r="I2845">
        <v>2</v>
      </c>
      <c r="J2845">
        <v>2</v>
      </c>
      <c r="K2845" s="4">
        <v>55.6</v>
      </c>
      <c r="L2845" s="4">
        <v>65.400000000000006</v>
      </c>
      <c r="M2845" s="4">
        <v>67.7</v>
      </c>
      <c r="N2845">
        <v>0</v>
      </c>
      <c r="O2845" t="s">
        <v>64</v>
      </c>
      <c r="P2845" t="s">
        <v>65</v>
      </c>
      <c r="S2845" s="3">
        <v>0</v>
      </c>
      <c r="T2845" s="5"/>
      <c r="U2845">
        <v>0</v>
      </c>
      <c r="V2845">
        <v>2021</v>
      </c>
      <c r="X2845">
        <f t="shared" si="132"/>
        <v>6.6797154999999995</v>
      </c>
      <c r="Y2845">
        <f t="shared" si="133"/>
        <v>-2.8449999999999998E-4</v>
      </c>
      <c r="Z2845">
        <f t="shared" si="134"/>
        <v>65.399715499999999</v>
      </c>
    </row>
    <row r="2846" spans="1:26" x14ac:dyDescent="0.3">
      <c r="A2846" t="s">
        <v>2936</v>
      </c>
      <c r="B2846" t="s">
        <v>82</v>
      </c>
      <c r="C2846" t="s">
        <v>78</v>
      </c>
      <c r="D2846" t="s">
        <v>69</v>
      </c>
      <c r="E2846">
        <v>23</v>
      </c>
      <c r="F2846" s="3">
        <v>5.99</v>
      </c>
      <c r="G2846" s="4">
        <v>86.6</v>
      </c>
      <c r="H2846">
        <v>1</v>
      </c>
      <c r="I2846">
        <v>3</v>
      </c>
      <c r="J2846">
        <v>4</v>
      </c>
      <c r="K2846" s="4">
        <v>84.6</v>
      </c>
      <c r="L2846" s="4">
        <v>70.099999999999994</v>
      </c>
      <c r="M2846" s="4">
        <v>66.099999999999994</v>
      </c>
      <c r="N2846">
        <v>2</v>
      </c>
      <c r="O2846" t="s">
        <v>58</v>
      </c>
      <c r="P2846" t="s">
        <v>59</v>
      </c>
      <c r="Q2846" t="s">
        <v>60</v>
      </c>
      <c r="R2846" t="s">
        <v>72</v>
      </c>
      <c r="S2846" s="3">
        <v>18.57</v>
      </c>
      <c r="T2846" s="5">
        <v>44783</v>
      </c>
      <c r="U2846">
        <v>2</v>
      </c>
      <c r="V2846">
        <v>2022</v>
      </c>
      <c r="X2846">
        <f t="shared" si="132"/>
        <v>5.9897154000000006</v>
      </c>
      <c r="Y2846">
        <f t="shared" si="133"/>
        <v>18.5697154</v>
      </c>
      <c r="Z2846">
        <f t="shared" si="134"/>
        <v>70.099715399999994</v>
      </c>
    </row>
    <row r="2847" spans="1:26" x14ac:dyDescent="0.3">
      <c r="A2847" t="s">
        <v>2937</v>
      </c>
      <c r="B2847" t="s">
        <v>107</v>
      </c>
      <c r="C2847" t="s">
        <v>84</v>
      </c>
      <c r="D2847" t="s">
        <v>57</v>
      </c>
      <c r="E2847">
        <v>23</v>
      </c>
      <c r="F2847" s="3">
        <v>9.44</v>
      </c>
      <c r="G2847" s="4">
        <v>80.2</v>
      </c>
      <c r="H2847">
        <v>1</v>
      </c>
      <c r="I2847">
        <v>5</v>
      </c>
      <c r="J2847">
        <v>3</v>
      </c>
      <c r="K2847" s="4">
        <v>54.5</v>
      </c>
      <c r="L2847" s="4">
        <v>61.5</v>
      </c>
      <c r="M2847" s="4">
        <v>67.900000000000006</v>
      </c>
      <c r="N2847">
        <v>0</v>
      </c>
      <c r="O2847" t="s">
        <v>58</v>
      </c>
      <c r="P2847" t="s">
        <v>90</v>
      </c>
      <c r="Q2847" t="s">
        <v>60</v>
      </c>
      <c r="R2847" t="s">
        <v>85</v>
      </c>
      <c r="S2847" s="3">
        <v>9.8800000000000008</v>
      </c>
      <c r="T2847" s="5">
        <v>44448</v>
      </c>
      <c r="U2847">
        <v>1</v>
      </c>
      <c r="V2847">
        <v>2021</v>
      </c>
      <c r="X2847">
        <f t="shared" si="132"/>
        <v>9.4397152999999996</v>
      </c>
      <c r="Y2847">
        <f t="shared" si="133"/>
        <v>9.8797153000000009</v>
      </c>
      <c r="Z2847">
        <f t="shared" si="134"/>
        <v>61.499715299999998</v>
      </c>
    </row>
    <row r="2848" spans="1:26" x14ac:dyDescent="0.3">
      <c r="A2848" t="s">
        <v>2938</v>
      </c>
      <c r="B2848" t="s">
        <v>63</v>
      </c>
      <c r="C2848" t="s">
        <v>84</v>
      </c>
      <c r="D2848" t="s">
        <v>57</v>
      </c>
      <c r="E2848">
        <v>22</v>
      </c>
      <c r="F2848" s="3">
        <v>7.63</v>
      </c>
      <c r="G2848" s="4">
        <v>81.3</v>
      </c>
      <c r="H2848">
        <v>0</v>
      </c>
      <c r="I2848">
        <v>0</v>
      </c>
      <c r="J2848">
        <v>3</v>
      </c>
      <c r="K2848" s="4">
        <v>79</v>
      </c>
      <c r="L2848" s="4">
        <v>93.3</v>
      </c>
      <c r="M2848" s="4">
        <v>68.099999999999994</v>
      </c>
      <c r="N2848">
        <v>0</v>
      </c>
      <c r="O2848" t="s">
        <v>58</v>
      </c>
      <c r="P2848" t="s">
        <v>90</v>
      </c>
      <c r="Q2848" t="s">
        <v>60</v>
      </c>
      <c r="R2848" t="s">
        <v>76</v>
      </c>
      <c r="S2848" s="3">
        <v>9.6300000000000008</v>
      </c>
      <c r="T2848" s="5">
        <v>45874</v>
      </c>
      <c r="U2848">
        <v>1</v>
      </c>
      <c r="V2848">
        <v>2025</v>
      </c>
      <c r="X2848">
        <f t="shared" si="132"/>
        <v>7.6297151999999997</v>
      </c>
      <c r="Y2848">
        <f t="shared" si="133"/>
        <v>9.6297152000000015</v>
      </c>
      <c r="Z2848">
        <f t="shared" si="134"/>
        <v>93.299715199999994</v>
      </c>
    </row>
    <row r="2849" spans="1:26" x14ac:dyDescent="0.3">
      <c r="A2849" t="s">
        <v>2939</v>
      </c>
      <c r="B2849" t="s">
        <v>55</v>
      </c>
      <c r="C2849" t="s">
        <v>68</v>
      </c>
      <c r="D2849" t="s">
        <v>57</v>
      </c>
      <c r="E2849">
        <v>22</v>
      </c>
      <c r="F2849" s="3">
        <v>6.96</v>
      </c>
      <c r="G2849" s="4">
        <v>91.7</v>
      </c>
      <c r="H2849">
        <v>3</v>
      </c>
      <c r="I2849">
        <v>0</v>
      </c>
      <c r="J2849">
        <v>2</v>
      </c>
      <c r="K2849" s="4">
        <v>67.900000000000006</v>
      </c>
      <c r="L2849" s="4">
        <v>59.5</v>
      </c>
      <c r="M2849" s="4">
        <v>72.400000000000006</v>
      </c>
      <c r="N2849">
        <v>0</v>
      </c>
      <c r="O2849" t="s">
        <v>58</v>
      </c>
      <c r="P2849" t="s">
        <v>112</v>
      </c>
      <c r="Q2849" t="s">
        <v>93</v>
      </c>
      <c r="R2849" t="s">
        <v>109</v>
      </c>
      <c r="S2849" s="3">
        <v>7.6</v>
      </c>
      <c r="T2849" s="5">
        <v>45600</v>
      </c>
      <c r="U2849">
        <v>2</v>
      </c>
      <c r="V2849">
        <v>2024</v>
      </c>
      <c r="X2849">
        <f t="shared" si="132"/>
        <v>6.9597151000000004</v>
      </c>
      <c r="Y2849">
        <f t="shared" si="133"/>
        <v>7.5997151000000001</v>
      </c>
      <c r="Z2849">
        <f t="shared" si="134"/>
        <v>59.499715100000003</v>
      </c>
    </row>
    <row r="2850" spans="1:26" x14ac:dyDescent="0.3">
      <c r="A2850" t="s">
        <v>2940</v>
      </c>
      <c r="B2850" t="s">
        <v>55</v>
      </c>
      <c r="C2850" t="s">
        <v>101</v>
      </c>
      <c r="D2850" t="s">
        <v>69</v>
      </c>
      <c r="E2850">
        <v>23</v>
      </c>
      <c r="F2850" s="3">
        <v>6.12</v>
      </c>
      <c r="G2850" s="4">
        <v>94.1</v>
      </c>
      <c r="H2850">
        <v>2</v>
      </c>
      <c r="I2850">
        <v>2</v>
      </c>
      <c r="J2850">
        <v>3</v>
      </c>
      <c r="K2850" s="4">
        <v>71.900000000000006</v>
      </c>
      <c r="L2850" s="4">
        <v>70.400000000000006</v>
      </c>
      <c r="M2850" s="4">
        <v>69.400000000000006</v>
      </c>
      <c r="N2850">
        <v>0</v>
      </c>
      <c r="O2850" t="s">
        <v>64</v>
      </c>
      <c r="P2850" t="s">
        <v>65</v>
      </c>
      <c r="S2850" s="3">
        <v>0</v>
      </c>
      <c r="T2850" s="5"/>
      <c r="U2850">
        <v>0</v>
      </c>
      <c r="V2850">
        <v>2024</v>
      </c>
      <c r="X2850">
        <f t="shared" si="132"/>
        <v>6.1197150000000002</v>
      </c>
      <c r="Y2850">
        <f t="shared" si="133"/>
        <v>-2.8499999999999999E-4</v>
      </c>
      <c r="Z2850">
        <f t="shared" si="134"/>
        <v>70.399715</v>
      </c>
    </row>
    <row r="2851" spans="1:26" x14ac:dyDescent="0.3">
      <c r="A2851" t="s">
        <v>2941</v>
      </c>
      <c r="B2851" t="s">
        <v>107</v>
      </c>
      <c r="C2851" t="s">
        <v>78</v>
      </c>
      <c r="D2851" t="s">
        <v>69</v>
      </c>
      <c r="E2851">
        <v>21</v>
      </c>
      <c r="F2851" s="3">
        <v>7.45</v>
      </c>
      <c r="G2851" s="4">
        <v>73.599999999999994</v>
      </c>
      <c r="H2851">
        <v>0</v>
      </c>
      <c r="I2851">
        <v>2</v>
      </c>
      <c r="J2851">
        <v>3</v>
      </c>
      <c r="K2851" s="4">
        <v>77.3</v>
      </c>
      <c r="L2851" s="4">
        <v>79.3</v>
      </c>
      <c r="M2851" s="4">
        <v>60.9</v>
      </c>
      <c r="N2851">
        <v>3</v>
      </c>
      <c r="O2851" t="s">
        <v>64</v>
      </c>
      <c r="P2851" t="s">
        <v>65</v>
      </c>
      <c r="S2851" s="3">
        <v>0</v>
      </c>
      <c r="T2851" s="5"/>
      <c r="U2851">
        <v>0</v>
      </c>
      <c r="V2851">
        <v>2021</v>
      </c>
      <c r="X2851">
        <f t="shared" si="132"/>
        <v>7.4497149</v>
      </c>
      <c r="Y2851">
        <f t="shared" si="133"/>
        <v>-2.8509999999999999E-4</v>
      </c>
      <c r="Z2851">
        <f t="shared" si="134"/>
        <v>79.299714899999998</v>
      </c>
    </row>
    <row r="2852" spans="1:26" x14ac:dyDescent="0.3">
      <c r="A2852" t="s">
        <v>2942</v>
      </c>
      <c r="B2852" t="s">
        <v>67</v>
      </c>
      <c r="C2852" t="s">
        <v>68</v>
      </c>
      <c r="D2852" t="s">
        <v>57</v>
      </c>
      <c r="E2852">
        <v>21</v>
      </c>
      <c r="F2852" s="3">
        <v>7.52</v>
      </c>
      <c r="G2852" s="4">
        <v>75.400000000000006</v>
      </c>
      <c r="H2852">
        <v>0</v>
      </c>
      <c r="I2852">
        <v>1</v>
      </c>
      <c r="J2852">
        <v>4</v>
      </c>
      <c r="K2852" s="4">
        <v>71.400000000000006</v>
      </c>
      <c r="L2852" s="4">
        <v>80.099999999999994</v>
      </c>
      <c r="M2852" s="4">
        <v>83.5</v>
      </c>
      <c r="N2852">
        <v>2</v>
      </c>
      <c r="O2852" t="s">
        <v>58</v>
      </c>
      <c r="P2852" t="s">
        <v>59</v>
      </c>
      <c r="Q2852" t="s">
        <v>60</v>
      </c>
      <c r="R2852" t="s">
        <v>130</v>
      </c>
      <c r="S2852" s="3">
        <v>18.03</v>
      </c>
      <c r="T2852" s="5">
        <v>45195</v>
      </c>
      <c r="U2852">
        <v>3</v>
      </c>
      <c r="V2852">
        <v>2023</v>
      </c>
      <c r="X2852">
        <f t="shared" si="132"/>
        <v>7.5197147999999991</v>
      </c>
      <c r="Y2852">
        <f t="shared" si="133"/>
        <v>18.029714800000001</v>
      </c>
      <c r="Z2852">
        <f t="shared" si="134"/>
        <v>80.099714800000001</v>
      </c>
    </row>
    <row r="2853" spans="1:26" x14ac:dyDescent="0.3">
      <c r="A2853" t="s">
        <v>2943</v>
      </c>
      <c r="B2853" t="s">
        <v>82</v>
      </c>
      <c r="C2853" t="s">
        <v>89</v>
      </c>
      <c r="D2853" t="s">
        <v>57</v>
      </c>
      <c r="E2853">
        <v>21</v>
      </c>
      <c r="F2853" s="3">
        <v>8.34</v>
      </c>
      <c r="G2853" s="4">
        <v>78.8</v>
      </c>
      <c r="H2853">
        <v>1</v>
      </c>
      <c r="I2853">
        <v>5</v>
      </c>
      <c r="J2853">
        <v>3</v>
      </c>
      <c r="K2853" s="4">
        <v>70.2</v>
      </c>
      <c r="L2853" s="4">
        <v>64.2</v>
      </c>
      <c r="M2853" s="4">
        <v>63.5</v>
      </c>
      <c r="N2853">
        <v>0</v>
      </c>
      <c r="O2853" t="s">
        <v>58</v>
      </c>
      <c r="P2853" t="s">
        <v>75</v>
      </c>
      <c r="Q2853" t="s">
        <v>71</v>
      </c>
      <c r="R2853" t="s">
        <v>72</v>
      </c>
      <c r="S2853" s="3">
        <v>6.6</v>
      </c>
      <c r="T2853" s="5">
        <v>44836</v>
      </c>
      <c r="U2853">
        <v>1</v>
      </c>
      <c r="V2853">
        <v>2022</v>
      </c>
      <c r="X2853">
        <f t="shared" si="132"/>
        <v>8.3397147</v>
      </c>
      <c r="Y2853">
        <f t="shared" si="133"/>
        <v>6.5997146999999998</v>
      </c>
      <c r="Z2853">
        <f t="shared" si="134"/>
        <v>64.199714700000001</v>
      </c>
    </row>
    <row r="2854" spans="1:26" x14ac:dyDescent="0.3">
      <c r="A2854" t="s">
        <v>2944</v>
      </c>
      <c r="B2854" t="s">
        <v>55</v>
      </c>
      <c r="C2854" t="s">
        <v>56</v>
      </c>
      <c r="D2854" t="s">
        <v>69</v>
      </c>
      <c r="E2854">
        <v>22</v>
      </c>
      <c r="F2854" s="3">
        <v>6.79</v>
      </c>
      <c r="G2854" s="4">
        <v>76.400000000000006</v>
      </c>
      <c r="H2854">
        <v>1</v>
      </c>
      <c r="I2854">
        <v>1</v>
      </c>
      <c r="J2854">
        <v>4</v>
      </c>
      <c r="K2854" s="4">
        <v>42</v>
      </c>
      <c r="L2854" s="4">
        <v>86.4</v>
      </c>
      <c r="M2854" s="4">
        <v>92.9</v>
      </c>
      <c r="N2854">
        <v>0</v>
      </c>
      <c r="O2854" t="s">
        <v>64</v>
      </c>
      <c r="P2854" t="s">
        <v>65</v>
      </c>
      <c r="S2854" s="3">
        <v>0</v>
      </c>
      <c r="T2854" s="5"/>
      <c r="U2854">
        <v>0</v>
      </c>
      <c r="V2854">
        <v>2024</v>
      </c>
      <c r="X2854">
        <f t="shared" si="132"/>
        <v>6.7897145999999999</v>
      </c>
      <c r="Y2854">
        <f t="shared" si="133"/>
        <v>-2.854E-4</v>
      </c>
      <c r="Z2854">
        <f t="shared" si="134"/>
        <v>86.39971460000001</v>
      </c>
    </row>
    <row r="2855" spans="1:26" x14ac:dyDescent="0.3">
      <c r="A2855" t="s">
        <v>2945</v>
      </c>
      <c r="B2855" t="s">
        <v>63</v>
      </c>
      <c r="C2855" t="s">
        <v>84</v>
      </c>
      <c r="D2855" t="s">
        <v>57</v>
      </c>
      <c r="E2855">
        <v>20</v>
      </c>
      <c r="F2855" s="3">
        <v>7.17</v>
      </c>
      <c r="G2855" s="4">
        <v>65.8</v>
      </c>
      <c r="H2855">
        <v>1</v>
      </c>
      <c r="I2855">
        <v>0</v>
      </c>
      <c r="J2855">
        <v>3</v>
      </c>
      <c r="K2855" s="4">
        <v>87.3</v>
      </c>
      <c r="L2855" s="4">
        <v>100</v>
      </c>
      <c r="M2855" s="4">
        <v>83.7</v>
      </c>
      <c r="N2855">
        <v>0</v>
      </c>
      <c r="O2855" t="s">
        <v>58</v>
      </c>
      <c r="P2855" t="s">
        <v>70</v>
      </c>
      <c r="Q2855" t="s">
        <v>71</v>
      </c>
      <c r="R2855" t="s">
        <v>61</v>
      </c>
      <c r="S2855" s="3">
        <v>7.29</v>
      </c>
      <c r="T2855" s="5">
        <v>45950</v>
      </c>
      <c r="U2855">
        <v>1</v>
      </c>
      <c r="V2855">
        <v>2025</v>
      </c>
      <c r="X2855">
        <f t="shared" si="132"/>
        <v>7.1697144999999995</v>
      </c>
      <c r="Y2855">
        <f t="shared" si="133"/>
        <v>7.2897144999999997</v>
      </c>
      <c r="Z2855">
        <f t="shared" si="134"/>
        <v>99.999714499999996</v>
      </c>
    </row>
    <row r="2856" spans="1:26" x14ac:dyDescent="0.3">
      <c r="A2856" t="s">
        <v>2946</v>
      </c>
      <c r="B2856" t="s">
        <v>63</v>
      </c>
      <c r="C2856" t="s">
        <v>74</v>
      </c>
      <c r="D2856" t="s">
        <v>57</v>
      </c>
      <c r="E2856">
        <v>21</v>
      </c>
      <c r="F2856" s="3">
        <v>6.82</v>
      </c>
      <c r="G2856" s="4">
        <v>74.7</v>
      </c>
      <c r="H2856">
        <v>3</v>
      </c>
      <c r="I2856">
        <v>1</v>
      </c>
      <c r="J2856">
        <v>3</v>
      </c>
      <c r="K2856" s="4">
        <v>89.4</v>
      </c>
      <c r="L2856" s="4">
        <v>97</v>
      </c>
      <c r="M2856" s="4">
        <v>59.9</v>
      </c>
      <c r="N2856">
        <v>2</v>
      </c>
      <c r="O2856" t="s">
        <v>58</v>
      </c>
      <c r="P2856" t="s">
        <v>104</v>
      </c>
      <c r="Q2856" t="s">
        <v>105</v>
      </c>
      <c r="R2856" t="s">
        <v>61</v>
      </c>
      <c r="S2856" s="3">
        <v>16.75</v>
      </c>
      <c r="T2856" s="5">
        <v>45874</v>
      </c>
      <c r="U2856">
        <v>1</v>
      </c>
      <c r="V2856">
        <v>2025</v>
      </c>
      <c r="X2856">
        <f t="shared" si="132"/>
        <v>6.8197144000000005</v>
      </c>
      <c r="Y2856">
        <f t="shared" si="133"/>
        <v>16.749714399999998</v>
      </c>
      <c r="Z2856">
        <f t="shared" si="134"/>
        <v>96.999714400000002</v>
      </c>
    </row>
    <row r="2857" spans="1:26" x14ac:dyDescent="0.3">
      <c r="A2857" t="s">
        <v>2947</v>
      </c>
      <c r="B2857" t="s">
        <v>67</v>
      </c>
      <c r="C2857" t="s">
        <v>68</v>
      </c>
      <c r="D2857" t="s">
        <v>69</v>
      </c>
      <c r="E2857">
        <v>21</v>
      </c>
      <c r="F2857" s="3">
        <v>7.45</v>
      </c>
      <c r="G2857" s="4">
        <v>75.7</v>
      </c>
      <c r="H2857">
        <v>2</v>
      </c>
      <c r="I2857">
        <v>4</v>
      </c>
      <c r="J2857">
        <v>3</v>
      </c>
      <c r="K2857" s="4">
        <v>66.5</v>
      </c>
      <c r="L2857" s="4">
        <v>32.799999999999997</v>
      </c>
      <c r="M2857" s="4">
        <v>73.8</v>
      </c>
      <c r="N2857">
        <v>0</v>
      </c>
      <c r="O2857" t="s">
        <v>58</v>
      </c>
      <c r="P2857" t="s">
        <v>92</v>
      </c>
      <c r="Q2857" t="s">
        <v>93</v>
      </c>
      <c r="R2857" t="s">
        <v>130</v>
      </c>
      <c r="S2857" s="3">
        <v>8.2899999999999991</v>
      </c>
      <c r="T2857" s="5">
        <v>45237</v>
      </c>
      <c r="U2857">
        <v>1</v>
      </c>
      <c r="V2857">
        <v>2023</v>
      </c>
      <c r="X2857">
        <f t="shared" si="132"/>
        <v>7.4497143000000001</v>
      </c>
      <c r="Y2857">
        <f t="shared" si="133"/>
        <v>8.2897143</v>
      </c>
      <c r="Z2857">
        <f t="shared" si="134"/>
        <v>32.799714299999998</v>
      </c>
    </row>
    <row r="2858" spans="1:26" x14ac:dyDescent="0.3">
      <c r="A2858" t="s">
        <v>2948</v>
      </c>
      <c r="B2858" t="s">
        <v>55</v>
      </c>
      <c r="C2858" t="s">
        <v>78</v>
      </c>
      <c r="D2858" t="s">
        <v>57</v>
      </c>
      <c r="E2858">
        <v>21</v>
      </c>
      <c r="F2858" s="3">
        <v>5.86</v>
      </c>
      <c r="G2858" s="4">
        <v>71.2</v>
      </c>
      <c r="H2858">
        <v>3</v>
      </c>
      <c r="I2858">
        <v>0</v>
      </c>
      <c r="J2858">
        <v>4</v>
      </c>
      <c r="K2858" s="4">
        <v>75.8</v>
      </c>
      <c r="L2858" s="4">
        <v>68.8</v>
      </c>
      <c r="M2858" s="4">
        <v>57</v>
      </c>
      <c r="N2858">
        <v>0</v>
      </c>
      <c r="O2858" t="s">
        <v>58</v>
      </c>
      <c r="P2858" t="s">
        <v>92</v>
      </c>
      <c r="Q2858" t="s">
        <v>93</v>
      </c>
      <c r="R2858" t="s">
        <v>109</v>
      </c>
      <c r="S2858" s="3">
        <v>7.06</v>
      </c>
      <c r="T2858" s="5">
        <v>45610</v>
      </c>
      <c r="U2858">
        <v>1</v>
      </c>
      <c r="V2858">
        <v>2024</v>
      </c>
      <c r="X2858">
        <f t="shared" si="132"/>
        <v>5.8597142</v>
      </c>
      <c r="Y2858">
        <f t="shared" si="133"/>
        <v>7.0597141999999993</v>
      </c>
      <c r="Z2858">
        <f t="shared" si="134"/>
        <v>68.799714199999997</v>
      </c>
    </row>
    <row r="2859" spans="1:26" x14ac:dyDescent="0.3">
      <c r="A2859" t="s">
        <v>2949</v>
      </c>
      <c r="B2859" t="s">
        <v>107</v>
      </c>
      <c r="C2859" t="s">
        <v>74</v>
      </c>
      <c r="D2859" t="s">
        <v>57</v>
      </c>
      <c r="E2859">
        <v>23</v>
      </c>
      <c r="F2859" s="3">
        <v>6.93</v>
      </c>
      <c r="G2859" s="4">
        <v>86</v>
      </c>
      <c r="H2859">
        <v>1</v>
      </c>
      <c r="I2859">
        <v>2</v>
      </c>
      <c r="J2859">
        <v>4</v>
      </c>
      <c r="K2859" s="4">
        <v>87.1</v>
      </c>
      <c r="L2859" s="4">
        <v>60.1</v>
      </c>
      <c r="M2859" s="4">
        <v>89.3</v>
      </c>
      <c r="N2859">
        <v>0</v>
      </c>
      <c r="O2859" t="s">
        <v>58</v>
      </c>
      <c r="P2859" t="s">
        <v>70</v>
      </c>
      <c r="Q2859" t="s">
        <v>71</v>
      </c>
      <c r="R2859" t="s">
        <v>109</v>
      </c>
      <c r="S2859" s="3">
        <v>4.58</v>
      </c>
      <c r="T2859" s="5">
        <v>44429</v>
      </c>
      <c r="U2859">
        <v>1</v>
      </c>
      <c r="V2859">
        <v>2021</v>
      </c>
      <c r="X2859">
        <f t="shared" si="132"/>
        <v>6.9297141</v>
      </c>
      <c r="Y2859">
        <f t="shared" si="133"/>
        <v>4.5797141000000003</v>
      </c>
      <c r="Z2859">
        <f t="shared" si="134"/>
        <v>60.0997141</v>
      </c>
    </row>
    <row r="2860" spans="1:26" x14ac:dyDescent="0.3">
      <c r="A2860" t="s">
        <v>2950</v>
      </c>
      <c r="B2860" t="s">
        <v>63</v>
      </c>
      <c r="C2860" t="s">
        <v>74</v>
      </c>
      <c r="D2860" t="s">
        <v>57</v>
      </c>
      <c r="E2860">
        <v>22</v>
      </c>
      <c r="F2860" s="3">
        <v>8.2200000000000006</v>
      </c>
      <c r="G2860" s="4">
        <v>80.900000000000006</v>
      </c>
      <c r="H2860">
        <v>2</v>
      </c>
      <c r="I2860">
        <v>2</v>
      </c>
      <c r="J2860">
        <v>5</v>
      </c>
      <c r="K2860" s="4">
        <v>76.400000000000006</v>
      </c>
      <c r="L2860" s="4">
        <v>78.3</v>
      </c>
      <c r="M2860" s="4">
        <v>74.099999999999994</v>
      </c>
      <c r="N2860">
        <v>0</v>
      </c>
      <c r="O2860" t="s">
        <v>58</v>
      </c>
      <c r="P2860" t="s">
        <v>59</v>
      </c>
      <c r="Q2860" t="s">
        <v>60</v>
      </c>
      <c r="R2860" t="s">
        <v>61</v>
      </c>
      <c r="S2860" s="3">
        <v>19.989999999999998</v>
      </c>
      <c r="T2860" s="5">
        <v>45969</v>
      </c>
      <c r="U2860">
        <v>1</v>
      </c>
      <c r="V2860">
        <v>2025</v>
      </c>
      <c r="X2860">
        <f t="shared" si="132"/>
        <v>8.2197140000000015</v>
      </c>
      <c r="Y2860">
        <f t="shared" si="133"/>
        <v>19.989713999999999</v>
      </c>
      <c r="Z2860">
        <f t="shared" si="134"/>
        <v>78.299713999999994</v>
      </c>
    </row>
    <row r="2861" spans="1:26" x14ac:dyDescent="0.3">
      <c r="A2861" t="s">
        <v>2951</v>
      </c>
      <c r="B2861" t="s">
        <v>67</v>
      </c>
      <c r="C2861" t="s">
        <v>89</v>
      </c>
      <c r="D2861" t="s">
        <v>57</v>
      </c>
      <c r="E2861">
        <v>23</v>
      </c>
      <c r="F2861" s="3">
        <v>6.55</v>
      </c>
      <c r="G2861" s="4">
        <v>87.6</v>
      </c>
      <c r="H2861">
        <v>1</v>
      </c>
      <c r="I2861">
        <v>2</v>
      </c>
      <c r="J2861">
        <v>3</v>
      </c>
      <c r="K2861" s="4">
        <v>60.6</v>
      </c>
      <c r="L2861" s="4">
        <v>85.8</v>
      </c>
      <c r="M2861" s="4">
        <v>73.599999999999994</v>
      </c>
      <c r="N2861">
        <v>0</v>
      </c>
      <c r="O2861" t="s">
        <v>58</v>
      </c>
      <c r="P2861" t="s">
        <v>79</v>
      </c>
      <c r="Q2861" t="s">
        <v>71</v>
      </c>
      <c r="R2861" t="s">
        <v>61</v>
      </c>
      <c r="S2861" s="3">
        <v>7.02</v>
      </c>
      <c r="T2861" s="5">
        <v>45157</v>
      </c>
      <c r="U2861">
        <v>2</v>
      </c>
      <c r="V2861">
        <v>2023</v>
      </c>
      <c r="X2861">
        <f t="shared" si="132"/>
        <v>6.5497138999999995</v>
      </c>
      <c r="Y2861">
        <f t="shared" si="133"/>
        <v>7.0197138999999993</v>
      </c>
      <c r="Z2861">
        <f t="shared" si="134"/>
        <v>85.7997139</v>
      </c>
    </row>
    <row r="2862" spans="1:26" x14ac:dyDescent="0.3">
      <c r="A2862" t="s">
        <v>2952</v>
      </c>
      <c r="B2862" t="s">
        <v>55</v>
      </c>
      <c r="C2862" t="s">
        <v>56</v>
      </c>
      <c r="D2862" t="s">
        <v>69</v>
      </c>
      <c r="E2862">
        <v>23</v>
      </c>
      <c r="F2862" s="3">
        <v>8.5500000000000007</v>
      </c>
      <c r="G2862" s="4">
        <v>73.099999999999994</v>
      </c>
      <c r="H2862">
        <v>1</v>
      </c>
      <c r="I2862">
        <v>0</v>
      </c>
      <c r="J2862">
        <v>1</v>
      </c>
      <c r="K2862" s="4">
        <v>51.2</v>
      </c>
      <c r="L2862" s="4">
        <v>52.8</v>
      </c>
      <c r="M2862" s="4">
        <v>76.7</v>
      </c>
      <c r="N2862">
        <v>0</v>
      </c>
      <c r="O2862" t="s">
        <v>58</v>
      </c>
      <c r="P2862" t="s">
        <v>90</v>
      </c>
      <c r="Q2862" t="s">
        <v>60</v>
      </c>
      <c r="R2862" t="s">
        <v>85</v>
      </c>
      <c r="S2862" s="3">
        <v>8.57</v>
      </c>
      <c r="T2862" s="5">
        <v>45527</v>
      </c>
      <c r="U2862">
        <v>3</v>
      </c>
      <c r="V2862">
        <v>2024</v>
      </c>
      <c r="X2862">
        <f t="shared" si="132"/>
        <v>8.549713800000001</v>
      </c>
      <c r="Y2862">
        <f t="shared" si="133"/>
        <v>8.5697138000000006</v>
      </c>
      <c r="Z2862">
        <f t="shared" si="134"/>
        <v>52.799713799999999</v>
      </c>
    </row>
    <row r="2863" spans="1:26" x14ac:dyDescent="0.3">
      <c r="A2863" t="s">
        <v>2953</v>
      </c>
      <c r="B2863" t="s">
        <v>55</v>
      </c>
      <c r="C2863" t="s">
        <v>78</v>
      </c>
      <c r="D2863" t="s">
        <v>69</v>
      </c>
      <c r="E2863">
        <v>20</v>
      </c>
      <c r="F2863" s="3">
        <v>8.44</v>
      </c>
      <c r="G2863" s="4">
        <v>87.7</v>
      </c>
      <c r="H2863">
        <v>1</v>
      </c>
      <c r="I2863">
        <v>2</v>
      </c>
      <c r="J2863">
        <v>2</v>
      </c>
      <c r="K2863" s="4">
        <v>76.900000000000006</v>
      </c>
      <c r="L2863" s="4">
        <v>83</v>
      </c>
      <c r="M2863" s="4">
        <v>71.900000000000006</v>
      </c>
      <c r="N2863">
        <v>2</v>
      </c>
      <c r="O2863" t="s">
        <v>64</v>
      </c>
      <c r="P2863" t="s">
        <v>65</v>
      </c>
      <c r="S2863" s="3">
        <v>0</v>
      </c>
      <c r="T2863" s="5"/>
      <c r="U2863">
        <v>0</v>
      </c>
      <c r="V2863">
        <v>2024</v>
      </c>
      <c r="X2863">
        <f t="shared" si="132"/>
        <v>8.4397136999999987</v>
      </c>
      <c r="Y2863">
        <f t="shared" si="133"/>
        <v>-2.8629999999999997E-4</v>
      </c>
      <c r="Z2863">
        <f t="shared" si="134"/>
        <v>82.999713700000001</v>
      </c>
    </row>
    <row r="2864" spans="1:26" x14ac:dyDescent="0.3">
      <c r="A2864" t="s">
        <v>2954</v>
      </c>
      <c r="B2864" t="s">
        <v>55</v>
      </c>
      <c r="C2864" t="s">
        <v>68</v>
      </c>
      <c r="D2864" t="s">
        <v>69</v>
      </c>
      <c r="E2864">
        <v>23</v>
      </c>
      <c r="F2864" s="3">
        <v>8.51</v>
      </c>
      <c r="G2864" s="4">
        <v>83.3</v>
      </c>
      <c r="H2864">
        <v>1</v>
      </c>
      <c r="I2864">
        <v>1</v>
      </c>
      <c r="J2864">
        <v>3</v>
      </c>
      <c r="K2864" s="4">
        <v>69.900000000000006</v>
      </c>
      <c r="L2864" s="4">
        <v>69.599999999999994</v>
      </c>
      <c r="M2864" s="4">
        <v>66.099999999999994</v>
      </c>
      <c r="N2864">
        <v>3</v>
      </c>
      <c r="O2864" t="s">
        <v>64</v>
      </c>
      <c r="P2864" t="s">
        <v>65</v>
      </c>
      <c r="S2864" s="3">
        <v>0</v>
      </c>
      <c r="T2864" s="5"/>
      <c r="U2864">
        <v>0</v>
      </c>
      <c r="V2864">
        <v>2024</v>
      </c>
      <c r="X2864">
        <f t="shared" si="132"/>
        <v>8.5097135999999995</v>
      </c>
      <c r="Y2864">
        <f t="shared" si="133"/>
        <v>-2.8639999999999997E-4</v>
      </c>
      <c r="Z2864">
        <f t="shared" si="134"/>
        <v>69.599713600000001</v>
      </c>
    </row>
    <row r="2865" spans="1:26" x14ac:dyDescent="0.3">
      <c r="A2865" t="s">
        <v>2955</v>
      </c>
      <c r="B2865" t="s">
        <v>55</v>
      </c>
      <c r="C2865" t="s">
        <v>89</v>
      </c>
      <c r="D2865" t="s">
        <v>69</v>
      </c>
      <c r="E2865">
        <v>20</v>
      </c>
      <c r="F2865" s="3">
        <v>7.65</v>
      </c>
      <c r="G2865" s="4">
        <v>77.099999999999994</v>
      </c>
      <c r="H2865">
        <v>3</v>
      </c>
      <c r="I2865">
        <v>4</v>
      </c>
      <c r="J2865">
        <v>2</v>
      </c>
      <c r="K2865" s="4">
        <v>67.900000000000006</v>
      </c>
      <c r="L2865" s="4">
        <v>66.099999999999994</v>
      </c>
      <c r="M2865" s="4">
        <v>72.8</v>
      </c>
      <c r="N2865">
        <v>0</v>
      </c>
      <c r="O2865" t="s">
        <v>58</v>
      </c>
      <c r="P2865" t="s">
        <v>59</v>
      </c>
      <c r="Q2865" t="s">
        <v>60</v>
      </c>
      <c r="R2865" t="s">
        <v>80</v>
      </c>
      <c r="S2865" s="3">
        <v>19.010000000000002</v>
      </c>
      <c r="T2865" s="5">
        <v>45508</v>
      </c>
      <c r="U2865">
        <v>1</v>
      </c>
      <c r="V2865">
        <v>2024</v>
      </c>
      <c r="X2865">
        <f t="shared" si="132"/>
        <v>7.6497135000000007</v>
      </c>
      <c r="Y2865">
        <f t="shared" si="133"/>
        <v>19.0097135</v>
      </c>
      <c r="Z2865">
        <f t="shared" si="134"/>
        <v>66.099713499999993</v>
      </c>
    </row>
    <row r="2866" spans="1:26" x14ac:dyDescent="0.3">
      <c r="A2866" t="s">
        <v>2956</v>
      </c>
      <c r="B2866" t="s">
        <v>55</v>
      </c>
      <c r="C2866" t="s">
        <v>89</v>
      </c>
      <c r="D2866" t="s">
        <v>69</v>
      </c>
      <c r="E2866">
        <v>23</v>
      </c>
      <c r="F2866" s="3">
        <v>7.57</v>
      </c>
      <c r="G2866" s="4">
        <v>96.4</v>
      </c>
      <c r="H2866">
        <v>1</v>
      </c>
      <c r="I2866">
        <v>3</v>
      </c>
      <c r="J2866">
        <v>2</v>
      </c>
      <c r="K2866" s="4">
        <v>57.3</v>
      </c>
      <c r="L2866" s="4">
        <v>77.900000000000006</v>
      </c>
      <c r="M2866" s="4">
        <v>89.1</v>
      </c>
      <c r="N2866">
        <v>2</v>
      </c>
      <c r="O2866" t="s">
        <v>58</v>
      </c>
      <c r="P2866" t="s">
        <v>90</v>
      </c>
      <c r="Q2866" t="s">
        <v>60</v>
      </c>
      <c r="R2866" t="s">
        <v>85</v>
      </c>
      <c r="S2866" s="3">
        <v>8.32</v>
      </c>
      <c r="T2866" s="5">
        <v>45601</v>
      </c>
      <c r="U2866">
        <v>1</v>
      </c>
      <c r="V2866">
        <v>2024</v>
      </c>
      <c r="X2866">
        <f t="shared" si="132"/>
        <v>7.5697134000000004</v>
      </c>
      <c r="Y2866">
        <f t="shared" si="133"/>
        <v>8.3197133999999995</v>
      </c>
      <c r="Z2866">
        <f t="shared" si="134"/>
        <v>77.89971340000001</v>
      </c>
    </row>
    <row r="2867" spans="1:26" x14ac:dyDescent="0.3">
      <c r="A2867" t="s">
        <v>2957</v>
      </c>
      <c r="B2867" t="s">
        <v>63</v>
      </c>
      <c r="C2867" t="s">
        <v>68</v>
      </c>
      <c r="D2867" t="s">
        <v>69</v>
      </c>
      <c r="E2867">
        <v>21</v>
      </c>
      <c r="F2867" s="3">
        <v>7.94</v>
      </c>
      <c r="G2867" s="4">
        <v>83</v>
      </c>
      <c r="H2867">
        <v>2</v>
      </c>
      <c r="I2867">
        <v>1</v>
      </c>
      <c r="J2867">
        <v>3</v>
      </c>
      <c r="K2867" s="4">
        <v>63.2</v>
      </c>
      <c r="L2867" s="4">
        <v>67.8</v>
      </c>
      <c r="M2867" s="4">
        <v>67.3</v>
      </c>
      <c r="N2867">
        <v>0</v>
      </c>
      <c r="O2867" t="s">
        <v>58</v>
      </c>
      <c r="P2867" t="s">
        <v>95</v>
      </c>
      <c r="Q2867" t="s">
        <v>93</v>
      </c>
      <c r="R2867" t="s">
        <v>130</v>
      </c>
      <c r="S2867" s="3">
        <v>7.65</v>
      </c>
      <c r="T2867" s="5">
        <v>45980</v>
      </c>
      <c r="U2867">
        <v>1</v>
      </c>
      <c r="V2867">
        <v>2025</v>
      </c>
      <c r="X2867">
        <f t="shared" si="132"/>
        <v>7.9397133000000002</v>
      </c>
      <c r="Y2867">
        <f t="shared" si="133"/>
        <v>7.6497133000000002</v>
      </c>
      <c r="Z2867">
        <f t="shared" si="134"/>
        <v>67.799713299999993</v>
      </c>
    </row>
    <row r="2868" spans="1:26" x14ac:dyDescent="0.3">
      <c r="A2868" t="s">
        <v>2958</v>
      </c>
      <c r="B2868" t="s">
        <v>67</v>
      </c>
      <c r="C2868" t="s">
        <v>89</v>
      </c>
      <c r="D2868" t="s">
        <v>69</v>
      </c>
      <c r="E2868">
        <v>22</v>
      </c>
      <c r="F2868" s="3">
        <v>8.84</v>
      </c>
      <c r="G2868" s="4">
        <v>77.3</v>
      </c>
      <c r="H2868">
        <v>2</v>
      </c>
      <c r="I2868">
        <v>5</v>
      </c>
      <c r="J2868">
        <v>4</v>
      </c>
      <c r="K2868" s="4">
        <v>72.7</v>
      </c>
      <c r="L2868" s="4">
        <v>87</v>
      </c>
      <c r="M2868" s="4">
        <v>90.7</v>
      </c>
      <c r="N2868">
        <v>0</v>
      </c>
      <c r="O2868" t="s">
        <v>58</v>
      </c>
      <c r="P2868" t="s">
        <v>59</v>
      </c>
      <c r="Q2868" t="s">
        <v>60</v>
      </c>
      <c r="R2868" t="s">
        <v>130</v>
      </c>
      <c r="S2868" s="3">
        <v>20.440000000000001</v>
      </c>
      <c r="T2868" s="5">
        <v>45173</v>
      </c>
      <c r="U2868">
        <v>1</v>
      </c>
      <c r="V2868">
        <v>2023</v>
      </c>
      <c r="X2868">
        <f t="shared" si="132"/>
        <v>8.8397132000000003</v>
      </c>
      <c r="Y2868">
        <f t="shared" si="133"/>
        <v>20.4397132</v>
      </c>
      <c r="Z2868">
        <f t="shared" si="134"/>
        <v>86.999713200000002</v>
      </c>
    </row>
    <row r="2869" spans="1:26" x14ac:dyDescent="0.3">
      <c r="A2869" t="s">
        <v>2959</v>
      </c>
      <c r="B2869" t="s">
        <v>55</v>
      </c>
      <c r="C2869" t="s">
        <v>78</v>
      </c>
      <c r="D2869" t="s">
        <v>57</v>
      </c>
      <c r="E2869">
        <v>23</v>
      </c>
      <c r="F2869" s="3">
        <v>8.76</v>
      </c>
      <c r="G2869" s="4">
        <v>84.5</v>
      </c>
      <c r="H2869">
        <v>1</v>
      </c>
      <c r="I2869">
        <v>0</v>
      </c>
      <c r="J2869">
        <v>5</v>
      </c>
      <c r="K2869" s="4">
        <v>63.9</v>
      </c>
      <c r="L2869" s="4">
        <v>64.099999999999994</v>
      </c>
      <c r="M2869" s="4">
        <v>68.3</v>
      </c>
      <c r="N2869">
        <v>0</v>
      </c>
      <c r="O2869" t="s">
        <v>58</v>
      </c>
      <c r="P2869" t="s">
        <v>87</v>
      </c>
      <c r="Q2869" t="s">
        <v>71</v>
      </c>
      <c r="R2869" t="s">
        <v>80</v>
      </c>
      <c r="S2869" s="3">
        <v>8</v>
      </c>
      <c r="T2869" s="5">
        <v>45563</v>
      </c>
      <c r="U2869">
        <v>1</v>
      </c>
      <c r="V2869">
        <v>2024</v>
      </c>
      <c r="X2869">
        <f t="shared" si="132"/>
        <v>8.759713099999999</v>
      </c>
      <c r="Y2869">
        <f t="shared" si="133"/>
        <v>7.9997131000000001</v>
      </c>
      <c r="Z2869">
        <f t="shared" si="134"/>
        <v>64.099713099999988</v>
      </c>
    </row>
    <row r="2870" spans="1:26" x14ac:dyDescent="0.3">
      <c r="A2870" t="s">
        <v>2960</v>
      </c>
      <c r="B2870" t="s">
        <v>82</v>
      </c>
      <c r="C2870" t="s">
        <v>78</v>
      </c>
      <c r="D2870" t="s">
        <v>57</v>
      </c>
      <c r="E2870">
        <v>20</v>
      </c>
      <c r="F2870" s="3">
        <v>6.15</v>
      </c>
      <c r="G2870" s="4">
        <v>73.5</v>
      </c>
      <c r="H2870">
        <v>1</v>
      </c>
      <c r="I2870">
        <v>3</v>
      </c>
      <c r="J2870">
        <v>3</v>
      </c>
      <c r="K2870" s="4">
        <v>68.5</v>
      </c>
      <c r="L2870" s="4">
        <v>90</v>
      </c>
      <c r="M2870" s="4">
        <v>76.2</v>
      </c>
      <c r="N2870">
        <v>1</v>
      </c>
      <c r="O2870" t="s">
        <v>58</v>
      </c>
      <c r="P2870" t="s">
        <v>70</v>
      </c>
      <c r="Q2870" t="s">
        <v>71</v>
      </c>
      <c r="R2870" t="s">
        <v>85</v>
      </c>
      <c r="S2870" s="3">
        <v>4.79</v>
      </c>
      <c r="T2870" s="5">
        <v>44815</v>
      </c>
      <c r="U2870">
        <v>3</v>
      </c>
      <c r="V2870">
        <v>2022</v>
      </c>
      <c r="X2870">
        <f t="shared" si="132"/>
        <v>6.1497130000000002</v>
      </c>
      <c r="Y2870">
        <f t="shared" si="133"/>
        <v>4.7897129999999999</v>
      </c>
      <c r="Z2870">
        <f t="shared" si="134"/>
        <v>89.999713</v>
      </c>
    </row>
    <row r="2871" spans="1:26" x14ac:dyDescent="0.3">
      <c r="A2871" t="s">
        <v>2961</v>
      </c>
      <c r="B2871" t="s">
        <v>82</v>
      </c>
      <c r="C2871" t="s">
        <v>78</v>
      </c>
      <c r="D2871" t="s">
        <v>69</v>
      </c>
      <c r="E2871">
        <v>22</v>
      </c>
      <c r="F2871" s="3">
        <v>6.86</v>
      </c>
      <c r="G2871" s="4">
        <v>80.400000000000006</v>
      </c>
      <c r="H2871">
        <v>1</v>
      </c>
      <c r="I2871">
        <v>2</v>
      </c>
      <c r="J2871">
        <v>3</v>
      </c>
      <c r="K2871" s="4">
        <v>67.599999999999994</v>
      </c>
      <c r="L2871" s="4">
        <v>69.7</v>
      </c>
      <c r="M2871" s="4">
        <v>97.5</v>
      </c>
      <c r="N2871">
        <v>1</v>
      </c>
      <c r="O2871" t="s">
        <v>58</v>
      </c>
      <c r="P2871" t="s">
        <v>59</v>
      </c>
      <c r="Q2871" t="s">
        <v>60</v>
      </c>
      <c r="R2871" t="s">
        <v>85</v>
      </c>
      <c r="S2871" s="3">
        <v>19.13</v>
      </c>
      <c r="T2871" s="5">
        <v>44863</v>
      </c>
      <c r="U2871">
        <v>1</v>
      </c>
      <c r="V2871">
        <v>2022</v>
      </c>
      <c r="X2871">
        <f t="shared" si="132"/>
        <v>6.8597128999999999</v>
      </c>
      <c r="Y2871">
        <f t="shared" si="133"/>
        <v>19.129712899999998</v>
      </c>
      <c r="Z2871">
        <f t="shared" si="134"/>
        <v>69.699712900000009</v>
      </c>
    </row>
    <row r="2872" spans="1:26" x14ac:dyDescent="0.3">
      <c r="A2872" t="s">
        <v>2962</v>
      </c>
      <c r="B2872" t="s">
        <v>67</v>
      </c>
      <c r="C2872" t="s">
        <v>101</v>
      </c>
      <c r="D2872" t="s">
        <v>69</v>
      </c>
      <c r="E2872">
        <v>20</v>
      </c>
      <c r="F2872" s="3">
        <v>6.7</v>
      </c>
      <c r="G2872" s="4">
        <v>100</v>
      </c>
      <c r="H2872">
        <v>0</v>
      </c>
      <c r="I2872">
        <v>2</v>
      </c>
      <c r="J2872">
        <v>5</v>
      </c>
      <c r="K2872" s="4">
        <v>77.2</v>
      </c>
      <c r="L2872" s="4">
        <v>34.299999999999997</v>
      </c>
      <c r="M2872" s="4">
        <v>80.8</v>
      </c>
      <c r="N2872">
        <v>0</v>
      </c>
      <c r="O2872" t="s">
        <v>58</v>
      </c>
      <c r="P2872" t="s">
        <v>104</v>
      </c>
      <c r="Q2872" t="s">
        <v>105</v>
      </c>
      <c r="R2872" t="s">
        <v>85</v>
      </c>
      <c r="S2872" s="3">
        <v>12.36</v>
      </c>
      <c r="T2872" s="5">
        <v>45239</v>
      </c>
      <c r="U2872">
        <v>2</v>
      </c>
      <c r="V2872">
        <v>2023</v>
      </c>
      <c r="X2872">
        <f t="shared" si="132"/>
        <v>6.6997128000000004</v>
      </c>
      <c r="Y2872">
        <f t="shared" si="133"/>
        <v>12.359712799999999</v>
      </c>
      <c r="Z2872">
        <f t="shared" si="134"/>
        <v>34.299712799999995</v>
      </c>
    </row>
    <row r="2873" spans="1:26" x14ac:dyDescent="0.3">
      <c r="A2873" t="s">
        <v>2963</v>
      </c>
      <c r="B2873" t="s">
        <v>107</v>
      </c>
      <c r="C2873" t="s">
        <v>56</v>
      </c>
      <c r="D2873" t="s">
        <v>57</v>
      </c>
      <c r="E2873">
        <v>21</v>
      </c>
      <c r="F2873" s="3">
        <v>8.3000000000000007</v>
      </c>
      <c r="G2873" s="4">
        <v>66.099999999999994</v>
      </c>
      <c r="H2873">
        <v>2</v>
      </c>
      <c r="I2873">
        <v>1</v>
      </c>
      <c r="J2873">
        <v>3</v>
      </c>
      <c r="K2873" s="4">
        <v>47.9</v>
      </c>
      <c r="L2873" s="4">
        <v>58</v>
      </c>
      <c r="M2873" s="4">
        <v>78.2</v>
      </c>
      <c r="N2873">
        <v>2</v>
      </c>
      <c r="O2873" t="s">
        <v>58</v>
      </c>
      <c r="P2873" t="s">
        <v>95</v>
      </c>
      <c r="Q2873" t="s">
        <v>93</v>
      </c>
      <c r="R2873" t="s">
        <v>76</v>
      </c>
      <c r="S2873" s="3">
        <v>7.95</v>
      </c>
      <c r="T2873" s="5">
        <v>44494</v>
      </c>
      <c r="U2873">
        <v>2</v>
      </c>
      <c r="V2873">
        <v>2021</v>
      </c>
      <c r="X2873">
        <f t="shared" si="132"/>
        <v>8.2997127000000006</v>
      </c>
      <c r="Y2873">
        <f t="shared" si="133"/>
        <v>7.9497127000000001</v>
      </c>
      <c r="Z2873">
        <f t="shared" si="134"/>
        <v>57.999712700000003</v>
      </c>
    </row>
    <row r="2874" spans="1:26" x14ac:dyDescent="0.3">
      <c r="A2874" t="s">
        <v>2964</v>
      </c>
      <c r="B2874" t="s">
        <v>107</v>
      </c>
      <c r="C2874" t="s">
        <v>74</v>
      </c>
      <c r="D2874" t="s">
        <v>69</v>
      </c>
      <c r="E2874">
        <v>23</v>
      </c>
      <c r="F2874" s="3">
        <v>7.04</v>
      </c>
      <c r="G2874" s="4">
        <v>77.2</v>
      </c>
      <c r="H2874">
        <v>3</v>
      </c>
      <c r="I2874">
        <v>2</v>
      </c>
      <c r="J2874">
        <v>5</v>
      </c>
      <c r="K2874" s="4">
        <v>63</v>
      </c>
      <c r="L2874" s="4">
        <v>68.400000000000006</v>
      </c>
      <c r="M2874" s="4">
        <v>81.8</v>
      </c>
      <c r="N2874">
        <v>0</v>
      </c>
      <c r="O2874" t="s">
        <v>58</v>
      </c>
      <c r="P2874" t="s">
        <v>92</v>
      </c>
      <c r="Q2874" t="s">
        <v>93</v>
      </c>
      <c r="R2874" t="s">
        <v>72</v>
      </c>
      <c r="S2874" s="3">
        <v>10.72</v>
      </c>
      <c r="T2874" s="5">
        <v>44483</v>
      </c>
      <c r="U2874">
        <v>2</v>
      </c>
      <c r="V2874">
        <v>2021</v>
      </c>
      <c r="X2874">
        <f t="shared" si="132"/>
        <v>7.0397125999999997</v>
      </c>
      <c r="Y2874">
        <f t="shared" si="133"/>
        <v>10.719712600000001</v>
      </c>
      <c r="Z2874">
        <f t="shared" si="134"/>
        <v>68.399712600000001</v>
      </c>
    </row>
    <row r="2875" spans="1:26" x14ac:dyDescent="0.3">
      <c r="A2875" t="s">
        <v>2965</v>
      </c>
      <c r="B2875" t="s">
        <v>107</v>
      </c>
      <c r="C2875" t="s">
        <v>84</v>
      </c>
      <c r="D2875" t="s">
        <v>69</v>
      </c>
      <c r="E2875">
        <v>22</v>
      </c>
      <c r="F2875" s="3">
        <v>7.47</v>
      </c>
      <c r="G2875" s="4">
        <v>80.7</v>
      </c>
      <c r="H2875">
        <v>1</v>
      </c>
      <c r="I2875">
        <v>0</v>
      </c>
      <c r="J2875">
        <v>6</v>
      </c>
      <c r="K2875" s="4">
        <v>52.6</v>
      </c>
      <c r="L2875" s="4">
        <v>75.5</v>
      </c>
      <c r="M2875" s="4">
        <v>86</v>
      </c>
      <c r="N2875">
        <v>1</v>
      </c>
      <c r="O2875" t="s">
        <v>64</v>
      </c>
      <c r="P2875" t="s">
        <v>65</v>
      </c>
      <c r="S2875" s="3">
        <v>0</v>
      </c>
      <c r="T2875" s="5"/>
      <c r="U2875">
        <v>0</v>
      </c>
      <c r="V2875">
        <v>2021</v>
      </c>
      <c r="X2875">
        <f t="shared" si="132"/>
        <v>7.4697125</v>
      </c>
      <c r="Y2875">
        <f t="shared" si="133"/>
        <v>-2.875E-4</v>
      </c>
      <c r="Z2875">
        <f t="shared" si="134"/>
        <v>75.499712500000001</v>
      </c>
    </row>
    <row r="2876" spans="1:26" x14ac:dyDescent="0.3">
      <c r="A2876" t="s">
        <v>2966</v>
      </c>
      <c r="B2876" t="s">
        <v>82</v>
      </c>
      <c r="C2876" t="s">
        <v>74</v>
      </c>
      <c r="D2876" t="s">
        <v>57</v>
      </c>
      <c r="E2876">
        <v>21</v>
      </c>
      <c r="F2876" s="3">
        <v>9.19</v>
      </c>
      <c r="G2876" s="4">
        <v>78.7</v>
      </c>
      <c r="H2876">
        <v>3</v>
      </c>
      <c r="I2876">
        <v>2</v>
      </c>
      <c r="J2876">
        <v>5</v>
      </c>
      <c r="K2876" s="4">
        <v>70.2</v>
      </c>
      <c r="L2876" s="4">
        <v>68.5</v>
      </c>
      <c r="M2876" s="4">
        <v>64</v>
      </c>
      <c r="N2876">
        <v>0</v>
      </c>
      <c r="O2876" t="s">
        <v>58</v>
      </c>
      <c r="P2876" t="s">
        <v>79</v>
      </c>
      <c r="Q2876" t="s">
        <v>71</v>
      </c>
      <c r="R2876" t="s">
        <v>109</v>
      </c>
      <c r="S2876" s="3">
        <v>7.49</v>
      </c>
      <c r="T2876" s="5">
        <v>44863</v>
      </c>
      <c r="U2876">
        <v>1</v>
      </c>
      <c r="V2876">
        <v>2022</v>
      </c>
      <c r="X2876">
        <f t="shared" si="132"/>
        <v>9.1897123999999994</v>
      </c>
      <c r="Y2876">
        <f t="shared" si="133"/>
        <v>7.4897124000000002</v>
      </c>
      <c r="Z2876">
        <f t="shared" si="134"/>
        <v>68.499712400000007</v>
      </c>
    </row>
    <row r="2877" spans="1:26" x14ac:dyDescent="0.3">
      <c r="A2877" t="s">
        <v>2967</v>
      </c>
      <c r="B2877" t="s">
        <v>107</v>
      </c>
      <c r="C2877" t="s">
        <v>56</v>
      </c>
      <c r="D2877" t="s">
        <v>69</v>
      </c>
      <c r="E2877">
        <v>23</v>
      </c>
      <c r="F2877" s="3">
        <v>8.66</v>
      </c>
      <c r="G2877" s="4">
        <v>77.5</v>
      </c>
      <c r="H2877">
        <v>1</v>
      </c>
      <c r="I2877">
        <v>1</v>
      </c>
      <c r="J2877">
        <v>3</v>
      </c>
      <c r="K2877" s="4">
        <v>56.7</v>
      </c>
      <c r="L2877" s="4">
        <v>59.5</v>
      </c>
      <c r="M2877" s="4">
        <v>80</v>
      </c>
      <c r="N2877">
        <v>1</v>
      </c>
      <c r="O2877" t="s">
        <v>58</v>
      </c>
      <c r="P2877" t="s">
        <v>87</v>
      </c>
      <c r="Q2877" t="s">
        <v>71</v>
      </c>
      <c r="R2877" t="s">
        <v>76</v>
      </c>
      <c r="S2877" s="3">
        <v>5.9</v>
      </c>
      <c r="T2877" s="5">
        <v>44449</v>
      </c>
      <c r="U2877">
        <v>3</v>
      </c>
      <c r="V2877">
        <v>2021</v>
      </c>
      <c r="X2877">
        <f t="shared" si="132"/>
        <v>8.6597123000000007</v>
      </c>
      <c r="Y2877">
        <f t="shared" si="133"/>
        <v>5.8997123</v>
      </c>
      <c r="Z2877">
        <f t="shared" si="134"/>
        <v>59.499712299999999</v>
      </c>
    </row>
    <row r="2878" spans="1:26" x14ac:dyDescent="0.3">
      <c r="A2878" t="s">
        <v>2968</v>
      </c>
      <c r="B2878" t="s">
        <v>63</v>
      </c>
      <c r="C2878" t="s">
        <v>68</v>
      </c>
      <c r="D2878" t="s">
        <v>57</v>
      </c>
      <c r="E2878">
        <v>23</v>
      </c>
      <c r="F2878" s="3">
        <v>8.89</v>
      </c>
      <c r="G2878" s="4">
        <v>97.2</v>
      </c>
      <c r="H2878">
        <v>1</v>
      </c>
      <c r="I2878">
        <v>3</v>
      </c>
      <c r="J2878">
        <v>4</v>
      </c>
      <c r="K2878" s="4">
        <v>81.2</v>
      </c>
      <c r="L2878" s="4">
        <v>96.7</v>
      </c>
      <c r="M2878" s="4">
        <v>77.099999999999994</v>
      </c>
      <c r="N2878">
        <v>0</v>
      </c>
      <c r="O2878" t="s">
        <v>58</v>
      </c>
      <c r="P2878" t="s">
        <v>92</v>
      </c>
      <c r="Q2878" t="s">
        <v>93</v>
      </c>
      <c r="R2878" t="s">
        <v>85</v>
      </c>
      <c r="S2878" s="3">
        <v>9.99</v>
      </c>
      <c r="T2878" s="5">
        <v>45946</v>
      </c>
      <c r="U2878">
        <v>2</v>
      </c>
      <c r="V2878">
        <v>2025</v>
      </c>
      <c r="X2878">
        <f t="shared" si="132"/>
        <v>8.8897122</v>
      </c>
      <c r="Y2878">
        <f t="shared" si="133"/>
        <v>9.9897121999999996</v>
      </c>
      <c r="Z2878">
        <f t="shared" si="134"/>
        <v>96.699712200000008</v>
      </c>
    </row>
    <row r="2879" spans="1:26" x14ac:dyDescent="0.3">
      <c r="A2879" t="s">
        <v>2969</v>
      </c>
      <c r="B2879" t="s">
        <v>55</v>
      </c>
      <c r="C2879" t="s">
        <v>56</v>
      </c>
      <c r="D2879" t="s">
        <v>69</v>
      </c>
      <c r="E2879">
        <v>20</v>
      </c>
      <c r="F2879" s="3">
        <v>7</v>
      </c>
      <c r="G2879" s="4">
        <v>77</v>
      </c>
      <c r="H2879">
        <v>1</v>
      </c>
      <c r="I2879">
        <v>2</v>
      </c>
      <c r="J2879">
        <v>4</v>
      </c>
      <c r="K2879" s="4">
        <v>62.2</v>
      </c>
      <c r="L2879" s="4">
        <v>91.1</v>
      </c>
      <c r="M2879" s="4">
        <v>48</v>
      </c>
      <c r="N2879">
        <v>0</v>
      </c>
      <c r="O2879" t="s">
        <v>58</v>
      </c>
      <c r="P2879" t="s">
        <v>95</v>
      </c>
      <c r="Q2879" t="s">
        <v>93</v>
      </c>
      <c r="R2879" t="s">
        <v>76</v>
      </c>
      <c r="S2879" s="3">
        <v>6.37</v>
      </c>
      <c r="T2879" s="5">
        <v>45582</v>
      </c>
      <c r="U2879">
        <v>3</v>
      </c>
      <c r="V2879">
        <v>2024</v>
      </c>
      <c r="X2879">
        <f t="shared" si="132"/>
        <v>6.9997121</v>
      </c>
      <c r="Y2879">
        <f t="shared" si="133"/>
        <v>6.3697121000000001</v>
      </c>
      <c r="Z2879">
        <f t="shared" si="134"/>
        <v>91.099712099999991</v>
      </c>
    </row>
    <row r="2880" spans="1:26" x14ac:dyDescent="0.3">
      <c r="A2880" t="s">
        <v>2970</v>
      </c>
      <c r="B2880" t="s">
        <v>82</v>
      </c>
      <c r="C2880" t="s">
        <v>56</v>
      </c>
      <c r="D2880" t="s">
        <v>57</v>
      </c>
      <c r="E2880">
        <v>20</v>
      </c>
      <c r="F2880" s="3">
        <v>5.16</v>
      </c>
      <c r="G2880" s="4">
        <v>85.6</v>
      </c>
      <c r="H2880">
        <v>0</v>
      </c>
      <c r="I2880">
        <v>3</v>
      </c>
      <c r="J2880">
        <v>3</v>
      </c>
      <c r="K2880" s="4">
        <v>59.9</v>
      </c>
      <c r="L2880" s="4">
        <v>51.9</v>
      </c>
      <c r="M2880" s="4">
        <v>77</v>
      </c>
      <c r="N2880">
        <v>2</v>
      </c>
      <c r="O2880" t="s">
        <v>58</v>
      </c>
      <c r="P2880" t="s">
        <v>95</v>
      </c>
      <c r="Q2880" t="s">
        <v>93</v>
      </c>
      <c r="R2880" t="s">
        <v>85</v>
      </c>
      <c r="S2880" s="3">
        <v>3.18</v>
      </c>
      <c r="T2880" s="5">
        <v>44878</v>
      </c>
      <c r="U2880">
        <v>3</v>
      </c>
      <c r="V2880">
        <v>2022</v>
      </c>
      <c r="X2880">
        <f t="shared" si="132"/>
        <v>5.1597119999999999</v>
      </c>
      <c r="Y2880">
        <f t="shared" si="133"/>
        <v>3.1797120000000003</v>
      </c>
      <c r="Z2880">
        <f t="shared" si="134"/>
        <v>51.899712000000001</v>
      </c>
    </row>
    <row r="2881" spans="1:26" x14ac:dyDescent="0.3">
      <c r="A2881" t="s">
        <v>2971</v>
      </c>
      <c r="B2881" t="s">
        <v>67</v>
      </c>
      <c r="C2881" t="s">
        <v>84</v>
      </c>
      <c r="D2881" t="s">
        <v>69</v>
      </c>
      <c r="E2881">
        <v>21</v>
      </c>
      <c r="F2881" s="3">
        <v>7.29</v>
      </c>
      <c r="G2881" s="4">
        <v>76.5</v>
      </c>
      <c r="H2881">
        <v>0</v>
      </c>
      <c r="I2881">
        <v>3</v>
      </c>
      <c r="J2881">
        <v>5</v>
      </c>
      <c r="K2881" s="4">
        <v>56.3</v>
      </c>
      <c r="L2881" s="4">
        <v>57.4</v>
      </c>
      <c r="M2881" s="4">
        <v>62.1</v>
      </c>
      <c r="N2881">
        <v>1</v>
      </c>
      <c r="O2881" t="s">
        <v>58</v>
      </c>
      <c r="P2881" t="s">
        <v>112</v>
      </c>
      <c r="Q2881" t="s">
        <v>93</v>
      </c>
      <c r="R2881" t="s">
        <v>130</v>
      </c>
      <c r="S2881" s="3">
        <v>6.65</v>
      </c>
      <c r="T2881" s="5">
        <v>45187</v>
      </c>
      <c r="U2881">
        <v>1</v>
      </c>
      <c r="V2881">
        <v>2023</v>
      </c>
      <c r="X2881">
        <f t="shared" si="132"/>
        <v>7.2897119000000004</v>
      </c>
      <c r="Y2881">
        <f t="shared" si="133"/>
        <v>6.6497119000000007</v>
      </c>
      <c r="Z2881">
        <f t="shared" si="134"/>
        <v>57.3997119</v>
      </c>
    </row>
    <row r="2882" spans="1:26" x14ac:dyDescent="0.3">
      <c r="A2882" t="s">
        <v>2972</v>
      </c>
      <c r="B2882" t="s">
        <v>67</v>
      </c>
      <c r="C2882" t="s">
        <v>68</v>
      </c>
      <c r="D2882" t="s">
        <v>57</v>
      </c>
      <c r="E2882">
        <v>20</v>
      </c>
      <c r="F2882" s="3">
        <v>6.35</v>
      </c>
      <c r="G2882" s="4">
        <v>85.6</v>
      </c>
      <c r="H2882">
        <v>1</v>
      </c>
      <c r="I2882">
        <v>1</v>
      </c>
      <c r="J2882">
        <v>3</v>
      </c>
      <c r="K2882" s="4">
        <v>71.5</v>
      </c>
      <c r="L2882" s="4">
        <v>74.8</v>
      </c>
      <c r="M2882" s="4">
        <v>75.400000000000006</v>
      </c>
      <c r="N2882">
        <v>1</v>
      </c>
      <c r="O2882" t="s">
        <v>64</v>
      </c>
      <c r="P2882" t="s">
        <v>65</v>
      </c>
      <c r="S2882" s="3">
        <v>0</v>
      </c>
      <c r="T2882" s="5"/>
      <c r="U2882">
        <v>0</v>
      </c>
      <c r="V2882">
        <v>2023</v>
      </c>
      <c r="X2882">
        <f t="shared" ref="X2882:X2945" si="135">F2882-ROW()*0.0000001</f>
        <v>6.3497117999999997</v>
      </c>
      <c r="Y2882">
        <f t="shared" ref="Y2882:Y2945" si="136">S2882-ROW()*0.0000001</f>
        <v>-2.8820000000000001E-4</v>
      </c>
      <c r="Z2882">
        <f t="shared" ref="Z2882:Z2945" si="137">L2882-ROW()*0.0000001</f>
        <v>74.799711799999997</v>
      </c>
    </row>
    <row r="2883" spans="1:26" x14ac:dyDescent="0.3">
      <c r="A2883" t="s">
        <v>2973</v>
      </c>
      <c r="B2883" t="s">
        <v>55</v>
      </c>
      <c r="C2883" t="s">
        <v>74</v>
      </c>
      <c r="D2883" t="s">
        <v>57</v>
      </c>
      <c r="E2883">
        <v>21</v>
      </c>
      <c r="F2883" s="3">
        <v>5.9</v>
      </c>
      <c r="G2883" s="4">
        <v>90.4</v>
      </c>
      <c r="H2883">
        <v>0</v>
      </c>
      <c r="I2883">
        <v>0</v>
      </c>
      <c r="J2883">
        <v>5</v>
      </c>
      <c r="K2883" s="4">
        <v>50.2</v>
      </c>
      <c r="L2883" s="4">
        <v>67.7</v>
      </c>
      <c r="M2883" s="4">
        <v>85.8</v>
      </c>
      <c r="N2883">
        <v>1</v>
      </c>
      <c r="O2883" t="s">
        <v>58</v>
      </c>
      <c r="P2883" t="s">
        <v>79</v>
      </c>
      <c r="Q2883" t="s">
        <v>71</v>
      </c>
      <c r="R2883" t="s">
        <v>85</v>
      </c>
      <c r="S2883" s="3">
        <v>4.75</v>
      </c>
      <c r="T2883" s="5">
        <v>45584</v>
      </c>
      <c r="U2883">
        <v>2</v>
      </c>
      <c r="V2883">
        <v>2024</v>
      </c>
      <c r="X2883">
        <f t="shared" si="135"/>
        <v>5.8997117000000001</v>
      </c>
      <c r="Y2883">
        <f t="shared" si="136"/>
        <v>4.7497116999999998</v>
      </c>
      <c r="Z2883">
        <f t="shared" si="137"/>
        <v>67.699711700000009</v>
      </c>
    </row>
    <row r="2884" spans="1:26" x14ac:dyDescent="0.3">
      <c r="A2884" t="s">
        <v>2974</v>
      </c>
      <c r="B2884" t="s">
        <v>82</v>
      </c>
      <c r="C2884" t="s">
        <v>84</v>
      </c>
      <c r="D2884" t="s">
        <v>69</v>
      </c>
      <c r="E2884">
        <v>21</v>
      </c>
      <c r="F2884" s="3">
        <v>8.67</v>
      </c>
      <c r="G2884" s="4">
        <v>81.3</v>
      </c>
      <c r="H2884">
        <v>0</v>
      </c>
      <c r="I2884">
        <v>1</v>
      </c>
      <c r="J2884">
        <v>3</v>
      </c>
      <c r="K2884" s="4">
        <v>66.7</v>
      </c>
      <c r="L2884" s="4">
        <v>28.9</v>
      </c>
      <c r="M2884" s="4">
        <v>62.8</v>
      </c>
      <c r="N2884">
        <v>0</v>
      </c>
      <c r="O2884" t="s">
        <v>58</v>
      </c>
      <c r="P2884" t="s">
        <v>104</v>
      </c>
      <c r="Q2884" t="s">
        <v>105</v>
      </c>
      <c r="R2884" t="s">
        <v>76</v>
      </c>
      <c r="S2884" s="3">
        <v>13.09</v>
      </c>
      <c r="T2884" s="5">
        <v>44857</v>
      </c>
      <c r="U2884">
        <v>2</v>
      </c>
      <c r="V2884">
        <v>2022</v>
      </c>
      <c r="X2884">
        <f t="shared" si="135"/>
        <v>8.6697115999999994</v>
      </c>
      <c r="Y2884">
        <f t="shared" si="136"/>
        <v>13.089711599999999</v>
      </c>
      <c r="Z2884">
        <f t="shared" si="137"/>
        <v>28.8997116</v>
      </c>
    </row>
    <row r="2885" spans="1:26" x14ac:dyDescent="0.3">
      <c r="A2885" t="s">
        <v>2975</v>
      </c>
      <c r="B2885" t="s">
        <v>107</v>
      </c>
      <c r="C2885" t="s">
        <v>84</v>
      </c>
      <c r="D2885" t="s">
        <v>57</v>
      </c>
      <c r="E2885">
        <v>21</v>
      </c>
      <c r="F2885" s="3">
        <v>6.85</v>
      </c>
      <c r="G2885" s="4">
        <v>76.900000000000006</v>
      </c>
      <c r="H2885">
        <v>0</v>
      </c>
      <c r="I2885">
        <v>4</v>
      </c>
      <c r="J2885">
        <v>1</v>
      </c>
      <c r="K2885" s="4">
        <v>66.400000000000006</v>
      </c>
      <c r="L2885" s="4">
        <v>59.2</v>
      </c>
      <c r="M2885" s="4">
        <v>72.599999999999994</v>
      </c>
      <c r="N2885">
        <v>2</v>
      </c>
      <c r="O2885" t="s">
        <v>58</v>
      </c>
      <c r="P2885" t="s">
        <v>75</v>
      </c>
      <c r="Q2885" t="s">
        <v>71</v>
      </c>
      <c r="R2885" t="s">
        <v>80</v>
      </c>
      <c r="S2885" s="3">
        <v>4.21</v>
      </c>
      <c r="T2885" s="5">
        <v>44517</v>
      </c>
      <c r="U2885">
        <v>3</v>
      </c>
      <c r="V2885">
        <v>2021</v>
      </c>
      <c r="X2885">
        <f t="shared" si="135"/>
        <v>6.8497114999999997</v>
      </c>
      <c r="Y2885">
        <f t="shared" si="136"/>
        <v>4.2097115000000001</v>
      </c>
      <c r="Z2885">
        <f t="shared" si="137"/>
        <v>59.199711499999999</v>
      </c>
    </row>
    <row r="2886" spans="1:26" x14ac:dyDescent="0.3">
      <c r="A2886" t="s">
        <v>2976</v>
      </c>
      <c r="B2886" t="s">
        <v>107</v>
      </c>
      <c r="C2886" t="s">
        <v>68</v>
      </c>
      <c r="D2886" t="s">
        <v>57</v>
      </c>
      <c r="E2886">
        <v>20</v>
      </c>
      <c r="F2886" s="3">
        <v>6.92</v>
      </c>
      <c r="G2886" s="4">
        <v>80.900000000000006</v>
      </c>
      <c r="H2886">
        <v>0</v>
      </c>
      <c r="I2886">
        <v>2</v>
      </c>
      <c r="J2886">
        <v>4</v>
      </c>
      <c r="K2886" s="4">
        <v>60.7</v>
      </c>
      <c r="L2886" s="4">
        <v>81</v>
      </c>
      <c r="M2886" s="4">
        <v>68.900000000000006</v>
      </c>
      <c r="N2886">
        <v>1</v>
      </c>
      <c r="O2886" t="s">
        <v>58</v>
      </c>
      <c r="P2886" t="s">
        <v>59</v>
      </c>
      <c r="Q2886" t="s">
        <v>60</v>
      </c>
      <c r="R2886" t="s">
        <v>130</v>
      </c>
      <c r="S2886" s="3">
        <v>19.18</v>
      </c>
      <c r="T2886" s="5">
        <v>44454</v>
      </c>
      <c r="U2886">
        <v>3</v>
      </c>
      <c r="V2886">
        <v>2021</v>
      </c>
      <c r="X2886">
        <f t="shared" si="135"/>
        <v>6.9197113999999997</v>
      </c>
      <c r="Y2886">
        <f t="shared" si="136"/>
        <v>19.179711399999999</v>
      </c>
      <c r="Z2886">
        <f t="shared" si="137"/>
        <v>80.999711399999995</v>
      </c>
    </row>
    <row r="2887" spans="1:26" x14ac:dyDescent="0.3">
      <c r="A2887" t="s">
        <v>2977</v>
      </c>
      <c r="B2887" t="s">
        <v>63</v>
      </c>
      <c r="C2887" t="s">
        <v>74</v>
      </c>
      <c r="D2887" t="s">
        <v>57</v>
      </c>
      <c r="E2887">
        <v>22</v>
      </c>
      <c r="F2887" s="3">
        <v>7.32</v>
      </c>
      <c r="G2887" s="4">
        <v>86.8</v>
      </c>
      <c r="H2887">
        <v>0</v>
      </c>
      <c r="I2887">
        <v>3</v>
      </c>
      <c r="J2887">
        <v>3</v>
      </c>
      <c r="K2887" s="4">
        <v>71.099999999999994</v>
      </c>
      <c r="L2887" s="4">
        <v>71.7</v>
      </c>
      <c r="M2887" s="4">
        <v>87.7</v>
      </c>
      <c r="N2887">
        <v>0</v>
      </c>
      <c r="O2887" t="s">
        <v>58</v>
      </c>
      <c r="P2887" t="s">
        <v>112</v>
      </c>
      <c r="Q2887" t="s">
        <v>93</v>
      </c>
      <c r="R2887" t="s">
        <v>61</v>
      </c>
      <c r="S2887" s="3">
        <v>5.79</v>
      </c>
      <c r="T2887" s="5">
        <v>45933</v>
      </c>
      <c r="U2887">
        <v>1</v>
      </c>
      <c r="V2887">
        <v>2025</v>
      </c>
      <c r="X2887">
        <f t="shared" si="135"/>
        <v>7.3197113000000007</v>
      </c>
      <c r="Y2887">
        <f t="shared" si="136"/>
        <v>5.7897113000000004</v>
      </c>
      <c r="Z2887">
        <f t="shared" si="137"/>
        <v>71.699711300000004</v>
      </c>
    </row>
    <row r="2888" spans="1:26" x14ac:dyDescent="0.3">
      <c r="A2888" t="s">
        <v>2978</v>
      </c>
      <c r="B2888" t="s">
        <v>63</v>
      </c>
      <c r="C2888" t="s">
        <v>101</v>
      </c>
      <c r="D2888" t="s">
        <v>69</v>
      </c>
      <c r="E2888">
        <v>21</v>
      </c>
      <c r="F2888" s="3">
        <v>9.1300000000000008</v>
      </c>
      <c r="G2888" s="4">
        <v>89.8</v>
      </c>
      <c r="H2888">
        <v>1</v>
      </c>
      <c r="I2888">
        <v>4</v>
      </c>
      <c r="J2888">
        <v>2</v>
      </c>
      <c r="K2888" s="4">
        <v>61.5</v>
      </c>
      <c r="L2888" s="4">
        <v>56</v>
      </c>
      <c r="M2888" s="4">
        <v>67.400000000000006</v>
      </c>
      <c r="N2888">
        <v>1</v>
      </c>
      <c r="O2888" t="s">
        <v>58</v>
      </c>
      <c r="P2888" t="s">
        <v>70</v>
      </c>
      <c r="Q2888" t="s">
        <v>71</v>
      </c>
      <c r="R2888" t="s">
        <v>80</v>
      </c>
      <c r="S2888" s="3">
        <v>6.56</v>
      </c>
      <c r="T2888" s="5">
        <v>45919</v>
      </c>
      <c r="U2888">
        <v>2</v>
      </c>
      <c r="V2888">
        <v>2025</v>
      </c>
      <c r="X2888">
        <f t="shared" si="135"/>
        <v>9.1297112000000009</v>
      </c>
      <c r="Y2888">
        <f t="shared" si="136"/>
        <v>6.5597111999999997</v>
      </c>
      <c r="Z2888">
        <f t="shared" si="137"/>
        <v>55.9997112</v>
      </c>
    </row>
    <row r="2889" spans="1:26" x14ac:dyDescent="0.3">
      <c r="A2889" t="s">
        <v>2979</v>
      </c>
      <c r="B2889" t="s">
        <v>107</v>
      </c>
      <c r="C2889" t="s">
        <v>78</v>
      </c>
      <c r="D2889" t="s">
        <v>69</v>
      </c>
      <c r="E2889">
        <v>22</v>
      </c>
      <c r="F2889" s="3">
        <v>7.5</v>
      </c>
      <c r="G2889" s="4">
        <v>84.3</v>
      </c>
      <c r="H2889">
        <v>2</v>
      </c>
      <c r="I2889">
        <v>4</v>
      </c>
      <c r="J2889">
        <v>4</v>
      </c>
      <c r="K2889" s="4">
        <v>72</v>
      </c>
      <c r="L2889" s="4">
        <v>61.6</v>
      </c>
      <c r="M2889" s="4">
        <v>76.599999999999994</v>
      </c>
      <c r="N2889">
        <v>3</v>
      </c>
      <c r="O2889" t="s">
        <v>64</v>
      </c>
      <c r="P2889" t="s">
        <v>65</v>
      </c>
      <c r="S2889" s="3">
        <v>0</v>
      </c>
      <c r="T2889" s="5"/>
      <c r="U2889">
        <v>0</v>
      </c>
      <c r="V2889">
        <v>2021</v>
      </c>
      <c r="X2889">
        <f t="shared" si="135"/>
        <v>7.4997110999999999</v>
      </c>
      <c r="Y2889">
        <f t="shared" si="136"/>
        <v>-2.8889999999999997E-4</v>
      </c>
      <c r="Z2889">
        <f t="shared" si="137"/>
        <v>61.5997111</v>
      </c>
    </row>
    <row r="2890" spans="1:26" x14ac:dyDescent="0.3">
      <c r="A2890" t="s">
        <v>2980</v>
      </c>
      <c r="B2890" t="s">
        <v>67</v>
      </c>
      <c r="C2890" t="s">
        <v>78</v>
      </c>
      <c r="D2890" t="s">
        <v>57</v>
      </c>
      <c r="E2890">
        <v>23</v>
      </c>
      <c r="F2890" s="3">
        <v>8.51</v>
      </c>
      <c r="G2890" s="4">
        <v>81.3</v>
      </c>
      <c r="H2890">
        <v>1</v>
      </c>
      <c r="I2890">
        <v>2</v>
      </c>
      <c r="J2890">
        <v>2</v>
      </c>
      <c r="K2890" s="4">
        <v>60.4</v>
      </c>
      <c r="L2890" s="4">
        <v>66.7</v>
      </c>
      <c r="M2890" s="4">
        <v>81.599999999999994</v>
      </c>
      <c r="N2890">
        <v>1</v>
      </c>
      <c r="O2890" t="s">
        <v>58</v>
      </c>
      <c r="P2890" t="s">
        <v>104</v>
      </c>
      <c r="Q2890" t="s">
        <v>105</v>
      </c>
      <c r="R2890" t="s">
        <v>80</v>
      </c>
      <c r="S2890" s="3">
        <v>16.71</v>
      </c>
      <c r="T2890" s="5">
        <v>45165</v>
      </c>
      <c r="U2890">
        <v>2</v>
      </c>
      <c r="V2890">
        <v>2023</v>
      </c>
      <c r="X2890">
        <f t="shared" si="135"/>
        <v>8.5097109999999994</v>
      </c>
      <c r="Y2890">
        <f t="shared" si="136"/>
        <v>16.709711000000002</v>
      </c>
      <c r="Z2890">
        <f t="shared" si="137"/>
        <v>66.699711000000008</v>
      </c>
    </row>
    <row r="2891" spans="1:26" x14ac:dyDescent="0.3">
      <c r="A2891" t="s">
        <v>2981</v>
      </c>
      <c r="B2891" t="s">
        <v>67</v>
      </c>
      <c r="C2891" t="s">
        <v>84</v>
      </c>
      <c r="D2891" t="s">
        <v>69</v>
      </c>
      <c r="E2891">
        <v>20</v>
      </c>
      <c r="F2891" s="3">
        <v>7.37</v>
      </c>
      <c r="G2891" s="4">
        <v>93.5</v>
      </c>
      <c r="H2891">
        <v>0</v>
      </c>
      <c r="I2891">
        <v>2</v>
      </c>
      <c r="J2891">
        <v>4</v>
      </c>
      <c r="K2891" s="4">
        <v>57.6</v>
      </c>
      <c r="L2891" s="4">
        <v>100</v>
      </c>
      <c r="M2891" s="4">
        <v>83.1</v>
      </c>
      <c r="N2891">
        <v>0</v>
      </c>
      <c r="O2891" t="s">
        <v>58</v>
      </c>
      <c r="P2891" t="s">
        <v>112</v>
      </c>
      <c r="Q2891" t="s">
        <v>93</v>
      </c>
      <c r="R2891" t="s">
        <v>109</v>
      </c>
      <c r="S2891" s="3">
        <v>7.18</v>
      </c>
      <c r="T2891" s="5">
        <v>45172</v>
      </c>
      <c r="U2891">
        <v>1</v>
      </c>
      <c r="V2891">
        <v>2023</v>
      </c>
      <c r="X2891">
        <f t="shared" si="135"/>
        <v>7.3697109000000003</v>
      </c>
      <c r="Y2891">
        <f t="shared" si="136"/>
        <v>7.1797108999999999</v>
      </c>
      <c r="Z2891">
        <f t="shared" si="137"/>
        <v>99.999710899999997</v>
      </c>
    </row>
    <row r="2892" spans="1:26" x14ac:dyDescent="0.3">
      <c r="A2892" t="s">
        <v>2982</v>
      </c>
      <c r="B2892" t="s">
        <v>63</v>
      </c>
      <c r="C2892" t="s">
        <v>78</v>
      </c>
      <c r="D2892" t="s">
        <v>69</v>
      </c>
      <c r="E2892">
        <v>20</v>
      </c>
      <c r="F2892" s="3">
        <v>6.23</v>
      </c>
      <c r="G2892" s="4">
        <v>76.400000000000006</v>
      </c>
      <c r="H2892">
        <v>2</v>
      </c>
      <c r="I2892">
        <v>3</v>
      </c>
      <c r="J2892">
        <v>3</v>
      </c>
      <c r="K2892" s="4">
        <v>71.599999999999994</v>
      </c>
      <c r="L2892" s="4">
        <v>70.5</v>
      </c>
      <c r="M2892" s="4">
        <v>62.4</v>
      </c>
      <c r="N2892">
        <v>1</v>
      </c>
      <c r="O2892" t="s">
        <v>58</v>
      </c>
      <c r="P2892" t="s">
        <v>92</v>
      </c>
      <c r="Q2892" t="s">
        <v>93</v>
      </c>
      <c r="R2892" t="s">
        <v>61</v>
      </c>
      <c r="S2892" s="3">
        <v>7.75</v>
      </c>
      <c r="T2892" s="5">
        <v>45955</v>
      </c>
      <c r="U2892">
        <v>2</v>
      </c>
      <c r="V2892">
        <v>2025</v>
      </c>
      <c r="X2892">
        <f t="shared" si="135"/>
        <v>6.2297108000000003</v>
      </c>
      <c r="Y2892">
        <f t="shared" si="136"/>
        <v>7.7497107999999999</v>
      </c>
      <c r="Z2892">
        <f t="shared" si="137"/>
        <v>70.499710800000003</v>
      </c>
    </row>
    <row r="2893" spans="1:26" x14ac:dyDescent="0.3">
      <c r="A2893" t="s">
        <v>2983</v>
      </c>
      <c r="B2893" t="s">
        <v>55</v>
      </c>
      <c r="C2893" t="s">
        <v>74</v>
      </c>
      <c r="D2893" t="s">
        <v>69</v>
      </c>
      <c r="E2893">
        <v>22</v>
      </c>
      <c r="F2893" s="3">
        <v>6.58</v>
      </c>
      <c r="G2893" s="4">
        <v>78.3</v>
      </c>
      <c r="H2893">
        <v>0</v>
      </c>
      <c r="I2893">
        <v>3</v>
      </c>
      <c r="J2893">
        <v>2</v>
      </c>
      <c r="K2893" s="4">
        <v>79.3</v>
      </c>
      <c r="L2893" s="4">
        <v>59.2</v>
      </c>
      <c r="M2893" s="4">
        <v>70.900000000000006</v>
      </c>
      <c r="N2893">
        <v>1</v>
      </c>
      <c r="O2893" t="s">
        <v>64</v>
      </c>
      <c r="P2893" t="s">
        <v>65</v>
      </c>
      <c r="S2893" s="3">
        <v>0</v>
      </c>
      <c r="T2893" s="5"/>
      <c r="U2893">
        <v>0</v>
      </c>
      <c r="V2893">
        <v>2024</v>
      </c>
      <c r="X2893">
        <f t="shared" si="135"/>
        <v>6.5797106999999997</v>
      </c>
      <c r="Y2893">
        <f t="shared" si="136"/>
        <v>-2.8929999999999998E-4</v>
      </c>
      <c r="Z2893">
        <f t="shared" si="137"/>
        <v>59.199710700000004</v>
      </c>
    </row>
    <row r="2894" spans="1:26" x14ac:dyDescent="0.3">
      <c r="A2894" t="s">
        <v>2984</v>
      </c>
      <c r="B2894" t="s">
        <v>107</v>
      </c>
      <c r="C2894" t="s">
        <v>78</v>
      </c>
      <c r="D2894" t="s">
        <v>57</v>
      </c>
      <c r="E2894">
        <v>23</v>
      </c>
      <c r="F2894" s="3">
        <v>7.65</v>
      </c>
      <c r="G2894" s="4">
        <v>98.1</v>
      </c>
      <c r="H2894">
        <v>2</v>
      </c>
      <c r="I2894">
        <v>3</v>
      </c>
      <c r="J2894">
        <v>3</v>
      </c>
      <c r="K2894" s="4">
        <v>100</v>
      </c>
      <c r="L2894" s="4">
        <v>97</v>
      </c>
      <c r="M2894" s="4">
        <v>93.2</v>
      </c>
      <c r="N2894">
        <v>0</v>
      </c>
      <c r="O2894" t="s">
        <v>58</v>
      </c>
      <c r="P2894" t="s">
        <v>92</v>
      </c>
      <c r="Q2894" t="s">
        <v>93</v>
      </c>
      <c r="R2894" t="s">
        <v>130</v>
      </c>
      <c r="S2894" s="3">
        <v>10.41</v>
      </c>
      <c r="T2894" s="5">
        <v>44510</v>
      </c>
      <c r="U2894">
        <v>1</v>
      </c>
      <c r="V2894">
        <v>2021</v>
      </c>
      <c r="X2894">
        <f t="shared" si="135"/>
        <v>7.6497106000000006</v>
      </c>
      <c r="Y2894">
        <f t="shared" si="136"/>
        <v>10.4097106</v>
      </c>
      <c r="Z2894">
        <f t="shared" si="137"/>
        <v>96.9997106</v>
      </c>
    </row>
    <row r="2895" spans="1:26" x14ac:dyDescent="0.3">
      <c r="A2895" t="s">
        <v>2985</v>
      </c>
      <c r="B2895" t="s">
        <v>63</v>
      </c>
      <c r="C2895" t="s">
        <v>74</v>
      </c>
      <c r="D2895" t="s">
        <v>69</v>
      </c>
      <c r="E2895">
        <v>23</v>
      </c>
      <c r="F2895" s="3">
        <v>7.75</v>
      </c>
      <c r="G2895" s="4">
        <v>81.099999999999994</v>
      </c>
      <c r="H2895">
        <v>0</v>
      </c>
      <c r="I2895">
        <v>2</v>
      </c>
      <c r="J2895">
        <v>3</v>
      </c>
      <c r="K2895" s="4">
        <v>63.2</v>
      </c>
      <c r="L2895" s="4">
        <v>78.7</v>
      </c>
      <c r="M2895" s="4">
        <v>73.8</v>
      </c>
      <c r="N2895">
        <v>3</v>
      </c>
      <c r="O2895" t="s">
        <v>58</v>
      </c>
      <c r="P2895" t="s">
        <v>104</v>
      </c>
      <c r="Q2895" t="s">
        <v>105</v>
      </c>
      <c r="R2895" t="s">
        <v>109</v>
      </c>
      <c r="S2895" s="3">
        <v>15.95</v>
      </c>
      <c r="T2895" s="5">
        <v>45970</v>
      </c>
      <c r="U2895">
        <v>1</v>
      </c>
      <c r="V2895">
        <v>2025</v>
      </c>
      <c r="X2895">
        <f t="shared" si="135"/>
        <v>7.7497104999999999</v>
      </c>
      <c r="Y2895">
        <f t="shared" si="136"/>
        <v>15.9497105</v>
      </c>
      <c r="Z2895">
        <f t="shared" si="137"/>
        <v>78.699710500000009</v>
      </c>
    </row>
    <row r="2896" spans="1:26" x14ac:dyDescent="0.3">
      <c r="A2896" t="s">
        <v>2986</v>
      </c>
      <c r="B2896" t="s">
        <v>63</v>
      </c>
      <c r="C2896" t="s">
        <v>78</v>
      </c>
      <c r="D2896" t="s">
        <v>57</v>
      </c>
      <c r="E2896">
        <v>21</v>
      </c>
      <c r="F2896" s="3">
        <v>8.14</v>
      </c>
      <c r="G2896" s="4">
        <v>87.9</v>
      </c>
      <c r="H2896">
        <v>1</v>
      </c>
      <c r="I2896">
        <v>2</v>
      </c>
      <c r="J2896">
        <v>4</v>
      </c>
      <c r="K2896" s="4">
        <v>78.8</v>
      </c>
      <c r="L2896" s="4">
        <v>57.9</v>
      </c>
      <c r="M2896" s="4">
        <v>86.4</v>
      </c>
      <c r="N2896">
        <v>0</v>
      </c>
      <c r="O2896" t="s">
        <v>58</v>
      </c>
      <c r="P2896" t="s">
        <v>104</v>
      </c>
      <c r="Q2896" t="s">
        <v>105</v>
      </c>
      <c r="R2896" t="s">
        <v>72</v>
      </c>
      <c r="S2896" s="3">
        <v>14.2</v>
      </c>
      <c r="T2896" s="5">
        <v>45936</v>
      </c>
      <c r="U2896">
        <v>1</v>
      </c>
      <c r="V2896">
        <v>2025</v>
      </c>
      <c r="X2896">
        <f t="shared" si="135"/>
        <v>8.1397104000000002</v>
      </c>
      <c r="Y2896">
        <f t="shared" si="136"/>
        <v>14.199710399999999</v>
      </c>
      <c r="Z2896">
        <f t="shared" si="137"/>
        <v>57.899710399999996</v>
      </c>
    </row>
    <row r="2897" spans="1:26" x14ac:dyDescent="0.3">
      <c r="A2897" t="s">
        <v>2987</v>
      </c>
      <c r="B2897" t="s">
        <v>107</v>
      </c>
      <c r="C2897" t="s">
        <v>89</v>
      </c>
      <c r="D2897" t="s">
        <v>57</v>
      </c>
      <c r="E2897">
        <v>20</v>
      </c>
      <c r="F2897" s="3">
        <v>8.14</v>
      </c>
      <c r="G2897" s="4">
        <v>74</v>
      </c>
      <c r="H2897">
        <v>0</v>
      </c>
      <c r="I2897">
        <v>1</v>
      </c>
      <c r="J2897">
        <v>3</v>
      </c>
      <c r="K2897" s="4">
        <v>61.8</v>
      </c>
      <c r="L2897" s="4">
        <v>70.3</v>
      </c>
      <c r="M2897" s="4">
        <v>98.7</v>
      </c>
      <c r="N2897">
        <v>0</v>
      </c>
      <c r="O2897" t="s">
        <v>58</v>
      </c>
      <c r="P2897" t="s">
        <v>79</v>
      </c>
      <c r="Q2897" t="s">
        <v>71</v>
      </c>
      <c r="R2897" t="s">
        <v>72</v>
      </c>
      <c r="S2897" s="3">
        <v>5.22</v>
      </c>
      <c r="T2897" s="5">
        <v>44435</v>
      </c>
      <c r="U2897">
        <v>1</v>
      </c>
      <c r="V2897">
        <v>2021</v>
      </c>
      <c r="X2897">
        <f t="shared" si="135"/>
        <v>8.1397103000000008</v>
      </c>
      <c r="Y2897">
        <f t="shared" si="136"/>
        <v>5.2197103</v>
      </c>
      <c r="Z2897">
        <f t="shared" si="137"/>
        <v>70.299710300000001</v>
      </c>
    </row>
    <row r="2898" spans="1:26" x14ac:dyDescent="0.3">
      <c r="A2898" t="s">
        <v>2988</v>
      </c>
      <c r="B2898" t="s">
        <v>107</v>
      </c>
      <c r="C2898" t="s">
        <v>56</v>
      </c>
      <c r="D2898" t="s">
        <v>57</v>
      </c>
      <c r="E2898">
        <v>23</v>
      </c>
      <c r="F2898" s="3">
        <v>8.4600000000000009</v>
      </c>
      <c r="G2898" s="4">
        <v>91</v>
      </c>
      <c r="H2898">
        <v>1</v>
      </c>
      <c r="I2898">
        <v>3</v>
      </c>
      <c r="J2898">
        <v>5</v>
      </c>
      <c r="K2898" s="4">
        <v>78.599999999999994</v>
      </c>
      <c r="L2898" s="4">
        <v>67.099999999999994</v>
      </c>
      <c r="M2898" s="4">
        <v>73.2</v>
      </c>
      <c r="N2898">
        <v>0</v>
      </c>
      <c r="O2898" t="s">
        <v>58</v>
      </c>
      <c r="P2898" t="s">
        <v>104</v>
      </c>
      <c r="Q2898" t="s">
        <v>105</v>
      </c>
      <c r="R2898" t="s">
        <v>72</v>
      </c>
      <c r="S2898" s="3">
        <v>15.91</v>
      </c>
      <c r="T2898" s="5">
        <v>44415</v>
      </c>
      <c r="U2898">
        <v>1</v>
      </c>
      <c r="V2898">
        <v>2021</v>
      </c>
      <c r="X2898">
        <f t="shared" si="135"/>
        <v>8.4597102000000017</v>
      </c>
      <c r="Y2898">
        <f t="shared" si="136"/>
        <v>15.909710200000001</v>
      </c>
      <c r="Z2898">
        <f t="shared" si="137"/>
        <v>67.09971019999999</v>
      </c>
    </row>
    <row r="2899" spans="1:26" x14ac:dyDescent="0.3">
      <c r="A2899" t="s">
        <v>2989</v>
      </c>
      <c r="B2899" t="s">
        <v>67</v>
      </c>
      <c r="C2899" t="s">
        <v>68</v>
      </c>
      <c r="D2899" t="s">
        <v>57</v>
      </c>
      <c r="E2899">
        <v>23</v>
      </c>
      <c r="F2899" s="3">
        <v>6.96</v>
      </c>
      <c r="G2899" s="4">
        <v>71.599999999999994</v>
      </c>
      <c r="H2899">
        <v>2</v>
      </c>
      <c r="I2899">
        <v>2</v>
      </c>
      <c r="J2899">
        <v>1</v>
      </c>
      <c r="K2899" s="4">
        <v>86.2</v>
      </c>
      <c r="L2899" s="4">
        <v>78.2</v>
      </c>
      <c r="M2899" s="4">
        <v>84</v>
      </c>
      <c r="N2899">
        <v>0</v>
      </c>
      <c r="O2899" t="s">
        <v>58</v>
      </c>
      <c r="P2899" t="s">
        <v>112</v>
      </c>
      <c r="Q2899" t="s">
        <v>93</v>
      </c>
      <c r="R2899" t="s">
        <v>61</v>
      </c>
      <c r="S2899" s="3">
        <v>6.58</v>
      </c>
      <c r="T2899" s="5">
        <v>45237</v>
      </c>
      <c r="U2899">
        <v>1</v>
      </c>
      <c r="V2899">
        <v>2023</v>
      </c>
      <c r="X2899">
        <f t="shared" si="135"/>
        <v>6.9597100999999997</v>
      </c>
      <c r="Y2899">
        <f t="shared" si="136"/>
        <v>6.5797100999999998</v>
      </c>
      <c r="Z2899">
        <f t="shared" si="137"/>
        <v>78.199710100000004</v>
      </c>
    </row>
    <row r="2900" spans="1:26" x14ac:dyDescent="0.3">
      <c r="A2900" t="s">
        <v>2990</v>
      </c>
      <c r="B2900" t="s">
        <v>55</v>
      </c>
      <c r="C2900" t="s">
        <v>74</v>
      </c>
      <c r="D2900" t="s">
        <v>57</v>
      </c>
      <c r="E2900">
        <v>21</v>
      </c>
      <c r="F2900" s="3">
        <v>9.2899999999999991</v>
      </c>
      <c r="G2900" s="4">
        <v>71</v>
      </c>
      <c r="H2900">
        <v>0</v>
      </c>
      <c r="I2900">
        <v>1</v>
      </c>
      <c r="J2900">
        <v>3</v>
      </c>
      <c r="K2900" s="4">
        <v>69.8</v>
      </c>
      <c r="L2900" s="4">
        <v>51.1</v>
      </c>
      <c r="M2900" s="4">
        <v>85.4</v>
      </c>
      <c r="N2900">
        <v>0</v>
      </c>
      <c r="O2900" t="s">
        <v>58</v>
      </c>
      <c r="P2900" t="s">
        <v>95</v>
      </c>
      <c r="Q2900" t="s">
        <v>93</v>
      </c>
      <c r="R2900" t="s">
        <v>130</v>
      </c>
      <c r="S2900" s="3">
        <v>6.61</v>
      </c>
      <c r="T2900" s="5">
        <v>45613</v>
      </c>
      <c r="U2900">
        <v>1</v>
      </c>
      <c r="V2900">
        <v>2024</v>
      </c>
      <c r="X2900">
        <f t="shared" si="135"/>
        <v>9.2897099999999995</v>
      </c>
      <c r="Y2900">
        <f t="shared" si="136"/>
        <v>6.6097100000000006</v>
      </c>
      <c r="Z2900">
        <f t="shared" si="137"/>
        <v>51.099710000000002</v>
      </c>
    </row>
    <row r="2901" spans="1:26" x14ac:dyDescent="0.3">
      <c r="A2901" t="s">
        <v>2991</v>
      </c>
      <c r="B2901" t="s">
        <v>55</v>
      </c>
      <c r="C2901" t="s">
        <v>74</v>
      </c>
      <c r="D2901" t="s">
        <v>69</v>
      </c>
      <c r="E2901">
        <v>21</v>
      </c>
      <c r="F2901" s="3">
        <v>9.3800000000000008</v>
      </c>
      <c r="G2901" s="4">
        <v>90</v>
      </c>
      <c r="H2901">
        <v>3</v>
      </c>
      <c r="I2901">
        <v>1</v>
      </c>
      <c r="J2901">
        <v>4</v>
      </c>
      <c r="K2901" s="4">
        <v>78</v>
      </c>
      <c r="L2901" s="4">
        <v>52.1</v>
      </c>
      <c r="M2901" s="4">
        <v>57.7</v>
      </c>
      <c r="N2901">
        <v>0</v>
      </c>
      <c r="O2901" t="s">
        <v>58</v>
      </c>
      <c r="P2901" t="s">
        <v>92</v>
      </c>
      <c r="Q2901" t="s">
        <v>93</v>
      </c>
      <c r="R2901" t="s">
        <v>130</v>
      </c>
      <c r="S2901" s="3">
        <v>10.44</v>
      </c>
      <c r="T2901" s="5">
        <v>45527</v>
      </c>
      <c r="U2901">
        <v>1</v>
      </c>
      <c r="V2901">
        <v>2024</v>
      </c>
      <c r="X2901">
        <f t="shared" si="135"/>
        <v>9.3797098999999999</v>
      </c>
      <c r="Y2901">
        <f t="shared" si="136"/>
        <v>10.439709899999999</v>
      </c>
      <c r="Z2901">
        <f t="shared" si="137"/>
        <v>52.099709900000001</v>
      </c>
    </row>
    <row r="2902" spans="1:26" x14ac:dyDescent="0.3">
      <c r="A2902" t="s">
        <v>2992</v>
      </c>
      <c r="B2902" t="s">
        <v>107</v>
      </c>
      <c r="C2902" t="s">
        <v>89</v>
      </c>
      <c r="D2902" t="s">
        <v>57</v>
      </c>
      <c r="E2902">
        <v>22</v>
      </c>
      <c r="F2902" s="3">
        <v>7.18</v>
      </c>
      <c r="G2902" s="4">
        <v>78.7</v>
      </c>
      <c r="H2902">
        <v>1</v>
      </c>
      <c r="I2902">
        <v>4</v>
      </c>
      <c r="J2902">
        <v>1</v>
      </c>
      <c r="K2902" s="4">
        <v>74.2</v>
      </c>
      <c r="L2902" s="4">
        <v>66.099999999999994</v>
      </c>
      <c r="M2902" s="4">
        <v>78.8</v>
      </c>
      <c r="N2902">
        <v>0</v>
      </c>
      <c r="O2902" t="s">
        <v>58</v>
      </c>
      <c r="P2902" t="s">
        <v>70</v>
      </c>
      <c r="Q2902" t="s">
        <v>71</v>
      </c>
      <c r="R2902" t="s">
        <v>109</v>
      </c>
      <c r="S2902" s="3">
        <v>4.57</v>
      </c>
      <c r="T2902" s="5">
        <v>44474</v>
      </c>
      <c r="U2902">
        <v>1</v>
      </c>
      <c r="V2902">
        <v>2021</v>
      </c>
      <c r="X2902">
        <f t="shared" si="135"/>
        <v>7.1797097999999995</v>
      </c>
      <c r="Y2902">
        <f t="shared" si="136"/>
        <v>4.5697098</v>
      </c>
      <c r="Z2902">
        <f t="shared" si="137"/>
        <v>66.099709799999999</v>
      </c>
    </row>
    <row r="2903" spans="1:26" x14ac:dyDescent="0.3">
      <c r="A2903" t="s">
        <v>2993</v>
      </c>
      <c r="B2903" t="s">
        <v>82</v>
      </c>
      <c r="C2903" t="s">
        <v>74</v>
      </c>
      <c r="D2903" t="s">
        <v>57</v>
      </c>
      <c r="E2903">
        <v>20</v>
      </c>
      <c r="F2903" s="3">
        <v>6.94</v>
      </c>
      <c r="G2903" s="4">
        <v>79.8</v>
      </c>
      <c r="H2903">
        <v>3</v>
      </c>
      <c r="I2903">
        <v>2</v>
      </c>
      <c r="J2903">
        <v>3</v>
      </c>
      <c r="K2903" s="4">
        <v>68.2</v>
      </c>
      <c r="L2903" s="4">
        <v>56.8</v>
      </c>
      <c r="M2903" s="4">
        <v>92</v>
      </c>
      <c r="N2903">
        <v>0</v>
      </c>
      <c r="O2903" t="s">
        <v>64</v>
      </c>
      <c r="P2903" t="s">
        <v>65</v>
      </c>
      <c r="S2903" s="3">
        <v>0</v>
      </c>
      <c r="T2903" s="5"/>
      <c r="U2903">
        <v>0</v>
      </c>
      <c r="V2903">
        <v>2022</v>
      </c>
      <c r="X2903">
        <f t="shared" si="135"/>
        <v>6.9397097000000008</v>
      </c>
      <c r="Y2903">
        <f t="shared" si="136"/>
        <v>-2.9030000000000001E-4</v>
      </c>
      <c r="Z2903">
        <f t="shared" si="137"/>
        <v>56.799709699999994</v>
      </c>
    </row>
    <row r="2904" spans="1:26" x14ac:dyDescent="0.3">
      <c r="A2904" t="s">
        <v>2994</v>
      </c>
      <c r="B2904" t="s">
        <v>63</v>
      </c>
      <c r="C2904" t="s">
        <v>78</v>
      </c>
      <c r="D2904" t="s">
        <v>57</v>
      </c>
      <c r="E2904">
        <v>23</v>
      </c>
      <c r="F2904" s="3">
        <v>6.04</v>
      </c>
      <c r="G2904" s="4">
        <v>85.9</v>
      </c>
      <c r="H2904">
        <v>1</v>
      </c>
      <c r="I2904">
        <v>1</v>
      </c>
      <c r="J2904">
        <v>3</v>
      </c>
      <c r="K2904" s="4">
        <v>62</v>
      </c>
      <c r="L2904" s="4">
        <v>85.3</v>
      </c>
      <c r="M2904" s="4">
        <v>55.1</v>
      </c>
      <c r="N2904">
        <v>0</v>
      </c>
      <c r="O2904" t="s">
        <v>58</v>
      </c>
      <c r="P2904" t="s">
        <v>92</v>
      </c>
      <c r="Q2904" t="s">
        <v>93</v>
      </c>
      <c r="R2904" t="s">
        <v>72</v>
      </c>
      <c r="S2904" s="3">
        <v>7.74</v>
      </c>
      <c r="T2904" s="5">
        <v>45871</v>
      </c>
      <c r="U2904">
        <v>1</v>
      </c>
      <c r="V2904">
        <v>2025</v>
      </c>
      <c r="X2904">
        <f t="shared" si="135"/>
        <v>6.0397096000000001</v>
      </c>
      <c r="Y2904">
        <f t="shared" si="136"/>
        <v>7.7397096000000003</v>
      </c>
      <c r="Z2904">
        <f t="shared" si="137"/>
        <v>85.2997096</v>
      </c>
    </row>
    <row r="2905" spans="1:26" x14ac:dyDescent="0.3">
      <c r="A2905" t="s">
        <v>2995</v>
      </c>
      <c r="B2905" t="s">
        <v>63</v>
      </c>
      <c r="C2905" t="s">
        <v>56</v>
      </c>
      <c r="D2905" t="s">
        <v>57</v>
      </c>
      <c r="E2905">
        <v>22</v>
      </c>
      <c r="F2905" s="3">
        <v>7.8</v>
      </c>
      <c r="G2905" s="4">
        <v>79.400000000000006</v>
      </c>
      <c r="H2905">
        <v>1</v>
      </c>
      <c r="I2905">
        <v>1</v>
      </c>
      <c r="J2905">
        <v>1</v>
      </c>
      <c r="K2905" s="4">
        <v>63.1</v>
      </c>
      <c r="L2905" s="4">
        <v>54.6</v>
      </c>
      <c r="M2905" s="4">
        <v>72.599999999999994</v>
      </c>
      <c r="N2905">
        <v>1</v>
      </c>
      <c r="O2905" t="s">
        <v>58</v>
      </c>
      <c r="P2905" t="s">
        <v>70</v>
      </c>
      <c r="Q2905" t="s">
        <v>71</v>
      </c>
      <c r="R2905" t="s">
        <v>130</v>
      </c>
      <c r="S2905" s="3">
        <v>4.0599999999999996</v>
      </c>
      <c r="T2905" s="5">
        <v>45983</v>
      </c>
      <c r="U2905">
        <v>1</v>
      </c>
      <c r="V2905">
        <v>2025</v>
      </c>
      <c r="X2905">
        <f t="shared" si="135"/>
        <v>7.7997094999999996</v>
      </c>
      <c r="Y2905">
        <f t="shared" si="136"/>
        <v>4.0597094999999994</v>
      </c>
      <c r="Z2905">
        <f t="shared" si="137"/>
        <v>54.599709500000003</v>
      </c>
    </row>
    <row r="2906" spans="1:26" x14ac:dyDescent="0.3">
      <c r="A2906" t="s">
        <v>2996</v>
      </c>
      <c r="B2906" t="s">
        <v>107</v>
      </c>
      <c r="C2906" t="s">
        <v>78</v>
      </c>
      <c r="D2906" t="s">
        <v>57</v>
      </c>
      <c r="E2906">
        <v>20</v>
      </c>
      <c r="F2906" s="3">
        <v>8.06</v>
      </c>
      <c r="G2906" s="4">
        <v>72.599999999999994</v>
      </c>
      <c r="H2906">
        <v>1</v>
      </c>
      <c r="I2906">
        <v>2</v>
      </c>
      <c r="J2906">
        <v>4</v>
      </c>
      <c r="K2906" s="4">
        <v>49.5</v>
      </c>
      <c r="L2906" s="4">
        <v>100</v>
      </c>
      <c r="M2906" s="4">
        <v>75.400000000000006</v>
      </c>
      <c r="N2906">
        <v>2</v>
      </c>
      <c r="O2906" t="s">
        <v>58</v>
      </c>
      <c r="P2906" t="s">
        <v>90</v>
      </c>
      <c r="Q2906" t="s">
        <v>60</v>
      </c>
      <c r="R2906" t="s">
        <v>80</v>
      </c>
      <c r="S2906" s="3">
        <v>9.58</v>
      </c>
      <c r="T2906" s="5">
        <v>44444</v>
      </c>
      <c r="U2906">
        <v>1</v>
      </c>
      <c r="V2906">
        <v>2021</v>
      </c>
      <c r="X2906">
        <f t="shared" si="135"/>
        <v>8.0597094000000009</v>
      </c>
      <c r="Y2906">
        <f t="shared" si="136"/>
        <v>9.5797094000000005</v>
      </c>
      <c r="Z2906">
        <f t="shared" si="137"/>
        <v>99.9997094</v>
      </c>
    </row>
    <row r="2907" spans="1:26" x14ac:dyDescent="0.3">
      <c r="A2907" t="s">
        <v>2997</v>
      </c>
      <c r="B2907" t="s">
        <v>82</v>
      </c>
      <c r="C2907" t="s">
        <v>101</v>
      </c>
      <c r="D2907" t="s">
        <v>57</v>
      </c>
      <c r="E2907">
        <v>22</v>
      </c>
      <c r="F2907" s="3">
        <v>7.13</v>
      </c>
      <c r="G2907" s="4">
        <v>76.900000000000006</v>
      </c>
      <c r="H2907">
        <v>0</v>
      </c>
      <c r="I2907">
        <v>1</v>
      </c>
      <c r="J2907">
        <v>4</v>
      </c>
      <c r="K2907" s="4">
        <v>82.5</v>
      </c>
      <c r="L2907" s="4">
        <v>67.7</v>
      </c>
      <c r="M2907" s="4">
        <v>72.8</v>
      </c>
      <c r="N2907">
        <v>0</v>
      </c>
      <c r="O2907" t="s">
        <v>58</v>
      </c>
      <c r="P2907" t="s">
        <v>87</v>
      </c>
      <c r="Q2907" t="s">
        <v>71</v>
      </c>
      <c r="R2907" t="s">
        <v>130</v>
      </c>
      <c r="S2907" s="3">
        <v>5.03</v>
      </c>
      <c r="T2907" s="5">
        <v>44831</v>
      </c>
      <c r="U2907">
        <v>1</v>
      </c>
      <c r="V2907">
        <v>2022</v>
      </c>
      <c r="X2907">
        <f t="shared" si="135"/>
        <v>7.1297093</v>
      </c>
      <c r="Y2907">
        <f t="shared" si="136"/>
        <v>5.0297093000000004</v>
      </c>
      <c r="Z2907">
        <f t="shared" si="137"/>
        <v>67.699709300000009</v>
      </c>
    </row>
    <row r="2908" spans="1:26" x14ac:dyDescent="0.3">
      <c r="A2908" t="s">
        <v>2998</v>
      </c>
      <c r="B2908" t="s">
        <v>67</v>
      </c>
      <c r="C2908" t="s">
        <v>78</v>
      </c>
      <c r="D2908" t="s">
        <v>57</v>
      </c>
      <c r="E2908">
        <v>20</v>
      </c>
      <c r="F2908" s="3">
        <v>7.9</v>
      </c>
      <c r="G2908" s="4">
        <v>73.2</v>
      </c>
      <c r="H2908">
        <v>2</v>
      </c>
      <c r="I2908">
        <v>2</v>
      </c>
      <c r="J2908">
        <v>3</v>
      </c>
      <c r="K2908" s="4">
        <v>94.2</v>
      </c>
      <c r="L2908" s="4">
        <v>72</v>
      </c>
      <c r="M2908" s="4">
        <v>71.599999999999994</v>
      </c>
      <c r="N2908">
        <v>1</v>
      </c>
      <c r="O2908" t="s">
        <v>58</v>
      </c>
      <c r="P2908" t="s">
        <v>104</v>
      </c>
      <c r="Q2908" t="s">
        <v>105</v>
      </c>
      <c r="R2908" t="s">
        <v>109</v>
      </c>
      <c r="S2908" s="3">
        <v>15.44</v>
      </c>
      <c r="T2908" s="5">
        <v>45219</v>
      </c>
      <c r="U2908">
        <v>2</v>
      </c>
      <c r="V2908">
        <v>2023</v>
      </c>
      <c r="X2908">
        <f t="shared" si="135"/>
        <v>7.8997092000000002</v>
      </c>
      <c r="Y2908">
        <f t="shared" si="136"/>
        <v>15.439709199999999</v>
      </c>
      <c r="Z2908">
        <f t="shared" si="137"/>
        <v>71.999709199999998</v>
      </c>
    </row>
    <row r="2909" spans="1:26" x14ac:dyDescent="0.3">
      <c r="A2909" t="s">
        <v>2999</v>
      </c>
      <c r="B2909" t="s">
        <v>107</v>
      </c>
      <c r="C2909" t="s">
        <v>68</v>
      </c>
      <c r="D2909" t="s">
        <v>57</v>
      </c>
      <c r="E2909">
        <v>20</v>
      </c>
      <c r="F2909" s="3">
        <v>6.4</v>
      </c>
      <c r="G2909" s="4">
        <v>92.5</v>
      </c>
      <c r="H2909">
        <v>1</v>
      </c>
      <c r="I2909">
        <v>2</v>
      </c>
      <c r="J2909">
        <v>4</v>
      </c>
      <c r="K2909" s="4">
        <v>48.3</v>
      </c>
      <c r="L2909" s="4">
        <v>75.3</v>
      </c>
      <c r="M2909" s="4">
        <v>60.7</v>
      </c>
      <c r="N2909">
        <v>1</v>
      </c>
      <c r="O2909" t="s">
        <v>64</v>
      </c>
      <c r="P2909" t="s">
        <v>65</v>
      </c>
      <c r="S2909" s="3">
        <v>0</v>
      </c>
      <c r="T2909" s="5"/>
      <c r="U2909">
        <v>0</v>
      </c>
      <c r="V2909">
        <v>2021</v>
      </c>
      <c r="X2909">
        <f t="shared" si="135"/>
        <v>6.3997090999999999</v>
      </c>
      <c r="Y2909">
        <f t="shared" si="136"/>
        <v>-2.9089999999999997E-4</v>
      </c>
      <c r="Z2909">
        <f t="shared" si="137"/>
        <v>75.299709100000001</v>
      </c>
    </row>
    <row r="2910" spans="1:26" x14ac:dyDescent="0.3">
      <c r="A2910" t="s">
        <v>3000</v>
      </c>
      <c r="B2910" t="s">
        <v>107</v>
      </c>
      <c r="C2910" t="s">
        <v>84</v>
      </c>
      <c r="D2910" t="s">
        <v>57</v>
      </c>
      <c r="E2910">
        <v>23</v>
      </c>
      <c r="F2910" s="3">
        <v>8.52</v>
      </c>
      <c r="G2910" s="4">
        <v>92.9</v>
      </c>
      <c r="H2910">
        <v>2</v>
      </c>
      <c r="I2910">
        <v>2</v>
      </c>
      <c r="J2910">
        <v>6</v>
      </c>
      <c r="K2910" s="4">
        <v>82.5</v>
      </c>
      <c r="L2910" s="4">
        <v>68.900000000000006</v>
      </c>
      <c r="M2910" s="4">
        <v>78.599999999999994</v>
      </c>
      <c r="N2910">
        <v>0</v>
      </c>
      <c r="O2910" t="s">
        <v>58</v>
      </c>
      <c r="P2910" t="s">
        <v>95</v>
      </c>
      <c r="Q2910" t="s">
        <v>93</v>
      </c>
      <c r="R2910" t="s">
        <v>61</v>
      </c>
      <c r="S2910" s="3">
        <v>7.87</v>
      </c>
      <c r="T2910" s="5">
        <v>44415</v>
      </c>
      <c r="U2910">
        <v>3</v>
      </c>
      <c r="V2910">
        <v>2021</v>
      </c>
      <c r="X2910">
        <f t="shared" si="135"/>
        <v>8.5197089999999989</v>
      </c>
      <c r="Y2910">
        <f t="shared" si="136"/>
        <v>7.8697090000000003</v>
      </c>
      <c r="Z2910">
        <f t="shared" si="137"/>
        <v>68.899709000000001</v>
      </c>
    </row>
    <row r="2911" spans="1:26" x14ac:dyDescent="0.3">
      <c r="A2911" t="s">
        <v>3001</v>
      </c>
      <c r="B2911" t="s">
        <v>63</v>
      </c>
      <c r="C2911" t="s">
        <v>74</v>
      </c>
      <c r="D2911" t="s">
        <v>57</v>
      </c>
      <c r="E2911">
        <v>20</v>
      </c>
      <c r="F2911" s="3">
        <v>7.17</v>
      </c>
      <c r="G2911" s="4">
        <v>74.400000000000006</v>
      </c>
      <c r="H2911">
        <v>0</v>
      </c>
      <c r="I2911">
        <v>4</v>
      </c>
      <c r="J2911">
        <v>5</v>
      </c>
      <c r="K2911" s="4">
        <v>67.400000000000006</v>
      </c>
      <c r="L2911" s="4">
        <v>87.7</v>
      </c>
      <c r="M2911" s="4">
        <v>65.099999999999994</v>
      </c>
      <c r="N2911">
        <v>0</v>
      </c>
      <c r="O2911" t="s">
        <v>64</v>
      </c>
      <c r="P2911" t="s">
        <v>65</v>
      </c>
      <c r="S2911" s="3">
        <v>0</v>
      </c>
      <c r="T2911" s="5"/>
      <c r="U2911">
        <v>0</v>
      </c>
      <c r="V2911">
        <v>2025</v>
      </c>
      <c r="X2911">
        <f t="shared" si="135"/>
        <v>7.1697088999999998</v>
      </c>
      <c r="Y2911">
        <f t="shared" si="136"/>
        <v>-2.9109999999999997E-4</v>
      </c>
      <c r="Z2911">
        <f t="shared" si="137"/>
        <v>87.699708900000005</v>
      </c>
    </row>
    <row r="2912" spans="1:26" x14ac:dyDescent="0.3">
      <c r="A2912" t="s">
        <v>3002</v>
      </c>
      <c r="B2912" t="s">
        <v>107</v>
      </c>
      <c r="C2912" t="s">
        <v>56</v>
      </c>
      <c r="D2912" t="s">
        <v>69</v>
      </c>
      <c r="E2912">
        <v>21</v>
      </c>
      <c r="F2912" s="3">
        <v>7.91</v>
      </c>
      <c r="G2912" s="4">
        <v>85.9</v>
      </c>
      <c r="H2912">
        <v>2</v>
      </c>
      <c r="I2912">
        <v>0</v>
      </c>
      <c r="J2912">
        <v>2</v>
      </c>
      <c r="K2912" s="4">
        <v>59</v>
      </c>
      <c r="L2912" s="4">
        <v>72.2</v>
      </c>
      <c r="M2912" s="4">
        <v>65.400000000000006</v>
      </c>
      <c r="N2912">
        <v>0</v>
      </c>
      <c r="O2912" t="s">
        <v>58</v>
      </c>
      <c r="P2912" t="s">
        <v>90</v>
      </c>
      <c r="Q2912" t="s">
        <v>60</v>
      </c>
      <c r="R2912" t="s">
        <v>80</v>
      </c>
      <c r="S2912" s="3">
        <v>9.65</v>
      </c>
      <c r="T2912" s="5">
        <v>44487</v>
      </c>
      <c r="U2912">
        <v>1</v>
      </c>
      <c r="V2912">
        <v>2021</v>
      </c>
      <c r="X2912">
        <f t="shared" si="135"/>
        <v>7.9097087999999998</v>
      </c>
      <c r="Y2912">
        <f t="shared" si="136"/>
        <v>9.6497088000000009</v>
      </c>
      <c r="Z2912">
        <f t="shared" si="137"/>
        <v>72.199708799999996</v>
      </c>
    </row>
    <row r="2913" spans="1:26" x14ac:dyDescent="0.3">
      <c r="A2913" t="s">
        <v>3003</v>
      </c>
      <c r="B2913" t="s">
        <v>107</v>
      </c>
      <c r="C2913" t="s">
        <v>68</v>
      </c>
      <c r="D2913" t="s">
        <v>69</v>
      </c>
      <c r="E2913">
        <v>23</v>
      </c>
      <c r="F2913" s="3">
        <v>7.84</v>
      </c>
      <c r="G2913" s="4">
        <v>79.5</v>
      </c>
      <c r="H2913">
        <v>1</v>
      </c>
      <c r="I2913">
        <v>1</v>
      </c>
      <c r="J2913">
        <v>2</v>
      </c>
      <c r="K2913" s="4">
        <v>70</v>
      </c>
      <c r="L2913" s="4">
        <v>62.2</v>
      </c>
      <c r="M2913" s="4">
        <v>51.4</v>
      </c>
      <c r="N2913">
        <v>2</v>
      </c>
      <c r="O2913" t="s">
        <v>64</v>
      </c>
      <c r="P2913" t="s">
        <v>65</v>
      </c>
      <c r="S2913" s="3">
        <v>0</v>
      </c>
      <c r="T2913" s="5"/>
      <c r="U2913">
        <v>0</v>
      </c>
      <c r="V2913">
        <v>2021</v>
      </c>
      <c r="X2913">
        <f t="shared" si="135"/>
        <v>7.8397087000000001</v>
      </c>
      <c r="Y2913">
        <f t="shared" si="136"/>
        <v>-2.9129999999999998E-4</v>
      </c>
      <c r="Z2913">
        <f t="shared" si="137"/>
        <v>62.199708700000002</v>
      </c>
    </row>
    <row r="2914" spans="1:26" x14ac:dyDescent="0.3">
      <c r="A2914" t="s">
        <v>3004</v>
      </c>
      <c r="B2914" t="s">
        <v>107</v>
      </c>
      <c r="C2914" t="s">
        <v>56</v>
      </c>
      <c r="D2914" t="s">
        <v>69</v>
      </c>
      <c r="E2914">
        <v>21</v>
      </c>
      <c r="F2914" s="3">
        <v>5.89</v>
      </c>
      <c r="G2914" s="4">
        <v>95.1</v>
      </c>
      <c r="H2914">
        <v>2</v>
      </c>
      <c r="I2914">
        <v>0</v>
      </c>
      <c r="J2914">
        <v>4</v>
      </c>
      <c r="K2914" s="4">
        <v>56.8</v>
      </c>
      <c r="L2914" s="4">
        <v>49.5</v>
      </c>
      <c r="M2914" s="4">
        <v>56.9</v>
      </c>
      <c r="N2914">
        <v>0</v>
      </c>
      <c r="O2914" t="s">
        <v>58</v>
      </c>
      <c r="P2914" t="s">
        <v>104</v>
      </c>
      <c r="Q2914" t="s">
        <v>105</v>
      </c>
      <c r="R2914" t="s">
        <v>130</v>
      </c>
      <c r="S2914" s="3">
        <v>13.31</v>
      </c>
      <c r="T2914" s="5">
        <v>44439</v>
      </c>
      <c r="U2914">
        <v>2</v>
      </c>
      <c r="V2914">
        <v>2021</v>
      </c>
      <c r="X2914">
        <f t="shared" si="135"/>
        <v>5.8897085999999996</v>
      </c>
      <c r="Y2914">
        <f t="shared" si="136"/>
        <v>13.3097086</v>
      </c>
      <c r="Z2914">
        <f t="shared" si="137"/>
        <v>49.499708599999998</v>
      </c>
    </row>
    <row r="2915" spans="1:26" x14ac:dyDescent="0.3">
      <c r="A2915" t="s">
        <v>3005</v>
      </c>
      <c r="B2915" t="s">
        <v>63</v>
      </c>
      <c r="C2915" t="s">
        <v>84</v>
      </c>
      <c r="D2915" t="s">
        <v>57</v>
      </c>
      <c r="E2915">
        <v>22</v>
      </c>
      <c r="F2915" s="3">
        <v>8.4</v>
      </c>
      <c r="G2915" s="4">
        <v>100</v>
      </c>
      <c r="H2915">
        <v>1</v>
      </c>
      <c r="I2915">
        <v>1</v>
      </c>
      <c r="J2915">
        <v>3</v>
      </c>
      <c r="K2915" s="4">
        <v>71.3</v>
      </c>
      <c r="L2915" s="4">
        <v>75.900000000000006</v>
      </c>
      <c r="M2915" s="4">
        <v>91.7</v>
      </c>
      <c r="N2915">
        <v>0</v>
      </c>
      <c r="O2915" t="s">
        <v>64</v>
      </c>
      <c r="P2915" t="s">
        <v>65</v>
      </c>
      <c r="S2915" s="3">
        <v>0</v>
      </c>
      <c r="T2915" s="5"/>
      <c r="U2915">
        <v>0</v>
      </c>
      <c r="V2915">
        <v>2025</v>
      </c>
      <c r="X2915">
        <f t="shared" si="135"/>
        <v>8.3997085000000009</v>
      </c>
      <c r="Y2915">
        <f t="shared" si="136"/>
        <v>-2.9149999999999998E-4</v>
      </c>
      <c r="Z2915">
        <f t="shared" si="137"/>
        <v>75.899708500000003</v>
      </c>
    </row>
    <row r="2916" spans="1:26" x14ac:dyDescent="0.3">
      <c r="A2916" t="s">
        <v>3006</v>
      </c>
      <c r="B2916" t="s">
        <v>67</v>
      </c>
      <c r="C2916" t="s">
        <v>56</v>
      </c>
      <c r="D2916" t="s">
        <v>69</v>
      </c>
      <c r="E2916">
        <v>22</v>
      </c>
      <c r="F2916" s="3">
        <v>6.94</v>
      </c>
      <c r="G2916" s="4">
        <v>88.6</v>
      </c>
      <c r="H2916">
        <v>3</v>
      </c>
      <c r="I2916">
        <v>0</v>
      </c>
      <c r="J2916">
        <v>2</v>
      </c>
      <c r="K2916" s="4">
        <v>63.9</v>
      </c>
      <c r="L2916" s="4">
        <v>83.7</v>
      </c>
      <c r="M2916" s="4">
        <v>74.900000000000006</v>
      </c>
      <c r="N2916">
        <v>0</v>
      </c>
      <c r="O2916" t="s">
        <v>58</v>
      </c>
      <c r="P2916" t="s">
        <v>70</v>
      </c>
      <c r="Q2916" t="s">
        <v>71</v>
      </c>
      <c r="R2916" t="s">
        <v>76</v>
      </c>
      <c r="S2916" s="3">
        <v>6.01</v>
      </c>
      <c r="T2916" s="5">
        <v>45208</v>
      </c>
      <c r="U2916">
        <v>1</v>
      </c>
      <c r="V2916">
        <v>2023</v>
      </c>
      <c r="X2916">
        <f t="shared" si="135"/>
        <v>6.9397084000000007</v>
      </c>
      <c r="Y2916">
        <f t="shared" si="136"/>
        <v>6.0097084000000001</v>
      </c>
      <c r="Z2916">
        <f t="shared" si="137"/>
        <v>83.699708400000006</v>
      </c>
    </row>
    <row r="2917" spans="1:26" x14ac:dyDescent="0.3">
      <c r="A2917" t="s">
        <v>3007</v>
      </c>
      <c r="B2917" t="s">
        <v>67</v>
      </c>
      <c r="C2917" t="s">
        <v>101</v>
      </c>
      <c r="D2917" t="s">
        <v>69</v>
      </c>
      <c r="E2917">
        <v>20</v>
      </c>
      <c r="F2917" s="3">
        <v>7.83</v>
      </c>
      <c r="G2917" s="4">
        <v>77.400000000000006</v>
      </c>
      <c r="H2917">
        <v>3</v>
      </c>
      <c r="I2917">
        <v>3</v>
      </c>
      <c r="J2917">
        <v>3</v>
      </c>
      <c r="K2917" s="4">
        <v>63.2</v>
      </c>
      <c r="L2917" s="4">
        <v>51</v>
      </c>
      <c r="M2917" s="4">
        <v>82.9</v>
      </c>
      <c r="N2917">
        <v>0</v>
      </c>
      <c r="O2917" t="s">
        <v>58</v>
      </c>
      <c r="P2917" t="s">
        <v>90</v>
      </c>
      <c r="Q2917" t="s">
        <v>60</v>
      </c>
      <c r="R2917" t="s">
        <v>76</v>
      </c>
      <c r="S2917" s="3">
        <v>8.61</v>
      </c>
      <c r="T2917" s="5">
        <v>45239</v>
      </c>
      <c r="U2917">
        <v>1</v>
      </c>
      <c r="V2917">
        <v>2023</v>
      </c>
      <c r="X2917">
        <f t="shared" si="135"/>
        <v>7.8297083000000001</v>
      </c>
      <c r="Y2917">
        <f t="shared" si="136"/>
        <v>8.6097082999999994</v>
      </c>
      <c r="Z2917">
        <f t="shared" si="137"/>
        <v>50.999708300000002</v>
      </c>
    </row>
    <row r="2918" spans="1:26" x14ac:dyDescent="0.3">
      <c r="A2918" t="s">
        <v>3008</v>
      </c>
      <c r="B2918" t="s">
        <v>107</v>
      </c>
      <c r="C2918" t="s">
        <v>78</v>
      </c>
      <c r="D2918" t="s">
        <v>57</v>
      </c>
      <c r="E2918">
        <v>20</v>
      </c>
      <c r="F2918" s="3">
        <v>6.38</v>
      </c>
      <c r="G2918" s="4">
        <v>71.599999999999994</v>
      </c>
      <c r="H2918">
        <v>2</v>
      </c>
      <c r="I2918">
        <v>1</v>
      </c>
      <c r="J2918">
        <v>2</v>
      </c>
      <c r="K2918" s="4">
        <v>84.5</v>
      </c>
      <c r="L2918" s="4">
        <v>64.3</v>
      </c>
      <c r="M2918" s="4">
        <v>63.4</v>
      </c>
      <c r="N2918">
        <v>0</v>
      </c>
      <c r="O2918" t="s">
        <v>58</v>
      </c>
      <c r="P2918" t="s">
        <v>75</v>
      </c>
      <c r="Q2918" t="s">
        <v>71</v>
      </c>
      <c r="R2918" t="s">
        <v>130</v>
      </c>
      <c r="S2918" s="3">
        <v>4.6100000000000003</v>
      </c>
      <c r="T2918" s="5">
        <v>44518</v>
      </c>
      <c r="U2918">
        <v>2</v>
      </c>
      <c r="V2918">
        <v>2021</v>
      </c>
      <c r="X2918">
        <f t="shared" si="135"/>
        <v>6.3797081999999996</v>
      </c>
      <c r="Y2918">
        <f t="shared" si="136"/>
        <v>4.6097082</v>
      </c>
      <c r="Z2918">
        <f t="shared" si="137"/>
        <v>64.299708199999998</v>
      </c>
    </row>
    <row r="2919" spans="1:26" x14ac:dyDescent="0.3">
      <c r="A2919" t="s">
        <v>3009</v>
      </c>
      <c r="B2919" t="s">
        <v>63</v>
      </c>
      <c r="C2919" t="s">
        <v>56</v>
      </c>
      <c r="D2919" t="s">
        <v>57</v>
      </c>
      <c r="E2919">
        <v>21</v>
      </c>
      <c r="F2919" s="3">
        <v>7.22</v>
      </c>
      <c r="G2919" s="4">
        <v>84.2</v>
      </c>
      <c r="H2919">
        <v>1</v>
      </c>
      <c r="I2919">
        <v>4</v>
      </c>
      <c r="J2919">
        <v>4</v>
      </c>
      <c r="K2919" s="4">
        <v>43.5</v>
      </c>
      <c r="L2919" s="4">
        <v>84.5</v>
      </c>
      <c r="M2919" s="4">
        <v>50.7</v>
      </c>
      <c r="N2919">
        <v>0</v>
      </c>
      <c r="O2919" t="s">
        <v>58</v>
      </c>
      <c r="P2919" t="s">
        <v>90</v>
      </c>
      <c r="Q2919" t="s">
        <v>60</v>
      </c>
      <c r="R2919" t="s">
        <v>76</v>
      </c>
      <c r="S2919" s="3">
        <v>9.6199999999999992</v>
      </c>
      <c r="T2919" s="5">
        <v>45922</v>
      </c>
      <c r="U2919">
        <v>3</v>
      </c>
      <c r="V2919">
        <v>2025</v>
      </c>
      <c r="X2919">
        <f t="shared" si="135"/>
        <v>7.2197081000000001</v>
      </c>
      <c r="Y2919">
        <f t="shared" si="136"/>
        <v>9.6197080999999987</v>
      </c>
      <c r="Z2919">
        <f t="shared" si="137"/>
        <v>84.499708100000007</v>
      </c>
    </row>
    <row r="2920" spans="1:26" x14ac:dyDescent="0.3">
      <c r="A2920" t="s">
        <v>3010</v>
      </c>
      <c r="B2920" t="s">
        <v>67</v>
      </c>
      <c r="C2920" t="s">
        <v>89</v>
      </c>
      <c r="D2920" t="s">
        <v>57</v>
      </c>
      <c r="E2920">
        <v>21</v>
      </c>
      <c r="F2920" s="3">
        <v>7.98</v>
      </c>
      <c r="G2920" s="4">
        <v>80.599999999999994</v>
      </c>
      <c r="H2920">
        <v>1</v>
      </c>
      <c r="I2920">
        <v>0</v>
      </c>
      <c r="J2920">
        <v>4</v>
      </c>
      <c r="K2920" s="4">
        <v>60.1</v>
      </c>
      <c r="L2920" s="4">
        <v>57.2</v>
      </c>
      <c r="M2920" s="4">
        <v>66.099999999999994</v>
      </c>
      <c r="N2920">
        <v>0</v>
      </c>
      <c r="O2920" t="s">
        <v>58</v>
      </c>
      <c r="P2920" t="s">
        <v>95</v>
      </c>
      <c r="Q2920" t="s">
        <v>93</v>
      </c>
      <c r="R2920" t="s">
        <v>85</v>
      </c>
      <c r="S2920" s="3">
        <v>5.56</v>
      </c>
      <c r="T2920" s="5">
        <v>45231</v>
      </c>
      <c r="U2920">
        <v>1</v>
      </c>
      <c r="V2920">
        <v>2023</v>
      </c>
      <c r="X2920">
        <f t="shared" si="135"/>
        <v>7.9797080000000005</v>
      </c>
      <c r="Y2920">
        <f t="shared" si="136"/>
        <v>5.5597079999999997</v>
      </c>
      <c r="Z2920">
        <f t="shared" si="137"/>
        <v>57.199708000000001</v>
      </c>
    </row>
    <row r="2921" spans="1:26" x14ac:dyDescent="0.3">
      <c r="A2921" t="s">
        <v>3011</v>
      </c>
      <c r="B2921" t="s">
        <v>67</v>
      </c>
      <c r="C2921" t="s">
        <v>56</v>
      </c>
      <c r="D2921" t="s">
        <v>57</v>
      </c>
      <c r="E2921">
        <v>21</v>
      </c>
      <c r="F2921" s="3">
        <v>6.68</v>
      </c>
      <c r="G2921" s="4">
        <v>69</v>
      </c>
      <c r="H2921">
        <v>0</v>
      </c>
      <c r="I2921">
        <v>2</v>
      </c>
      <c r="J2921">
        <v>1</v>
      </c>
      <c r="K2921" s="4">
        <v>40.299999999999997</v>
      </c>
      <c r="L2921" s="4">
        <v>57.1</v>
      </c>
      <c r="M2921" s="4">
        <v>51</v>
      </c>
      <c r="N2921">
        <v>0</v>
      </c>
      <c r="O2921" t="s">
        <v>64</v>
      </c>
      <c r="P2921" t="s">
        <v>65</v>
      </c>
      <c r="S2921" s="3">
        <v>0</v>
      </c>
      <c r="T2921" s="5"/>
      <c r="U2921">
        <v>0</v>
      </c>
      <c r="V2921">
        <v>2023</v>
      </c>
      <c r="X2921">
        <f t="shared" si="135"/>
        <v>6.6797078999999995</v>
      </c>
      <c r="Y2921">
        <f t="shared" si="136"/>
        <v>-2.921E-4</v>
      </c>
      <c r="Z2921">
        <f t="shared" si="137"/>
        <v>57.099707899999999</v>
      </c>
    </row>
    <row r="2922" spans="1:26" x14ac:dyDescent="0.3">
      <c r="A2922" t="s">
        <v>3012</v>
      </c>
      <c r="B2922" t="s">
        <v>67</v>
      </c>
      <c r="C2922" t="s">
        <v>68</v>
      </c>
      <c r="D2922" t="s">
        <v>57</v>
      </c>
      <c r="E2922">
        <v>22</v>
      </c>
      <c r="F2922" s="3">
        <v>6.73</v>
      </c>
      <c r="G2922" s="4">
        <v>82.7</v>
      </c>
      <c r="H2922">
        <v>3</v>
      </c>
      <c r="I2922">
        <v>5</v>
      </c>
      <c r="J2922">
        <v>4</v>
      </c>
      <c r="K2922" s="4">
        <v>69.8</v>
      </c>
      <c r="L2922" s="4">
        <v>67.7</v>
      </c>
      <c r="M2922" s="4">
        <v>65.599999999999994</v>
      </c>
      <c r="N2922">
        <v>0</v>
      </c>
      <c r="O2922" t="s">
        <v>58</v>
      </c>
      <c r="P2922" t="s">
        <v>90</v>
      </c>
      <c r="Q2922" t="s">
        <v>60</v>
      </c>
      <c r="R2922" t="s">
        <v>72</v>
      </c>
      <c r="S2922" s="3">
        <v>9.3000000000000007</v>
      </c>
      <c r="T2922" s="5">
        <v>45184</v>
      </c>
      <c r="U2922">
        <v>2</v>
      </c>
      <c r="V2922">
        <v>2023</v>
      </c>
      <c r="X2922">
        <f t="shared" si="135"/>
        <v>6.7297078000000008</v>
      </c>
      <c r="Y2922">
        <f t="shared" si="136"/>
        <v>9.2997078000000002</v>
      </c>
      <c r="Z2922">
        <f t="shared" si="137"/>
        <v>67.699707799999999</v>
      </c>
    </row>
    <row r="2923" spans="1:26" x14ac:dyDescent="0.3">
      <c r="A2923" t="s">
        <v>3013</v>
      </c>
      <c r="B2923" t="s">
        <v>63</v>
      </c>
      <c r="C2923" t="s">
        <v>56</v>
      </c>
      <c r="D2923" t="s">
        <v>69</v>
      </c>
      <c r="E2923">
        <v>21</v>
      </c>
      <c r="F2923" s="3">
        <v>7.76</v>
      </c>
      <c r="G2923" s="4">
        <v>100</v>
      </c>
      <c r="H2923">
        <v>3</v>
      </c>
      <c r="I2923">
        <v>1</v>
      </c>
      <c r="J2923">
        <v>4</v>
      </c>
      <c r="K2923" s="4">
        <v>61.1</v>
      </c>
      <c r="L2923" s="4">
        <v>89.7</v>
      </c>
      <c r="M2923" s="4">
        <v>87.8</v>
      </c>
      <c r="N2923">
        <v>0</v>
      </c>
      <c r="O2923" t="s">
        <v>58</v>
      </c>
      <c r="P2923" t="s">
        <v>59</v>
      </c>
      <c r="Q2923" t="s">
        <v>60</v>
      </c>
      <c r="R2923" t="s">
        <v>109</v>
      </c>
      <c r="S2923" s="3">
        <v>21.26</v>
      </c>
      <c r="T2923" s="5">
        <v>45906</v>
      </c>
      <c r="U2923">
        <v>1</v>
      </c>
      <c r="V2923">
        <v>2025</v>
      </c>
      <c r="X2923">
        <f t="shared" si="135"/>
        <v>7.7597076999999999</v>
      </c>
      <c r="Y2923">
        <f t="shared" si="136"/>
        <v>21.2597077</v>
      </c>
      <c r="Z2923">
        <f t="shared" si="137"/>
        <v>89.699707700000005</v>
      </c>
    </row>
    <row r="2924" spans="1:26" x14ac:dyDescent="0.3">
      <c r="A2924" t="s">
        <v>3014</v>
      </c>
      <c r="B2924" t="s">
        <v>63</v>
      </c>
      <c r="C2924" t="s">
        <v>84</v>
      </c>
      <c r="D2924" t="s">
        <v>57</v>
      </c>
      <c r="E2924">
        <v>23</v>
      </c>
      <c r="F2924" s="3">
        <v>7.5</v>
      </c>
      <c r="G2924" s="4">
        <v>89.3</v>
      </c>
      <c r="H2924">
        <v>0</v>
      </c>
      <c r="I2924">
        <v>2</v>
      </c>
      <c r="J2924">
        <v>4</v>
      </c>
      <c r="K2924" s="4">
        <v>57.9</v>
      </c>
      <c r="L2924" s="4">
        <v>83.8</v>
      </c>
      <c r="M2924" s="4">
        <v>72.8</v>
      </c>
      <c r="N2924">
        <v>0</v>
      </c>
      <c r="O2924" t="s">
        <v>64</v>
      </c>
      <c r="P2924" t="s">
        <v>65</v>
      </c>
      <c r="S2924" s="3">
        <v>0</v>
      </c>
      <c r="T2924" s="5"/>
      <c r="U2924">
        <v>0</v>
      </c>
      <c r="V2924">
        <v>2025</v>
      </c>
      <c r="X2924">
        <f t="shared" si="135"/>
        <v>7.4997075999999998</v>
      </c>
      <c r="Y2924">
        <f t="shared" si="136"/>
        <v>-2.9240000000000001E-4</v>
      </c>
      <c r="Z2924">
        <f t="shared" si="137"/>
        <v>83.799707599999991</v>
      </c>
    </row>
    <row r="2925" spans="1:26" x14ac:dyDescent="0.3">
      <c r="A2925" t="s">
        <v>3015</v>
      </c>
      <c r="B2925" t="s">
        <v>107</v>
      </c>
      <c r="C2925" t="s">
        <v>84</v>
      </c>
      <c r="D2925" t="s">
        <v>69</v>
      </c>
      <c r="E2925">
        <v>23</v>
      </c>
      <c r="F2925" s="3">
        <v>7.96</v>
      </c>
      <c r="G2925" s="4">
        <v>71.5</v>
      </c>
      <c r="H2925">
        <v>1</v>
      </c>
      <c r="I2925">
        <v>3</v>
      </c>
      <c r="J2925">
        <v>6</v>
      </c>
      <c r="K2925" s="4">
        <v>72</v>
      </c>
      <c r="L2925" s="4">
        <v>89.7</v>
      </c>
      <c r="M2925" s="4">
        <v>91.4</v>
      </c>
      <c r="N2925">
        <v>0</v>
      </c>
      <c r="O2925" t="s">
        <v>58</v>
      </c>
      <c r="P2925" t="s">
        <v>59</v>
      </c>
      <c r="Q2925" t="s">
        <v>60</v>
      </c>
      <c r="R2925" t="s">
        <v>80</v>
      </c>
      <c r="S2925" s="3">
        <v>21.73</v>
      </c>
      <c r="T2925" s="5">
        <v>44435</v>
      </c>
      <c r="U2925">
        <v>1</v>
      </c>
      <c r="V2925">
        <v>2021</v>
      </c>
      <c r="X2925">
        <f t="shared" si="135"/>
        <v>7.9597075000000004</v>
      </c>
      <c r="Y2925">
        <f t="shared" si="136"/>
        <v>21.7297075</v>
      </c>
      <c r="Z2925">
        <f t="shared" si="137"/>
        <v>89.699707500000002</v>
      </c>
    </row>
    <row r="2926" spans="1:26" x14ac:dyDescent="0.3">
      <c r="A2926" t="s">
        <v>3016</v>
      </c>
      <c r="B2926" t="s">
        <v>55</v>
      </c>
      <c r="C2926" t="s">
        <v>56</v>
      </c>
      <c r="D2926" t="s">
        <v>57</v>
      </c>
      <c r="E2926">
        <v>22</v>
      </c>
      <c r="F2926" s="3">
        <v>7.32</v>
      </c>
      <c r="G2926" s="4">
        <v>81.8</v>
      </c>
      <c r="H2926">
        <v>2</v>
      </c>
      <c r="I2926">
        <v>2</v>
      </c>
      <c r="J2926">
        <v>6</v>
      </c>
      <c r="K2926" s="4">
        <v>76.599999999999994</v>
      </c>
      <c r="L2926" s="4">
        <v>55.1</v>
      </c>
      <c r="M2926" s="4">
        <v>80.8</v>
      </c>
      <c r="N2926">
        <v>0</v>
      </c>
      <c r="O2926" t="s">
        <v>58</v>
      </c>
      <c r="P2926" t="s">
        <v>92</v>
      </c>
      <c r="Q2926" t="s">
        <v>93</v>
      </c>
      <c r="R2926" t="s">
        <v>85</v>
      </c>
      <c r="S2926" s="3">
        <v>8.0299999999999994</v>
      </c>
      <c r="T2926" s="5">
        <v>45529</v>
      </c>
      <c r="U2926">
        <v>2</v>
      </c>
      <c r="V2926">
        <v>2024</v>
      </c>
      <c r="X2926">
        <f t="shared" si="135"/>
        <v>7.3197074000000004</v>
      </c>
      <c r="Y2926">
        <f t="shared" si="136"/>
        <v>8.0297073999999995</v>
      </c>
      <c r="Z2926">
        <f t="shared" si="137"/>
        <v>55.0997074</v>
      </c>
    </row>
    <row r="2927" spans="1:26" x14ac:dyDescent="0.3">
      <c r="A2927" t="s">
        <v>3017</v>
      </c>
      <c r="B2927" t="s">
        <v>67</v>
      </c>
      <c r="C2927" t="s">
        <v>56</v>
      </c>
      <c r="D2927" t="s">
        <v>57</v>
      </c>
      <c r="E2927">
        <v>21</v>
      </c>
      <c r="F2927" s="3">
        <v>8.23</v>
      </c>
      <c r="G2927" s="4">
        <v>85.4</v>
      </c>
      <c r="H2927">
        <v>0</v>
      </c>
      <c r="I2927">
        <v>2</v>
      </c>
      <c r="J2927">
        <v>4</v>
      </c>
      <c r="K2927" s="4">
        <v>84.6</v>
      </c>
      <c r="L2927" s="4">
        <v>60.1</v>
      </c>
      <c r="M2927" s="4">
        <v>86.8</v>
      </c>
      <c r="N2927">
        <v>1</v>
      </c>
      <c r="O2927" t="s">
        <v>58</v>
      </c>
      <c r="P2927" t="s">
        <v>87</v>
      </c>
      <c r="Q2927" t="s">
        <v>71</v>
      </c>
      <c r="R2927" t="s">
        <v>80</v>
      </c>
      <c r="S2927" s="3">
        <v>6</v>
      </c>
      <c r="T2927" s="5">
        <v>45247</v>
      </c>
      <c r="U2927">
        <v>1</v>
      </c>
      <c r="V2927">
        <v>2023</v>
      </c>
      <c r="X2927">
        <f t="shared" si="135"/>
        <v>8.2297073000000012</v>
      </c>
      <c r="Y2927">
        <f t="shared" si="136"/>
        <v>5.9997072999999999</v>
      </c>
      <c r="Z2927">
        <f t="shared" si="137"/>
        <v>60.099707299999999</v>
      </c>
    </row>
    <row r="2928" spans="1:26" x14ac:dyDescent="0.3">
      <c r="A2928" t="s">
        <v>3018</v>
      </c>
      <c r="B2928" t="s">
        <v>55</v>
      </c>
      <c r="C2928" t="s">
        <v>78</v>
      </c>
      <c r="D2928" t="s">
        <v>69</v>
      </c>
      <c r="E2928">
        <v>21</v>
      </c>
      <c r="F2928" s="3">
        <v>7.14</v>
      </c>
      <c r="G2928" s="4">
        <v>86.4</v>
      </c>
      <c r="H2928">
        <v>1</v>
      </c>
      <c r="I2928">
        <v>1</v>
      </c>
      <c r="J2928">
        <v>5</v>
      </c>
      <c r="K2928" s="4">
        <v>100</v>
      </c>
      <c r="L2928" s="4">
        <v>67.3</v>
      </c>
      <c r="M2928" s="4">
        <v>71.099999999999994</v>
      </c>
      <c r="N2928">
        <v>1</v>
      </c>
      <c r="O2928" t="s">
        <v>64</v>
      </c>
      <c r="P2928" t="s">
        <v>65</v>
      </c>
      <c r="S2928" s="3">
        <v>0</v>
      </c>
      <c r="T2928" s="5"/>
      <c r="U2928">
        <v>0</v>
      </c>
      <c r="V2928">
        <v>2024</v>
      </c>
      <c r="X2928">
        <f t="shared" si="135"/>
        <v>7.1397071999999993</v>
      </c>
      <c r="Y2928">
        <f t="shared" si="136"/>
        <v>-2.9279999999999996E-4</v>
      </c>
      <c r="Z2928">
        <f t="shared" si="137"/>
        <v>67.2997072</v>
      </c>
    </row>
    <row r="2929" spans="1:26" x14ac:dyDescent="0.3">
      <c r="A2929" t="s">
        <v>3019</v>
      </c>
      <c r="B2929" t="s">
        <v>63</v>
      </c>
      <c r="C2929" t="s">
        <v>74</v>
      </c>
      <c r="D2929" t="s">
        <v>69</v>
      </c>
      <c r="E2929">
        <v>20</v>
      </c>
      <c r="F2929" s="3">
        <v>8.19</v>
      </c>
      <c r="G2929" s="4">
        <v>67.3</v>
      </c>
      <c r="H2929">
        <v>3</v>
      </c>
      <c r="I2929">
        <v>3</v>
      </c>
      <c r="J2929">
        <v>2</v>
      </c>
      <c r="K2929" s="4">
        <v>60</v>
      </c>
      <c r="L2929" s="4">
        <v>65.400000000000006</v>
      </c>
      <c r="M2929" s="4">
        <v>57.3</v>
      </c>
      <c r="N2929">
        <v>0</v>
      </c>
      <c r="O2929" t="s">
        <v>58</v>
      </c>
      <c r="P2929" t="s">
        <v>104</v>
      </c>
      <c r="Q2929" t="s">
        <v>105</v>
      </c>
      <c r="R2929" t="s">
        <v>61</v>
      </c>
      <c r="S2929" s="3">
        <v>15.75</v>
      </c>
      <c r="T2929" s="5">
        <v>45929</v>
      </c>
      <c r="U2929">
        <v>2</v>
      </c>
      <c r="V2929">
        <v>2025</v>
      </c>
      <c r="X2929">
        <f t="shared" si="135"/>
        <v>8.1897070999999997</v>
      </c>
      <c r="Y2929">
        <f t="shared" si="136"/>
        <v>15.7497071</v>
      </c>
      <c r="Z2929">
        <f t="shared" si="137"/>
        <v>65.399707100000001</v>
      </c>
    </row>
    <row r="2930" spans="1:26" x14ac:dyDescent="0.3">
      <c r="A2930" t="s">
        <v>3020</v>
      </c>
      <c r="B2930" t="s">
        <v>63</v>
      </c>
      <c r="C2930" t="s">
        <v>84</v>
      </c>
      <c r="D2930" t="s">
        <v>57</v>
      </c>
      <c r="E2930">
        <v>23</v>
      </c>
      <c r="F2930" s="3">
        <v>6.83</v>
      </c>
      <c r="G2930" s="4">
        <v>80.900000000000006</v>
      </c>
      <c r="H2930">
        <v>2</v>
      </c>
      <c r="I2930">
        <v>2</v>
      </c>
      <c r="J2930">
        <v>4</v>
      </c>
      <c r="K2930" s="4">
        <v>58.6</v>
      </c>
      <c r="L2930" s="4">
        <v>58.3</v>
      </c>
      <c r="M2930" s="4">
        <v>61.8</v>
      </c>
      <c r="N2930">
        <v>0</v>
      </c>
      <c r="O2930" t="s">
        <v>64</v>
      </c>
      <c r="P2930" t="s">
        <v>65</v>
      </c>
      <c r="S2930" s="3">
        <v>0</v>
      </c>
      <c r="T2930" s="5"/>
      <c r="U2930">
        <v>0</v>
      </c>
      <c r="V2930">
        <v>2025</v>
      </c>
      <c r="X2930">
        <f t="shared" si="135"/>
        <v>6.829707</v>
      </c>
      <c r="Y2930">
        <f t="shared" si="136"/>
        <v>-2.9299999999999997E-4</v>
      </c>
      <c r="Z2930">
        <f t="shared" si="137"/>
        <v>58.299706999999998</v>
      </c>
    </row>
    <row r="2931" spans="1:26" x14ac:dyDescent="0.3">
      <c r="A2931" t="s">
        <v>3021</v>
      </c>
      <c r="B2931" t="s">
        <v>63</v>
      </c>
      <c r="C2931" t="s">
        <v>89</v>
      </c>
      <c r="D2931" t="s">
        <v>57</v>
      </c>
      <c r="E2931">
        <v>22</v>
      </c>
      <c r="F2931" s="3">
        <v>7.1</v>
      </c>
      <c r="G2931" s="4">
        <v>84.3</v>
      </c>
      <c r="H2931">
        <v>3</v>
      </c>
      <c r="I2931">
        <v>1</v>
      </c>
      <c r="J2931">
        <v>4</v>
      </c>
      <c r="K2931" s="4">
        <v>68.099999999999994</v>
      </c>
      <c r="L2931" s="4">
        <v>77.2</v>
      </c>
      <c r="M2931" s="4">
        <v>88.7</v>
      </c>
      <c r="N2931">
        <v>0</v>
      </c>
      <c r="O2931" t="s">
        <v>58</v>
      </c>
      <c r="P2931" t="s">
        <v>75</v>
      </c>
      <c r="Q2931" t="s">
        <v>71</v>
      </c>
      <c r="R2931" t="s">
        <v>76</v>
      </c>
      <c r="S2931" s="3">
        <v>6.85</v>
      </c>
      <c r="T2931" s="5">
        <v>45919</v>
      </c>
      <c r="U2931">
        <v>1</v>
      </c>
      <c r="V2931">
        <v>2025</v>
      </c>
      <c r="X2931">
        <f t="shared" si="135"/>
        <v>7.0997068999999993</v>
      </c>
      <c r="Y2931">
        <f t="shared" si="136"/>
        <v>6.8497068999999993</v>
      </c>
      <c r="Z2931">
        <f t="shared" si="137"/>
        <v>77.19970690000001</v>
      </c>
    </row>
    <row r="2932" spans="1:26" x14ac:dyDescent="0.3">
      <c r="A2932" t="s">
        <v>3022</v>
      </c>
      <c r="B2932" t="s">
        <v>55</v>
      </c>
      <c r="C2932" t="s">
        <v>74</v>
      </c>
      <c r="D2932" t="s">
        <v>69</v>
      </c>
      <c r="E2932">
        <v>21</v>
      </c>
      <c r="F2932" s="3">
        <v>8.31</v>
      </c>
      <c r="G2932" s="4">
        <v>80.3</v>
      </c>
      <c r="H2932">
        <v>0</v>
      </c>
      <c r="I2932">
        <v>5</v>
      </c>
      <c r="J2932">
        <v>4</v>
      </c>
      <c r="K2932" s="4">
        <v>69.2</v>
      </c>
      <c r="L2932" s="4">
        <v>45.6</v>
      </c>
      <c r="M2932" s="4">
        <v>76.099999999999994</v>
      </c>
      <c r="N2932">
        <v>0</v>
      </c>
      <c r="O2932" t="s">
        <v>64</v>
      </c>
      <c r="P2932" t="s">
        <v>65</v>
      </c>
      <c r="S2932" s="3">
        <v>0</v>
      </c>
      <c r="T2932" s="5"/>
      <c r="U2932">
        <v>0</v>
      </c>
      <c r="V2932">
        <v>2024</v>
      </c>
      <c r="X2932">
        <f t="shared" si="135"/>
        <v>8.3097068000000007</v>
      </c>
      <c r="Y2932">
        <f t="shared" si="136"/>
        <v>-2.9319999999999997E-4</v>
      </c>
      <c r="Z2932">
        <f t="shared" si="137"/>
        <v>45.5997068</v>
      </c>
    </row>
    <row r="2933" spans="1:26" x14ac:dyDescent="0.3">
      <c r="A2933" t="s">
        <v>3023</v>
      </c>
      <c r="B2933" t="s">
        <v>63</v>
      </c>
      <c r="C2933" t="s">
        <v>101</v>
      </c>
      <c r="D2933" t="s">
        <v>57</v>
      </c>
      <c r="E2933">
        <v>20</v>
      </c>
      <c r="F2933" s="3">
        <v>7.19</v>
      </c>
      <c r="G2933" s="4">
        <v>64.599999999999994</v>
      </c>
      <c r="H2933">
        <v>1</v>
      </c>
      <c r="I2933">
        <v>2</v>
      </c>
      <c r="J2933">
        <v>3</v>
      </c>
      <c r="K2933" s="4">
        <v>92.3</v>
      </c>
      <c r="L2933" s="4">
        <v>72.2</v>
      </c>
      <c r="M2933" s="4">
        <v>57.5</v>
      </c>
      <c r="N2933">
        <v>2</v>
      </c>
      <c r="O2933" t="s">
        <v>64</v>
      </c>
      <c r="P2933" t="s">
        <v>65</v>
      </c>
      <c r="S2933" s="3">
        <v>0</v>
      </c>
      <c r="T2933" s="5"/>
      <c r="U2933">
        <v>0</v>
      </c>
      <c r="V2933">
        <v>2025</v>
      </c>
      <c r="X2933">
        <f t="shared" si="135"/>
        <v>7.1897067000000003</v>
      </c>
      <c r="Y2933">
        <f t="shared" si="136"/>
        <v>-2.9329999999999997E-4</v>
      </c>
      <c r="Z2933">
        <f t="shared" si="137"/>
        <v>72.199706700000007</v>
      </c>
    </row>
    <row r="2934" spans="1:26" x14ac:dyDescent="0.3">
      <c r="A2934" t="s">
        <v>3024</v>
      </c>
      <c r="B2934" t="s">
        <v>107</v>
      </c>
      <c r="C2934" t="s">
        <v>68</v>
      </c>
      <c r="D2934" t="s">
        <v>57</v>
      </c>
      <c r="E2934">
        <v>22</v>
      </c>
      <c r="F2934" s="3">
        <v>6.6</v>
      </c>
      <c r="G2934" s="4">
        <v>80.599999999999994</v>
      </c>
      <c r="H2934">
        <v>2</v>
      </c>
      <c r="I2934">
        <v>2</v>
      </c>
      <c r="J2934">
        <v>2</v>
      </c>
      <c r="K2934" s="4">
        <v>75.3</v>
      </c>
      <c r="L2934" s="4">
        <v>94.9</v>
      </c>
      <c r="M2934" s="4">
        <v>81.8</v>
      </c>
      <c r="N2934">
        <v>0</v>
      </c>
      <c r="O2934" t="s">
        <v>64</v>
      </c>
      <c r="P2934" t="s">
        <v>65</v>
      </c>
      <c r="S2934" s="3">
        <v>0</v>
      </c>
      <c r="T2934" s="5"/>
      <c r="U2934">
        <v>0</v>
      </c>
      <c r="V2934">
        <v>2021</v>
      </c>
      <c r="X2934">
        <f t="shared" si="135"/>
        <v>6.5997065999999993</v>
      </c>
      <c r="Y2934">
        <f t="shared" si="136"/>
        <v>-2.9339999999999998E-4</v>
      </c>
      <c r="Z2934">
        <f t="shared" si="137"/>
        <v>94.899706600000002</v>
      </c>
    </row>
    <row r="2935" spans="1:26" x14ac:dyDescent="0.3">
      <c r="A2935" t="s">
        <v>3025</v>
      </c>
      <c r="B2935" t="s">
        <v>63</v>
      </c>
      <c r="C2935" t="s">
        <v>84</v>
      </c>
      <c r="D2935" t="s">
        <v>69</v>
      </c>
      <c r="E2935">
        <v>22</v>
      </c>
      <c r="F2935" s="3">
        <v>9.2100000000000009</v>
      </c>
      <c r="G2935" s="4">
        <v>89.1</v>
      </c>
      <c r="H2935">
        <v>1</v>
      </c>
      <c r="I2935">
        <v>3</v>
      </c>
      <c r="J2935">
        <v>3</v>
      </c>
      <c r="K2935" s="4">
        <v>54.8</v>
      </c>
      <c r="L2935" s="4">
        <v>71.2</v>
      </c>
      <c r="M2935" s="4">
        <v>55.3</v>
      </c>
      <c r="N2935">
        <v>0</v>
      </c>
      <c r="O2935" t="s">
        <v>58</v>
      </c>
      <c r="P2935" t="s">
        <v>112</v>
      </c>
      <c r="Q2935" t="s">
        <v>93</v>
      </c>
      <c r="R2935" t="s">
        <v>76</v>
      </c>
      <c r="S2935" s="3">
        <v>7.59</v>
      </c>
      <c r="T2935" s="5">
        <v>45878</v>
      </c>
      <c r="U2935">
        <v>3</v>
      </c>
      <c r="V2935">
        <v>2025</v>
      </c>
      <c r="X2935">
        <f t="shared" si="135"/>
        <v>9.2097065000000011</v>
      </c>
      <c r="Y2935">
        <f t="shared" si="136"/>
        <v>7.5897065000000001</v>
      </c>
      <c r="Z2935">
        <f t="shared" si="137"/>
        <v>71.199706500000005</v>
      </c>
    </row>
    <row r="2936" spans="1:26" x14ac:dyDescent="0.3">
      <c r="A2936" t="s">
        <v>3026</v>
      </c>
      <c r="B2936" t="s">
        <v>82</v>
      </c>
      <c r="C2936" t="s">
        <v>84</v>
      </c>
      <c r="D2936" t="s">
        <v>57</v>
      </c>
      <c r="E2936">
        <v>23</v>
      </c>
      <c r="F2936" s="3">
        <v>7.62</v>
      </c>
      <c r="G2936" s="4">
        <v>76.900000000000006</v>
      </c>
      <c r="H2936">
        <v>1</v>
      </c>
      <c r="I2936">
        <v>2</v>
      </c>
      <c r="J2936">
        <v>4</v>
      </c>
      <c r="K2936" s="4">
        <v>54</v>
      </c>
      <c r="L2936" s="4">
        <v>57.5</v>
      </c>
      <c r="M2936" s="4">
        <v>79.5</v>
      </c>
      <c r="N2936">
        <v>0</v>
      </c>
      <c r="O2936" t="s">
        <v>64</v>
      </c>
      <c r="P2936" t="s">
        <v>65</v>
      </c>
      <c r="S2936" s="3">
        <v>0</v>
      </c>
      <c r="T2936" s="5"/>
      <c r="U2936">
        <v>0</v>
      </c>
      <c r="V2936">
        <v>2022</v>
      </c>
      <c r="X2936">
        <f t="shared" si="135"/>
        <v>7.6197064000000001</v>
      </c>
      <c r="Y2936">
        <f t="shared" si="136"/>
        <v>-2.9359999999999998E-4</v>
      </c>
      <c r="Z2936">
        <f t="shared" si="137"/>
        <v>57.499706400000001</v>
      </c>
    </row>
    <row r="2937" spans="1:26" x14ac:dyDescent="0.3">
      <c r="A2937" t="s">
        <v>3027</v>
      </c>
      <c r="B2937" t="s">
        <v>55</v>
      </c>
      <c r="C2937" t="s">
        <v>56</v>
      </c>
      <c r="D2937" t="s">
        <v>57</v>
      </c>
      <c r="E2937">
        <v>21</v>
      </c>
      <c r="F2937" s="3">
        <v>8.07</v>
      </c>
      <c r="G2937" s="4">
        <v>77.8</v>
      </c>
      <c r="H2937">
        <v>2</v>
      </c>
      <c r="I2937">
        <v>0</v>
      </c>
      <c r="J2937">
        <v>6</v>
      </c>
      <c r="K2937" s="4">
        <v>77.5</v>
      </c>
      <c r="L2937" s="4">
        <v>50.8</v>
      </c>
      <c r="M2937" s="4">
        <v>70.900000000000006</v>
      </c>
      <c r="N2937">
        <v>1</v>
      </c>
      <c r="O2937" t="s">
        <v>58</v>
      </c>
      <c r="P2937" t="s">
        <v>104</v>
      </c>
      <c r="Q2937" t="s">
        <v>105</v>
      </c>
      <c r="R2937" t="s">
        <v>109</v>
      </c>
      <c r="S2937" s="3">
        <v>15.79</v>
      </c>
      <c r="T2937" s="5">
        <v>45622</v>
      </c>
      <c r="U2937">
        <v>1</v>
      </c>
      <c r="V2937">
        <v>2024</v>
      </c>
      <c r="X2937">
        <f t="shared" si="135"/>
        <v>8.0697063</v>
      </c>
      <c r="Y2937">
        <f t="shared" si="136"/>
        <v>15.789706299999999</v>
      </c>
      <c r="Z2937">
        <f t="shared" si="137"/>
        <v>50.799706299999997</v>
      </c>
    </row>
    <row r="2938" spans="1:26" x14ac:dyDescent="0.3">
      <c r="A2938" t="s">
        <v>3028</v>
      </c>
      <c r="B2938" t="s">
        <v>82</v>
      </c>
      <c r="C2938" t="s">
        <v>56</v>
      </c>
      <c r="D2938" t="s">
        <v>57</v>
      </c>
      <c r="E2938">
        <v>22</v>
      </c>
      <c r="F2938" s="3">
        <v>5.61</v>
      </c>
      <c r="G2938" s="4">
        <v>94.6</v>
      </c>
      <c r="H2938">
        <v>3</v>
      </c>
      <c r="I2938">
        <v>2</v>
      </c>
      <c r="J2938">
        <v>3</v>
      </c>
      <c r="K2938" s="4">
        <v>65.099999999999994</v>
      </c>
      <c r="L2938" s="4">
        <v>75.400000000000006</v>
      </c>
      <c r="M2938" s="4">
        <v>82.3</v>
      </c>
      <c r="N2938">
        <v>1</v>
      </c>
      <c r="O2938" t="s">
        <v>58</v>
      </c>
      <c r="P2938" t="s">
        <v>92</v>
      </c>
      <c r="Q2938" t="s">
        <v>93</v>
      </c>
      <c r="R2938" t="s">
        <v>76</v>
      </c>
      <c r="S2938" s="3">
        <v>7.36</v>
      </c>
      <c r="T2938" s="5">
        <v>44802</v>
      </c>
      <c r="U2938">
        <v>1</v>
      </c>
      <c r="V2938">
        <v>2022</v>
      </c>
      <c r="X2938">
        <f t="shared" si="135"/>
        <v>5.6097062000000006</v>
      </c>
      <c r="Y2938">
        <f t="shared" si="136"/>
        <v>7.3597062000000006</v>
      </c>
      <c r="Z2938">
        <f t="shared" si="137"/>
        <v>75.399706200000011</v>
      </c>
    </row>
    <row r="2939" spans="1:26" x14ac:dyDescent="0.3">
      <c r="A2939" t="s">
        <v>3029</v>
      </c>
      <c r="B2939" t="s">
        <v>63</v>
      </c>
      <c r="C2939" t="s">
        <v>84</v>
      </c>
      <c r="D2939" t="s">
        <v>57</v>
      </c>
      <c r="E2939">
        <v>20</v>
      </c>
      <c r="F2939" s="3">
        <v>8.85</v>
      </c>
      <c r="G2939" s="4">
        <v>80.2</v>
      </c>
      <c r="H2939">
        <v>1</v>
      </c>
      <c r="I2939">
        <v>3</v>
      </c>
      <c r="J2939">
        <v>6</v>
      </c>
      <c r="K2939" s="4">
        <v>87.8</v>
      </c>
      <c r="L2939" s="4">
        <v>96</v>
      </c>
      <c r="M2939" s="4">
        <v>70.8</v>
      </c>
      <c r="N2939">
        <v>0</v>
      </c>
      <c r="O2939" t="s">
        <v>58</v>
      </c>
      <c r="P2939" t="s">
        <v>59</v>
      </c>
      <c r="Q2939" t="s">
        <v>60</v>
      </c>
      <c r="R2939" t="s">
        <v>130</v>
      </c>
      <c r="S2939" s="3">
        <v>21.14</v>
      </c>
      <c r="T2939" s="5">
        <v>45986</v>
      </c>
      <c r="U2939">
        <v>1</v>
      </c>
      <c r="V2939">
        <v>2025</v>
      </c>
      <c r="X2939">
        <f t="shared" si="135"/>
        <v>8.8497060999999988</v>
      </c>
      <c r="Y2939">
        <f t="shared" si="136"/>
        <v>21.139706100000001</v>
      </c>
      <c r="Z2939">
        <f t="shared" si="137"/>
        <v>95.999706099999997</v>
      </c>
    </row>
    <row r="2940" spans="1:26" x14ac:dyDescent="0.3">
      <c r="A2940" t="s">
        <v>3030</v>
      </c>
      <c r="B2940" t="s">
        <v>107</v>
      </c>
      <c r="C2940" t="s">
        <v>84</v>
      </c>
      <c r="D2940" t="s">
        <v>69</v>
      </c>
      <c r="E2940">
        <v>20</v>
      </c>
      <c r="F2940" s="3">
        <v>10</v>
      </c>
      <c r="G2940" s="4">
        <v>83</v>
      </c>
      <c r="H2940">
        <v>0</v>
      </c>
      <c r="I2940">
        <v>3</v>
      </c>
      <c r="J2940">
        <v>2</v>
      </c>
      <c r="K2940" s="4">
        <v>75.2</v>
      </c>
      <c r="L2940" s="4">
        <v>73.2</v>
      </c>
      <c r="M2940" s="4">
        <v>82.7</v>
      </c>
      <c r="N2940">
        <v>0</v>
      </c>
      <c r="O2940" t="s">
        <v>58</v>
      </c>
      <c r="P2940" t="s">
        <v>92</v>
      </c>
      <c r="Q2940" t="s">
        <v>93</v>
      </c>
      <c r="R2940" t="s">
        <v>80</v>
      </c>
      <c r="S2940" s="3">
        <v>8.4</v>
      </c>
      <c r="T2940" s="5">
        <v>44433</v>
      </c>
      <c r="U2940">
        <v>2</v>
      </c>
      <c r="V2940">
        <v>2021</v>
      </c>
      <c r="X2940">
        <f t="shared" si="135"/>
        <v>9.9997059999999998</v>
      </c>
      <c r="Y2940">
        <f t="shared" si="136"/>
        <v>8.3997060000000001</v>
      </c>
      <c r="Z2940">
        <f t="shared" si="137"/>
        <v>73.199706000000006</v>
      </c>
    </row>
    <row r="2941" spans="1:26" x14ac:dyDescent="0.3">
      <c r="A2941" t="s">
        <v>3031</v>
      </c>
      <c r="B2941" t="s">
        <v>67</v>
      </c>
      <c r="C2941" t="s">
        <v>56</v>
      </c>
      <c r="D2941" t="s">
        <v>57</v>
      </c>
      <c r="E2941">
        <v>22</v>
      </c>
      <c r="F2941" s="3">
        <v>8.77</v>
      </c>
      <c r="G2941" s="4">
        <v>65.2</v>
      </c>
      <c r="H2941">
        <v>0</v>
      </c>
      <c r="I2941">
        <v>5</v>
      </c>
      <c r="J2941">
        <v>6</v>
      </c>
      <c r="K2941" s="4">
        <v>53.4</v>
      </c>
      <c r="L2941" s="4">
        <v>65</v>
      </c>
      <c r="M2941" s="4">
        <v>55.6</v>
      </c>
      <c r="N2941">
        <v>0</v>
      </c>
      <c r="O2941" t="s">
        <v>58</v>
      </c>
      <c r="P2941" t="s">
        <v>104</v>
      </c>
      <c r="Q2941" t="s">
        <v>105</v>
      </c>
      <c r="R2941" t="s">
        <v>130</v>
      </c>
      <c r="S2941" s="3">
        <v>16.32</v>
      </c>
      <c r="T2941" s="5">
        <v>45153</v>
      </c>
      <c r="U2941">
        <v>1</v>
      </c>
      <c r="V2941">
        <v>2023</v>
      </c>
      <c r="X2941">
        <f t="shared" si="135"/>
        <v>8.7697058999999999</v>
      </c>
      <c r="Y2941">
        <f t="shared" si="136"/>
        <v>16.319705899999999</v>
      </c>
      <c r="Z2941">
        <f t="shared" si="137"/>
        <v>64.999705899999995</v>
      </c>
    </row>
    <row r="2942" spans="1:26" x14ac:dyDescent="0.3">
      <c r="A2942" t="s">
        <v>3032</v>
      </c>
      <c r="B2942" t="s">
        <v>63</v>
      </c>
      <c r="C2942" t="s">
        <v>101</v>
      </c>
      <c r="D2942" t="s">
        <v>69</v>
      </c>
      <c r="E2942">
        <v>20</v>
      </c>
      <c r="F2942" s="3">
        <v>8.9</v>
      </c>
      <c r="G2942" s="4">
        <v>72.5</v>
      </c>
      <c r="H2942">
        <v>1</v>
      </c>
      <c r="I2942">
        <v>0</v>
      </c>
      <c r="J2942">
        <v>5</v>
      </c>
      <c r="K2942" s="4">
        <v>51.5</v>
      </c>
      <c r="L2942" s="4">
        <v>58.6</v>
      </c>
      <c r="M2942" s="4">
        <v>78</v>
      </c>
      <c r="N2942">
        <v>2</v>
      </c>
      <c r="O2942" t="s">
        <v>64</v>
      </c>
      <c r="P2942" t="s">
        <v>65</v>
      </c>
      <c r="S2942" s="3">
        <v>0</v>
      </c>
      <c r="T2942" s="5"/>
      <c r="U2942">
        <v>0</v>
      </c>
      <c r="V2942">
        <v>2025</v>
      </c>
      <c r="X2942">
        <f t="shared" si="135"/>
        <v>8.8997057999999996</v>
      </c>
      <c r="Y2942">
        <f t="shared" si="136"/>
        <v>-2.942E-4</v>
      </c>
      <c r="Z2942">
        <f t="shared" si="137"/>
        <v>58.599705800000002</v>
      </c>
    </row>
    <row r="2943" spans="1:26" x14ac:dyDescent="0.3">
      <c r="A2943" t="s">
        <v>3033</v>
      </c>
      <c r="B2943" t="s">
        <v>107</v>
      </c>
      <c r="C2943" t="s">
        <v>68</v>
      </c>
      <c r="D2943" t="s">
        <v>57</v>
      </c>
      <c r="E2943">
        <v>22</v>
      </c>
      <c r="F2943" s="3">
        <v>7.28</v>
      </c>
      <c r="G2943" s="4">
        <v>100</v>
      </c>
      <c r="H2943">
        <v>0</v>
      </c>
      <c r="I2943">
        <v>1</v>
      </c>
      <c r="J2943">
        <v>1</v>
      </c>
      <c r="K2943" s="4">
        <v>72.8</v>
      </c>
      <c r="L2943" s="4">
        <v>47.8</v>
      </c>
      <c r="M2943" s="4">
        <v>68.7</v>
      </c>
      <c r="N2943">
        <v>0</v>
      </c>
      <c r="O2943" t="s">
        <v>58</v>
      </c>
      <c r="P2943" t="s">
        <v>75</v>
      </c>
      <c r="Q2943" t="s">
        <v>71</v>
      </c>
      <c r="R2943" t="s">
        <v>76</v>
      </c>
      <c r="S2943" s="3">
        <v>3.64</v>
      </c>
      <c r="T2943" s="5">
        <v>44421</v>
      </c>
      <c r="U2943">
        <v>1</v>
      </c>
      <c r="V2943">
        <v>2021</v>
      </c>
      <c r="X2943">
        <f t="shared" si="135"/>
        <v>7.2797057000000001</v>
      </c>
      <c r="Y2943">
        <f t="shared" si="136"/>
        <v>3.6397056999999999</v>
      </c>
      <c r="Z2943">
        <f t="shared" si="137"/>
        <v>47.799705699999997</v>
      </c>
    </row>
    <row r="2944" spans="1:26" x14ac:dyDescent="0.3">
      <c r="A2944" t="s">
        <v>3034</v>
      </c>
      <c r="B2944" t="s">
        <v>55</v>
      </c>
      <c r="C2944" t="s">
        <v>74</v>
      </c>
      <c r="D2944" t="s">
        <v>57</v>
      </c>
      <c r="E2944">
        <v>20</v>
      </c>
      <c r="F2944" s="3">
        <v>7.88</v>
      </c>
      <c r="G2944" s="4">
        <v>96.9</v>
      </c>
      <c r="H2944">
        <v>1</v>
      </c>
      <c r="I2944">
        <v>2</v>
      </c>
      <c r="J2944">
        <v>3</v>
      </c>
      <c r="K2944" s="4">
        <v>63.2</v>
      </c>
      <c r="L2944" s="4">
        <v>74.099999999999994</v>
      </c>
      <c r="M2944" s="4">
        <v>78.5</v>
      </c>
      <c r="N2944">
        <v>0</v>
      </c>
      <c r="O2944" t="s">
        <v>58</v>
      </c>
      <c r="P2944" t="s">
        <v>95</v>
      </c>
      <c r="Q2944" t="s">
        <v>93</v>
      </c>
      <c r="R2944" t="s">
        <v>72</v>
      </c>
      <c r="S2944" s="3">
        <v>7.11</v>
      </c>
      <c r="T2944" s="5">
        <v>45551</v>
      </c>
      <c r="U2944">
        <v>2</v>
      </c>
      <c r="V2944">
        <v>2024</v>
      </c>
      <c r="X2944">
        <f t="shared" si="135"/>
        <v>7.8797056000000003</v>
      </c>
      <c r="Y2944">
        <f t="shared" si="136"/>
        <v>7.1097056000000007</v>
      </c>
      <c r="Z2944">
        <f t="shared" si="137"/>
        <v>74.099705599999993</v>
      </c>
    </row>
    <row r="2945" spans="1:26" x14ac:dyDescent="0.3">
      <c r="A2945" t="s">
        <v>3035</v>
      </c>
      <c r="B2945" t="s">
        <v>82</v>
      </c>
      <c r="C2945" t="s">
        <v>101</v>
      </c>
      <c r="D2945" t="s">
        <v>57</v>
      </c>
      <c r="E2945">
        <v>22</v>
      </c>
      <c r="F2945" s="3">
        <v>8.09</v>
      </c>
      <c r="G2945" s="4">
        <v>86.3</v>
      </c>
      <c r="H2945">
        <v>1</v>
      </c>
      <c r="I2945">
        <v>2</v>
      </c>
      <c r="J2945">
        <v>2</v>
      </c>
      <c r="K2945" s="4">
        <v>84</v>
      </c>
      <c r="L2945" s="4">
        <v>46</v>
      </c>
      <c r="M2945" s="4">
        <v>70.3</v>
      </c>
      <c r="N2945">
        <v>2</v>
      </c>
      <c r="O2945" t="s">
        <v>58</v>
      </c>
      <c r="P2945" t="s">
        <v>92</v>
      </c>
      <c r="Q2945" t="s">
        <v>93</v>
      </c>
      <c r="R2945" t="s">
        <v>61</v>
      </c>
      <c r="S2945" s="3">
        <v>7.7</v>
      </c>
      <c r="T2945" s="5">
        <v>44817</v>
      </c>
      <c r="U2945">
        <v>3</v>
      </c>
      <c r="V2945">
        <v>2022</v>
      </c>
      <c r="X2945">
        <f t="shared" si="135"/>
        <v>8.0897054999999991</v>
      </c>
      <c r="Y2945">
        <f t="shared" si="136"/>
        <v>7.6997055000000003</v>
      </c>
      <c r="Z2945">
        <f t="shared" si="137"/>
        <v>45.999705499999997</v>
      </c>
    </row>
    <row r="2946" spans="1:26" x14ac:dyDescent="0.3">
      <c r="A2946" t="s">
        <v>3036</v>
      </c>
      <c r="B2946" t="s">
        <v>82</v>
      </c>
      <c r="C2946" t="s">
        <v>56</v>
      </c>
      <c r="D2946" t="s">
        <v>69</v>
      </c>
      <c r="E2946">
        <v>22</v>
      </c>
      <c r="F2946" s="3">
        <v>7.02</v>
      </c>
      <c r="G2946" s="4">
        <v>61.4</v>
      </c>
      <c r="H2946">
        <v>2</v>
      </c>
      <c r="I2946">
        <v>1</v>
      </c>
      <c r="J2946">
        <v>6</v>
      </c>
      <c r="K2946" s="4">
        <v>72.8</v>
      </c>
      <c r="L2946" s="4">
        <v>83.7</v>
      </c>
      <c r="M2946" s="4">
        <v>63.3</v>
      </c>
      <c r="N2946">
        <v>2</v>
      </c>
      <c r="O2946" t="s">
        <v>64</v>
      </c>
      <c r="P2946" t="s">
        <v>65</v>
      </c>
      <c r="S2946" s="3">
        <v>0</v>
      </c>
      <c r="T2946" s="5"/>
      <c r="U2946">
        <v>0</v>
      </c>
      <c r="V2946">
        <v>2022</v>
      </c>
      <c r="X2946">
        <f t="shared" ref="X2946:X3009" si="138">F2946-ROW()*0.0000001</f>
        <v>7.0197053999999994</v>
      </c>
      <c r="Y2946">
        <f t="shared" ref="Y2946:Y3009" si="139">S2946-ROW()*0.0000001</f>
        <v>-2.9460000000000001E-4</v>
      </c>
      <c r="Z2946">
        <f t="shared" ref="Z2946:Z3009" si="140">L2946-ROW()*0.0000001</f>
        <v>83.699705399999999</v>
      </c>
    </row>
    <row r="2947" spans="1:26" x14ac:dyDescent="0.3">
      <c r="A2947" t="s">
        <v>3037</v>
      </c>
      <c r="B2947" t="s">
        <v>82</v>
      </c>
      <c r="C2947" t="s">
        <v>84</v>
      </c>
      <c r="D2947" t="s">
        <v>69</v>
      </c>
      <c r="E2947">
        <v>22</v>
      </c>
      <c r="F2947" s="3">
        <v>7.54</v>
      </c>
      <c r="G2947" s="4">
        <v>70</v>
      </c>
      <c r="H2947">
        <v>1</v>
      </c>
      <c r="I2947">
        <v>3</v>
      </c>
      <c r="J2947">
        <v>3</v>
      </c>
      <c r="K2947" s="4">
        <v>72.5</v>
      </c>
      <c r="L2947" s="4">
        <v>79.400000000000006</v>
      </c>
      <c r="M2947" s="4">
        <v>72.7</v>
      </c>
      <c r="N2947">
        <v>0</v>
      </c>
      <c r="O2947" t="s">
        <v>58</v>
      </c>
      <c r="P2947" t="s">
        <v>75</v>
      </c>
      <c r="Q2947" t="s">
        <v>71</v>
      </c>
      <c r="R2947" t="s">
        <v>76</v>
      </c>
      <c r="S2947" s="3">
        <v>7.56</v>
      </c>
      <c r="T2947" s="5">
        <v>44776</v>
      </c>
      <c r="U2947">
        <v>2</v>
      </c>
      <c r="V2947">
        <v>2022</v>
      </c>
      <c r="X2947">
        <f t="shared" si="138"/>
        <v>7.5397052999999996</v>
      </c>
      <c r="Y2947">
        <f t="shared" si="139"/>
        <v>7.5597052999999992</v>
      </c>
      <c r="Z2947">
        <f t="shared" si="140"/>
        <v>79.399705300000008</v>
      </c>
    </row>
    <row r="2948" spans="1:26" x14ac:dyDescent="0.3">
      <c r="A2948" t="s">
        <v>3038</v>
      </c>
      <c r="B2948" t="s">
        <v>55</v>
      </c>
      <c r="C2948" t="s">
        <v>56</v>
      </c>
      <c r="D2948" t="s">
        <v>57</v>
      </c>
      <c r="E2948">
        <v>20</v>
      </c>
      <c r="F2948" s="3">
        <v>6.75</v>
      </c>
      <c r="G2948" s="4">
        <v>69.8</v>
      </c>
      <c r="H2948">
        <v>1</v>
      </c>
      <c r="I2948">
        <v>1</v>
      </c>
      <c r="J2948">
        <v>4</v>
      </c>
      <c r="K2948" s="4">
        <v>50.8</v>
      </c>
      <c r="L2948" s="4">
        <v>66.8</v>
      </c>
      <c r="M2948" s="4">
        <v>88.9</v>
      </c>
      <c r="N2948">
        <v>0</v>
      </c>
      <c r="O2948" t="s">
        <v>58</v>
      </c>
      <c r="P2948" t="s">
        <v>70</v>
      </c>
      <c r="Q2948" t="s">
        <v>71</v>
      </c>
      <c r="R2948" t="s">
        <v>72</v>
      </c>
      <c r="S2948" s="3">
        <v>5.87</v>
      </c>
      <c r="T2948" s="5">
        <v>45578</v>
      </c>
      <c r="U2948">
        <v>1</v>
      </c>
      <c r="V2948">
        <v>2024</v>
      </c>
      <c r="X2948">
        <f t="shared" si="138"/>
        <v>6.7497052000000002</v>
      </c>
      <c r="Y2948">
        <f t="shared" si="139"/>
        <v>5.8697052000000003</v>
      </c>
      <c r="Z2948">
        <f t="shared" si="140"/>
        <v>66.799705199999991</v>
      </c>
    </row>
    <row r="2949" spans="1:26" x14ac:dyDescent="0.3">
      <c r="A2949" t="s">
        <v>3039</v>
      </c>
      <c r="B2949" t="s">
        <v>107</v>
      </c>
      <c r="C2949" t="s">
        <v>89</v>
      </c>
      <c r="D2949" t="s">
        <v>57</v>
      </c>
      <c r="E2949">
        <v>22</v>
      </c>
      <c r="F2949" s="3">
        <v>7.29</v>
      </c>
      <c r="G2949" s="4">
        <v>69.599999999999994</v>
      </c>
      <c r="H2949">
        <v>2</v>
      </c>
      <c r="I2949">
        <v>0</v>
      </c>
      <c r="J2949">
        <v>3</v>
      </c>
      <c r="K2949" s="4">
        <v>61.3</v>
      </c>
      <c r="L2949" s="4">
        <v>79.7</v>
      </c>
      <c r="M2949" s="4">
        <v>66.8</v>
      </c>
      <c r="N2949">
        <v>2</v>
      </c>
      <c r="O2949" t="s">
        <v>58</v>
      </c>
      <c r="P2949" t="s">
        <v>95</v>
      </c>
      <c r="Q2949" t="s">
        <v>93</v>
      </c>
      <c r="R2949" t="s">
        <v>72</v>
      </c>
      <c r="S2949" s="3">
        <v>6.61</v>
      </c>
      <c r="T2949" s="5">
        <v>44426</v>
      </c>
      <c r="U2949">
        <v>2</v>
      </c>
      <c r="V2949">
        <v>2021</v>
      </c>
      <c r="X2949">
        <f t="shared" si="138"/>
        <v>7.2897050999999999</v>
      </c>
      <c r="Y2949">
        <f t="shared" si="139"/>
        <v>6.6097051000000002</v>
      </c>
      <c r="Z2949">
        <f t="shared" si="140"/>
        <v>79.699705100000003</v>
      </c>
    </row>
    <row r="2950" spans="1:26" x14ac:dyDescent="0.3">
      <c r="A2950" t="s">
        <v>3040</v>
      </c>
      <c r="B2950" t="s">
        <v>55</v>
      </c>
      <c r="C2950" t="s">
        <v>56</v>
      </c>
      <c r="D2950" t="s">
        <v>57</v>
      </c>
      <c r="E2950">
        <v>23</v>
      </c>
      <c r="F2950" s="3">
        <v>8.41</v>
      </c>
      <c r="G2950" s="4">
        <v>78.5</v>
      </c>
      <c r="H2950">
        <v>1</v>
      </c>
      <c r="I2950">
        <v>4</v>
      </c>
      <c r="J2950">
        <v>6</v>
      </c>
      <c r="K2950" s="4">
        <v>67.3</v>
      </c>
      <c r="L2950" s="4">
        <v>72.599999999999994</v>
      </c>
      <c r="M2950" s="4">
        <v>76.400000000000006</v>
      </c>
      <c r="N2950">
        <v>1</v>
      </c>
      <c r="O2950" t="s">
        <v>58</v>
      </c>
      <c r="P2950" t="s">
        <v>75</v>
      </c>
      <c r="Q2950" t="s">
        <v>71</v>
      </c>
      <c r="R2950" t="s">
        <v>109</v>
      </c>
      <c r="S2950" s="3">
        <v>6.29</v>
      </c>
      <c r="T2950" s="5">
        <v>45514</v>
      </c>
      <c r="U2950">
        <v>1</v>
      </c>
      <c r="V2950">
        <v>2024</v>
      </c>
      <c r="X2950">
        <f t="shared" si="138"/>
        <v>8.4097050000000007</v>
      </c>
      <c r="Y2950">
        <f t="shared" si="139"/>
        <v>6.2897049999999997</v>
      </c>
      <c r="Z2950">
        <f t="shared" si="140"/>
        <v>72.599705</v>
      </c>
    </row>
    <row r="2951" spans="1:26" x14ac:dyDescent="0.3">
      <c r="A2951" t="s">
        <v>3041</v>
      </c>
      <c r="B2951" t="s">
        <v>82</v>
      </c>
      <c r="C2951" t="s">
        <v>68</v>
      </c>
      <c r="D2951" t="s">
        <v>69</v>
      </c>
      <c r="E2951">
        <v>22</v>
      </c>
      <c r="F2951" s="3">
        <v>6.06</v>
      </c>
      <c r="G2951" s="4">
        <v>89</v>
      </c>
      <c r="H2951">
        <v>3</v>
      </c>
      <c r="I2951">
        <v>1</v>
      </c>
      <c r="J2951">
        <v>3</v>
      </c>
      <c r="K2951" s="4">
        <v>41.8</v>
      </c>
      <c r="L2951" s="4">
        <v>79.599999999999994</v>
      </c>
      <c r="M2951" s="4">
        <v>65.900000000000006</v>
      </c>
      <c r="N2951">
        <v>1</v>
      </c>
      <c r="O2951" t="s">
        <v>58</v>
      </c>
      <c r="P2951" t="s">
        <v>70</v>
      </c>
      <c r="Q2951" t="s">
        <v>71</v>
      </c>
      <c r="R2951" t="s">
        <v>130</v>
      </c>
      <c r="S2951" s="3">
        <v>4.93</v>
      </c>
      <c r="T2951" s="5">
        <v>44809</v>
      </c>
      <c r="U2951">
        <v>1</v>
      </c>
      <c r="V2951">
        <v>2022</v>
      </c>
      <c r="X2951">
        <f t="shared" si="138"/>
        <v>6.0597048999999998</v>
      </c>
      <c r="Y2951">
        <f t="shared" si="139"/>
        <v>4.9297048999999999</v>
      </c>
      <c r="Z2951">
        <f t="shared" si="140"/>
        <v>79.599704899999992</v>
      </c>
    </row>
    <row r="2952" spans="1:26" x14ac:dyDescent="0.3">
      <c r="A2952" t="s">
        <v>3042</v>
      </c>
      <c r="B2952" t="s">
        <v>63</v>
      </c>
      <c r="C2952" t="s">
        <v>78</v>
      </c>
      <c r="D2952" t="s">
        <v>57</v>
      </c>
      <c r="E2952">
        <v>21</v>
      </c>
      <c r="F2952" s="3">
        <v>8.51</v>
      </c>
      <c r="G2952" s="4">
        <v>76.3</v>
      </c>
      <c r="H2952">
        <v>2</v>
      </c>
      <c r="I2952">
        <v>4</v>
      </c>
      <c r="J2952">
        <v>3</v>
      </c>
      <c r="K2952" s="4">
        <v>76.7</v>
      </c>
      <c r="L2952" s="4">
        <v>83.4</v>
      </c>
      <c r="M2952" s="4">
        <v>50.4</v>
      </c>
      <c r="N2952">
        <v>0</v>
      </c>
      <c r="O2952" t="s">
        <v>58</v>
      </c>
      <c r="P2952" t="s">
        <v>95</v>
      </c>
      <c r="Q2952" t="s">
        <v>93</v>
      </c>
      <c r="R2952" t="s">
        <v>76</v>
      </c>
      <c r="S2952" s="3">
        <v>8.82</v>
      </c>
      <c r="T2952" s="5">
        <v>45961</v>
      </c>
      <c r="U2952">
        <v>2</v>
      </c>
      <c r="V2952">
        <v>2025</v>
      </c>
      <c r="X2952">
        <f t="shared" si="138"/>
        <v>8.5097047999999997</v>
      </c>
      <c r="Y2952">
        <f t="shared" si="139"/>
        <v>8.8197048000000002</v>
      </c>
      <c r="Z2952">
        <f t="shared" si="140"/>
        <v>83.399704800000009</v>
      </c>
    </row>
    <row r="2953" spans="1:26" x14ac:dyDescent="0.3">
      <c r="A2953" t="s">
        <v>3043</v>
      </c>
      <c r="B2953" t="s">
        <v>67</v>
      </c>
      <c r="C2953" t="s">
        <v>56</v>
      </c>
      <c r="D2953" t="s">
        <v>69</v>
      </c>
      <c r="E2953">
        <v>21</v>
      </c>
      <c r="F2953" s="3">
        <v>6.23</v>
      </c>
      <c r="G2953" s="4">
        <v>79.2</v>
      </c>
      <c r="H2953">
        <v>3</v>
      </c>
      <c r="I2953">
        <v>1</v>
      </c>
      <c r="J2953">
        <v>3</v>
      </c>
      <c r="K2953" s="4">
        <v>80</v>
      </c>
      <c r="L2953" s="4">
        <v>66.2</v>
      </c>
      <c r="M2953" s="4">
        <v>74.900000000000006</v>
      </c>
      <c r="N2953">
        <v>1</v>
      </c>
      <c r="O2953" t="s">
        <v>58</v>
      </c>
      <c r="P2953" t="s">
        <v>95</v>
      </c>
      <c r="Q2953" t="s">
        <v>93</v>
      </c>
      <c r="R2953" t="s">
        <v>72</v>
      </c>
      <c r="S2953" s="3">
        <v>6.63</v>
      </c>
      <c r="T2953" s="5">
        <v>45195</v>
      </c>
      <c r="U2953">
        <v>1</v>
      </c>
      <c r="V2953">
        <v>2023</v>
      </c>
      <c r="X2953">
        <f t="shared" si="138"/>
        <v>6.2297047000000001</v>
      </c>
      <c r="Y2953">
        <f t="shared" si="139"/>
        <v>6.6297046999999996</v>
      </c>
      <c r="Z2953">
        <f t="shared" si="140"/>
        <v>66.199704699999998</v>
      </c>
    </row>
    <row r="2954" spans="1:26" x14ac:dyDescent="0.3">
      <c r="A2954" t="s">
        <v>3044</v>
      </c>
      <c r="B2954" t="s">
        <v>55</v>
      </c>
      <c r="C2954" t="s">
        <v>68</v>
      </c>
      <c r="D2954" t="s">
        <v>69</v>
      </c>
      <c r="E2954">
        <v>23</v>
      </c>
      <c r="F2954" s="3">
        <v>7.7</v>
      </c>
      <c r="G2954" s="4">
        <v>79.2</v>
      </c>
      <c r="H2954">
        <v>1</v>
      </c>
      <c r="I2954">
        <v>0</v>
      </c>
      <c r="J2954">
        <v>3</v>
      </c>
      <c r="K2954" s="4">
        <v>60.6</v>
      </c>
      <c r="L2954" s="4">
        <v>50.6</v>
      </c>
      <c r="M2954" s="4">
        <v>100</v>
      </c>
      <c r="N2954">
        <v>0</v>
      </c>
      <c r="O2954" t="s">
        <v>58</v>
      </c>
      <c r="P2954" t="s">
        <v>112</v>
      </c>
      <c r="Q2954" t="s">
        <v>93</v>
      </c>
      <c r="R2954" t="s">
        <v>85</v>
      </c>
      <c r="S2954" s="3">
        <v>5.45</v>
      </c>
      <c r="T2954" s="5">
        <v>45507</v>
      </c>
      <c r="U2954">
        <v>2</v>
      </c>
      <c r="V2954">
        <v>2024</v>
      </c>
      <c r="X2954">
        <f t="shared" si="138"/>
        <v>7.6997046000000005</v>
      </c>
      <c r="Y2954">
        <f t="shared" si="139"/>
        <v>5.4497046000000005</v>
      </c>
      <c r="Z2954">
        <f t="shared" si="140"/>
        <v>50.599704600000003</v>
      </c>
    </row>
    <row r="2955" spans="1:26" x14ac:dyDescent="0.3">
      <c r="A2955" t="s">
        <v>3045</v>
      </c>
      <c r="B2955" t="s">
        <v>55</v>
      </c>
      <c r="C2955" t="s">
        <v>68</v>
      </c>
      <c r="D2955" t="s">
        <v>57</v>
      </c>
      <c r="E2955">
        <v>22</v>
      </c>
      <c r="F2955" s="3">
        <v>7.78</v>
      </c>
      <c r="G2955" s="4">
        <v>90.1</v>
      </c>
      <c r="H2955">
        <v>1</v>
      </c>
      <c r="I2955">
        <v>3</v>
      </c>
      <c r="J2955">
        <v>1</v>
      </c>
      <c r="K2955" s="4">
        <v>85.8</v>
      </c>
      <c r="L2955" s="4">
        <v>100</v>
      </c>
      <c r="M2955" s="4">
        <v>58</v>
      </c>
      <c r="N2955">
        <v>0</v>
      </c>
      <c r="O2955" t="s">
        <v>58</v>
      </c>
      <c r="P2955" t="s">
        <v>79</v>
      </c>
      <c r="Q2955" t="s">
        <v>71</v>
      </c>
      <c r="R2955" t="s">
        <v>85</v>
      </c>
      <c r="S2955" s="3">
        <v>7.45</v>
      </c>
      <c r="T2955" s="5">
        <v>45524</v>
      </c>
      <c r="U2955">
        <v>2</v>
      </c>
      <c r="V2955">
        <v>2024</v>
      </c>
      <c r="X2955">
        <f t="shared" si="138"/>
        <v>7.7797045000000002</v>
      </c>
      <c r="Y2955">
        <f t="shared" si="139"/>
        <v>7.4497045000000002</v>
      </c>
      <c r="Z2955">
        <f t="shared" si="140"/>
        <v>99.999704500000007</v>
      </c>
    </row>
    <row r="2956" spans="1:26" x14ac:dyDescent="0.3">
      <c r="A2956" t="s">
        <v>3046</v>
      </c>
      <c r="B2956" t="s">
        <v>107</v>
      </c>
      <c r="C2956" t="s">
        <v>56</v>
      </c>
      <c r="D2956" t="s">
        <v>57</v>
      </c>
      <c r="E2956">
        <v>21</v>
      </c>
      <c r="F2956" s="3">
        <v>8.17</v>
      </c>
      <c r="G2956" s="4">
        <v>90</v>
      </c>
      <c r="H2956">
        <v>1</v>
      </c>
      <c r="I2956">
        <v>3</v>
      </c>
      <c r="J2956">
        <v>4</v>
      </c>
      <c r="K2956" s="4">
        <v>85.1</v>
      </c>
      <c r="L2956" s="4">
        <v>66.8</v>
      </c>
      <c r="M2956" s="4">
        <v>85.5</v>
      </c>
      <c r="N2956">
        <v>0</v>
      </c>
      <c r="O2956" t="s">
        <v>58</v>
      </c>
      <c r="P2956" t="s">
        <v>104</v>
      </c>
      <c r="Q2956" t="s">
        <v>105</v>
      </c>
      <c r="R2956" t="s">
        <v>130</v>
      </c>
      <c r="S2956" s="3">
        <v>14.26</v>
      </c>
      <c r="T2956" s="5">
        <v>44426</v>
      </c>
      <c r="U2956">
        <v>2</v>
      </c>
      <c r="V2956">
        <v>2021</v>
      </c>
      <c r="X2956">
        <f t="shared" si="138"/>
        <v>8.1697044000000005</v>
      </c>
      <c r="Y2956">
        <f t="shared" si="139"/>
        <v>14.2597044</v>
      </c>
      <c r="Z2956">
        <f t="shared" si="140"/>
        <v>66.799704399999996</v>
      </c>
    </row>
    <row r="2957" spans="1:26" x14ac:dyDescent="0.3">
      <c r="A2957" t="s">
        <v>3047</v>
      </c>
      <c r="B2957" t="s">
        <v>107</v>
      </c>
      <c r="C2957" t="s">
        <v>101</v>
      </c>
      <c r="D2957" t="s">
        <v>57</v>
      </c>
      <c r="E2957">
        <v>22</v>
      </c>
      <c r="F2957" s="3">
        <v>7.49</v>
      </c>
      <c r="G2957" s="4">
        <v>83.5</v>
      </c>
      <c r="H2957">
        <v>3</v>
      </c>
      <c r="I2957">
        <v>2</v>
      </c>
      <c r="J2957">
        <v>1</v>
      </c>
      <c r="K2957" s="4">
        <v>75.3</v>
      </c>
      <c r="L2957" s="4">
        <v>63.6</v>
      </c>
      <c r="M2957" s="4">
        <v>45.5</v>
      </c>
      <c r="N2957">
        <v>0</v>
      </c>
      <c r="O2957" t="s">
        <v>58</v>
      </c>
      <c r="P2957" t="s">
        <v>87</v>
      </c>
      <c r="Q2957" t="s">
        <v>71</v>
      </c>
      <c r="R2957" t="s">
        <v>85</v>
      </c>
      <c r="S2957" s="3">
        <v>7.11</v>
      </c>
      <c r="T2957" s="5">
        <v>44457</v>
      </c>
      <c r="U2957">
        <v>1</v>
      </c>
      <c r="V2957">
        <v>2021</v>
      </c>
      <c r="X2957">
        <f t="shared" si="138"/>
        <v>7.4897043000000005</v>
      </c>
      <c r="Y2957">
        <f t="shared" si="139"/>
        <v>7.1097043000000006</v>
      </c>
      <c r="Z2957">
        <f t="shared" si="140"/>
        <v>63.599704299999999</v>
      </c>
    </row>
    <row r="2958" spans="1:26" x14ac:dyDescent="0.3">
      <c r="A2958" t="s">
        <v>3048</v>
      </c>
      <c r="B2958" t="s">
        <v>55</v>
      </c>
      <c r="C2958" t="s">
        <v>74</v>
      </c>
      <c r="D2958" t="s">
        <v>69</v>
      </c>
      <c r="E2958">
        <v>21</v>
      </c>
      <c r="F2958" s="3">
        <v>6.71</v>
      </c>
      <c r="G2958" s="4">
        <v>93.5</v>
      </c>
      <c r="H2958">
        <v>1</v>
      </c>
      <c r="I2958">
        <v>0</v>
      </c>
      <c r="J2958">
        <v>4</v>
      </c>
      <c r="K2958" s="4">
        <v>67.099999999999994</v>
      </c>
      <c r="L2958" s="4">
        <v>76.7</v>
      </c>
      <c r="M2958" s="4">
        <v>73.3</v>
      </c>
      <c r="N2958">
        <v>0</v>
      </c>
      <c r="O2958" t="s">
        <v>64</v>
      </c>
      <c r="P2958" t="s">
        <v>65</v>
      </c>
      <c r="S2958" s="3">
        <v>0</v>
      </c>
      <c r="T2958" s="5"/>
      <c r="U2958">
        <v>0</v>
      </c>
      <c r="V2958">
        <v>2024</v>
      </c>
      <c r="X2958">
        <f t="shared" si="138"/>
        <v>6.7097042</v>
      </c>
      <c r="Y2958">
        <f t="shared" si="139"/>
        <v>-2.9579999999999998E-4</v>
      </c>
      <c r="Z2958">
        <f t="shared" si="140"/>
        <v>76.699704199999999</v>
      </c>
    </row>
    <row r="2959" spans="1:26" x14ac:dyDescent="0.3">
      <c r="A2959" t="s">
        <v>3049</v>
      </c>
      <c r="B2959" t="s">
        <v>82</v>
      </c>
      <c r="C2959" t="s">
        <v>89</v>
      </c>
      <c r="D2959" t="s">
        <v>69</v>
      </c>
      <c r="E2959">
        <v>20</v>
      </c>
      <c r="F2959" s="3">
        <v>7.82</v>
      </c>
      <c r="G2959" s="4">
        <v>78.599999999999994</v>
      </c>
      <c r="H2959">
        <v>0</v>
      </c>
      <c r="I2959">
        <v>2</v>
      </c>
      <c r="J2959">
        <v>3</v>
      </c>
      <c r="K2959" s="4">
        <v>81.900000000000006</v>
      </c>
      <c r="L2959" s="4">
        <v>67.099999999999994</v>
      </c>
      <c r="M2959" s="4">
        <v>57.3</v>
      </c>
      <c r="N2959">
        <v>0</v>
      </c>
      <c r="O2959" t="s">
        <v>64</v>
      </c>
      <c r="P2959" t="s">
        <v>65</v>
      </c>
      <c r="S2959" s="3">
        <v>0</v>
      </c>
      <c r="T2959" s="5"/>
      <c r="U2959">
        <v>0</v>
      </c>
      <c r="V2959">
        <v>2022</v>
      </c>
      <c r="X2959">
        <f t="shared" si="138"/>
        <v>7.8197041</v>
      </c>
      <c r="Y2959">
        <f t="shared" si="139"/>
        <v>-2.9589999999999998E-4</v>
      </c>
      <c r="Z2959">
        <f t="shared" si="140"/>
        <v>67.099704099999997</v>
      </c>
    </row>
    <row r="2960" spans="1:26" x14ac:dyDescent="0.3">
      <c r="A2960" t="s">
        <v>3050</v>
      </c>
      <c r="B2960" t="s">
        <v>67</v>
      </c>
      <c r="C2960" t="s">
        <v>68</v>
      </c>
      <c r="D2960" t="s">
        <v>57</v>
      </c>
      <c r="E2960">
        <v>20</v>
      </c>
      <c r="F2960" s="3">
        <v>9.61</v>
      </c>
      <c r="G2960" s="4">
        <v>97.7</v>
      </c>
      <c r="H2960">
        <v>2</v>
      </c>
      <c r="I2960">
        <v>1</v>
      </c>
      <c r="J2960">
        <v>3</v>
      </c>
      <c r="K2960" s="4">
        <v>47.1</v>
      </c>
      <c r="L2960" s="4">
        <v>51.1</v>
      </c>
      <c r="M2960" s="4">
        <v>79.2</v>
      </c>
      <c r="N2960">
        <v>0</v>
      </c>
      <c r="O2960" t="s">
        <v>58</v>
      </c>
      <c r="P2960" t="s">
        <v>59</v>
      </c>
      <c r="Q2960" t="s">
        <v>60</v>
      </c>
      <c r="R2960" t="s">
        <v>80</v>
      </c>
      <c r="S2960" s="3">
        <v>20.64</v>
      </c>
      <c r="T2960" s="5">
        <v>45212</v>
      </c>
      <c r="U2960">
        <v>2</v>
      </c>
      <c r="V2960">
        <v>2023</v>
      </c>
      <c r="X2960">
        <f t="shared" si="138"/>
        <v>9.6097039999999989</v>
      </c>
      <c r="Y2960">
        <f t="shared" si="139"/>
        <v>20.639704000000002</v>
      </c>
      <c r="Z2960">
        <f t="shared" si="140"/>
        <v>51.099704000000003</v>
      </c>
    </row>
    <row r="2961" spans="1:26" x14ac:dyDescent="0.3">
      <c r="A2961" t="s">
        <v>3051</v>
      </c>
      <c r="B2961" t="s">
        <v>107</v>
      </c>
      <c r="C2961" t="s">
        <v>68</v>
      </c>
      <c r="D2961" t="s">
        <v>57</v>
      </c>
      <c r="E2961">
        <v>23</v>
      </c>
      <c r="F2961" s="3">
        <v>7.64</v>
      </c>
      <c r="G2961" s="4">
        <v>76.5</v>
      </c>
      <c r="H2961">
        <v>1</v>
      </c>
      <c r="I2961">
        <v>3</v>
      </c>
      <c r="J2961">
        <v>3</v>
      </c>
      <c r="K2961" s="4">
        <v>69</v>
      </c>
      <c r="L2961" s="4">
        <v>52.1</v>
      </c>
      <c r="M2961" s="4">
        <v>67.400000000000006</v>
      </c>
      <c r="N2961">
        <v>0</v>
      </c>
      <c r="O2961" t="s">
        <v>58</v>
      </c>
      <c r="P2961" t="s">
        <v>90</v>
      </c>
      <c r="Q2961" t="s">
        <v>60</v>
      </c>
      <c r="R2961" t="s">
        <v>72</v>
      </c>
      <c r="S2961" s="3">
        <v>8.4700000000000006</v>
      </c>
      <c r="T2961" s="5">
        <v>44506</v>
      </c>
      <c r="U2961">
        <v>1</v>
      </c>
      <c r="V2961">
        <v>2021</v>
      </c>
      <c r="X2961">
        <f t="shared" si="138"/>
        <v>7.6397038999999998</v>
      </c>
      <c r="Y2961">
        <f t="shared" si="139"/>
        <v>8.4697039000000007</v>
      </c>
      <c r="Z2961">
        <f t="shared" si="140"/>
        <v>52.099703900000002</v>
      </c>
    </row>
    <row r="2962" spans="1:26" x14ac:dyDescent="0.3">
      <c r="A2962" t="s">
        <v>3052</v>
      </c>
      <c r="B2962" t="s">
        <v>82</v>
      </c>
      <c r="C2962" t="s">
        <v>56</v>
      </c>
      <c r="D2962" t="s">
        <v>57</v>
      </c>
      <c r="E2962">
        <v>23</v>
      </c>
      <c r="F2962" s="3">
        <v>6.86</v>
      </c>
      <c r="G2962" s="4">
        <v>64.3</v>
      </c>
      <c r="H2962">
        <v>2</v>
      </c>
      <c r="I2962">
        <v>1</v>
      </c>
      <c r="J2962">
        <v>4</v>
      </c>
      <c r="K2962" s="4">
        <v>56.2</v>
      </c>
      <c r="L2962" s="4">
        <v>56.6</v>
      </c>
      <c r="M2962" s="4">
        <v>66.900000000000006</v>
      </c>
      <c r="N2962">
        <v>3</v>
      </c>
      <c r="O2962" t="s">
        <v>58</v>
      </c>
      <c r="P2962" t="s">
        <v>104</v>
      </c>
      <c r="Q2962" t="s">
        <v>105</v>
      </c>
      <c r="R2962" t="s">
        <v>109</v>
      </c>
      <c r="S2962" s="3">
        <v>14.33</v>
      </c>
      <c r="T2962" s="5">
        <v>44837</v>
      </c>
      <c r="U2962">
        <v>3</v>
      </c>
      <c r="V2962">
        <v>2022</v>
      </c>
      <c r="X2962">
        <f t="shared" si="138"/>
        <v>6.8597038000000001</v>
      </c>
      <c r="Y2962">
        <f t="shared" si="139"/>
        <v>14.329703800000001</v>
      </c>
      <c r="Z2962">
        <f t="shared" si="140"/>
        <v>56.5997038</v>
      </c>
    </row>
    <row r="2963" spans="1:26" x14ac:dyDescent="0.3">
      <c r="A2963" t="s">
        <v>3053</v>
      </c>
      <c r="B2963" t="s">
        <v>63</v>
      </c>
      <c r="C2963" t="s">
        <v>68</v>
      </c>
      <c r="D2963" t="s">
        <v>69</v>
      </c>
      <c r="E2963">
        <v>22</v>
      </c>
      <c r="F2963" s="3">
        <v>7.23</v>
      </c>
      <c r="G2963" s="4">
        <v>70.599999999999994</v>
      </c>
      <c r="H2963">
        <v>3</v>
      </c>
      <c r="I2963">
        <v>3</v>
      </c>
      <c r="J2963">
        <v>1</v>
      </c>
      <c r="K2963" s="4">
        <v>58.7</v>
      </c>
      <c r="L2963" s="4">
        <v>75.400000000000006</v>
      </c>
      <c r="M2963" s="4">
        <v>60.4</v>
      </c>
      <c r="N2963">
        <v>0</v>
      </c>
      <c r="O2963" t="s">
        <v>58</v>
      </c>
      <c r="P2963" t="s">
        <v>59</v>
      </c>
      <c r="Q2963" t="s">
        <v>60</v>
      </c>
      <c r="R2963" t="s">
        <v>80</v>
      </c>
      <c r="S2963" s="3">
        <v>18.32</v>
      </c>
      <c r="T2963" s="5">
        <v>45891</v>
      </c>
      <c r="U2963">
        <v>1</v>
      </c>
      <c r="V2963">
        <v>2025</v>
      </c>
      <c r="X2963">
        <f t="shared" si="138"/>
        <v>7.2297037000000008</v>
      </c>
      <c r="Y2963">
        <f t="shared" si="139"/>
        <v>18.319703700000002</v>
      </c>
      <c r="Z2963">
        <f t="shared" si="140"/>
        <v>75.399703700000003</v>
      </c>
    </row>
    <row r="2964" spans="1:26" x14ac:dyDescent="0.3">
      <c r="A2964" t="s">
        <v>3054</v>
      </c>
      <c r="B2964" t="s">
        <v>107</v>
      </c>
      <c r="C2964" t="s">
        <v>68</v>
      </c>
      <c r="D2964" t="s">
        <v>57</v>
      </c>
      <c r="E2964">
        <v>23</v>
      </c>
      <c r="F2964" s="3">
        <v>7.79</v>
      </c>
      <c r="G2964" s="4">
        <v>69.8</v>
      </c>
      <c r="H2964">
        <v>3</v>
      </c>
      <c r="I2964">
        <v>2</v>
      </c>
      <c r="J2964">
        <v>3</v>
      </c>
      <c r="K2964" s="4">
        <v>74.3</v>
      </c>
      <c r="L2964" s="4">
        <v>59.6</v>
      </c>
      <c r="M2964" s="4">
        <v>48.2</v>
      </c>
      <c r="N2964">
        <v>0</v>
      </c>
      <c r="O2964" t="s">
        <v>58</v>
      </c>
      <c r="P2964" t="s">
        <v>70</v>
      </c>
      <c r="Q2964" t="s">
        <v>71</v>
      </c>
      <c r="R2964" t="s">
        <v>109</v>
      </c>
      <c r="S2964" s="3">
        <v>7.5</v>
      </c>
      <c r="T2964" s="5">
        <v>44429</v>
      </c>
      <c r="U2964">
        <v>1</v>
      </c>
      <c r="V2964">
        <v>2021</v>
      </c>
      <c r="X2964">
        <f t="shared" si="138"/>
        <v>7.7897036000000002</v>
      </c>
      <c r="Y2964">
        <f t="shared" si="139"/>
        <v>7.4997036000000001</v>
      </c>
      <c r="Z2964">
        <f t="shared" si="140"/>
        <v>59.599703599999998</v>
      </c>
    </row>
    <row r="2965" spans="1:26" x14ac:dyDescent="0.3">
      <c r="A2965" t="s">
        <v>3055</v>
      </c>
      <c r="B2965" t="s">
        <v>82</v>
      </c>
      <c r="C2965" t="s">
        <v>78</v>
      </c>
      <c r="D2965" t="s">
        <v>57</v>
      </c>
      <c r="E2965">
        <v>22</v>
      </c>
      <c r="F2965" s="3">
        <v>7.41</v>
      </c>
      <c r="G2965" s="4">
        <v>75.3</v>
      </c>
      <c r="H2965">
        <v>1</v>
      </c>
      <c r="I2965">
        <v>2</v>
      </c>
      <c r="J2965">
        <v>4</v>
      </c>
      <c r="K2965" s="4">
        <v>56.7</v>
      </c>
      <c r="L2965" s="4">
        <v>84</v>
      </c>
      <c r="M2965" s="4">
        <v>70.5</v>
      </c>
      <c r="N2965">
        <v>0</v>
      </c>
      <c r="O2965" t="s">
        <v>58</v>
      </c>
      <c r="P2965" t="s">
        <v>79</v>
      </c>
      <c r="Q2965" t="s">
        <v>71</v>
      </c>
      <c r="R2965" t="s">
        <v>72</v>
      </c>
      <c r="S2965" s="3">
        <v>7.09</v>
      </c>
      <c r="T2965" s="5">
        <v>44870</v>
      </c>
      <c r="U2965">
        <v>1</v>
      </c>
      <c r="V2965">
        <v>2022</v>
      </c>
      <c r="X2965">
        <f t="shared" si="138"/>
        <v>7.4097035</v>
      </c>
      <c r="Y2965">
        <f t="shared" si="139"/>
        <v>7.0897034999999997</v>
      </c>
      <c r="Z2965">
        <f t="shared" si="140"/>
        <v>83.999703499999995</v>
      </c>
    </row>
    <row r="2966" spans="1:26" x14ac:dyDescent="0.3">
      <c r="A2966" t="s">
        <v>3056</v>
      </c>
      <c r="B2966" t="s">
        <v>82</v>
      </c>
      <c r="C2966" t="s">
        <v>101</v>
      </c>
      <c r="D2966" t="s">
        <v>57</v>
      </c>
      <c r="E2966">
        <v>20</v>
      </c>
      <c r="F2966" s="3">
        <v>7.28</v>
      </c>
      <c r="G2966" s="4">
        <v>92.2</v>
      </c>
      <c r="H2966">
        <v>0</v>
      </c>
      <c r="I2966">
        <v>3</v>
      </c>
      <c r="J2966">
        <v>2</v>
      </c>
      <c r="K2966" s="4">
        <v>46.6</v>
      </c>
      <c r="L2966" s="4">
        <v>67.7</v>
      </c>
      <c r="M2966" s="4">
        <v>65.5</v>
      </c>
      <c r="N2966">
        <v>1</v>
      </c>
      <c r="O2966" t="s">
        <v>64</v>
      </c>
      <c r="P2966" t="s">
        <v>65</v>
      </c>
      <c r="S2966" s="3">
        <v>0</v>
      </c>
      <c r="T2966" s="5"/>
      <c r="U2966">
        <v>0</v>
      </c>
      <c r="V2966">
        <v>2022</v>
      </c>
      <c r="X2966">
        <f t="shared" si="138"/>
        <v>7.2797033999999998</v>
      </c>
      <c r="Y2966">
        <f t="shared" si="139"/>
        <v>-2.966E-4</v>
      </c>
      <c r="Z2966">
        <f t="shared" si="140"/>
        <v>67.699703400000004</v>
      </c>
    </row>
    <row r="2967" spans="1:26" x14ac:dyDescent="0.3">
      <c r="A2967" t="s">
        <v>3057</v>
      </c>
      <c r="B2967" t="s">
        <v>67</v>
      </c>
      <c r="C2967" t="s">
        <v>68</v>
      </c>
      <c r="D2967" t="s">
        <v>57</v>
      </c>
      <c r="E2967">
        <v>20</v>
      </c>
      <c r="F2967" s="3">
        <v>8.84</v>
      </c>
      <c r="G2967" s="4">
        <v>78</v>
      </c>
      <c r="H2967">
        <v>1</v>
      </c>
      <c r="I2967">
        <v>0</v>
      </c>
      <c r="J2967">
        <v>4</v>
      </c>
      <c r="K2967" s="4">
        <v>99.1</v>
      </c>
      <c r="L2967" s="4">
        <v>68.8</v>
      </c>
      <c r="M2967" s="4">
        <v>69</v>
      </c>
      <c r="N2967">
        <v>0</v>
      </c>
      <c r="O2967" t="s">
        <v>58</v>
      </c>
      <c r="P2967" t="s">
        <v>90</v>
      </c>
      <c r="Q2967" t="s">
        <v>60</v>
      </c>
      <c r="R2967" t="s">
        <v>109</v>
      </c>
      <c r="S2967" s="3">
        <v>9.1300000000000008</v>
      </c>
      <c r="T2967" s="5">
        <v>45244</v>
      </c>
      <c r="U2967">
        <v>1</v>
      </c>
      <c r="V2967">
        <v>2023</v>
      </c>
      <c r="X2967">
        <f t="shared" si="138"/>
        <v>8.8397033</v>
      </c>
      <c r="Y2967">
        <f t="shared" si="139"/>
        <v>9.129703300000001</v>
      </c>
      <c r="Z2967">
        <f t="shared" si="140"/>
        <v>68.79970329999999</v>
      </c>
    </row>
    <row r="2968" spans="1:26" x14ac:dyDescent="0.3">
      <c r="A2968" t="s">
        <v>3058</v>
      </c>
      <c r="B2968" t="s">
        <v>67</v>
      </c>
      <c r="C2968" t="s">
        <v>56</v>
      </c>
      <c r="D2968" t="s">
        <v>57</v>
      </c>
      <c r="E2968">
        <v>21</v>
      </c>
      <c r="F2968" s="3">
        <v>8.1199999999999992</v>
      </c>
      <c r="G2968" s="4">
        <v>69.8</v>
      </c>
      <c r="H2968">
        <v>1</v>
      </c>
      <c r="I2968">
        <v>3</v>
      </c>
      <c r="J2968">
        <v>2</v>
      </c>
      <c r="K2968" s="4">
        <v>59.5</v>
      </c>
      <c r="L2968" s="4">
        <v>70.900000000000006</v>
      </c>
      <c r="M2968" s="4">
        <v>69.900000000000006</v>
      </c>
      <c r="N2968">
        <v>3</v>
      </c>
      <c r="O2968" t="s">
        <v>58</v>
      </c>
      <c r="P2968" t="s">
        <v>75</v>
      </c>
      <c r="Q2968" t="s">
        <v>71</v>
      </c>
      <c r="R2968" t="s">
        <v>130</v>
      </c>
      <c r="S2968" s="3">
        <v>6.88</v>
      </c>
      <c r="T2968" s="5">
        <v>45173</v>
      </c>
      <c r="U2968">
        <v>1</v>
      </c>
      <c r="V2968">
        <v>2023</v>
      </c>
      <c r="X2968">
        <f t="shared" si="138"/>
        <v>8.1197032</v>
      </c>
      <c r="Y2968">
        <f t="shared" si="139"/>
        <v>6.8797031999999998</v>
      </c>
      <c r="Z2968">
        <f t="shared" si="140"/>
        <v>70.899703200000005</v>
      </c>
    </row>
    <row r="2969" spans="1:26" x14ac:dyDescent="0.3">
      <c r="A2969" t="s">
        <v>3059</v>
      </c>
      <c r="B2969" t="s">
        <v>63</v>
      </c>
      <c r="C2969" t="s">
        <v>56</v>
      </c>
      <c r="D2969" t="s">
        <v>57</v>
      </c>
      <c r="E2969">
        <v>22</v>
      </c>
      <c r="F2969" s="3">
        <v>7.54</v>
      </c>
      <c r="G2969" s="4">
        <v>68.900000000000006</v>
      </c>
      <c r="H2969">
        <v>2</v>
      </c>
      <c r="I2969">
        <v>0</v>
      </c>
      <c r="J2969">
        <v>2</v>
      </c>
      <c r="K2969" s="4">
        <v>56.2</v>
      </c>
      <c r="L2969" s="4">
        <v>54.4</v>
      </c>
      <c r="M2969" s="4">
        <v>63.9</v>
      </c>
      <c r="N2969">
        <v>0</v>
      </c>
      <c r="O2969" t="s">
        <v>58</v>
      </c>
      <c r="P2969" t="s">
        <v>79</v>
      </c>
      <c r="Q2969" t="s">
        <v>71</v>
      </c>
      <c r="R2969" t="s">
        <v>85</v>
      </c>
      <c r="S2969" s="3">
        <v>6.55</v>
      </c>
      <c r="T2969" s="5">
        <v>45969</v>
      </c>
      <c r="U2969">
        <v>2</v>
      </c>
      <c r="V2969">
        <v>2025</v>
      </c>
      <c r="X2969">
        <f t="shared" si="138"/>
        <v>7.5397030999999997</v>
      </c>
      <c r="Y2969">
        <f t="shared" si="139"/>
        <v>6.5497030999999994</v>
      </c>
      <c r="Z2969">
        <f t="shared" si="140"/>
        <v>54.399703099999996</v>
      </c>
    </row>
    <row r="2970" spans="1:26" x14ac:dyDescent="0.3">
      <c r="A2970" t="s">
        <v>3060</v>
      </c>
      <c r="B2970" t="s">
        <v>82</v>
      </c>
      <c r="C2970" t="s">
        <v>56</v>
      </c>
      <c r="D2970" t="s">
        <v>57</v>
      </c>
      <c r="E2970">
        <v>20</v>
      </c>
      <c r="F2970" s="3">
        <v>7.55</v>
      </c>
      <c r="G2970" s="4">
        <v>81.5</v>
      </c>
      <c r="H2970">
        <v>2</v>
      </c>
      <c r="I2970">
        <v>1</v>
      </c>
      <c r="J2970">
        <v>5</v>
      </c>
      <c r="K2970" s="4">
        <v>84.7</v>
      </c>
      <c r="L2970" s="4">
        <v>89.1</v>
      </c>
      <c r="M2970" s="4">
        <v>75.400000000000006</v>
      </c>
      <c r="N2970">
        <v>0</v>
      </c>
      <c r="O2970" t="s">
        <v>58</v>
      </c>
      <c r="P2970" t="s">
        <v>90</v>
      </c>
      <c r="Q2970" t="s">
        <v>60</v>
      </c>
      <c r="R2970" t="s">
        <v>80</v>
      </c>
      <c r="S2970" s="3">
        <v>9.17</v>
      </c>
      <c r="T2970" s="5">
        <v>44774</v>
      </c>
      <c r="U2970">
        <v>1</v>
      </c>
      <c r="V2970">
        <v>2022</v>
      </c>
      <c r="X2970">
        <f t="shared" si="138"/>
        <v>7.5497030000000001</v>
      </c>
      <c r="Y2970">
        <f t="shared" si="139"/>
        <v>9.1697030000000002</v>
      </c>
      <c r="Z2970">
        <f t="shared" si="140"/>
        <v>89.099702999999991</v>
      </c>
    </row>
    <row r="2971" spans="1:26" x14ac:dyDescent="0.3">
      <c r="A2971" t="s">
        <v>3061</v>
      </c>
      <c r="B2971" t="s">
        <v>82</v>
      </c>
      <c r="C2971" t="s">
        <v>56</v>
      </c>
      <c r="D2971" t="s">
        <v>69</v>
      </c>
      <c r="E2971">
        <v>20</v>
      </c>
      <c r="F2971" s="3">
        <v>7.81</v>
      </c>
      <c r="G2971" s="4">
        <v>95.7</v>
      </c>
      <c r="H2971">
        <v>2</v>
      </c>
      <c r="I2971">
        <v>2</v>
      </c>
      <c r="J2971">
        <v>3</v>
      </c>
      <c r="K2971" s="4">
        <v>59.6</v>
      </c>
      <c r="L2971" s="4">
        <v>74.7</v>
      </c>
      <c r="M2971" s="4">
        <v>71.400000000000006</v>
      </c>
      <c r="N2971">
        <v>1</v>
      </c>
      <c r="O2971" t="s">
        <v>58</v>
      </c>
      <c r="P2971" t="s">
        <v>95</v>
      </c>
      <c r="Q2971" t="s">
        <v>93</v>
      </c>
      <c r="R2971" t="s">
        <v>85</v>
      </c>
      <c r="S2971" s="3">
        <v>8.23</v>
      </c>
      <c r="T2971" s="5">
        <v>44785</v>
      </c>
      <c r="U2971">
        <v>2</v>
      </c>
      <c r="V2971">
        <v>2022</v>
      </c>
      <c r="X2971">
        <f t="shared" si="138"/>
        <v>7.8097028999999996</v>
      </c>
      <c r="Y2971">
        <f t="shared" si="139"/>
        <v>8.2297029000000013</v>
      </c>
      <c r="Z2971">
        <f t="shared" si="140"/>
        <v>74.699702900000005</v>
      </c>
    </row>
    <row r="2972" spans="1:26" x14ac:dyDescent="0.3">
      <c r="A2972" t="s">
        <v>3062</v>
      </c>
      <c r="B2972" t="s">
        <v>67</v>
      </c>
      <c r="C2972" t="s">
        <v>74</v>
      </c>
      <c r="D2972" t="s">
        <v>57</v>
      </c>
      <c r="E2972">
        <v>22</v>
      </c>
      <c r="F2972" s="3">
        <v>8.15</v>
      </c>
      <c r="G2972" s="4">
        <v>84</v>
      </c>
      <c r="H2972">
        <v>0</v>
      </c>
      <c r="I2972">
        <v>4</v>
      </c>
      <c r="J2972">
        <v>3</v>
      </c>
      <c r="K2972" s="4">
        <v>50.2</v>
      </c>
      <c r="L2972" s="4">
        <v>67.400000000000006</v>
      </c>
      <c r="M2972" s="4">
        <v>83.9</v>
      </c>
      <c r="N2972">
        <v>0</v>
      </c>
      <c r="O2972" t="s">
        <v>58</v>
      </c>
      <c r="P2972" t="s">
        <v>112</v>
      </c>
      <c r="Q2972" t="s">
        <v>93</v>
      </c>
      <c r="R2972" t="s">
        <v>76</v>
      </c>
      <c r="S2972" s="3">
        <v>7.19</v>
      </c>
      <c r="T2972" s="5">
        <v>45151</v>
      </c>
      <c r="U2972">
        <v>1</v>
      </c>
      <c r="V2972">
        <v>2023</v>
      </c>
      <c r="X2972">
        <f t="shared" si="138"/>
        <v>8.1497028</v>
      </c>
      <c r="Y2972">
        <f t="shared" si="139"/>
        <v>7.1897028000000001</v>
      </c>
      <c r="Z2972">
        <f t="shared" si="140"/>
        <v>67.3997028</v>
      </c>
    </row>
    <row r="2973" spans="1:26" x14ac:dyDescent="0.3">
      <c r="A2973" t="s">
        <v>3063</v>
      </c>
      <c r="B2973" t="s">
        <v>107</v>
      </c>
      <c r="C2973" t="s">
        <v>56</v>
      </c>
      <c r="D2973" t="s">
        <v>57</v>
      </c>
      <c r="E2973">
        <v>21</v>
      </c>
      <c r="F2973" s="3">
        <v>8.8000000000000007</v>
      </c>
      <c r="G2973" s="4">
        <v>90.5</v>
      </c>
      <c r="H2973">
        <v>2</v>
      </c>
      <c r="I2973">
        <v>0</v>
      </c>
      <c r="J2973">
        <v>5</v>
      </c>
      <c r="K2973" s="4">
        <v>55.2</v>
      </c>
      <c r="L2973" s="4">
        <v>62.1</v>
      </c>
      <c r="M2973" s="4">
        <v>100</v>
      </c>
      <c r="N2973">
        <v>0</v>
      </c>
      <c r="O2973" t="s">
        <v>58</v>
      </c>
      <c r="P2973" t="s">
        <v>104</v>
      </c>
      <c r="Q2973" t="s">
        <v>105</v>
      </c>
      <c r="R2973" t="s">
        <v>109</v>
      </c>
      <c r="S2973" s="3">
        <v>15.77</v>
      </c>
      <c r="T2973" s="5">
        <v>44416</v>
      </c>
      <c r="U2973">
        <v>2</v>
      </c>
      <c r="V2973">
        <v>2021</v>
      </c>
      <c r="X2973">
        <f t="shared" si="138"/>
        <v>8.799702700000001</v>
      </c>
      <c r="Y2973">
        <f t="shared" si="139"/>
        <v>15.7697027</v>
      </c>
      <c r="Z2973">
        <f t="shared" si="140"/>
        <v>62.099702700000002</v>
      </c>
    </row>
    <row r="2974" spans="1:26" x14ac:dyDescent="0.3">
      <c r="A2974" t="s">
        <v>3064</v>
      </c>
      <c r="B2974" t="s">
        <v>107</v>
      </c>
      <c r="C2974" t="s">
        <v>56</v>
      </c>
      <c r="D2974" t="s">
        <v>69</v>
      </c>
      <c r="E2974">
        <v>21</v>
      </c>
      <c r="F2974" s="3">
        <v>7.28</v>
      </c>
      <c r="G2974" s="4">
        <v>85.6</v>
      </c>
      <c r="H2974">
        <v>0</v>
      </c>
      <c r="I2974">
        <v>2</v>
      </c>
      <c r="J2974">
        <v>2</v>
      </c>
      <c r="K2974" s="4">
        <v>62</v>
      </c>
      <c r="L2974" s="4">
        <v>61.8</v>
      </c>
      <c r="M2974" s="4">
        <v>76.7</v>
      </c>
      <c r="N2974">
        <v>0</v>
      </c>
      <c r="O2974" t="s">
        <v>58</v>
      </c>
      <c r="P2974" t="s">
        <v>59</v>
      </c>
      <c r="Q2974" t="s">
        <v>60</v>
      </c>
      <c r="R2974" t="s">
        <v>85</v>
      </c>
      <c r="S2974" s="3">
        <v>20.11</v>
      </c>
      <c r="T2974" s="5">
        <v>44523</v>
      </c>
      <c r="U2974">
        <v>3</v>
      </c>
      <c r="V2974">
        <v>2021</v>
      </c>
      <c r="X2974">
        <f t="shared" si="138"/>
        <v>7.2797026000000002</v>
      </c>
      <c r="Y2974">
        <f t="shared" si="139"/>
        <v>20.109702599999999</v>
      </c>
      <c r="Z2974">
        <f t="shared" si="140"/>
        <v>61.799702599999996</v>
      </c>
    </row>
    <row r="2975" spans="1:26" x14ac:dyDescent="0.3">
      <c r="A2975" t="s">
        <v>3065</v>
      </c>
      <c r="B2975" t="s">
        <v>55</v>
      </c>
      <c r="C2975" t="s">
        <v>56</v>
      </c>
      <c r="D2975" t="s">
        <v>57</v>
      </c>
      <c r="E2975">
        <v>21</v>
      </c>
      <c r="F2975" s="3">
        <v>6.76</v>
      </c>
      <c r="G2975" s="4">
        <v>68.3</v>
      </c>
      <c r="H2975">
        <v>0</v>
      </c>
      <c r="I2975">
        <v>2</v>
      </c>
      <c r="J2975">
        <v>4</v>
      </c>
      <c r="K2975" s="4">
        <v>53</v>
      </c>
      <c r="L2975" s="4">
        <v>52.6</v>
      </c>
      <c r="M2975" s="4">
        <v>87.3</v>
      </c>
      <c r="N2975">
        <v>3</v>
      </c>
      <c r="O2975" t="s">
        <v>64</v>
      </c>
      <c r="P2975" t="s">
        <v>65</v>
      </c>
      <c r="S2975" s="3">
        <v>0</v>
      </c>
      <c r="T2975" s="5"/>
      <c r="U2975">
        <v>0</v>
      </c>
      <c r="V2975">
        <v>2024</v>
      </c>
      <c r="X2975">
        <f t="shared" si="138"/>
        <v>6.7597024999999995</v>
      </c>
      <c r="Y2975">
        <f t="shared" si="139"/>
        <v>-2.9749999999999997E-4</v>
      </c>
      <c r="Z2975">
        <f t="shared" si="140"/>
        <v>52.599702499999999</v>
      </c>
    </row>
    <row r="2976" spans="1:26" x14ac:dyDescent="0.3">
      <c r="A2976" t="s">
        <v>3066</v>
      </c>
      <c r="B2976" t="s">
        <v>67</v>
      </c>
      <c r="C2976" t="s">
        <v>56</v>
      </c>
      <c r="D2976" t="s">
        <v>69</v>
      </c>
      <c r="E2976">
        <v>21</v>
      </c>
      <c r="F2976" s="3">
        <v>7.15</v>
      </c>
      <c r="G2976" s="4">
        <v>87.4</v>
      </c>
      <c r="H2976">
        <v>2</v>
      </c>
      <c r="I2976">
        <v>1</v>
      </c>
      <c r="J2976">
        <v>6</v>
      </c>
      <c r="K2976" s="4">
        <v>56.3</v>
      </c>
      <c r="L2976" s="4">
        <v>50</v>
      </c>
      <c r="M2976" s="4">
        <v>75.5</v>
      </c>
      <c r="N2976">
        <v>1</v>
      </c>
      <c r="O2976" t="s">
        <v>58</v>
      </c>
      <c r="P2976" t="s">
        <v>75</v>
      </c>
      <c r="Q2976" t="s">
        <v>71</v>
      </c>
      <c r="R2976" t="s">
        <v>85</v>
      </c>
      <c r="S2976" s="3">
        <v>3.7</v>
      </c>
      <c r="T2976" s="5">
        <v>45143</v>
      </c>
      <c r="U2976">
        <v>1</v>
      </c>
      <c r="V2976">
        <v>2023</v>
      </c>
      <c r="X2976">
        <f t="shared" si="138"/>
        <v>7.1497024000000007</v>
      </c>
      <c r="Y2976">
        <f t="shared" si="139"/>
        <v>3.6997024000000001</v>
      </c>
      <c r="Z2976">
        <f t="shared" si="140"/>
        <v>49.999702399999997</v>
      </c>
    </row>
    <row r="2977" spans="1:26" x14ac:dyDescent="0.3">
      <c r="A2977" t="s">
        <v>3067</v>
      </c>
      <c r="B2977" t="s">
        <v>55</v>
      </c>
      <c r="C2977" t="s">
        <v>56</v>
      </c>
      <c r="D2977" t="s">
        <v>57</v>
      </c>
      <c r="E2977">
        <v>20</v>
      </c>
      <c r="F2977" s="3">
        <v>6.86</v>
      </c>
      <c r="G2977" s="4">
        <v>71.7</v>
      </c>
      <c r="H2977">
        <v>1</v>
      </c>
      <c r="I2977">
        <v>1</v>
      </c>
      <c r="J2977">
        <v>4</v>
      </c>
      <c r="K2977" s="4">
        <v>61.7</v>
      </c>
      <c r="L2977" s="4">
        <v>50</v>
      </c>
      <c r="M2977" s="4">
        <v>79.599999999999994</v>
      </c>
      <c r="N2977">
        <v>0</v>
      </c>
      <c r="O2977" t="s">
        <v>64</v>
      </c>
      <c r="P2977" t="s">
        <v>65</v>
      </c>
      <c r="S2977" s="3">
        <v>0</v>
      </c>
      <c r="T2977" s="5"/>
      <c r="U2977">
        <v>0</v>
      </c>
      <c r="V2977">
        <v>2024</v>
      </c>
      <c r="X2977">
        <f t="shared" si="138"/>
        <v>6.8597023000000004</v>
      </c>
      <c r="Y2977">
        <f t="shared" si="139"/>
        <v>-2.9769999999999997E-4</v>
      </c>
      <c r="Z2977">
        <f t="shared" si="140"/>
        <v>49.999702300000003</v>
      </c>
    </row>
    <row r="2978" spans="1:26" x14ac:dyDescent="0.3">
      <c r="A2978" t="s">
        <v>3068</v>
      </c>
      <c r="B2978" t="s">
        <v>67</v>
      </c>
      <c r="C2978" t="s">
        <v>56</v>
      </c>
      <c r="D2978" t="s">
        <v>57</v>
      </c>
      <c r="E2978">
        <v>22</v>
      </c>
      <c r="F2978" s="3">
        <v>6.28</v>
      </c>
      <c r="G2978" s="4">
        <v>78.2</v>
      </c>
      <c r="H2978">
        <v>2</v>
      </c>
      <c r="I2978">
        <v>2</v>
      </c>
      <c r="J2978">
        <v>1</v>
      </c>
      <c r="K2978" s="4">
        <v>81.599999999999994</v>
      </c>
      <c r="L2978" s="4">
        <v>85.9</v>
      </c>
      <c r="M2978" s="4">
        <v>70.099999999999994</v>
      </c>
      <c r="N2978">
        <v>0</v>
      </c>
      <c r="O2978" t="s">
        <v>58</v>
      </c>
      <c r="P2978" t="s">
        <v>79</v>
      </c>
      <c r="Q2978" t="s">
        <v>71</v>
      </c>
      <c r="R2978" t="s">
        <v>130</v>
      </c>
      <c r="S2978" s="3">
        <v>7.06</v>
      </c>
      <c r="T2978" s="5">
        <v>45189</v>
      </c>
      <c r="U2978">
        <v>2</v>
      </c>
      <c r="V2978">
        <v>2023</v>
      </c>
      <c r="X2978">
        <f t="shared" si="138"/>
        <v>6.2797022</v>
      </c>
      <c r="Y2978">
        <f t="shared" si="139"/>
        <v>7.0597021999999994</v>
      </c>
      <c r="Z2978">
        <f t="shared" si="140"/>
        <v>85.899702200000007</v>
      </c>
    </row>
    <row r="2979" spans="1:26" x14ac:dyDescent="0.3">
      <c r="A2979" t="s">
        <v>3069</v>
      </c>
      <c r="B2979" t="s">
        <v>63</v>
      </c>
      <c r="C2979" t="s">
        <v>68</v>
      </c>
      <c r="D2979" t="s">
        <v>57</v>
      </c>
      <c r="E2979">
        <v>22</v>
      </c>
      <c r="F2979" s="3">
        <v>8.92</v>
      </c>
      <c r="G2979" s="4">
        <v>75.5</v>
      </c>
      <c r="H2979">
        <v>1</v>
      </c>
      <c r="I2979">
        <v>1</v>
      </c>
      <c r="J2979">
        <v>4</v>
      </c>
      <c r="K2979" s="4">
        <v>97</v>
      </c>
      <c r="L2979" s="4">
        <v>58.5</v>
      </c>
      <c r="M2979" s="4">
        <v>72.8</v>
      </c>
      <c r="N2979">
        <v>1</v>
      </c>
      <c r="O2979" t="s">
        <v>58</v>
      </c>
      <c r="P2979" t="s">
        <v>87</v>
      </c>
      <c r="Q2979" t="s">
        <v>71</v>
      </c>
      <c r="R2979" t="s">
        <v>72</v>
      </c>
      <c r="S2979" s="3">
        <v>7.73</v>
      </c>
      <c r="T2979" s="5">
        <v>45969</v>
      </c>
      <c r="U2979">
        <v>1</v>
      </c>
      <c r="V2979">
        <v>2025</v>
      </c>
      <c r="X2979">
        <f t="shared" si="138"/>
        <v>8.9197021000000003</v>
      </c>
      <c r="Y2979">
        <f t="shared" si="139"/>
        <v>7.7297021000000008</v>
      </c>
      <c r="Z2979">
        <f t="shared" si="140"/>
        <v>58.4997021</v>
      </c>
    </row>
    <row r="2980" spans="1:26" x14ac:dyDescent="0.3">
      <c r="A2980" t="s">
        <v>3070</v>
      </c>
      <c r="B2980" t="s">
        <v>82</v>
      </c>
      <c r="C2980" t="s">
        <v>68</v>
      </c>
      <c r="D2980" t="s">
        <v>57</v>
      </c>
      <c r="E2980">
        <v>20</v>
      </c>
      <c r="F2980" s="3">
        <v>8.42</v>
      </c>
      <c r="G2980" s="4">
        <v>81.099999999999994</v>
      </c>
      <c r="H2980">
        <v>0</v>
      </c>
      <c r="I2980">
        <v>2</v>
      </c>
      <c r="J2980">
        <v>2</v>
      </c>
      <c r="K2980" s="4">
        <v>83.5</v>
      </c>
      <c r="L2980" s="4">
        <v>53.9</v>
      </c>
      <c r="M2980" s="4">
        <v>64.5</v>
      </c>
      <c r="N2980">
        <v>0</v>
      </c>
      <c r="O2980" t="s">
        <v>58</v>
      </c>
      <c r="P2980" t="s">
        <v>59</v>
      </c>
      <c r="Q2980" t="s">
        <v>60</v>
      </c>
      <c r="R2980" t="s">
        <v>76</v>
      </c>
      <c r="S2980" s="3">
        <v>18.02</v>
      </c>
      <c r="T2980" s="5">
        <v>44884</v>
      </c>
      <c r="U2980">
        <v>2</v>
      </c>
      <c r="V2980">
        <v>2022</v>
      </c>
      <c r="X2980">
        <f t="shared" si="138"/>
        <v>8.4197019999999991</v>
      </c>
      <c r="Y2980">
        <f t="shared" si="139"/>
        <v>18.019701999999999</v>
      </c>
      <c r="Z2980">
        <f t="shared" si="140"/>
        <v>53.899701999999998</v>
      </c>
    </row>
    <row r="2981" spans="1:26" x14ac:dyDescent="0.3">
      <c r="A2981" t="s">
        <v>3071</v>
      </c>
      <c r="B2981" t="s">
        <v>63</v>
      </c>
      <c r="C2981" t="s">
        <v>56</v>
      </c>
      <c r="D2981" t="s">
        <v>69</v>
      </c>
      <c r="E2981">
        <v>20</v>
      </c>
      <c r="F2981" s="3">
        <v>5.59</v>
      </c>
      <c r="G2981" s="4">
        <v>79.8</v>
      </c>
      <c r="H2981">
        <v>1</v>
      </c>
      <c r="I2981">
        <v>3</v>
      </c>
      <c r="J2981">
        <v>3</v>
      </c>
      <c r="K2981" s="4">
        <v>64.8</v>
      </c>
      <c r="L2981" s="4">
        <v>89.3</v>
      </c>
      <c r="M2981" s="4">
        <v>91</v>
      </c>
      <c r="N2981">
        <v>0</v>
      </c>
      <c r="O2981" t="s">
        <v>58</v>
      </c>
      <c r="P2981" t="s">
        <v>70</v>
      </c>
      <c r="Q2981" t="s">
        <v>71</v>
      </c>
      <c r="R2981" t="s">
        <v>72</v>
      </c>
      <c r="S2981" s="3">
        <v>4.5199999999999996</v>
      </c>
      <c r="T2981" s="5">
        <v>45894</v>
      </c>
      <c r="U2981">
        <v>1</v>
      </c>
      <c r="V2981">
        <v>2025</v>
      </c>
      <c r="X2981">
        <f t="shared" si="138"/>
        <v>5.5897018999999997</v>
      </c>
      <c r="Y2981">
        <f t="shared" si="139"/>
        <v>4.5197018999999994</v>
      </c>
      <c r="Z2981">
        <f t="shared" si="140"/>
        <v>89.299701900000002</v>
      </c>
    </row>
    <row r="2982" spans="1:26" x14ac:dyDescent="0.3">
      <c r="A2982" t="s">
        <v>3072</v>
      </c>
      <c r="B2982" t="s">
        <v>67</v>
      </c>
      <c r="C2982" t="s">
        <v>68</v>
      </c>
      <c r="D2982" t="s">
        <v>57</v>
      </c>
      <c r="E2982">
        <v>20</v>
      </c>
      <c r="F2982" s="3">
        <v>7.85</v>
      </c>
      <c r="G2982" s="4">
        <v>78.599999999999994</v>
      </c>
      <c r="H2982">
        <v>2</v>
      </c>
      <c r="I2982">
        <v>3</v>
      </c>
      <c r="J2982">
        <v>5</v>
      </c>
      <c r="K2982" s="4">
        <v>48.3</v>
      </c>
      <c r="L2982" s="4">
        <v>70.900000000000006</v>
      </c>
      <c r="M2982" s="4">
        <v>85.6</v>
      </c>
      <c r="N2982">
        <v>0</v>
      </c>
      <c r="O2982" t="s">
        <v>58</v>
      </c>
      <c r="P2982" t="s">
        <v>90</v>
      </c>
      <c r="Q2982" t="s">
        <v>60</v>
      </c>
      <c r="R2982" t="s">
        <v>80</v>
      </c>
      <c r="S2982" s="3">
        <v>8.42</v>
      </c>
      <c r="T2982" s="5">
        <v>45183</v>
      </c>
      <c r="U2982">
        <v>2</v>
      </c>
      <c r="V2982">
        <v>2023</v>
      </c>
      <c r="X2982">
        <f t="shared" si="138"/>
        <v>7.8497018000000001</v>
      </c>
      <c r="Y2982">
        <f t="shared" si="139"/>
        <v>8.4197018000000003</v>
      </c>
      <c r="Z2982">
        <f t="shared" si="140"/>
        <v>70.899701800000003</v>
      </c>
    </row>
    <row r="2983" spans="1:26" x14ac:dyDescent="0.3">
      <c r="A2983" t="s">
        <v>3073</v>
      </c>
      <c r="B2983" t="s">
        <v>82</v>
      </c>
      <c r="C2983" t="s">
        <v>74</v>
      </c>
      <c r="D2983" t="s">
        <v>57</v>
      </c>
      <c r="E2983">
        <v>23</v>
      </c>
      <c r="F2983" s="3">
        <v>7.31</v>
      </c>
      <c r="G2983" s="4">
        <v>79.5</v>
      </c>
      <c r="H2983">
        <v>1</v>
      </c>
      <c r="I2983">
        <v>1</v>
      </c>
      <c r="J2983">
        <v>1</v>
      </c>
      <c r="K2983" s="4">
        <v>77.8</v>
      </c>
      <c r="L2983" s="4">
        <v>52.4</v>
      </c>
      <c r="M2983" s="4">
        <v>77.099999999999994</v>
      </c>
      <c r="N2983">
        <v>0</v>
      </c>
      <c r="O2983" t="s">
        <v>64</v>
      </c>
      <c r="P2983" t="s">
        <v>65</v>
      </c>
      <c r="S2983" s="3">
        <v>0</v>
      </c>
      <c r="T2983" s="5"/>
      <c r="U2983">
        <v>0</v>
      </c>
      <c r="V2983">
        <v>2022</v>
      </c>
      <c r="X2983">
        <f t="shared" si="138"/>
        <v>7.3097016999999997</v>
      </c>
      <c r="Y2983">
        <f t="shared" si="139"/>
        <v>-2.9829999999999999E-4</v>
      </c>
      <c r="Z2983">
        <f t="shared" si="140"/>
        <v>52.399701700000001</v>
      </c>
    </row>
    <row r="2984" spans="1:26" x14ac:dyDescent="0.3">
      <c r="A2984" t="s">
        <v>3074</v>
      </c>
      <c r="B2984" t="s">
        <v>107</v>
      </c>
      <c r="C2984" t="s">
        <v>56</v>
      </c>
      <c r="D2984" t="s">
        <v>57</v>
      </c>
      <c r="E2984">
        <v>22</v>
      </c>
      <c r="F2984" s="3">
        <v>7.2</v>
      </c>
      <c r="G2984" s="4">
        <v>84.4</v>
      </c>
      <c r="H2984">
        <v>2</v>
      </c>
      <c r="I2984">
        <v>2</v>
      </c>
      <c r="J2984">
        <v>2</v>
      </c>
      <c r="K2984" s="4">
        <v>53.7</v>
      </c>
      <c r="L2984" s="4">
        <v>78.599999999999994</v>
      </c>
      <c r="M2984" s="4">
        <v>61.7</v>
      </c>
      <c r="N2984">
        <v>1</v>
      </c>
      <c r="O2984" t="s">
        <v>58</v>
      </c>
      <c r="P2984" t="s">
        <v>92</v>
      </c>
      <c r="Q2984" t="s">
        <v>93</v>
      </c>
      <c r="R2984" t="s">
        <v>109</v>
      </c>
      <c r="S2984" s="3">
        <v>8.25</v>
      </c>
      <c r="T2984" s="5">
        <v>44443</v>
      </c>
      <c r="U2984">
        <v>1</v>
      </c>
      <c r="V2984">
        <v>2021</v>
      </c>
      <c r="X2984">
        <f t="shared" si="138"/>
        <v>7.1997016</v>
      </c>
      <c r="Y2984">
        <f t="shared" si="139"/>
        <v>8.2497015999999999</v>
      </c>
      <c r="Z2984">
        <f t="shared" si="140"/>
        <v>78.599701599999989</v>
      </c>
    </row>
    <row r="2985" spans="1:26" x14ac:dyDescent="0.3">
      <c r="A2985" t="s">
        <v>3075</v>
      </c>
      <c r="B2985" t="s">
        <v>107</v>
      </c>
      <c r="C2985" t="s">
        <v>56</v>
      </c>
      <c r="D2985" t="s">
        <v>57</v>
      </c>
      <c r="E2985">
        <v>22</v>
      </c>
      <c r="F2985" s="3">
        <v>5.41</v>
      </c>
      <c r="G2985" s="4">
        <v>79.5</v>
      </c>
      <c r="H2985">
        <v>2</v>
      </c>
      <c r="I2985">
        <v>0</v>
      </c>
      <c r="J2985">
        <v>3</v>
      </c>
      <c r="K2985" s="4">
        <v>62.8</v>
      </c>
      <c r="L2985" s="4">
        <v>91.8</v>
      </c>
      <c r="M2985" s="4">
        <v>71.900000000000006</v>
      </c>
      <c r="N2985">
        <v>1</v>
      </c>
      <c r="O2985" t="s">
        <v>64</v>
      </c>
      <c r="P2985" t="s">
        <v>65</v>
      </c>
      <c r="S2985" s="3">
        <v>0</v>
      </c>
      <c r="T2985" s="5"/>
      <c r="U2985">
        <v>0</v>
      </c>
      <c r="V2985">
        <v>2021</v>
      </c>
      <c r="X2985">
        <f t="shared" si="138"/>
        <v>5.4097014999999997</v>
      </c>
      <c r="Y2985">
        <f t="shared" si="139"/>
        <v>-2.9849999999999999E-4</v>
      </c>
      <c r="Z2985">
        <f t="shared" si="140"/>
        <v>91.799701499999998</v>
      </c>
    </row>
    <row r="2986" spans="1:26" x14ac:dyDescent="0.3">
      <c r="A2986" t="s">
        <v>3076</v>
      </c>
      <c r="B2986" t="s">
        <v>55</v>
      </c>
      <c r="C2986" t="s">
        <v>68</v>
      </c>
      <c r="D2986" t="s">
        <v>57</v>
      </c>
      <c r="E2986">
        <v>22</v>
      </c>
      <c r="F2986" s="3">
        <v>7.63</v>
      </c>
      <c r="G2986" s="4">
        <v>80.400000000000006</v>
      </c>
      <c r="H2986">
        <v>1</v>
      </c>
      <c r="I2986">
        <v>2</v>
      </c>
      <c r="J2986">
        <v>6</v>
      </c>
      <c r="K2986" s="4">
        <v>90.6</v>
      </c>
      <c r="L2986" s="4">
        <v>80.2</v>
      </c>
      <c r="M2986" s="4">
        <v>85.6</v>
      </c>
      <c r="N2986">
        <v>0</v>
      </c>
      <c r="O2986" t="s">
        <v>58</v>
      </c>
      <c r="P2986" t="s">
        <v>95</v>
      </c>
      <c r="Q2986" t="s">
        <v>93</v>
      </c>
      <c r="R2986" t="s">
        <v>109</v>
      </c>
      <c r="S2986" s="3">
        <v>6.95</v>
      </c>
      <c r="T2986" s="5">
        <v>45576</v>
      </c>
      <c r="U2986">
        <v>1</v>
      </c>
      <c r="V2986">
        <v>2024</v>
      </c>
      <c r="X2986">
        <f t="shared" si="138"/>
        <v>7.6297014000000001</v>
      </c>
      <c r="Y2986">
        <f t="shared" si="139"/>
        <v>6.9497014000000004</v>
      </c>
      <c r="Z2986">
        <f t="shared" si="140"/>
        <v>80.199701400000009</v>
      </c>
    </row>
    <row r="2987" spans="1:26" x14ac:dyDescent="0.3">
      <c r="A2987" t="s">
        <v>3077</v>
      </c>
      <c r="B2987" t="s">
        <v>67</v>
      </c>
      <c r="C2987" t="s">
        <v>78</v>
      </c>
      <c r="D2987" t="s">
        <v>57</v>
      </c>
      <c r="E2987">
        <v>21</v>
      </c>
      <c r="F2987" s="3">
        <v>7.72</v>
      </c>
      <c r="G2987" s="4">
        <v>99.9</v>
      </c>
      <c r="H2987">
        <v>2</v>
      </c>
      <c r="I2987">
        <v>5</v>
      </c>
      <c r="J2987">
        <v>3</v>
      </c>
      <c r="K2987" s="4">
        <v>91.9</v>
      </c>
      <c r="L2987" s="4">
        <v>72.099999999999994</v>
      </c>
      <c r="M2987" s="4">
        <v>100</v>
      </c>
      <c r="N2987">
        <v>0</v>
      </c>
      <c r="O2987" t="s">
        <v>64</v>
      </c>
      <c r="P2987" t="s">
        <v>65</v>
      </c>
      <c r="S2987" s="3">
        <v>0</v>
      </c>
      <c r="T2987" s="5"/>
      <c r="U2987">
        <v>0</v>
      </c>
      <c r="V2987">
        <v>2023</v>
      </c>
      <c r="X2987">
        <f t="shared" si="138"/>
        <v>7.7197012999999997</v>
      </c>
      <c r="Y2987">
        <f t="shared" si="139"/>
        <v>-2.987E-4</v>
      </c>
      <c r="Z2987">
        <f t="shared" si="140"/>
        <v>72.099701299999992</v>
      </c>
    </row>
    <row r="2988" spans="1:26" x14ac:dyDescent="0.3">
      <c r="A2988" t="s">
        <v>3078</v>
      </c>
      <c r="B2988" t="s">
        <v>67</v>
      </c>
      <c r="C2988" t="s">
        <v>56</v>
      </c>
      <c r="D2988" t="s">
        <v>57</v>
      </c>
      <c r="E2988">
        <v>20</v>
      </c>
      <c r="F2988" s="3">
        <v>6.59</v>
      </c>
      <c r="G2988" s="4">
        <v>91.4</v>
      </c>
      <c r="H2988">
        <v>2</v>
      </c>
      <c r="I2988">
        <v>1</v>
      </c>
      <c r="J2988">
        <v>2</v>
      </c>
      <c r="K2988" s="4">
        <v>70.5</v>
      </c>
      <c r="L2988" s="4">
        <v>77</v>
      </c>
      <c r="M2988" s="4">
        <v>74.900000000000006</v>
      </c>
      <c r="N2988">
        <v>1</v>
      </c>
      <c r="O2988" t="s">
        <v>64</v>
      </c>
      <c r="P2988" t="s">
        <v>65</v>
      </c>
      <c r="S2988" s="3">
        <v>0</v>
      </c>
      <c r="T2988" s="5"/>
      <c r="U2988">
        <v>0</v>
      </c>
      <c r="V2988">
        <v>2023</v>
      </c>
      <c r="X2988">
        <f t="shared" si="138"/>
        <v>6.5897011999999995</v>
      </c>
      <c r="Y2988">
        <f t="shared" si="139"/>
        <v>-2.988E-4</v>
      </c>
      <c r="Z2988">
        <f t="shared" si="140"/>
        <v>76.999701200000004</v>
      </c>
    </row>
    <row r="2989" spans="1:26" x14ac:dyDescent="0.3">
      <c r="A2989" t="s">
        <v>3079</v>
      </c>
      <c r="B2989" t="s">
        <v>107</v>
      </c>
      <c r="C2989" t="s">
        <v>56</v>
      </c>
      <c r="D2989" t="s">
        <v>69</v>
      </c>
      <c r="E2989">
        <v>20</v>
      </c>
      <c r="F2989" s="3">
        <v>9.11</v>
      </c>
      <c r="G2989" s="4">
        <v>77.5</v>
      </c>
      <c r="H2989">
        <v>2</v>
      </c>
      <c r="I2989">
        <v>2</v>
      </c>
      <c r="J2989">
        <v>4</v>
      </c>
      <c r="K2989" s="4">
        <v>85.2</v>
      </c>
      <c r="L2989" s="4">
        <v>87.9</v>
      </c>
      <c r="M2989" s="4">
        <v>88.7</v>
      </c>
      <c r="N2989">
        <v>0</v>
      </c>
      <c r="O2989" t="s">
        <v>58</v>
      </c>
      <c r="P2989" t="s">
        <v>90</v>
      </c>
      <c r="Q2989" t="s">
        <v>60</v>
      </c>
      <c r="R2989" t="s">
        <v>109</v>
      </c>
      <c r="S2989" s="3">
        <v>10.17</v>
      </c>
      <c r="T2989" s="5">
        <v>44457</v>
      </c>
      <c r="U2989">
        <v>2</v>
      </c>
      <c r="V2989">
        <v>2021</v>
      </c>
      <c r="X2989">
        <f t="shared" si="138"/>
        <v>9.1097010999999988</v>
      </c>
      <c r="Y2989">
        <f t="shared" si="139"/>
        <v>10.169701099999999</v>
      </c>
      <c r="Z2989">
        <f t="shared" si="140"/>
        <v>87.899701100000001</v>
      </c>
    </row>
    <row r="2990" spans="1:26" x14ac:dyDescent="0.3">
      <c r="A2990" t="s">
        <v>3080</v>
      </c>
      <c r="B2990" t="s">
        <v>63</v>
      </c>
      <c r="C2990" t="s">
        <v>84</v>
      </c>
      <c r="D2990" t="s">
        <v>57</v>
      </c>
      <c r="E2990">
        <v>20</v>
      </c>
      <c r="F2990" s="3">
        <v>8.36</v>
      </c>
      <c r="G2990" s="4">
        <v>83</v>
      </c>
      <c r="H2990">
        <v>2</v>
      </c>
      <c r="I2990">
        <v>3</v>
      </c>
      <c r="J2990">
        <v>4</v>
      </c>
      <c r="K2990" s="4">
        <v>84.7</v>
      </c>
      <c r="L2990" s="4">
        <v>95.9</v>
      </c>
      <c r="M2990" s="4">
        <v>76.099999999999994</v>
      </c>
      <c r="N2990">
        <v>0</v>
      </c>
      <c r="O2990" t="s">
        <v>58</v>
      </c>
      <c r="P2990" t="s">
        <v>75</v>
      </c>
      <c r="Q2990" t="s">
        <v>71</v>
      </c>
      <c r="R2990" t="s">
        <v>80</v>
      </c>
      <c r="S2990" s="3">
        <v>7.54</v>
      </c>
      <c r="T2990" s="5">
        <v>45880</v>
      </c>
      <c r="U2990">
        <v>1</v>
      </c>
      <c r="V2990">
        <v>2025</v>
      </c>
      <c r="X2990">
        <f t="shared" si="138"/>
        <v>8.3597009999999994</v>
      </c>
      <c r="Y2990">
        <f t="shared" si="139"/>
        <v>7.539701</v>
      </c>
      <c r="Z2990">
        <f t="shared" si="140"/>
        <v>95.899701000000007</v>
      </c>
    </row>
    <row r="2991" spans="1:26" x14ac:dyDescent="0.3">
      <c r="A2991" t="s">
        <v>3081</v>
      </c>
      <c r="B2991" t="s">
        <v>82</v>
      </c>
      <c r="C2991" t="s">
        <v>74</v>
      </c>
      <c r="D2991" t="s">
        <v>69</v>
      </c>
      <c r="E2991">
        <v>23</v>
      </c>
      <c r="F2991" s="3">
        <v>6.69</v>
      </c>
      <c r="G2991" s="4">
        <v>82.3</v>
      </c>
      <c r="H2991">
        <v>1</v>
      </c>
      <c r="I2991">
        <v>2</v>
      </c>
      <c r="J2991">
        <v>3</v>
      </c>
      <c r="K2991" s="4">
        <v>77.2</v>
      </c>
      <c r="L2991" s="4">
        <v>55.7</v>
      </c>
      <c r="M2991" s="4">
        <v>89.3</v>
      </c>
      <c r="N2991">
        <v>0</v>
      </c>
      <c r="O2991" t="s">
        <v>64</v>
      </c>
      <c r="P2991" t="s">
        <v>65</v>
      </c>
      <c r="S2991" s="3">
        <v>0</v>
      </c>
      <c r="T2991" s="5"/>
      <c r="U2991">
        <v>0</v>
      </c>
      <c r="V2991">
        <v>2022</v>
      </c>
      <c r="X2991">
        <f t="shared" si="138"/>
        <v>6.6897009000000001</v>
      </c>
      <c r="Y2991">
        <f t="shared" si="139"/>
        <v>-2.9910000000000001E-4</v>
      </c>
      <c r="Z2991">
        <f t="shared" si="140"/>
        <v>55.699700900000003</v>
      </c>
    </row>
    <row r="2992" spans="1:26" x14ac:dyDescent="0.3">
      <c r="A2992" t="s">
        <v>3082</v>
      </c>
      <c r="B2992" t="s">
        <v>63</v>
      </c>
      <c r="C2992" t="s">
        <v>56</v>
      </c>
      <c r="D2992" t="s">
        <v>69</v>
      </c>
      <c r="E2992">
        <v>22</v>
      </c>
      <c r="F2992" s="3">
        <v>8.57</v>
      </c>
      <c r="G2992" s="4">
        <v>82.7</v>
      </c>
      <c r="H2992">
        <v>1</v>
      </c>
      <c r="I2992">
        <v>2</v>
      </c>
      <c r="J2992">
        <v>6</v>
      </c>
      <c r="K2992" s="4">
        <v>64.2</v>
      </c>
      <c r="L2992" s="4">
        <v>70.3</v>
      </c>
      <c r="M2992" s="4">
        <v>48.9</v>
      </c>
      <c r="N2992">
        <v>0</v>
      </c>
      <c r="O2992" t="s">
        <v>58</v>
      </c>
      <c r="P2992" t="s">
        <v>59</v>
      </c>
      <c r="Q2992" t="s">
        <v>60</v>
      </c>
      <c r="R2992" t="s">
        <v>109</v>
      </c>
      <c r="S2992" s="3">
        <v>21.59</v>
      </c>
      <c r="T2992" s="5">
        <v>45884</v>
      </c>
      <c r="U2992">
        <v>2</v>
      </c>
      <c r="V2992">
        <v>2025</v>
      </c>
      <c r="X2992">
        <f t="shared" si="138"/>
        <v>8.5697007999999997</v>
      </c>
      <c r="Y2992">
        <f t="shared" si="139"/>
        <v>21.589700799999999</v>
      </c>
      <c r="Z2992">
        <f t="shared" si="140"/>
        <v>70.299700799999997</v>
      </c>
    </row>
    <row r="2993" spans="1:26" x14ac:dyDescent="0.3">
      <c r="A2993" t="s">
        <v>3083</v>
      </c>
      <c r="B2993" t="s">
        <v>63</v>
      </c>
      <c r="C2993" t="s">
        <v>101</v>
      </c>
      <c r="D2993" t="s">
        <v>57</v>
      </c>
      <c r="E2993">
        <v>20</v>
      </c>
      <c r="F2993" s="3">
        <v>7.23</v>
      </c>
      <c r="G2993" s="4">
        <v>81.8</v>
      </c>
      <c r="H2993">
        <v>2</v>
      </c>
      <c r="I2993">
        <v>1</v>
      </c>
      <c r="J2993">
        <v>3</v>
      </c>
      <c r="K2993" s="4">
        <v>60.2</v>
      </c>
      <c r="L2993" s="4">
        <v>79.099999999999994</v>
      </c>
      <c r="M2993" s="4">
        <v>63.7</v>
      </c>
      <c r="N2993">
        <v>0</v>
      </c>
      <c r="O2993" t="s">
        <v>58</v>
      </c>
      <c r="P2993" t="s">
        <v>87</v>
      </c>
      <c r="Q2993" t="s">
        <v>71</v>
      </c>
      <c r="R2993" t="s">
        <v>85</v>
      </c>
      <c r="S2993" s="3">
        <v>7.19</v>
      </c>
      <c r="T2993" s="5">
        <v>45937</v>
      </c>
      <c r="U2993">
        <v>1</v>
      </c>
      <c r="V2993">
        <v>2025</v>
      </c>
      <c r="X2993">
        <f t="shared" si="138"/>
        <v>7.2297007000000004</v>
      </c>
      <c r="Y2993">
        <f t="shared" si="139"/>
        <v>7.1897007000000004</v>
      </c>
      <c r="Z2993">
        <f t="shared" si="140"/>
        <v>79.0997007</v>
      </c>
    </row>
    <row r="2994" spans="1:26" x14ac:dyDescent="0.3">
      <c r="A2994" t="s">
        <v>3084</v>
      </c>
      <c r="B2994" t="s">
        <v>107</v>
      </c>
      <c r="C2994" t="s">
        <v>101</v>
      </c>
      <c r="D2994" t="s">
        <v>69</v>
      </c>
      <c r="E2994">
        <v>23</v>
      </c>
      <c r="F2994" s="3">
        <v>8.6</v>
      </c>
      <c r="G2994" s="4">
        <v>82.8</v>
      </c>
      <c r="H2994">
        <v>1</v>
      </c>
      <c r="I2994">
        <v>2</v>
      </c>
      <c r="J2994">
        <v>3</v>
      </c>
      <c r="K2994" s="4">
        <v>68.599999999999994</v>
      </c>
      <c r="L2994" s="4">
        <v>72.599999999999994</v>
      </c>
      <c r="M2994" s="4">
        <v>77.8</v>
      </c>
      <c r="N2994">
        <v>1</v>
      </c>
      <c r="O2994" t="s">
        <v>58</v>
      </c>
      <c r="P2994" t="s">
        <v>70</v>
      </c>
      <c r="Q2994" t="s">
        <v>71</v>
      </c>
      <c r="R2994" t="s">
        <v>61</v>
      </c>
      <c r="S2994" s="3">
        <v>7.24</v>
      </c>
      <c r="T2994" s="5">
        <v>44448</v>
      </c>
      <c r="U2994">
        <v>1</v>
      </c>
      <c r="V2994">
        <v>2021</v>
      </c>
      <c r="X2994">
        <f t="shared" si="138"/>
        <v>8.5997006000000003</v>
      </c>
      <c r="Y2994">
        <f t="shared" si="139"/>
        <v>7.2397005999999999</v>
      </c>
      <c r="Z2994">
        <f t="shared" si="140"/>
        <v>72.599700599999991</v>
      </c>
    </row>
    <row r="2995" spans="1:26" x14ac:dyDescent="0.3">
      <c r="A2995" t="s">
        <v>3085</v>
      </c>
      <c r="B2995" t="s">
        <v>107</v>
      </c>
      <c r="C2995" t="s">
        <v>68</v>
      </c>
      <c r="D2995" t="s">
        <v>69</v>
      </c>
      <c r="E2995">
        <v>20</v>
      </c>
      <c r="F2995" s="3">
        <v>6.35</v>
      </c>
      <c r="G2995" s="4">
        <v>79.7</v>
      </c>
      <c r="H2995">
        <v>2</v>
      </c>
      <c r="I2995">
        <v>1</v>
      </c>
      <c r="J2995">
        <v>2</v>
      </c>
      <c r="K2995" s="4">
        <v>50</v>
      </c>
      <c r="L2995" s="4">
        <v>77.900000000000006</v>
      </c>
      <c r="M2995" s="4">
        <v>59.4</v>
      </c>
      <c r="N2995">
        <v>1</v>
      </c>
      <c r="O2995" t="s">
        <v>58</v>
      </c>
      <c r="P2995" t="s">
        <v>59</v>
      </c>
      <c r="Q2995" t="s">
        <v>60</v>
      </c>
      <c r="R2995" t="s">
        <v>61</v>
      </c>
      <c r="S2995" s="3">
        <v>19.2</v>
      </c>
      <c r="T2995" s="5">
        <v>44442</v>
      </c>
      <c r="U2995">
        <v>2</v>
      </c>
      <c r="V2995">
        <v>2021</v>
      </c>
      <c r="X2995">
        <f t="shared" si="138"/>
        <v>6.3497005</v>
      </c>
      <c r="Y2995">
        <f t="shared" si="139"/>
        <v>19.199700499999999</v>
      </c>
      <c r="Z2995">
        <f t="shared" si="140"/>
        <v>77.899700500000009</v>
      </c>
    </row>
    <row r="2996" spans="1:26" x14ac:dyDescent="0.3">
      <c r="A2996" t="s">
        <v>3086</v>
      </c>
      <c r="B2996" t="s">
        <v>107</v>
      </c>
      <c r="C2996" t="s">
        <v>68</v>
      </c>
      <c r="D2996" t="s">
        <v>57</v>
      </c>
      <c r="E2996">
        <v>21</v>
      </c>
      <c r="F2996" s="3">
        <v>7.8</v>
      </c>
      <c r="G2996" s="4">
        <v>76.5</v>
      </c>
      <c r="H2996">
        <v>1</v>
      </c>
      <c r="I2996">
        <v>3</v>
      </c>
      <c r="J2996">
        <v>4</v>
      </c>
      <c r="K2996" s="4">
        <v>61.3</v>
      </c>
      <c r="L2996" s="4">
        <v>100</v>
      </c>
      <c r="M2996" s="4">
        <v>79.099999999999994</v>
      </c>
      <c r="N2996">
        <v>0</v>
      </c>
      <c r="O2996" t="s">
        <v>58</v>
      </c>
      <c r="P2996" t="s">
        <v>104</v>
      </c>
      <c r="Q2996" t="s">
        <v>105</v>
      </c>
      <c r="R2996" t="s">
        <v>109</v>
      </c>
      <c r="S2996" s="3">
        <v>16.64</v>
      </c>
      <c r="T2996" s="5">
        <v>44528</v>
      </c>
      <c r="U2996">
        <v>2</v>
      </c>
      <c r="V2996">
        <v>2021</v>
      </c>
      <c r="X2996">
        <f t="shared" si="138"/>
        <v>7.7997003999999999</v>
      </c>
      <c r="Y2996">
        <f t="shared" si="139"/>
        <v>16.639700399999999</v>
      </c>
      <c r="Z2996">
        <f t="shared" si="140"/>
        <v>99.999700399999995</v>
      </c>
    </row>
    <row r="2997" spans="1:26" x14ac:dyDescent="0.3">
      <c r="A2997" t="s">
        <v>3087</v>
      </c>
      <c r="B2997" t="s">
        <v>55</v>
      </c>
      <c r="C2997" t="s">
        <v>56</v>
      </c>
      <c r="D2997" t="s">
        <v>69</v>
      </c>
      <c r="E2997">
        <v>22</v>
      </c>
      <c r="F2997" s="3">
        <v>6.56</v>
      </c>
      <c r="G2997" s="4">
        <v>78.5</v>
      </c>
      <c r="H2997">
        <v>0</v>
      </c>
      <c r="I2997">
        <v>2</v>
      </c>
      <c r="J2997">
        <v>3</v>
      </c>
      <c r="K2997" s="4">
        <v>76.400000000000006</v>
      </c>
      <c r="L2997" s="4">
        <v>66.099999999999994</v>
      </c>
      <c r="M2997" s="4">
        <v>74.5</v>
      </c>
      <c r="N2997">
        <v>0</v>
      </c>
      <c r="O2997" t="s">
        <v>64</v>
      </c>
      <c r="P2997" t="s">
        <v>65</v>
      </c>
      <c r="S2997" s="3">
        <v>0</v>
      </c>
      <c r="T2997" s="5"/>
      <c r="U2997">
        <v>0</v>
      </c>
      <c r="V2997">
        <v>2024</v>
      </c>
      <c r="X2997">
        <f t="shared" si="138"/>
        <v>6.5597002999999994</v>
      </c>
      <c r="Y2997">
        <f t="shared" si="139"/>
        <v>-2.9969999999999997E-4</v>
      </c>
      <c r="Z2997">
        <f t="shared" si="140"/>
        <v>66.099700299999995</v>
      </c>
    </row>
    <row r="2998" spans="1:26" x14ac:dyDescent="0.3">
      <c r="A2998" t="s">
        <v>3088</v>
      </c>
      <c r="B2998" t="s">
        <v>63</v>
      </c>
      <c r="C2998" t="s">
        <v>56</v>
      </c>
      <c r="D2998" t="s">
        <v>57</v>
      </c>
      <c r="E2998">
        <v>23</v>
      </c>
      <c r="F2998" s="3">
        <v>6.9</v>
      </c>
      <c r="G2998" s="4">
        <v>66.400000000000006</v>
      </c>
      <c r="H2998">
        <v>1</v>
      </c>
      <c r="I2998">
        <v>3</v>
      </c>
      <c r="J2998">
        <v>5</v>
      </c>
      <c r="K2998" s="4">
        <v>59.2</v>
      </c>
      <c r="L2998" s="4">
        <v>48.8</v>
      </c>
      <c r="M2998" s="4">
        <v>54.7</v>
      </c>
      <c r="N2998">
        <v>0</v>
      </c>
      <c r="O2998" t="s">
        <v>58</v>
      </c>
      <c r="P2998" t="s">
        <v>59</v>
      </c>
      <c r="Q2998" t="s">
        <v>60</v>
      </c>
      <c r="R2998" t="s">
        <v>80</v>
      </c>
      <c r="S2998" s="3">
        <v>18.899999999999999</v>
      </c>
      <c r="T2998" s="5">
        <v>45973</v>
      </c>
      <c r="U2998">
        <v>1</v>
      </c>
      <c r="V2998">
        <v>2025</v>
      </c>
      <c r="X2998">
        <f t="shared" si="138"/>
        <v>6.8997002000000007</v>
      </c>
      <c r="Y2998">
        <f t="shared" si="139"/>
        <v>18.899700199999998</v>
      </c>
      <c r="Z2998">
        <f t="shared" si="140"/>
        <v>48.799700199999997</v>
      </c>
    </row>
    <row r="2999" spans="1:26" x14ac:dyDescent="0.3">
      <c r="A2999" t="s">
        <v>3089</v>
      </c>
      <c r="B2999" t="s">
        <v>67</v>
      </c>
      <c r="C2999" t="s">
        <v>89</v>
      </c>
      <c r="D2999" t="s">
        <v>57</v>
      </c>
      <c r="E2999">
        <v>20</v>
      </c>
      <c r="F2999" s="3">
        <v>5.91</v>
      </c>
      <c r="G2999" s="4">
        <v>88.3</v>
      </c>
      <c r="H2999">
        <v>0</v>
      </c>
      <c r="I2999">
        <v>1</v>
      </c>
      <c r="J2999">
        <v>6</v>
      </c>
      <c r="K2999" s="4">
        <v>89.6</v>
      </c>
      <c r="L2999" s="4">
        <v>97.8</v>
      </c>
      <c r="M2999" s="4">
        <v>52.5</v>
      </c>
      <c r="N2999">
        <v>0</v>
      </c>
      <c r="O2999" t="s">
        <v>58</v>
      </c>
      <c r="P2999" t="s">
        <v>70</v>
      </c>
      <c r="Q2999" t="s">
        <v>71</v>
      </c>
      <c r="R2999" t="s">
        <v>85</v>
      </c>
      <c r="S2999" s="3">
        <v>5.13</v>
      </c>
      <c r="T2999" s="5">
        <v>45224</v>
      </c>
      <c r="U2999">
        <v>1</v>
      </c>
      <c r="V2999">
        <v>2023</v>
      </c>
      <c r="X2999">
        <f t="shared" si="138"/>
        <v>5.9097001000000002</v>
      </c>
      <c r="Y2999">
        <f t="shared" si="139"/>
        <v>5.1297001</v>
      </c>
      <c r="Z2999">
        <f t="shared" si="140"/>
        <v>97.799700099999995</v>
      </c>
    </row>
    <row r="3000" spans="1:26" x14ac:dyDescent="0.3">
      <c r="A3000" t="s">
        <v>3090</v>
      </c>
      <c r="B3000" t="s">
        <v>82</v>
      </c>
      <c r="C3000" t="s">
        <v>56</v>
      </c>
      <c r="D3000" t="s">
        <v>69</v>
      </c>
      <c r="E3000">
        <v>22</v>
      </c>
      <c r="F3000" s="3">
        <v>6.54</v>
      </c>
      <c r="G3000" s="4">
        <v>86.3</v>
      </c>
      <c r="H3000">
        <v>0</v>
      </c>
      <c r="I3000">
        <v>2</v>
      </c>
      <c r="J3000">
        <v>1</v>
      </c>
      <c r="K3000" s="4">
        <v>71.400000000000006</v>
      </c>
      <c r="L3000" s="4">
        <v>96.5</v>
      </c>
      <c r="M3000" s="4">
        <v>78</v>
      </c>
      <c r="N3000">
        <v>1</v>
      </c>
      <c r="O3000" t="s">
        <v>58</v>
      </c>
      <c r="P3000" t="s">
        <v>95</v>
      </c>
      <c r="Q3000" t="s">
        <v>93</v>
      </c>
      <c r="R3000" t="s">
        <v>85</v>
      </c>
      <c r="S3000" s="3">
        <v>5.63</v>
      </c>
      <c r="T3000" s="5">
        <v>44803</v>
      </c>
      <c r="U3000">
        <v>1</v>
      </c>
      <c r="V3000">
        <v>2022</v>
      </c>
      <c r="X3000">
        <f t="shared" si="138"/>
        <v>6.5396999999999998</v>
      </c>
      <c r="Y3000">
        <f t="shared" si="139"/>
        <v>5.6296999999999997</v>
      </c>
      <c r="Z3000">
        <f t="shared" si="140"/>
        <v>96.499700000000004</v>
      </c>
    </row>
    <row r="3001" spans="1:26" x14ac:dyDescent="0.3">
      <c r="A3001" t="s">
        <v>3091</v>
      </c>
      <c r="B3001" t="s">
        <v>55</v>
      </c>
      <c r="C3001" t="s">
        <v>68</v>
      </c>
      <c r="D3001" t="s">
        <v>57</v>
      </c>
      <c r="E3001">
        <v>23</v>
      </c>
      <c r="F3001" s="3">
        <v>6.53</v>
      </c>
      <c r="G3001" s="4">
        <v>100</v>
      </c>
      <c r="H3001">
        <v>2</v>
      </c>
      <c r="I3001">
        <v>2</v>
      </c>
      <c r="J3001">
        <v>6</v>
      </c>
      <c r="K3001" s="4">
        <v>79</v>
      </c>
      <c r="L3001" s="4">
        <v>78.099999999999994</v>
      </c>
      <c r="M3001" s="4">
        <v>60.2</v>
      </c>
      <c r="N3001">
        <v>0</v>
      </c>
      <c r="O3001" t="s">
        <v>58</v>
      </c>
      <c r="P3001" t="s">
        <v>59</v>
      </c>
      <c r="Q3001" t="s">
        <v>60</v>
      </c>
      <c r="R3001" t="s">
        <v>72</v>
      </c>
      <c r="S3001" s="3">
        <v>17.07</v>
      </c>
      <c r="T3001" s="5">
        <v>45523</v>
      </c>
      <c r="U3001">
        <v>3</v>
      </c>
      <c r="V3001">
        <v>2024</v>
      </c>
      <c r="X3001">
        <f t="shared" si="138"/>
        <v>6.5296999000000007</v>
      </c>
      <c r="Y3001">
        <f t="shared" si="139"/>
        <v>17.0696999</v>
      </c>
      <c r="Z3001">
        <f t="shared" si="140"/>
        <v>78.09969989999999</v>
      </c>
    </row>
    <row r="3002" spans="1:26" x14ac:dyDescent="0.3">
      <c r="A3002" t="s">
        <v>3092</v>
      </c>
      <c r="B3002" t="s">
        <v>67</v>
      </c>
      <c r="C3002" t="s">
        <v>84</v>
      </c>
      <c r="D3002" t="s">
        <v>57</v>
      </c>
      <c r="E3002">
        <v>22</v>
      </c>
      <c r="F3002" s="3">
        <v>6.42</v>
      </c>
      <c r="G3002" s="4">
        <v>71.2</v>
      </c>
      <c r="H3002">
        <v>1</v>
      </c>
      <c r="I3002">
        <v>0</v>
      </c>
      <c r="J3002">
        <v>3</v>
      </c>
      <c r="K3002" s="4">
        <v>65</v>
      </c>
      <c r="L3002" s="4">
        <v>62.6</v>
      </c>
      <c r="M3002" s="4">
        <v>68.5</v>
      </c>
      <c r="N3002">
        <v>0</v>
      </c>
      <c r="O3002" t="s">
        <v>64</v>
      </c>
      <c r="P3002" t="s">
        <v>65</v>
      </c>
      <c r="S3002" s="3">
        <v>0</v>
      </c>
      <c r="T3002" s="5"/>
      <c r="U3002">
        <v>0</v>
      </c>
      <c r="V3002">
        <v>2023</v>
      </c>
      <c r="X3002">
        <f t="shared" si="138"/>
        <v>6.4196998000000001</v>
      </c>
      <c r="Y3002">
        <f t="shared" si="139"/>
        <v>-3.0019999999999998E-4</v>
      </c>
      <c r="Z3002">
        <f t="shared" si="140"/>
        <v>62.599699800000003</v>
      </c>
    </row>
    <row r="3003" spans="1:26" x14ac:dyDescent="0.3">
      <c r="A3003" t="s">
        <v>3093</v>
      </c>
      <c r="B3003" t="s">
        <v>63</v>
      </c>
      <c r="C3003" t="s">
        <v>84</v>
      </c>
      <c r="D3003" t="s">
        <v>57</v>
      </c>
      <c r="E3003">
        <v>22</v>
      </c>
      <c r="F3003" s="3">
        <v>7.82</v>
      </c>
      <c r="G3003" s="4">
        <v>78.400000000000006</v>
      </c>
      <c r="H3003">
        <v>1</v>
      </c>
      <c r="I3003">
        <v>2</v>
      </c>
      <c r="J3003">
        <v>3</v>
      </c>
      <c r="K3003" s="4">
        <v>76.8</v>
      </c>
      <c r="L3003" s="4">
        <v>82.9</v>
      </c>
      <c r="M3003" s="4">
        <v>81.599999999999994</v>
      </c>
      <c r="N3003">
        <v>0</v>
      </c>
      <c r="O3003" t="s">
        <v>58</v>
      </c>
      <c r="P3003" t="s">
        <v>79</v>
      </c>
      <c r="Q3003" t="s">
        <v>71</v>
      </c>
      <c r="R3003" t="s">
        <v>72</v>
      </c>
      <c r="S3003" s="3">
        <v>6.49</v>
      </c>
      <c r="T3003" s="5">
        <v>45983</v>
      </c>
      <c r="U3003">
        <v>1</v>
      </c>
      <c r="V3003">
        <v>2025</v>
      </c>
      <c r="X3003">
        <f t="shared" si="138"/>
        <v>7.8196997000000001</v>
      </c>
      <c r="Y3003">
        <f t="shared" si="139"/>
        <v>6.4896997000000001</v>
      </c>
      <c r="Z3003">
        <f t="shared" si="140"/>
        <v>82.899699699999999</v>
      </c>
    </row>
    <row r="3004" spans="1:26" x14ac:dyDescent="0.3">
      <c r="A3004" t="s">
        <v>3094</v>
      </c>
      <c r="B3004" t="s">
        <v>107</v>
      </c>
      <c r="C3004" t="s">
        <v>56</v>
      </c>
      <c r="D3004" t="s">
        <v>69</v>
      </c>
      <c r="E3004">
        <v>21</v>
      </c>
      <c r="F3004" s="3">
        <v>6.06</v>
      </c>
      <c r="G3004" s="4">
        <v>92.5</v>
      </c>
      <c r="H3004">
        <v>1</v>
      </c>
      <c r="I3004">
        <v>1</v>
      </c>
      <c r="J3004">
        <v>5</v>
      </c>
      <c r="K3004" s="4">
        <v>52.2</v>
      </c>
      <c r="L3004" s="4">
        <v>70.5</v>
      </c>
      <c r="M3004" s="4">
        <v>73</v>
      </c>
      <c r="N3004">
        <v>0</v>
      </c>
      <c r="O3004" t="s">
        <v>58</v>
      </c>
      <c r="P3004" t="s">
        <v>104</v>
      </c>
      <c r="Q3004" t="s">
        <v>105</v>
      </c>
      <c r="R3004" t="s">
        <v>76</v>
      </c>
      <c r="S3004" s="3">
        <v>14.21</v>
      </c>
      <c r="T3004" s="5">
        <v>44470</v>
      </c>
      <c r="U3004">
        <v>3</v>
      </c>
      <c r="V3004">
        <v>2021</v>
      </c>
      <c r="X3004">
        <f t="shared" si="138"/>
        <v>6.0596995999999992</v>
      </c>
      <c r="Y3004">
        <f t="shared" si="139"/>
        <v>14.2096996</v>
      </c>
      <c r="Z3004">
        <f t="shared" si="140"/>
        <v>70.4996996</v>
      </c>
    </row>
    <row r="3005" spans="1:26" x14ac:dyDescent="0.3">
      <c r="A3005" t="s">
        <v>3095</v>
      </c>
      <c r="B3005" t="s">
        <v>63</v>
      </c>
      <c r="C3005" t="s">
        <v>89</v>
      </c>
      <c r="D3005" t="s">
        <v>69</v>
      </c>
      <c r="E3005">
        <v>22</v>
      </c>
      <c r="F3005" s="3">
        <v>7.92</v>
      </c>
      <c r="G3005" s="4">
        <v>85.2</v>
      </c>
      <c r="H3005">
        <v>1</v>
      </c>
      <c r="I3005">
        <v>1</v>
      </c>
      <c r="J3005">
        <v>4</v>
      </c>
      <c r="K3005" s="4">
        <v>73.900000000000006</v>
      </c>
      <c r="L3005" s="4">
        <v>65.400000000000006</v>
      </c>
      <c r="M3005" s="4">
        <v>68.900000000000006</v>
      </c>
      <c r="N3005">
        <v>1</v>
      </c>
      <c r="O3005" t="s">
        <v>58</v>
      </c>
      <c r="P3005" t="s">
        <v>90</v>
      </c>
      <c r="Q3005" t="s">
        <v>60</v>
      </c>
      <c r="R3005" t="s">
        <v>130</v>
      </c>
      <c r="S3005" s="3">
        <v>7.35</v>
      </c>
      <c r="T3005" s="5">
        <v>45931</v>
      </c>
      <c r="U3005">
        <v>2</v>
      </c>
      <c r="V3005">
        <v>2025</v>
      </c>
      <c r="X3005">
        <f t="shared" si="138"/>
        <v>7.9196995000000001</v>
      </c>
      <c r="Y3005">
        <f t="shared" si="139"/>
        <v>7.3496994999999998</v>
      </c>
      <c r="Z3005">
        <f t="shared" si="140"/>
        <v>65.399699500000011</v>
      </c>
    </row>
    <row r="3006" spans="1:26" x14ac:dyDescent="0.3">
      <c r="A3006" t="s">
        <v>3096</v>
      </c>
      <c r="B3006" t="s">
        <v>82</v>
      </c>
      <c r="C3006" t="s">
        <v>68</v>
      </c>
      <c r="D3006" t="s">
        <v>57</v>
      </c>
      <c r="E3006">
        <v>23</v>
      </c>
      <c r="F3006" s="3">
        <v>8.56</v>
      </c>
      <c r="G3006" s="4">
        <v>96.7</v>
      </c>
      <c r="H3006">
        <v>0</v>
      </c>
      <c r="I3006">
        <v>0</v>
      </c>
      <c r="J3006">
        <v>5</v>
      </c>
      <c r="K3006" s="4">
        <v>75.2</v>
      </c>
      <c r="L3006" s="4">
        <v>59.9</v>
      </c>
      <c r="M3006" s="4">
        <v>55.8</v>
      </c>
      <c r="N3006">
        <v>0</v>
      </c>
      <c r="O3006" t="s">
        <v>58</v>
      </c>
      <c r="P3006" t="s">
        <v>104</v>
      </c>
      <c r="Q3006" t="s">
        <v>105</v>
      </c>
      <c r="R3006" t="s">
        <v>61</v>
      </c>
      <c r="S3006" s="3">
        <v>13.37</v>
      </c>
      <c r="T3006" s="5">
        <v>44811</v>
      </c>
      <c r="U3006">
        <v>1</v>
      </c>
      <c r="V3006">
        <v>2022</v>
      </c>
      <c r="X3006">
        <f t="shared" si="138"/>
        <v>8.5596994000000013</v>
      </c>
      <c r="Y3006">
        <f t="shared" si="139"/>
        <v>13.3696994</v>
      </c>
      <c r="Z3006">
        <f t="shared" si="140"/>
        <v>59.899699399999996</v>
      </c>
    </row>
    <row r="3007" spans="1:26" x14ac:dyDescent="0.3">
      <c r="A3007" t="s">
        <v>3097</v>
      </c>
      <c r="B3007" t="s">
        <v>55</v>
      </c>
      <c r="C3007" t="s">
        <v>101</v>
      </c>
      <c r="D3007" t="s">
        <v>69</v>
      </c>
      <c r="E3007">
        <v>22</v>
      </c>
      <c r="F3007" s="3">
        <v>6.85</v>
      </c>
      <c r="G3007" s="4">
        <v>95.3</v>
      </c>
      <c r="H3007">
        <v>2</v>
      </c>
      <c r="I3007">
        <v>1</v>
      </c>
      <c r="J3007">
        <v>3</v>
      </c>
      <c r="K3007" s="4">
        <v>86</v>
      </c>
      <c r="L3007" s="4">
        <v>69.8</v>
      </c>
      <c r="M3007" s="4">
        <v>92</v>
      </c>
      <c r="N3007">
        <v>0</v>
      </c>
      <c r="O3007" t="s">
        <v>64</v>
      </c>
      <c r="P3007" t="s">
        <v>65</v>
      </c>
      <c r="S3007" s="3">
        <v>0</v>
      </c>
      <c r="T3007" s="5"/>
      <c r="U3007">
        <v>0</v>
      </c>
      <c r="V3007">
        <v>2024</v>
      </c>
      <c r="X3007">
        <f t="shared" si="138"/>
        <v>6.8496992999999993</v>
      </c>
      <c r="Y3007">
        <f t="shared" si="139"/>
        <v>-3.0069999999999999E-4</v>
      </c>
      <c r="Z3007">
        <f t="shared" si="140"/>
        <v>69.7996993</v>
      </c>
    </row>
    <row r="3008" spans="1:26" x14ac:dyDescent="0.3">
      <c r="A3008" t="s">
        <v>3098</v>
      </c>
      <c r="B3008" t="s">
        <v>55</v>
      </c>
      <c r="C3008" t="s">
        <v>74</v>
      </c>
      <c r="D3008" t="s">
        <v>57</v>
      </c>
      <c r="E3008">
        <v>23</v>
      </c>
      <c r="F3008" s="3">
        <v>7.57</v>
      </c>
      <c r="G3008" s="4">
        <v>60.1</v>
      </c>
      <c r="H3008">
        <v>2</v>
      </c>
      <c r="I3008">
        <v>4</v>
      </c>
      <c r="J3008">
        <v>6</v>
      </c>
      <c r="K3008" s="4">
        <v>39.9</v>
      </c>
      <c r="L3008" s="4">
        <v>78.2</v>
      </c>
      <c r="M3008" s="4">
        <v>83.7</v>
      </c>
      <c r="N3008">
        <v>0</v>
      </c>
      <c r="O3008" t="s">
        <v>58</v>
      </c>
      <c r="P3008" t="s">
        <v>70</v>
      </c>
      <c r="Q3008" t="s">
        <v>71</v>
      </c>
      <c r="R3008" t="s">
        <v>109</v>
      </c>
      <c r="S3008" s="3">
        <v>6.44</v>
      </c>
      <c r="T3008" s="5">
        <v>45536</v>
      </c>
      <c r="U3008">
        <v>1</v>
      </c>
      <c r="V3008">
        <v>2024</v>
      </c>
      <c r="X3008">
        <f t="shared" si="138"/>
        <v>7.5696992000000005</v>
      </c>
      <c r="Y3008">
        <f t="shared" si="139"/>
        <v>6.4396992000000006</v>
      </c>
      <c r="Z3008">
        <f t="shared" si="140"/>
        <v>78.199699199999998</v>
      </c>
    </row>
    <row r="3009" spans="1:26" x14ac:dyDescent="0.3">
      <c r="A3009" t="s">
        <v>3099</v>
      </c>
      <c r="B3009" t="s">
        <v>82</v>
      </c>
      <c r="C3009" t="s">
        <v>56</v>
      </c>
      <c r="D3009" t="s">
        <v>57</v>
      </c>
      <c r="E3009">
        <v>22</v>
      </c>
      <c r="F3009" s="3">
        <v>7.35</v>
      </c>
      <c r="G3009" s="4">
        <v>84.3</v>
      </c>
      <c r="H3009">
        <v>2</v>
      </c>
      <c r="I3009">
        <v>0</v>
      </c>
      <c r="J3009">
        <v>5</v>
      </c>
      <c r="K3009" s="4">
        <v>58.6</v>
      </c>
      <c r="L3009" s="4">
        <v>72.5</v>
      </c>
      <c r="M3009" s="4">
        <v>66.3</v>
      </c>
      <c r="N3009">
        <v>1</v>
      </c>
      <c r="O3009" t="s">
        <v>58</v>
      </c>
      <c r="P3009" t="s">
        <v>75</v>
      </c>
      <c r="Q3009" t="s">
        <v>71</v>
      </c>
      <c r="R3009" t="s">
        <v>85</v>
      </c>
      <c r="S3009" s="3">
        <v>5.92</v>
      </c>
      <c r="T3009" s="5">
        <v>44856</v>
      </c>
      <c r="U3009">
        <v>3</v>
      </c>
      <c r="V3009">
        <v>2022</v>
      </c>
      <c r="X3009">
        <f t="shared" si="138"/>
        <v>7.3496990999999996</v>
      </c>
      <c r="Y3009">
        <f t="shared" si="139"/>
        <v>5.9196990999999999</v>
      </c>
      <c r="Z3009">
        <f t="shared" si="140"/>
        <v>72.499699100000001</v>
      </c>
    </row>
    <row r="3010" spans="1:26" x14ac:dyDescent="0.3">
      <c r="A3010" t="s">
        <v>3100</v>
      </c>
      <c r="B3010" t="s">
        <v>67</v>
      </c>
      <c r="C3010" t="s">
        <v>56</v>
      </c>
      <c r="D3010" t="s">
        <v>69</v>
      </c>
      <c r="E3010">
        <v>20</v>
      </c>
      <c r="F3010" s="3">
        <v>7.28</v>
      </c>
      <c r="G3010" s="4">
        <v>84.4</v>
      </c>
      <c r="H3010">
        <v>0</v>
      </c>
      <c r="I3010">
        <v>3</v>
      </c>
      <c r="J3010">
        <v>3</v>
      </c>
      <c r="K3010" s="4">
        <v>43.1</v>
      </c>
      <c r="L3010" s="4">
        <v>83.3</v>
      </c>
      <c r="M3010" s="4">
        <v>63.2</v>
      </c>
      <c r="N3010">
        <v>2</v>
      </c>
      <c r="O3010" t="s">
        <v>64</v>
      </c>
      <c r="P3010" t="s">
        <v>65</v>
      </c>
      <c r="S3010" s="3">
        <v>0</v>
      </c>
      <c r="T3010" s="5"/>
      <c r="U3010">
        <v>0</v>
      </c>
      <c r="V3010">
        <v>2023</v>
      </c>
      <c r="X3010">
        <f t="shared" ref="X3010:X3073" si="141">F3010-ROW()*0.0000001</f>
        <v>7.2796989999999999</v>
      </c>
      <c r="Y3010">
        <f t="shared" ref="Y3010:Y3073" si="142">S3010-ROW()*0.0000001</f>
        <v>-3.01E-4</v>
      </c>
      <c r="Z3010">
        <f t="shared" ref="Z3010:Z3073" si="143">L3010-ROW()*0.0000001</f>
        <v>83.299699000000004</v>
      </c>
    </row>
    <row r="3011" spans="1:26" x14ac:dyDescent="0.3">
      <c r="A3011" t="s">
        <v>3101</v>
      </c>
      <c r="B3011" t="s">
        <v>67</v>
      </c>
      <c r="C3011" t="s">
        <v>74</v>
      </c>
      <c r="D3011" t="s">
        <v>69</v>
      </c>
      <c r="E3011">
        <v>21</v>
      </c>
      <c r="F3011" s="3">
        <v>5.35</v>
      </c>
      <c r="G3011" s="4">
        <v>81.8</v>
      </c>
      <c r="H3011">
        <v>1</v>
      </c>
      <c r="I3011">
        <v>1</v>
      </c>
      <c r="J3011">
        <v>6</v>
      </c>
      <c r="K3011" s="4">
        <v>56.2</v>
      </c>
      <c r="L3011" s="4">
        <v>66.7</v>
      </c>
      <c r="M3011" s="4">
        <v>67.3</v>
      </c>
      <c r="N3011">
        <v>1</v>
      </c>
      <c r="O3011" t="s">
        <v>58</v>
      </c>
      <c r="P3011" t="s">
        <v>87</v>
      </c>
      <c r="Q3011" t="s">
        <v>71</v>
      </c>
      <c r="R3011" t="s">
        <v>80</v>
      </c>
      <c r="S3011" s="3">
        <v>3.67</v>
      </c>
      <c r="T3011" s="5">
        <v>45163</v>
      </c>
      <c r="U3011">
        <v>2</v>
      </c>
      <c r="V3011">
        <v>2023</v>
      </c>
      <c r="X3011">
        <f t="shared" si="141"/>
        <v>5.3496988999999999</v>
      </c>
      <c r="Y3011">
        <f t="shared" si="142"/>
        <v>3.6696988999999998</v>
      </c>
      <c r="Z3011">
        <f t="shared" si="143"/>
        <v>66.699698900000001</v>
      </c>
    </row>
    <row r="3012" spans="1:26" x14ac:dyDescent="0.3">
      <c r="A3012" t="s">
        <v>3102</v>
      </c>
      <c r="B3012" t="s">
        <v>55</v>
      </c>
      <c r="C3012" t="s">
        <v>74</v>
      </c>
      <c r="D3012" t="s">
        <v>57</v>
      </c>
      <c r="E3012">
        <v>20</v>
      </c>
      <c r="F3012" s="3">
        <v>6.64</v>
      </c>
      <c r="G3012" s="4">
        <v>78.099999999999994</v>
      </c>
      <c r="H3012">
        <v>2</v>
      </c>
      <c r="I3012">
        <v>2</v>
      </c>
      <c r="J3012">
        <v>6</v>
      </c>
      <c r="K3012" s="4">
        <v>66.5</v>
      </c>
      <c r="L3012" s="4">
        <v>63.7</v>
      </c>
      <c r="M3012" s="4">
        <v>62.2</v>
      </c>
      <c r="N3012">
        <v>0</v>
      </c>
      <c r="O3012" t="s">
        <v>64</v>
      </c>
      <c r="P3012" t="s">
        <v>65</v>
      </c>
      <c r="S3012" s="3">
        <v>0</v>
      </c>
      <c r="T3012" s="5"/>
      <c r="U3012">
        <v>0</v>
      </c>
      <c r="V3012">
        <v>2024</v>
      </c>
      <c r="X3012">
        <f t="shared" si="141"/>
        <v>6.6396987999999997</v>
      </c>
      <c r="Y3012">
        <f t="shared" si="142"/>
        <v>-3.012E-4</v>
      </c>
      <c r="Z3012">
        <f t="shared" si="143"/>
        <v>63.6996988</v>
      </c>
    </row>
    <row r="3013" spans="1:26" x14ac:dyDescent="0.3">
      <c r="A3013" t="s">
        <v>3103</v>
      </c>
      <c r="B3013" t="s">
        <v>55</v>
      </c>
      <c r="C3013" t="s">
        <v>101</v>
      </c>
      <c r="D3013" t="s">
        <v>57</v>
      </c>
      <c r="E3013">
        <v>21</v>
      </c>
      <c r="F3013" s="3">
        <v>8.9700000000000006</v>
      </c>
      <c r="G3013" s="4">
        <v>96.1</v>
      </c>
      <c r="H3013">
        <v>0</v>
      </c>
      <c r="I3013">
        <v>2</v>
      </c>
      <c r="J3013">
        <v>3</v>
      </c>
      <c r="K3013" s="4">
        <v>76.3</v>
      </c>
      <c r="L3013" s="4">
        <v>75.8</v>
      </c>
      <c r="M3013" s="4">
        <v>70.400000000000006</v>
      </c>
      <c r="N3013">
        <v>0</v>
      </c>
      <c r="O3013" t="s">
        <v>64</v>
      </c>
      <c r="P3013" t="s">
        <v>65</v>
      </c>
      <c r="S3013" s="3">
        <v>0</v>
      </c>
      <c r="T3013" s="5"/>
      <c r="U3013">
        <v>0</v>
      </c>
      <c r="V3013">
        <v>2024</v>
      </c>
      <c r="X3013">
        <f t="shared" si="141"/>
        <v>8.9696987000000004</v>
      </c>
      <c r="Y3013">
        <f t="shared" si="142"/>
        <v>-3.0130000000000001E-4</v>
      </c>
      <c r="Z3013">
        <f t="shared" si="143"/>
        <v>75.799698699999993</v>
      </c>
    </row>
    <row r="3014" spans="1:26" x14ac:dyDescent="0.3">
      <c r="A3014" t="s">
        <v>3104</v>
      </c>
      <c r="B3014" t="s">
        <v>107</v>
      </c>
      <c r="C3014" t="s">
        <v>78</v>
      </c>
      <c r="D3014" t="s">
        <v>69</v>
      </c>
      <c r="E3014">
        <v>23</v>
      </c>
      <c r="F3014" s="3">
        <v>7.94</v>
      </c>
      <c r="G3014" s="4">
        <v>81.8</v>
      </c>
      <c r="H3014">
        <v>0</v>
      </c>
      <c r="I3014">
        <v>4</v>
      </c>
      <c r="J3014">
        <v>4</v>
      </c>
      <c r="K3014" s="4">
        <v>99.5</v>
      </c>
      <c r="L3014" s="4">
        <v>71.3</v>
      </c>
      <c r="M3014" s="4">
        <v>87.4</v>
      </c>
      <c r="N3014">
        <v>0</v>
      </c>
      <c r="O3014" t="s">
        <v>64</v>
      </c>
      <c r="P3014" t="s">
        <v>65</v>
      </c>
      <c r="S3014" s="3">
        <v>0</v>
      </c>
      <c r="T3014" s="5"/>
      <c r="U3014">
        <v>0</v>
      </c>
      <c r="V3014">
        <v>2021</v>
      </c>
      <c r="X3014">
        <f t="shared" si="141"/>
        <v>7.9396986000000007</v>
      </c>
      <c r="Y3014">
        <f t="shared" si="142"/>
        <v>-3.0140000000000001E-4</v>
      </c>
      <c r="Z3014">
        <f t="shared" si="143"/>
        <v>71.299698599999999</v>
      </c>
    </row>
    <row r="3015" spans="1:26" x14ac:dyDescent="0.3">
      <c r="A3015" t="s">
        <v>3105</v>
      </c>
      <c r="B3015" t="s">
        <v>67</v>
      </c>
      <c r="C3015" t="s">
        <v>74</v>
      </c>
      <c r="D3015" t="s">
        <v>69</v>
      </c>
      <c r="E3015">
        <v>21</v>
      </c>
      <c r="F3015" s="3">
        <v>7.43</v>
      </c>
      <c r="G3015" s="4">
        <v>55</v>
      </c>
      <c r="H3015">
        <v>2</v>
      </c>
      <c r="I3015">
        <v>3</v>
      </c>
      <c r="J3015">
        <v>5</v>
      </c>
      <c r="K3015" s="4">
        <v>86.9</v>
      </c>
      <c r="L3015" s="4">
        <v>92.3</v>
      </c>
      <c r="M3015" s="4">
        <v>86.1</v>
      </c>
      <c r="N3015">
        <v>0</v>
      </c>
      <c r="O3015" t="s">
        <v>64</v>
      </c>
      <c r="P3015" t="s">
        <v>65</v>
      </c>
      <c r="S3015" s="3">
        <v>0</v>
      </c>
      <c r="T3015" s="5"/>
      <c r="U3015">
        <v>0</v>
      </c>
      <c r="V3015">
        <v>2023</v>
      </c>
      <c r="X3015">
        <f t="shared" si="141"/>
        <v>7.4296984999999998</v>
      </c>
      <c r="Y3015">
        <f t="shared" si="142"/>
        <v>-3.0150000000000001E-4</v>
      </c>
      <c r="Z3015">
        <f t="shared" si="143"/>
        <v>92.299698499999991</v>
      </c>
    </row>
    <row r="3016" spans="1:26" x14ac:dyDescent="0.3">
      <c r="A3016" t="s">
        <v>3106</v>
      </c>
      <c r="B3016" t="s">
        <v>82</v>
      </c>
      <c r="C3016" t="s">
        <v>68</v>
      </c>
      <c r="D3016" t="s">
        <v>69</v>
      </c>
      <c r="E3016">
        <v>22</v>
      </c>
      <c r="F3016" s="3">
        <v>5.83</v>
      </c>
      <c r="G3016" s="4">
        <v>78</v>
      </c>
      <c r="H3016">
        <v>2</v>
      </c>
      <c r="I3016">
        <v>5</v>
      </c>
      <c r="J3016">
        <v>5</v>
      </c>
      <c r="K3016" s="4">
        <v>61.2</v>
      </c>
      <c r="L3016" s="4">
        <v>64.8</v>
      </c>
      <c r="M3016" s="4">
        <v>86.1</v>
      </c>
      <c r="N3016">
        <v>0</v>
      </c>
      <c r="O3016" t="s">
        <v>58</v>
      </c>
      <c r="P3016" t="s">
        <v>95</v>
      </c>
      <c r="Q3016" t="s">
        <v>93</v>
      </c>
      <c r="R3016" t="s">
        <v>61</v>
      </c>
      <c r="S3016" s="3">
        <v>4.91</v>
      </c>
      <c r="T3016" s="5">
        <v>44782</v>
      </c>
      <c r="U3016">
        <v>1</v>
      </c>
      <c r="V3016">
        <v>2022</v>
      </c>
      <c r="X3016">
        <f t="shared" si="141"/>
        <v>5.8296983999999998</v>
      </c>
      <c r="Y3016">
        <f t="shared" si="142"/>
        <v>4.9096983999999999</v>
      </c>
      <c r="Z3016">
        <f t="shared" si="143"/>
        <v>64.799698399999997</v>
      </c>
    </row>
    <row r="3017" spans="1:26" x14ac:dyDescent="0.3">
      <c r="A3017" t="s">
        <v>3107</v>
      </c>
      <c r="B3017" t="s">
        <v>67</v>
      </c>
      <c r="C3017" t="s">
        <v>56</v>
      </c>
      <c r="D3017" t="s">
        <v>57</v>
      </c>
      <c r="E3017">
        <v>22</v>
      </c>
      <c r="F3017" s="3">
        <v>8.18</v>
      </c>
      <c r="G3017" s="4">
        <v>100</v>
      </c>
      <c r="H3017">
        <v>1</v>
      </c>
      <c r="I3017">
        <v>3</v>
      </c>
      <c r="J3017">
        <v>1</v>
      </c>
      <c r="K3017" s="4">
        <v>78.099999999999994</v>
      </c>
      <c r="L3017" s="4">
        <v>62.5</v>
      </c>
      <c r="M3017" s="4">
        <v>58.4</v>
      </c>
      <c r="N3017">
        <v>3</v>
      </c>
      <c r="O3017" t="s">
        <v>58</v>
      </c>
      <c r="P3017" t="s">
        <v>87</v>
      </c>
      <c r="Q3017" t="s">
        <v>71</v>
      </c>
      <c r="R3017" t="s">
        <v>130</v>
      </c>
      <c r="S3017" s="3">
        <v>5.46</v>
      </c>
      <c r="T3017" s="5">
        <v>45175</v>
      </c>
      <c r="U3017">
        <v>1</v>
      </c>
      <c r="V3017">
        <v>2023</v>
      </c>
      <c r="X3017">
        <f t="shared" si="141"/>
        <v>8.1796983000000001</v>
      </c>
      <c r="Y3017">
        <f t="shared" si="142"/>
        <v>5.4596983000000003</v>
      </c>
      <c r="Z3017">
        <f t="shared" si="143"/>
        <v>62.499698299999999</v>
      </c>
    </row>
    <row r="3018" spans="1:26" x14ac:dyDescent="0.3">
      <c r="A3018" t="s">
        <v>3108</v>
      </c>
      <c r="B3018" t="s">
        <v>107</v>
      </c>
      <c r="C3018" t="s">
        <v>84</v>
      </c>
      <c r="D3018" t="s">
        <v>69</v>
      </c>
      <c r="E3018">
        <v>20</v>
      </c>
      <c r="F3018" s="3">
        <v>6.83</v>
      </c>
      <c r="G3018" s="4">
        <v>71.900000000000006</v>
      </c>
      <c r="H3018">
        <v>0</v>
      </c>
      <c r="I3018">
        <v>1</v>
      </c>
      <c r="J3018">
        <v>4</v>
      </c>
      <c r="K3018" s="4">
        <v>85.2</v>
      </c>
      <c r="L3018" s="4">
        <v>67.5</v>
      </c>
      <c r="M3018" s="4">
        <v>61.6</v>
      </c>
      <c r="N3018">
        <v>1</v>
      </c>
      <c r="O3018" t="s">
        <v>58</v>
      </c>
      <c r="P3018" t="s">
        <v>92</v>
      </c>
      <c r="Q3018" t="s">
        <v>93</v>
      </c>
      <c r="R3018" t="s">
        <v>85</v>
      </c>
      <c r="S3018" s="3">
        <v>8</v>
      </c>
      <c r="T3018" s="5">
        <v>44425</v>
      </c>
      <c r="U3018">
        <v>1</v>
      </c>
      <c r="V3018">
        <v>2021</v>
      </c>
      <c r="X3018">
        <f t="shared" si="141"/>
        <v>6.8296982000000002</v>
      </c>
      <c r="Y3018">
        <f t="shared" si="142"/>
        <v>7.9996982000000001</v>
      </c>
      <c r="Z3018">
        <f t="shared" si="143"/>
        <v>67.499698199999997</v>
      </c>
    </row>
    <row r="3019" spans="1:26" x14ac:dyDescent="0.3">
      <c r="A3019" t="s">
        <v>3109</v>
      </c>
      <c r="B3019" t="s">
        <v>55</v>
      </c>
      <c r="C3019" t="s">
        <v>84</v>
      </c>
      <c r="D3019" t="s">
        <v>69</v>
      </c>
      <c r="E3019">
        <v>21</v>
      </c>
      <c r="F3019" s="3">
        <v>6.54</v>
      </c>
      <c r="G3019" s="4">
        <v>93</v>
      </c>
      <c r="H3019">
        <v>1</v>
      </c>
      <c r="I3019">
        <v>5</v>
      </c>
      <c r="J3019">
        <v>6</v>
      </c>
      <c r="K3019" s="4">
        <v>66.599999999999994</v>
      </c>
      <c r="L3019" s="4">
        <v>63.8</v>
      </c>
      <c r="M3019" s="4">
        <v>85.5</v>
      </c>
      <c r="N3019">
        <v>0</v>
      </c>
      <c r="O3019" t="s">
        <v>58</v>
      </c>
      <c r="P3019" t="s">
        <v>87</v>
      </c>
      <c r="Q3019" t="s">
        <v>71</v>
      </c>
      <c r="R3019" t="s">
        <v>61</v>
      </c>
      <c r="S3019" s="3">
        <v>5.73</v>
      </c>
      <c r="T3019" s="5">
        <v>45618</v>
      </c>
      <c r="U3019">
        <v>1</v>
      </c>
      <c r="V3019">
        <v>2024</v>
      </c>
      <c r="X3019">
        <f t="shared" si="141"/>
        <v>6.5396980999999998</v>
      </c>
      <c r="Y3019">
        <f t="shared" si="142"/>
        <v>5.7296981000000002</v>
      </c>
      <c r="Z3019">
        <f t="shared" si="143"/>
        <v>63.799698100000001</v>
      </c>
    </row>
    <row r="3020" spans="1:26" x14ac:dyDescent="0.3">
      <c r="A3020" t="s">
        <v>3110</v>
      </c>
      <c r="B3020" t="s">
        <v>55</v>
      </c>
      <c r="C3020" t="s">
        <v>84</v>
      </c>
      <c r="D3020" t="s">
        <v>57</v>
      </c>
      <c r="E3020">
        <v>23</v>
      </c>
      <c r="F3020" s="3">
        <v>6.63</v>
      </c>
      <c r="G3020" s="4">
        <v>91.4</v>
      </c>
      <c r="H3020">
        <v>1</v>
      </c>
      <c r="I3020">
        <v>5</v>
      </c>
      <c r="J3020">
        <v>3</v>
      </c>
      <c r="K3020" s="4">
        <v>67.099999999999994</v>
      </c>
      <c r="L3020" s="4">
        <v>60.5</v>
      </c>
      <c r="M3020" s="4">
        <v>79.400000000000006</v>
      </c>
      <c r="N3020">
        <v>0</v>
      </c>
      <c r="O3020" t="s">
        <v>58</v>
      </c>
      <c r="P3020" t="s">
        <v>90</v>
      </c>
      <c r="Q3020" t="s">
        <v>60</v>
      </c>
      <c r="R3020" t="s">
        <v>85</v>
      </c>
      <c r="S3020" s="3">
        <v>6.16</v>
      </c>
      <c r="T3020" s="5">
        <v>45539</v>
      </c>
      <c r="U3020">
        <v>1</v>
      </c>
      <c r="V3020">
        <v>2024</v>
      </c>
      <c r="X3020">
        <f t="shared" si="141"/>
        <v>6.6296980000000003</v>
      </c>
      <c r="Y3020">
        <f t="shared" si="142"/>
        <v>6.1596980000000006</v>
      </c>
      <c r="Z3020">
        <f t="shared" si="143"/>
        <v>60.499698000000002</v>
      </c>
    </row>
    <row r="3021" spans="1:26" x14ac:dyDescent="0.3">
      <c r="A3021" t="s">
        <v>3111</v>
      </c>
      <c r="B3021" t="s">
        <v>107</v>
      </c>
      <c r="C3021" t="s">
        <v>101</v>
      </c>
      <c r="D3021" t="s">
        <v>69</v>
      </c>
      <c r="E3021">
        <v>23</v>
      </c>
      <c r="F3021" s="3">
        <v>8.11</v>
      </c>
      <c r="G3021" s="4">
        <v>79.7</v>
      </c>
      <c r="H3021">
        <v>1</v>
      </c>
      <c r="I3021">
        <v>0</v>
      </c>
      <c r="J3021">
        <v>5</v>
      </c>
      <c r="K3021" s="4">
        <v>64.8</v>
      </c>
      <c r="L3021" s="4">
        <v>45.5</v>
      </c>
      <c r="M3021" s="4">
        <v>68.8</v>
      </c>
      <c r="N3021">
        <v>0</v>
      </c>
      <c r="O3021" t="s">
        <v>58</v>
      </c>
      <c r="P3021" t="s">
        <v>79</v>
      </c>
      <c r="Q3021" t="s">
        <v>71</v>
      </c>
      <c r="R3021" t="s">
        <v>109</v>
      </c>
      <c r="S3021" s="3">
        <v>5.3</v>
      </c>
      <c r="T3021" s="5">
        <v>44523</v>
      </c>
      <c r="U3021">
        <v>1</v>
      </c>
      <c r="V3021">
        <v>2021</v>
      </c>
      <c r="X3021">
        <f t="shared" si="141"/>
        <v>8.1096978999999987</v>
      </c>
      <c r="Y3021">
        <f t="shared" si="142"/>
        <v>5.2996979</v>
      </c>
      <c r="Z3021">
        <f t="shared" si="143"/>
        <v>45.499697900000001</v>
      </c>
    </row>
    <row r="3022" spans="1:26" x14ac:dyDescent="0.3">
      <c r="A3022" t="s">
        <v>3112</v>
      </c>
      <c r="B3022" t="s">
        <v>82</v>
      </c>
      <c r="C3022" t="s">
        <v>56</v>
      </c>
      <c r="D3022" t="s">
        <v>69</v>
      </c>
      <c r="E3022">
        <v>22</v>
      </c>
      <c r="F3022" s="3">
        <v>7.59</v>
      </c>
      <c r="G3022" s="4">
        <v>83.7</v>
      </c>
      <c r="H3022">
        <v>1</v>
      </c>
      <c r="I3022">
        <v>4</v>
      </c>
      <c r="J3022">
        <v>4</v>
      </c>
      <c r="K3022" s="4">
        <v>74.8</v>
      </c>
      <c r="L3022" s="4">
        <v>52.7</v>
      </c>
      <c r="M3022" s="4">
        <v>82.5</v>
      </c>
      <c r="N3022">
        <v>0</v>
      </c>
      <c r="O3022" t="s">
        <v>58</v>
      </c>
      <c r="P3022" t="s">
        <v>87</v>
      </c>
      <c r="Q3022" t="s">
        <v>71</v>
      </c>
      <c r="R3022" t="s">
        <v>130</v>
      </c>
      <c r="S3022" s="3">
        <v>5.71</v>
      </c>
      <c r="T3022" s="5">
        <v>44884</v>
      </c>
      <c r="U3022">
        <v>1</v>
      </c>
      <c r="V3022">
        <v>2022</v>
      </c>
      <c r="X3022">
        <f t="shared" si="141"/>
        <v>7.5896977999999997</v>
      </c>
      <c r="Y3022">
        <f t="shared" si="142"/>
        <v>5.7096977999999998</v>
      </c>
      <c r="Z3022">
        <f t="shared" si="143"/>
        <v>52.699697800000003</v>
      </c>
    </row>
    <row r="3023" spans="1:26" x14ac:dyDescent="0.3">
      <c r="A3023" t="s">
        <v>3113</v>
      </c>
      <c r="B3023" t="s">
        <v>55</v>
      </c>
      <c r="C3023" t="s">
        <v>56</v>
      </c>
      <c r="D3023" t="s">
        <v>69</v>
      </c>
      <c r="E3023">
        <v>23</v>
      </c>
      <c r="F3023" s="3">
        <v>8.43</v>
      </c>
      <c r="G3023" s="4">
        <v>81.400000000000006</v>
      </c>
      <c r="H3023">
        <v>1</v>
      </c>
      <c r="I3023">
        <v>2</v>
      </c>
      <c r="J3023">
        <v>3</v>
      </c>
      <c r="K3023" s="4">
        <v>73.8</v>
      </c>
      <c r="L3023" s="4">
        <v>68.2</v>
      </c>
      <c r="M3023" s="4">
        <v>80.099999999999994</v>
      </c>
      <c r="N3023">
        <v>1</v>
      </c>
      <c r="O3023" t="s">
        <v>58</v>
      </c>
      <c r="P3023" t="s">
        <v>95</v>
      </c>
      <c r="Q3023" t="s">
        <v>93</v>
      </c>
      <c r="R3023" t="s">
        <v>76</v>
      </c>
      <c r="S3023" s="3">
        <v>6.53</v>
      </c>
      <c r="T3023" s="5">
        <v>45617</v>
      </c>
      <c r="U3023">
        <v>3</v>
      </c>
      <c r="V3023">
        <v>2024</v>
      </c>
      <c r="X3023">
        <f t="shared" si="141"/>
        <v>8.4296977000000002</v>
      </c>
      <c r="Y3023">
        <f t="shared" si="142"/>
        <v>6.5296976999999998</v>
      </c>
      <c r="Z3023">
        <f t="shared" si="143"/>
        <v>68.199697700000002</v>
      </c>
    </row>
    <row r="3024" spans="1:26" x14ac:dyDescent="0.3">
      <c r="A3024" t="s">
        <v>3114</v>
      </c>
      <c r="B3024" t="s">
        <v>63</v>
      </c>
      <c r="C3024" t="s">
        <v>89</v>
      </c>
      <c r="D3024" t="s">
        <v>69</v>
      </c>
      <c r="E3024">
        <v>22</v>
      </c>
      <c r="F3024" s="3">
        <v>8.66</v>
      </c>
      <c r="G3024" s="4">
        <v>77.3</v>
      </c>
      <c r="H3024">
        <v>2</v>
      </c>
      <c r="I3024">
        <v>4</v>
      </c>
      <c r="J3024">
        <v>2</v>
      </c>
      <c r="K3024" s="4">
        <v>70</v>
      </c>
      <c r="L3024" s="4">
        <v>50.4</v>
      </c>
      <c r="M3024" s="4">
        <v>55.6</v>
      </c>
      <c r="N3024">
        <v>2</v>
      </c>
      <c r="O3024" t="s">
        <v>58</v>
      </c>
      <c r="P3024" t="s">
        <v>70</v>
      </c>
      <c r="Q3024" t="s">
        <v>71</v>
      </c>
      <c r="R3024" t="s">
        <v>61</v>
      </c>
      <c r="S3024" s="3">
        <v>6.87</v>
      </c>
      <c r="T3024" s="5">
        <v>45974</v>
      </c>
      <c r="U3024">
        <v>1</v>
      </c>
      <c r="V3024">
        <v>2025</v>
      </c>
      <c r="X3024">
        <f t="shared" si="141"/>
        <v>8.6596975999999994</v>
      </c>
      <c r="Y3024">
        <f t="shared" si="142"/>
        <v>6.8696976000000003</v>
      </c>
      <c r="Z3024">
        <f t="shared" si="143"/>
        <v>50.399697599999996</v>
      </c>
    </row>
    <row r="3025" spans="1:26" x14ac:dyDescent="0.3">
      <c r="A3025" t="s">
        <v>3115</v>
      </c>
      <c r="B3025" t="s">
        <v>55</v>
      </c>
      <c r="C3025" t="s">
        <v>84</v>
      </c>
      <c r="D3025" t="s">
        <v>69</v>
      </c>
      <c r="E3025">
        <v>22</v>
      </c>
      <c r="F3025" s="3">
        <v>6.98</v>
      </c>
      <c r="G3025" s="4">
        <v>76</v>
      </c>
      <c r="H3025">
        <v>2</v>
      </c>
      <c r="I3025">
        <v>4</v>
      </c>
      <c r="J3025">
        <v>5</v>
      </c>
      <c r="K3025" s="4">
        <v>92.3</v>
      </c>
      <c r="L3025" s="4">
        <v>78.5</v>
      </c>
      <c r="M3025" s="4">
        <v>46.9</v>
      </c>
      <c r="N3025">
        <v>0</v>
      </c>
      <c r="O3025" t="s">
        <v>58</v>
      </c>
      <c r="P3025" t="s">
        <v>104</v>
      </c>
      <c r="Q3025" t="s">
        <v>105</v>
      </c>
      <c r="R3025" t="s">
        <v>130</v>
      </c>
      <c r="S3025" s="3">
        <v>16.78</v>
      </c>
      <c r="T3025" s="5">
        <v>45598</v>
      </c>
      <c r="U3025">
        <v>3</v>
      </c>
      <c r="V3025">
        <v>2024</v>
      </c>
      <c r="X3025">
        <f t="shared" si="141"/>
        <v>6.9796975000000003</v>
      </c>
      <c r="Y3025">
        <f t="shared" si="142"/>
        <v>16.779697500000001</v>
      </c>
      <c r="Z3025">
        <f t="shared" si="143"/>
        <v>78.499697499999996</v>
      </c>
    </row>
    <row r="3026" spans="1:26" x14ac:dyDescent="0.3">
      <c r="A3026" t="s">
        <v>3116</v>
      </c>
      <c r="B3026" t="s">
        <v>63</v>
      </c>
      <c r="C3026" t="s">
        <v>56</v>
      </c>
      <c r="D3026" t="s">
        <v>69</v>
      </c>
      <c r="E3026">
        <v>22</v>
      </c>
      <c r="F3026" s="3">
        <v>7.61</v>
      </c>
      <c r="G3026" s="4">
        <v>94.8</v>
      </c>
      <c r="H3026">
        <v>2</v>
      </c>
      <c r="I3026">
        <v>4</v>
      </c>
      <c r="J3026">
        <v>3</v>
      </c>
      <c r="K3026" s="4">
        <v>82</v>
      </c>
      <c r="L3026" s="4">
        <v>75.5</v>
      </c>
      <c r="M3026" s="4">
        <v>73.8</v>
      </c>
      <c r="N3026">
        <v>0</v>
      </c>
      <c r="O3026" t="s">
        <v>64</v>
      </c>
      <c r="P3026" t="s">
        <v>65</v>
      </c>
      <c r="S3026" s="3">
        <v>0</v>
      </c>
      <c r="T3026" s="5"/>
      <c r="U3026">
        <v>0</v>
      </c>
      <c r="V3026">
        <v>2025</v>
      </c>
      <c r="X3026">
        <f t="shared" si="141"/>
        <v>7.6096973999999999</v>
      </c>
      <c r="Y3026">
        <f t="shared" si="142"/>
        <v>-3.0259999999999998E-4</v>
      </c>
      <c r="Z3026">
        <f t="shared" si="143"/>
        <v>75.499697400000002</v>
      </c>
    </row>
    <row r="3027" spans="1:26" x14ac:dyDescent="0.3">
      <c r="A3027" t="s">
        <v>3117</v>
      </c>
      <c r="B3027" t="s">
        <v>107</v>
      </c>
      <c r="C3027" t="s">
        <v>56</v>
      </c>
      <c r="D3027" t="s">
        <v>57</v>
      </c>
      <c r="E3027">
        <v>20</v>
      </c>
      <c r="F3027" s="3">
        <v>7.38</v>
      </c>
      <c r="G3027" s="4">
        <v>80.400000000000006</v>
      </c>
      <c r="H3027">
        <v>1</v>
      </c>
      <c r="I3027">
        <v>4</v>
      </c>
      <c r="J3027">
        <v>3</v>
      </c>
      <c r="K3027" s="4">
        <v>45.3</v>
      </c>
      <c r="L3027" s="4">
        <v>60</v>
      </c>
      <c r="M3027" s="4">
        <v>48.1</v>
      </c>
      <c r="N3027">
        <v>0</v>
      </c>
      <c r="O3027" t="s">
        <v>58</v>
      </c>
      <c r="P3027" t="s">
        <v>59</v>
      </c>
      <c r="Q3027" t="s">
        <v>60</v>
      </c>
      <c r="R3027" t="s">
        <v>76</v>
      </c>
      <c r="S3027" s="3">
        <v>18.72</v>
      </c>
      <c r="T3027" s="5">
        <v>44412</v>
      </c>
      <c r="U3027">
        <v>1</v>
      </c>
      <c r="V3027">
        <v>2021</v>
      </c>
      <c r="X3027">
        <f t="shared" si="141"/>
        <v>7.3796973000000001</v>
      </c>
      <c r="Y3027">
        <f t="shared" si="142"/>
        <v>18.7196973</v>
      </c>
      <c r="Z3027">
        <f t="shared" si="143"/>
        <v>59.999697300000001</v>
      </c>
    </row>
    <row r="3028" spans="1:26" x14ac:dyDescent="0.3">
      <c r="A3028" t="s">
        <v>3118</v>
      </c>
      <c r="B3028" t="s">
        <v>107</v>
      </c>
      <c r="C3028" t="s">
        <v>101</v>
      </c>
      <c r="D3028" t="s">
        <v>69</v>
      </c>
      <c r="E3028">
        <v>20</v>
      </c>
      <c r="F3028" s="3">
        <v>6.42</v>
      </c>
      <c r="G3028" s="4">
        <v>75.099999999999994</v>
      </c>
      <c r="H3028">
        <v>1</v>
      </c>
      <c r="I3028">
        <v>0</v>
      </c>
      <c r="J3028">
        <v>4</v>
      </c>
      <c r="K3028" s="4">
        <v>42.8</v>
      </c>
      <c r="L3028" s="4">
        <v>69.2</v>
      </c>
      <c r="M3028" s="4">
        <v>87.1</v>
      </c>
      <c r="N3028">
        <v>0</v>
      </c>
      <c r="O3028" t="s">
        <v>58</v>
      </c>
      <c r="P3028" t="s">
        <v>59</v>
      </c>
      <c r="Q3028" t="s">
        <v>60</v>
      </c>
      <c r="R3028" t="s">
        <v>76</v>
      </c>
      <c r="S3028" s="3">
        <v>17.75</v>
      </c>
      <c r="T3028" s="5">
        <v>44449</v>
      </c>
      <c r="U3028">
        <v>1</v>
      </c>
      <c r="V3028">
        <v>2021</v>
      </c>
      <c r="X3028">
        <f t="shared" si="141"/>
        <v>6.4196971999999999</v>
      </c>
      <c r="Y3028">
        <f t="shared" si="142"/>
        <v>17.7496972</v>
      </c>
      <c r="Z3028">
        <f t="shared" si="143"/>
        <v>69.199697200000003</v>
      </c>
    </row>
    <row r="3029" spans="1:26" x14ac:dyDescent="0.3">
      <c r="A3029" t="s">
        <v>3119</v>
      </c>
      <c r="B3029" t="s">
        <v>55</v>
      </c>
      <c r="C3029" t="s">
        <v>56</v>
      </c>
      <c r="D3029" t="s">
        <v>69</v>
      </c>
      <c r="E3029">
        <v>22</v>
      </c>
      <c r="F3029" s="3">
        <v>6.55</v>
      </c>
      <c r="G3029" s="4">
        <v>86.9</v>
      </c>
      <c r="H3029">
        <v>0</v>
      </c>
      <c r="I3029">
        <v>0</v>
      </c>
      <c r="J3029">
        <v>4</v>
      </c>
      <c r="K3029" s="4">
        <v>73.8</v>
      </c>
      <c r="L3029" s="4">
        <v>67.099999999999994</v>
      </c>
      <c r="M3029" s="4">
        <v>80.099999999999994</v>
      </c>
      <c r="N3029">
        <v>0</v>
      </c>
      <c r="O3029" t="s">
        <v>64</v>
      </c>
      <c r="P3029" t="s">
        <v>65</v>
      </c>
      <c r="S3029" s="3">
        <v>0</v>
      </c>
      <c r="T3029" s="5"/>
      <c r="U3029">
        <v>0</v>
      </c>
      <c r="V3029">
        <v>2024</v>
      </c>
      <c r="X3029">
        <f t="shared" si="141"/>
        <v>6.5496970999999995</v>
      </c>
      <c r="Y3029">
        <f t="shared" si="142"/>
        <v>-3.0289999999999999E-4</v>
      </c>
      <c r="Z3029">
        <f t="shared" si="143"/>
        <v>67.0996971</v>
      </c>
    </row>
    <row r="3030" spans="1:26" x14ac:dyDescent="0.3">
      <c r="A3030" t="s">
        <v>3120</v>
      </c>
      <c r="B3030" t="s">
        <v>67</v>
      </c>
      <c r="C3030" t="s">
        <v>68</v>
      </c>
      <c r="D3030" t="s">
        <v>69</v>
      </c>
      <c r="E3030">
        <v>22</v>
      </c>
      <c r="F3030" s="3">
        <v>7.5</v>
      </c>
      <c r="G3030" s="4">
        <v>85.8</v>
      </c>
      <c r="H3030">
        <v>1</v>
      </c>
      <c r="I3030">
        <v>0</v>
      </c>
      <c r="J3030">
        <v>3</v>
      </c>
      <c r="K3030" s="4">
        <v>66.599999999999994</v>
      </c>
      <c r="L3030" s="4">
        <v>42.9</v>
      </c>
      <c r="M3030" s="4">
        <v>69.599999999999994</v>
      </c>
      <c r="N3030">
        <v>1</v>
      </c>
      <c r="O3030" t="s">
        <v>58</v>
      </c>
      <c r="P3030" t="s">
        <v>92</v>
      </c>
      <c r="Q3030" t="s">
        <v>93</v>
      </c>
      <c r="R3030" t="s">
        <v>130</v>
      </c>
      <c r="S3030" s="3">
        <v>7.06</v>
      </c>
      <c r="T3030" s="5">
        <v>45226</v>
      </c>
      <c r="U3030">
        <v>1</v>
      </c>
      <c r="V3030">
        <v>2023</v>
      </c>
      <c r="X3030">
        <f t="shared" si="141"/>
        <v>7.4996970000000003</v>
      </c>
      <c r="Y3030">
        <f t="shared" si="142"/>
        <v>7.0596969999999999</v>
      </c>
      <c r="Z3030">
        <f t="shared" si="143"/>
        <v>42.899696999999996</v>
      </c>
    </row>
    <row r="3031" spans="1:26" x14ac:dyDescent="0.3">
      <c r="A3031" t="s">
        <v>3121</v>
      </c>
      <c r="B3031" t="s">
        <v>63</v>
      </c>
      <c r="C3031" t="s">
        <v>78</v>
      </c>
      <c r="D3031" t="s">
        <v>57</v>
      </c>
      <c r="E3031">
        <v>22</v>
      </c>
      <c r="F3031" s="3">
        <v>7.6</v>
      </c>
      <c r="G3031" s="4">
        <v>68.599999999999994</v>
      </c>
      <c r="H3031">
        <v>3</v>
      </c>
      <c r="I3031">
        <v>0</v>
      </c>
      <c r="J3031">
        <v>4</v>
      </c>
      <c r="K3031" s="4">
        <v>43.5</v>
      </c>
      <c r="L3031" s="4">
        <v>76.7</v>
      </c>
      <c r="M3031" s="4">
        <v>59.2</v>
      </c>
      <c r="N3031">
        <v>0</v>
      </c>
      <c r="O3031" t="s">
        <v>58</v>
      </c>
      <c r="P3031" t="s">
        <v>59</v>
      </c>
      <c r="Q3031" t="s">
        <v>60</v>
      </c>
      <c r="R3031" t="s">
        <v>80</v>
      </c>
      <c r="S3031" s="3">
        <v>20.95</v>
      </c>
      <c r="T3031" s="5">
        <v>45872</v>
      </c>
      <c r="U3031">
        <v>1</v>
      </c>
      <c r="V3031">
        <v>2025</v>
      </c>
      <c r="X3031">
        <f t="shared" si="141"/>
        <v>7.5996968999999996</v>
      </c>
      <c r="Y3031">
        <f t="shared" si="142"/>
        <v>20.949696899999999</v>
      </c>
      <c r="Z3031">
        <f t="shared" si="143"/>
        <v>76.699696900000006</v>
      </c>
    </row>
    <row r="3032" spans="1:26" x14ac:dyDescent="0.3">
      <c r="A3032" t="s">
        <v>3122</v>
      </c>
      <c r="B3032" t="s">
        <v>82</v>
      </c>
      <c r="C3032" t="s">
        <v>56</v>
      </c>
      <c r="D3032" t="s">
        <v>57</v>
      </c>
      <c r="E3032">
        <v>23</v>
      </c>
      <c r="F3032" s="3">
        <v>7.6</v>
      </c>
      <c r="G3032" s="4">
        <v>76.2</v>
      </c>
      <c r="H3032">
        <v>2</v>
      </c>
      <c r="I3032">
        <v>1</v>
      </c>
      <c r="J3032">
        <v>4</v>
      </c>
      <c r="K3032" s="4">
        <v>41.4</v>
      </c>
      <c r="L3032" s="4">
        <v>61</v>
      </c>
      <c r="M3032" s="4">
        <v>62.8</v>
      </c>
      <c r="N3032">
        <v>0</v>
      </c>
      <c r="O3032" t="s">
        <v>58</v>
      </c>
      <c r="P3032" t="s">
        <v>87</v>
      </c>
      <c r="Q3032" t="s">
        <v>71</v>
      </c>
      <c r="R3032" t="s">
        <v>72</v>
      </c>
      <c r="S3032" s="3">
        <v>5.57</v>
      </c>
      <c r="T3032" s="5">
        <v>44782</v>
      </c>
      <c r="U3032">
        <v>1</v>
      </c>
      <c r="V3032">
        <v>2022</v>
      </c>
      <c r="X3032">
        <f t="shared" si="141"/>
        <v>7.5996967999999994</v>
      </c>
      <c r="Y3032">
        <f t="shared" si="142"/>
        <v>5.5696968</v>
      </c>
      <c r="Z3032">
        <f t="shared" si="143"/>
        <v>60.999696800000002</v>
      </c>
    </row>
    <row r="3033" spans="1:26" x14ac:dyDescent="0.3">
      <c r="A3033" t="s">
        <v>3123</v>
      </c>
      <c r="B3033" t="s">
        <v>55</v>
      </c>
      <c r="C3033" t="s">
        <v>56</v>
      </c>
      <c r="D3033" t="s">
        <v>57</v>
      </c>
      <c r="E3033">
        <v>22</v>
      </c>
      <c r="F3033" s="3">
        <v>7.6</v>
      </c>
      <c r="G3033" s="4">
        <v>66.7</v>
      </c>
      <c r="H3033">
        <v>0</v>
      </c>
      <c r="I3033">
        <v>3</v>
      </c>
      <c r="J3033">
        <v>2</v>
      </c>
      <c r="K3033" s="4">
        <v>64.5</v>
      </c>
      <c r="L3033" s="4">
        <v>55.4</v>
      </c>
      <c r="M3033" s="4">
        <v>37.700000000000003</v>
      </c>
      <c r="N3033">
        <v>0</v>
      </c>
      <c r="O3033" t="s">
        <v>64</v>
      </c>
      <c r="P3033" t="s">
        <v>65</v>
      </c>
      <c r="S3033" s="3">
        <v>0</v>
      </c>
      <c r="T3033" s="5"/>
      <c r="U3033">
        <v>0</v>
      </c>
      <c r="V3033">
        <v>2024</v>
      </c>
      <c r="X3033">
        <f t="shared" si="141"/>
        <v>7.5996967</v>
      </c>
      <c r="Y3033">
        <f t="shared" si="142"/>
        <v>-3.033E-4</v>
      </c>
      <c r="Z3033">
        <f t="shared" si="143"/>
        <v>55.3996967</v>
      </c>
    </row>
    <row r="3034" spans="1:26" x14ac:dyDescent="0.3">
      <c r="A3034" t="s">
        <v>3124</v>
      </c>
      <c r="B3034" t="s">
        <v>82</v>
      </c>
      <c r="C3034" t="s">
        <v>78</v>
      </c>
      <c r="D3034" t="s">
        <v>69</v>
      </c>
      <c r="E3034">
        <v>22</v>
      </c>
      <c r="F3034" s="3">
        <v>6.92</v>
      </c>
      <c r="G3034" s="4">
        <v>100</v>
      </c>
      <c r="H3034">
        <v>1</v>
      </c>
      <c r="I3034">
        <v>1</v>
      </c>
      <c r="J3034">
        <v>4</v>
      </c>
      <c r="K3034" s="4">
        <v>71.599999999999994</v>
      </c>
      <c r="L3034" s="4">
        <v>80.2</v>
      </c>
      <c r="M3034" s="4">
        <v>90.7</v>
      </c>
      <c r="N3034">
        <v>1</v>
      </c>
      <c r="O3034" t="s">
        <v>58</v>
      </c>
      <c r="P3034" t="s">
        <v>95</v>
      </c>
      <c r="Q3034" t="s">
        <v>93</v>
      </c>
      <c r="R3034" t="s">
        <v>130</v>
      </c>
      <c r="S3034" s="3">
        <v>5.99</v>
      </c>
      <c r="T3034" s="5">
        <v>44869</v>
      </c>
      <c r="U3034">
        <v>2</v>
      </c>
      <c r="V3034">
        <v>2022</v>
      </c>
      <c r="X3034">
        <f t="shared" si="141"/>
        <v>6.9196966</v>
      </c>
      <c r="Y3034">
        <f t="shared" si="142"/>
        <v>5.9896966000000003</v>
      </c>
      <c r="Z3034">
        <f t="shared" si="143"/>
        <v>80.199696599999996</v>
      </c>
    </row>
    <row r="3035" spans="1:26" x14ac:dyDescent="0.3">
      <c r="A3035" t="s">
        <v>3125</v>
      </c>
      <c r="B3035" t="s">
        <v>55</v>
      </c>
      <c r="C3035" t="s">
        <v>89</v>
      </c>
      <c r="D3035" t="s">
        <v>69</v>
      </c>
      <c r="E3035">
        <v>21</v>
      </c>
      <c r="F3035" s="3">
        <v>9.56</v>
      </c>
      <c r="G3035" s="4">
        <v>78.7</v>
      </c>
      <c r="H3035">
        <v>0</v>
      </c>
      <c r="I3035">
        <v>3</v>
      </c>
      <c r="J3035">
        <v>4</v>
      </c>
      <c r="K3035" s="4">
        <v>72.099999999999994</v>
      </c>
      <c r="L3035" s="4">
        <v>73.599999999999994</v>
      </c>
      <c r="M3035" s="4">
        <v>76.3</v>
      </c>
      <c r="N3035">
        <v>0</v>
      </c>
      <c r="O3035" t="s">
        <v>58</v>
      </c>
      <c r="P3035" t="s">
        <v>70</v>
      </c>
      <c r="Q3035" t="s">
        <v>71</v>
      </c>
      <c r="R3035" t="s">
        <v>85</v>
      </c>
      <c r="S3035" s="3">
        <v>5.86</v>
      </c>
      <c r="T3035" s="5">
        <v>45611</v>
      </c>
      <c r="U3035">
        <v>2</v>
      </c>
      <c r="V3035">
        <v>2024</v>
      </c>
      <c r="X3035">
        <f t="shared" si="141"/>
        <v>9.5596965000000012</v>
      </c>
      <c r="Y3035">
        <f t="shared" si="142"/>
        <v>5.8596965000000001</v>
      </c>
      <c r="Z3035">
        <f t="shared" si="143"/>
        <v>73.599696499999993</v>
      </c>
    </row>
    <row r="3036" spans="1:26" x14ac:dyDescent="0.3">
      <c r="A3036" t="s">
        <v>3126</v>
      </c>
      <c r="B3036" t="s">
        <v>67</v>
      </c>
      <c r="C3036" t="s">
        <v>84</v>
      </c>
      <c r="D3036" t="s">
        <v>57</v>
      </c>
      <c r="E3036">
        <v>21</v>
      </c>
      <c r="F3036" s="3">
        <v>7.86</v>
      </c>
      <c r="G3036" s="4">
        <v>75.900000000000006</v>
      </c>
      <c r="H3036">
        <v>1</v>
      </c>
      <c r="I3036">
        <v>3</v>
      </c>
      <c r="J3036">
        <v>2</v>
      </c>
      <c r="K3036" s="4">
        <v>59.5</v>
      </c>
      <c r="L3036" s="4">
        <v>83.7</v>
      </c>
      <c r="M3036" s="4">
        <v>71.8</v>
      </c>
      <c r="N3036">
        <v>1</v>
      </c>
      <c r="O3036" t="s">
        <v>58</v>
      </c>
      <c r="P3036" t="s">
        <v>95</v>
      </c>
      <c r="Q3036" t="s">
        <v>93</v>
      </c>
      <c r="R3036" t="s">
        <v>80</v>
      </c>
      <c r="S3036" s="3">
        <v>7.26</v>
      </c>
      <c r="T3036" s="5">
        <v>45254</v>
      </c>
      <c r="U3036">
        <v>1</v>
      </c>
      <c r="V3036">
        <v>2023</v>
      </c>
      <c r="X3036">
        <f t="shared" si="141"/>
        <v>7.8596964000000007</v>
      </c>
      <c r="Y3036">
        <f t="shared" si="142"/>
        <v>7.2596964000000002</v>
      </c>
      <c r="Z3036">
        <f t="shared" si="143"/>
        <v>83.699696400000008</v>
      </c>
    </row>
    <row r="3037" spans="1:26" x14ac:dyDescent="0.3">
      <c r="A3037" t="s">
        <v>3127</v>
      </c>
      <c r="B3037" t="s">
        <v>67</v>
      </c>
      <c r="C3037" t="s">
        <v>74</v>
      </c>
      <c r="D3037" t="s">
        <v>57</v>
      </c>
      <c r="E3037">
        <v>21</v>
      </c>
      <c r="F3037" s="3">
        <v>7.13</v>
      </c>
      <c r="G3037" s="4">
        <v>77.5</v>
      </c>
      <c r="H3037">
        <v>1</v>
      </c>
      <c r="I3037">
        <v>2</v>
      </c>
      <c r="J3037">
        <v>5</v>
      </c>
      <c r="K3037" s="4">
        <v>60.2</v>
      </c>
      <c r="L3037" s="4">
        <v>68.2</v>
      </c>
      <c r="M3037" s="4">
        <v>96</v>
      </c>
      <c r="N3037">
        <v>0</v>
      </c>
      <c r="O3037" t="s">
        <v>58</v>
      </c>
      <c r="P3037" t="s">
        <v>59</v>
      </c>
      <c r="Q3037" t="s">
        <v>60</v>
      </c>
      <c r="R3037" t="s">
        <v>76</v>
      </c>
      <c r="S3037" s="3">
        <v>18.13</v>
      </c>
      <c r="T3037" s="5">
        <v>45199</v>
      </c>
      <c r="U3037">
        <v>3</v>
      </c>
      <c r="V3037">
        <v>2023</v>
      </c>
      <c r="X3037">
        <f t="shared" si="141"/>
        <v>7.1296963</v>
      </c>
      <c r="Y3037">
        <f t="shared" si="142"/>
        <v>18.129696299999999</v>
      </c>
      <c r="Z3037">
        <f t="shared" si="143"/>
        <v>68.199696299999999</v>
      </c>
    </row>
    <row r="3038" spans="1:26" x14ac:dyDescent="0.3">
      <c r="A3038" t="s">
        <v>3128</v>
      </c>
      <c r="B3038" t="s">
        <v>67</v>
      </c>
      <c r="C3038" t="s">
        <v>56</v>
      </c>
      <c r="D3038" t="s">
        <v>57</v>
      </c>
      <c r="E3038">
        <v>21</v>
      </c>
      <c r="F3038" s="3">
        <v>8.01</v>
      </c>
      <c r="G3038" s="4">
        <v>75.2</v>
      </c>
      <c r="H3038">
        <v>1</v>
      </c>
      <c r="I3038">
        <v>2</v>
      </c>
      <c r="J3038">
        <v>4</v>
      </c>
      <c r="K3038" s="4">
        <v>61</v>
      </c>
      <c r="L3038" s="4">
        <v>73.2</v>
      </c>
      <c r="M3038" s="4">
        <v>62.6</v>
      </c>
      <c r="N3038">
        <v>0</v>
      </c>
      <c r="O3038" t="s">
        <v>58</v>
      </c>
      <c r="P3038" t="s">
        <v>75</v>
      </c>
      <c r="Q3038" t="s">
        <v>71</v>
      </c>
      <c r="R3038" t="s">
        <v>72</v>
      </c>
      <c r="S3038" s="3">
        <v>6.91</v>
      </c>
      <c r="T3038" s="5">
        <v>45242</v>
      </c>
      <c r="U3038">
        <v>1</v>
      </c>
      <c r="V3038">
        <v>2023</v>
      </c>
      <c r="X3038">
        <f t="shared" si="141"/>
        <v>8.0096962000000005</v>
      </c>
      <c r="Y3038">
        <f t="shared" si="142"/>
        <v>6.9096962</v>
      </c>
      <c r="Z3038">
        <f t="shared" si="143"/>
        <v>73.199696200000005</v>
      </c>
    </row>
    <row r="3039" spans="1:26" x14ac:dyDescent="0.3">
      <c r="A3039" t="s">
        <v>3129</v>
      </c>
      <c r="B3039" t="s">
        <v>67</v>
      </c>
      <c r="C3039" t="s">
        <v>78</v>
      </c>
      <c r="D3039" t="s">
        <v>57</v>
      </c>
      <c r="E3039">
        <v>22</v>
      </c>
      <c r="F3039" s="3">
        <v>6.88</v>
      </c>
      <c r="G3039" s="4">
        <v>80.400000000000006</v>
      </c>
      <c r="H3039">
        <v>1</v>
      </c>
      <c r="I3039">
        <v>1</v>
      </c>
      <c r="J3039">
        <v>2</v>
      </c>
      <c r="K3039" s="4">
        <v>74.900000000000006</v>
      </c>
      <c r="L3039" s="4">
        <v>82</v>
      </c>
      <c r="M3039" s="4">
        <v>71.599999999999994</v>
      </c>
      <c r="N3039">
        <v>1</v>
      </c>
      <c r="O3039" t="s">
        <v>58</v>
      </c>
      <c r="P3039" t="s">
        <v>59</v>
      </c>
      <c r="Q3039" t="s">
        <v>60</v>
      </c>
      <c r="R3039" t="s">
        <v>72</v>
      </c>
      <c r="S3039" s="3">
        <v>18.48</v>
      </c>
      <c r="T3039" s="5">
        <v>45231</v>
      </c>
      <c r="U3039">
        <v>2</v>
      </c>
      <c r="V3039">
        <v>2023</v>
      </c>
      <c r="X3039">
        <f t="shared" si="141"/>
        <v>6.8796961000000003</v>
      </c>
      <c r="Y3039">
        <f t="shared" si="142"/>
        <v>18.479696100000002</v>
      </c>
      <c r="Z3039">
        <f t="shared" si="143"/>
        <v>81.999696099999994</v>
      </c>
    </row>
    <row r="3040" spans="1:26" x14ac:dyDescent="0.3">
      <c r="A3040" t="s">
        <v>3130</v>
      </c>
      <c r="B3040" t="s">
        <v>107</v>
      </c>
      <c r="C3040" t="s">
        <v>68</v>
      </c>
      <c r="D3040" t="s">
        <v>69</v>
      </c>
      <c r="E3040">
        <v>21</v>
      </c>
      <c r="F3040" s="3">
        <v>7.67</v>
      </c>
      <c r="G3040" s="4">
        <v>93.1</v>
      </c>
      <c r="H3040">
        <v>0</v>
      </c>
      <c r="I3040">
        <v>0</v>
      </c>
      <c r="J3040">
        <v>3</v>
      </c>
      <c r="K3040" s="4">
        <v>46.6</v>
      </c>
      <c r="L3040" s="4">
        <v>95.1</v>
      </c>
      <c r="M3040" s="4">
        <v>65.7</v>
      </c>
      <c r="N3040">
        <v>0</v>
      </c>
      <c r="O3040" t="s">
        <v>58</v>
      </c>
      <c r="P3040" t="s">
        <v>87</v>
      </c>
      <c r="Q3040" t="s">
        <v>71</v>
      </c>
      <c r="R3040" t="s">
        <v>72</v>
      </c>
      <c r="S3040" s="3">
        <v>5.07</v>
      </c>
      <c r="T3040" s="5">
        <v>44506</v>
      </c>
      <c r="U3040">
        <v>1</v>
      </c>
      <c r="V3040">
        <v>2021</v>
      </c>
      <c r="X3040">
        <f t="shared" si="141"/>
        <v>7.6696960000000001</v>
      </c>
      <c r="Y3040">
        <f t="shared" si="142"/>
        <v>5.0696960000000004</v>
      </c>
      <c r="Z3040">
        <f t="shared" si="143"/>
        <v>95.099695999999994</v>
      </c>
    </row>
    <row r="3041" spans="1:26" x14ac:dyDescent="0.3">
      <c r="A3041" t="s">
        <v>3131</v>
      </c>
      <c r="B3041" t="s">
        <v>107</v>
      </c>
      <c r="C3041" t="s">
        <v>56</v>
      </c>
      <c r="D3041" t="s">
        <v>57</v>
      </c>
      <c r="E3041">
        <v>23</v>
      </c>
      <c r="F3041" s="3">
        <v>8.01</v>
      </c>
      <c r="G3041" s="4">
        <v>82.9</v>
      </c>
      <c r="H3041">
        <v>2</v>
      </c>
      <c r="I3041">
        <v>2</v>
      </c>
      <c r="J3041">
        <v>3</v>
      </c>
      <c r="K3041" s="4">
        <v>68.3</v>
      </c>
      <c r="L3041" s="4">
        <v>65.3</v>
      </c>
      <c r="M3041" s="4">
        <v>99</v>
      </c>
      <c r="N3041">
        <v>3</v>
      </c>
      <c r="O3041" t="s">
        <v>64</v>
      </c>
      <c r="P3041" t="s">
        <v>65</v>
      </c>
      <c r="S3041" s="3">
        <v>0</v>
      </c>
      <c r="T3041" s="5"/>
      <c r="U3041">
        <v>0</v>
      </c>
      <c r="V3041">
        <v>2021</v>
      </c>
      <c r="X3041">
        <f t="shared" si="141"/>
        <v>8.0096959000000005</v>
      </c>
      <c r="Y3041">
        <f t="shared" si="142"/>
        <v>-3.0409999999999996E-4</v>
      </c>
      <c r="Z3041">
        <f t="shared" si="143"/>
        <v>65.299695900000003</v>
      </c>
    </row>
    <row r="3042" spans="1:26" x14ac:dyDescent="0.3">
      <c r="A3042" t="s">
        <v>3132</v>
      </c>
      <c r="B3042" t="s">
        <v>63</v>
      </c>
      <c r="C3042" t="s">
        <v>101</v>
      </c>
      <c r="D3042" t="s">
        <v>57</v>
      </c>
      <c r="E3042">
        <v>23</v>
      </c>
      <c r="F3042" s="3">
        <v>8.15</v>
      </c>
      <c r="G3042" s="4">
        <v>69.5</v>
      </c>
      <c r="H3042">
        <v>1</v>
      </c>
      <c r="I3042">
        <v>3</v>
      </c>
      <c r="J3042">
        <v>1</v>
      </c>
      <c r="K3042" s="4">
        <v>82.3</v>
      </c>
      <c r="L3042" s="4">
        <v>73.7</v>
      </c>
      <c r="M3042" s="4">
        <v>70.5</v>
      </c>
      <c r="N3042">
        <v>0</v>
      </c>
      <c r="O3042" t="s">
        <v>58</v>
      </c>
      <c r="P3042" t="s">
        <v>59</v>
      </c>
      <c r="Q3042" t="s">
        <v>60</v>
      </c>
      <c r="R3042" t="s">
        <v>61</v>
      </c>
      <c r="S3042" s="3">
        <v>18.47</v>
      </c>
      <c r="T3042" s="5">
        <v>45988</v>
      </c>
      <c r="U3042">
        <v>1</v>
      </c>
      <c r="V3042">
        <v>2025</v>
      </c>
      <c r="X3042">
        <f t="shared" si="141"/>
        <v>8.1496957999999999</v>
      </c>
      <c r="Y3042">
        <f t="shared" si="142"/>
        <v>18.4696958</v>
      </c>
      <c r="Z3042">
        <f t="shared" si="143"/>
        <v>73.699695800000001</v>
      </c>
    </row>
    <row r="3043" spans="1:26" x14ac:dyDescent="0.3">
      <c r="A3043" t="s">
        <v>3133</v>
      </c>
      <c r="B3043" t="s">
        <v>82</v>
      </c>
      <c r="C3043" t="s">
        <v>56</v>
      </c>
      <c r="D3043" t="s">
        <v>57</v>
      </c>
      <c r="E3043">
        <v>21</v>
      </c>
      <c r="F3043" s="3">
        <v>6.52</v>
      </c>
      <c r="G3043" s="4">
        <v>71.7</v>
      </c>
      <c r="H3043">
        <v>2</v>
      </c>
      <c r="I3043">
        <v>2</v>
      </c>
      <c r="J3043">
        <v>1</v>
      </c>
      <c r="K3043" s="4">
        <v>63.1</v>
      </c>
      <c r="L3043" s="4">
        <v>78.599999999999994</v>
      </c>
      <c r="M3043" s="4">
        <v>76.2</v>
      </c>
      <c r="N3043">
        <v>0</v>
      </c>
      <c r="O3043" t="s">
        <v>64</v>
      </c>
      <c r="P3043" t="s">
        <v>65</v>
      </c>
      <c r="S3043" s="3">
        <v>0</v>
      </c>
      <c r="T3043" s="5"/>
      <c r="U3043">
        <v>0</v>
      </c>
      <c r="V3043">
        <v>2022</v>
      </c>
      <c r="X3043">
        <f t="shared" si="141"/>
        <v>6.5196956999999998</v>
      </c>
      <c r="Y3043">
        <f t="shared" si="142"/>
        <v>-3.0429999999999997E-4</v>
      </c>
      <c r="Z3043">
        <f t="shared" si="143"/>
        <v>78.599695699999998</v>
      </c>
    </row>
    <row r="3044" spans="1:26" x14ac:dyDescent="0.3">
      <c r="A3044" t="s">
        <v>3134</v>
      </c>
      <c r="B3044" t="s">
        <v>55</v>
      </c>
      <c r="C3044" t="s">
        <v>74</v>
      </c>
      <c r="D3044" t="s">
        <v>57</v>
      </c>
      <c r="E3044">
        <v>20</v>
      </c>
      <c r="F3044" s="3">
        <v>10</v>
      </c>
      <c r="G3044" s="4">
        <v>83.6</v>
      </c>
      <c r="H3044">
        <v>1</v>
      </c>
      <c r="I3044">
        <v>3</v>
      </c>
      <c r="J3044">
        <v>2</v>
      </c>
      <c r="K3044" s="4">
        <v>70.2</v>
      </c>
      <c r="L3044" s="4">
        <v>78.5</v>
      </c>
      <c r="M3044" s="4">
        <v>93.4</v>
      </c>
      <c r="N3044">
        <v>0</v>
      </c>
      <c r="O3044" t="s">
        <v>58</v>
      </c>
      <c r="P3044" t="s">
        <v>92</v>
      </c>
      <c r="Q3044" t="s">
        <v>93</v>
      </c>
      <c r="R3044" t="s">
        <v>76</v>
      </c>
      <c r="S3044" s="3">
        <v>11.53</v>
      </c>
      <c r="T3044" s="5">
        <v>45525</v>
      </c>
      <c r="U3044">
        <v>2</v>
      </c>
      <c r="V3044">
        <v>2024</v>
      </c>
      <c r="X3044">
        <f t="shared" si="141"/>
        <v>9.9996956000000008</v>
      </c>
      <c r="Y3044">
        <f t="shared" si="142"/>
        <v>11.5296956</v>
      </c>
      <c r="Z3044">
        <f t="shared" si="143"/>
        <v>78.499695599999995</v>
      </c>
    </row>
    <row r="3045" spans="1:26" x14ac:dyDescent="0.3">
      <c r="A3045" t="s">
        <v>3135</v>
      </c>
      <c r="B3045" t="s">
        <v>55</v>
      </c>
      <c r="C3045" t="s">
        <v>56</v>
      </c>
      <c r="D3045" t="s">
        <v>69</v>
      </c>
      <c r="E3045">
        <v>23</v>
      </c>
      <c r="F3045" s="3">
        <v>8.7100000000000009</v>
      </c>
      <c r="G3045" s="4">
        <v>74.5</v>
      </c>
      <c r="H3045">
        <v>2</v>
      </c>
      <c r="I3045">
        <v>1</v>
      </c>
      <c r="J3045">
        <v>4</v>
      </c>
      <c r="K3045" s="4">
        <v>73.8</v>
      </c>
      <c r="L3045" s="4">
        <v>62.3</v>
      </c>
      <c r="M3045" s="4">
        <v>87</v>
      </c>
      <c r="N3045">
        <v>3</v>
      </c>
      <c r="O3045" t="s">
        <v>58</v>
      </c>
      <c r="P3045" t="s">
        <v>95</v>
      </c>
      <c r="Q3045" t="s">
        <v>93</v>
      </c>
      <c r="R3045" t="s">
        <v>61</v>
      </c>
      <c r="S3045" s="3">
        <v>6.91</v>
      </c>
      <c r="T3045" s="5">
        <v>45529</v>
      </c>
      <c r="U3045">
        <v>1</v>
      </c>
      <c r="V3045">
        <v>2024</v>
      </c>
      <c r="X3045">
        <f t="shared" si="141"/>
        <v>8.7096955000000005</v>
      </c>
      <c r="Y3045">
        <f t="shared" si="142"/>
        <v>6.9096954999999998</v>
      </c>
      <c r="Z3045">
        <f t="shared" si="143"/>
        <v>62.299695499999999</v>
      </c>
    </row>
    <row r="3046" spans="1:26" x14ac:dyDescent="0.3">
      <c r="A3046" t="s">
        <v>3136</v>
      </c>
      <c r="B3046" t="s">
        <v>107</v>
      </c>
      <c r="C3046" t="s">
        <v>74</v>
      </c>
      <c r="D3046" t="s">
        <v>57</v>
      </c>
      <c r="E3046">
        <v>23</v>
      </c>
      <c r="F3046" s="3">
        <v>9.48</v>
      </c>
      <c r="G3046" s="4">
        <v>80.3</v>
      </c>
      <c r="H3046">
        <v>1</v>
      </c>
      <c r="I3046">
        <v>0</v>
      </c>
      <c r="J3046">
        <v>3</v>
      </c>
      <c r="K3046" s="4">
        <v>58.8</v>
      </c>
      <c r="L3046" s="4">
        <v>68.3</v>
      </c>
      <c r="M3046" s="4">
        <v>54.5</v>
      </c>
      <c r="N3046">
        <v>1</v>
      </c>
      <c r="O3046" t="s">
        <v>58</v>
      </c>
      <c r="P3046" t="s">
        <v>104</v>
      </c>
      <c r="Q3046" t="s">
        <v>105</v>
      </c>
      <c r="R3046" t="s">
        <v>72</v>
      </c>
      <c r="S3046" s="3">
        <v>17.72</v>
      </c>
      <c r="T3046" s="5">
        <v>44493</v>
      </c>
      <c r="U3046">
        <v>1</v>
      </c>
      <c r="V3046">
        <v>2021</v>
      </c>
      <c r="X3046">
        <f t="shared" si="141"/>
        <v>9.4796954000000007</v>
      </c>
      <c r="Y3046">
        <f t="shared" si="142"/>
        <v>17.719695399999999</v>
      </c>
      <c r="Z3046">
        <f t="shared" si="143"/>
        <v>68.29969539999999</v>
      </c>
    </row>
    <row r="3047" spans="1:26" x14ac:dyDescent="0.3">
      <c r="A3047" t="s">
        <v>3137</v>
      </c>
      <c r="B3047" t="s">
        <v>55</v>
      </c>
      <c r="C3047" t="s">
        <v>68</v>
      </c>
      <c r="D3047" t="s">
        <v>69</v>
      </c>
      <c r="E3047">
        <v>21</v>
      </c>
      <c r="F3047" s="3">
        <v>7.42</v>
      </c>
      <c r="G3047" s="4">
        <v>100</v>
      </c>
      <c r="H3047">
        <v>1</v>
      </c>
      <c r="I3047">
        <v>3</v>
      </c>
      <c r="J3047">
        <v>5</v>
      </c>
      <c r="K3047" s="4">
        <v>66.599999999999994</v>
      </c>
      <c r="L3047" s="4">
        <v>78.5</v>
      </c>
      <c r="M3047" s="4">
        <v>70.2</v>
      </c>
      <c r="N3047">
        <v>0</v>
      </c>
      <c r="O3047" t="s">
        <v>58</v>
      </c>
      <c r="P3047" t="s">
        <v>90</v>
      </c>
      <c r="Q3047" t="s">
        <v>60</v>
      </c>
      <c r="R3047" t="s">
        <v>61</v>
      </c>
      <c r="S3047" s="3">
        <v>7.72</v>
      </c>
      <c r="T3047" s="5">
        <v>45566</v>
      </c>
      <c r="U3047">
        <v>1</v>
      </c>
      <c r="V3047">
        <v>2024</v>
      </c>
      <c r="X3047">
        <f t="shared" si="141"/>
        <v>7.4196952999999999</v>
      </c>
      <c r="Y3047">
        <f t="shared" si="142"/>
        <v>7.7196952999999997</v>
      </c>
      <c r="Z3047">
        <f t="shared" si="143"/>
        <v>78.499695299999999</v>
      </c>
    </row>
    <row r="3048" spans="1:26" x14ac:dyDescent="0.3">
      <c r="A3048" t="s">
        <v>3138</v>
      </c>
      <c r="B3048" t="s">
        <v>107</v>
      </c>
      <c r="C3048" t="s">
        <v>68</v>
      </c>
      <c r="D3048" t="s">
        <v>57</v>
      </c>
      <c r="E3048">
        <v>21</v>
      </c>
      <c r="F3048" s="3">
        <v>7.87</v>
      </c>
      <c r="G3048" s="4">
        <v>72.900000000000006</v>
      </c>
      <c r="H3048">
        <v>1</v>
      </c>
      <c r="I3048">
        <v>1</v>
      </c>
      <c r="J3048">
        <v>4</v>
      </c>
      <c r="K3048" s="4">
        <v>49.8</v>
      </c>
      <c r="L3048" s="4">
        <v>72.599999999999994</v>
      </c>
      <c r="M3048" s="4">
        <v>73.2</v>
      </c>
      <c r="N3048">
        <v>0</v>
      </c>
      <c r="O3048" t="s">
        <v>58</v>
      </c>
      <c r="P3048" t="s">
        <v>79</v>
      </c>
      <c r="Q3048" t="s">
        <v>71</v>
      </c>
      <c r="R3048" t="s">
        <v>130</v>
      </c>
      <c r="S3048" s="3">
        <v>6.05</v>
      </c>
      <c r="T3048" s="5">
        <v>44492</v>
      </c>
      <c r="U3048">
        <v>2</v>
      </c>
      <c r="V3048">
        <v>2021</v>
      </c>
      <c r="X3048">
        <f t="shared" si="141"/>
        <v>7.8696951999999998</v>
      </c>
      <c r="Y3048">
        <f t="shared" si="142"/>
        <v>6.0496951999999995</v>
      </c>
      <c r="Z3048">
        <f t="shared" si="143"/>
        <v>72.599695199999999</v>
      </c>
    </row>
    <row r="3049" spans="1:26" x14ac:dyDescent="0.3">
      <c r="A3049" t="s">
        <v>3139</v>
      </c>
      <c r="B3049" t="s">
        <v>63</v>
      </c>
      <c r="C3049" t="s">
        <v>78</v>
      </c>
      <c r="D3049" t="s">
        <v>57</v>
      </c>
      <c r="E3049">
        <v>22</v>
      </c>
      <c r="F3049" s="3">
        <v>7.68</v>
      </c>
      <c r="G3049" s="4">
        <v>69</v>
      </c>
      <c r="H3049">
        <v>1</v>
      </c>
      <c r="I3049">
        <v>2</v>
      </c>
      <c r="J3049">
        <v>5</v>
      </c>
      <c r="K3049" s="4">
        <v>74.8</v>
      </c>
      <c r="L3049" s="4">
        <v>98.7</v>
      </c>
      <c r="M3049" s="4">
        <v>75.900000000000006</v>
      </c>
      <c r="N3049">
        <v>0</v>
      </c>
      <c r="O3049" t="s">
        <v>58</v>
      </c>
      <c r="P3049" t="s">
        <v>95</v>
      </c>
      <c r="Q3049" t="s">
        <v>93</v>
      </c>
      <c r="R3049" t="s">
        <v>130</v>
      </c>
      <c r="S3049" s="3">
        <v>6.61</v>
      </c>
      <c r="T3049" s="5">
        <v>45893</v>
      </c>
      <c r="U3049">
        <v>1</v>
      </c>
      <c r="V3049">
        <v>2025</v>
      </c>
      <c r="X3049">
        <f t="shared" si="141"/>
        <v>7.6796951</v>
      </c>
      <c r="Y3049">
        <f t="shared" si="142"/>
        <v>6.6096951000000006</v>
      </c>
      <c r="Z3049">
        <f t="shared" si="143"/>
        <v>98.6996951</v>
      </c>
    </row>
    <row r="3050" spans="1:26" x14ac:dyDescent="0.3">
      <c r="A3050" t="s">
        <v>3140</v>
      </c>
      <c r="B3050" t="s">
        <v>82</v>
      </c>
      <c r="C3050" t="s">
        <v>84</v>
      </c>
      <c r="D3050" t="s">
        <v>57</v>
      </c>
      <c r="E3050">
        <v>23</v>
      </c>
      <c r="F3050" s="3">
        <v>7.16</v>
      </c>
      <c r="G3050" s="4">
        <v>75.3</v>
      </c>
      <c r="H3050">
        <v>1</v>
      </c>
      <c r="I3050">
        <v>3</v>
      </c>
      <c r="J3050">
        <v>4</v>
      </c>
      <c r="K3050" s="4">
        <v>70.3</v>
      </c>
      <c r="L3050" s="4">
        <v>65.400000000000006</v>
      </c>
      <c r="M3050" s="4">
        <v>77.8</v>
      </c>
      <c r="N3050">
        <v>0</v>
      </c>
      <c r="O3050" t="s">
        <v>58</v>
      </c>
      <c r="P3050" t="s">
        <v>79</v>
      </c>
      <c r="Q3050" t="s">
        <v>71</v>
      </c>
      <c r="R3050" t="s">
        <v>76</v>
      </c>
      <c r="S3050" s="3">
        <v>4.21</v>
      </c>
      <c r="T3050" s="5">
        <v>44842</v>
      </c>
      <c r="U3050">
        <v>1</v>
      </c>
      <c r="V3050">
        <v>2022</v>
      </c>
      <c r="X3050">
        <f t="shared" si="141"/>
        <v>7.1596950000000001</v>
      </c>
      <c r="Y3050">
        <f t="shared" si="142"/>
        <v>4.209695</v>
      </c>
      <c r="Z3050">
        <f t="shared" si="143"/>
        <v>65.399695000000008</v>
      </c>
    </row>
    <row r="3051" spans="1:26" x14ac:dyDescent="0.3">
      <c r="A3051" t="s">
        <v>3141</v>
      </c>
      <c r="B3051" t="s">
        <v>63</v>
      </c>
      <c r="C3051" t="s">
        <v>56</v>
      </c>
      <c r="D3051" t="s">
        <v>69</v>
      </c>
      <c r="E3051">
        <v>21</v>
      </c>
      <c r="F3051" s="3">
        <v>8.33</v>
      </c>
      <c r="G3051" s="4">
        <v>65.8</v>
      </c>
      <c r="H3051">
        <v>0</v>
      </c>
      <c r="I3051">
        <v>0</v>
      </c>
      <c r="J3051">
        <v>4</v>
      </c>
      <c r="K3051" s="4">
        <v>84.3</v>
      </c>
      <c r="L3051" s="4">
        <v>58</v>
      </c>
      <c r="M3051" s="4">
        <v>63.1</v>
      </c>
      <c r="N3051">
        <v>0</v>
      </c>
      <c r="O3051" t="s">
        <v>58</v>
      </c>
      <c r="P3051" t="s">
        <v>90</v>
      </c>
      <c r="Q3051" t="s">
        <v>60</v>
      </c>
      <c r="R3051" t="s">
        <v>130</v>
      </c>
      <c r="S3051" s="3">
        <v>8.16</v>
      </c>
      <c r="T3051" s="5">
        <v>45910</v>
      </c>
      <c r="U3051">
        <v>2</v>
      </c>
      <c r="V3051">
        <v>2025</v>
      </c>
      <c r="X3051">
        <f t="shared" si="141"/>
        <v>8.3296948999999998</v>
      </c>
      <c r="Y3051">
        <f t="shared" si="142"/>
        <v>8.1596948999999999</v>
      </c>
      <c r="Z3051">
        <f t="shared" si="143"/>
        <v>57.999694900000001</v>
      </c>
    </row>
    <row r="3052" spans="1:26" x14ac:dyDescent="0.3">
      <c r="A3052" t="s">
        <v>3142</v>
      </c>
      <c r="B3052" t="s">
        <v>67</v>
      </c>
      <c r="C3052" t="s">
        <v>56</v>
      </c>
      <c r="D3052" t="s">
        <v>57</v>
      </c>
      <c r="E3052">
        <v>21</v>
      </c>
      <c r="F3052" s="3">
        <v>6.85</v>
      </c>
      <c r="G3052" s="4">
        <v>93.6</v>
      </c>
      <c r="H3052">
        <v>2</v>
      </c>
      <c r="I3052">
        <v>2</v>
      </c>
      <c r="J3052">
        <v>5</v>
      </c>
      <c r="K3052" s="4">
        <v>80.3</v>
      </c>
      <c r="L3052" s="4">
        <v>77.3</v>
      </c>
      <c r="M3052" s="4">
        <v>92.3</v>
      </c>
      <c r="N3052">
        <v>0</v>
      </c>
      <c r="O3052" t="s">
        <v>58</v>
      </c>
      <c r="P3052" t="s">
        <v>90</v>
      </c>
      <c r="Q3052" t="s">
        <v>60</v>
      </c>
      <c r="R3052" t="s">
        <v>76</v>
      </c>
      <c r="S3052" s="3">
        <v>9.6</v>
      </c>
      <c r="T3052" s="5">
        <v>45195</v>
      </c>
      <c r="U3052">
        <v>1</v>
      </c>
      <c r="V3052">
        <v>2023</v>
      </c>
      <c r="X3052">
        <f t="shared" si="141"/>
        <v>6.8496948</v>
      </c>
      <c r="Y3052">
        <f t="shared" si="142"/>
        <v>9.5996948</v>
      </c>
      <c r="Z3052">
        <f t="shared" si="143"/>
        <v>77.299694799999997</v>
      </c>
    </row>
    <row r="3053" spans="1:26" x14ac:dyDescent="0.3">
      <c r="A3053" t="s">
        <v>3143</v>
      </c>
      <c r="B3053" t="s">
        <v>67</v>
      </c>
      <c r="C3053" t="s">
        <v>56</v>
      </c>
      <c r="D3053" t="s">
        <v>69</v>
      </c>
      <c r="E3053">
        <v>22</v>
      </c>
      <c r="F3053" s="3">
        <v>8.2799999999999994</v>
      </c>
      <c r="G3053" s="4">
        <v>71.599999999999994</v>
      </c>
      <c r="H3053">
        <v>0</v>
      </c>
      <c r="I3053">
        <v>3</v>
      </c>
      <c r="J3053">
        <v>4</v>
      </c>
      <c r="K3053" s="4">
        <v>84.5</v>
      </c>
      <c r="L3053" s="4">
        <v>55.9</v>
      </c>
      <c r="M3053" s="4">
        <v>79.3</v>
      </c>
      <c r="N3053">
        <v>0</v>
      </c>
      <c r="O3053" t="s">
        <v>58</v>
      </c>
      <c r="P3053" t="s">
        <v>59</v>
      </c>
      <c r="Q3053" t="s">
        <v>60</v>
      </c>
      <c r="R3053" t="s">
        <v>72</v>
      </c>
      <c r="S3053" s="3">
        <v>18.39</v>
      </c>
      <c r="T3053" s="5">
        <v>45204</v>
      </c>
      <c r="U3053">
        <v>2</v>
      </c>
      <c r="V3053">
        <v>2023</v>
      </c>
      <c r="X3053">
        <f t="shared" si="141"/>
        <v>8.2796946999999985</v>
      </c>
      <c r="Y3053">
        <f t="shared" si="142"/>
        <v>18.3896947</v>
      </c>
      <c r="Z3053">
        <f t="shared" si="143"/>
        <v>55.899694699999998</v>
      </c>
    </row>
    <row r="3054" spans="1:26" x14ac:dyDescent="0.3">
      <c r="A3054" t="s">
        <v>3144</v>
      </c>
      <c r="B3054" t="s">
        <v>67</v>
      </c>
      <c r="C3054" t="s">
        <v>56</v>
      </c>
      <c r="D3054" t="s">
        <v>69</v>
      </c>
      <c r="E3054">
        <v>23</v>
      </c>
      <c r="F3054" s="3">
        <v>7.2</v>
      </c>
      <c r="G3054" s="4">
        <v>73.2</v>
      </c>
      <c r="H3054">
        <v>1</v>
      </c>
      <c r="I3054">
        <v>3</v>
      </c>
      <c r="J3054">
        <v>3</v>
      </c>
      <c r="K3054" s="4">
        <v>85.2</v>
      </c>
      <c r="L3054" s="4">
        <v>63.1</v>
      </c>
      <c r="M3054" s="4">
        <v>81.8</v>
      </c>
      <c r="N3054">
        <v>1</v>
      </c>
      <c r="O3054" t="s">
        <v>58</v>
      </c>
      <c r="P3054" t="s">
        <v>104</v>
      </c>
      <c r="Q3054" t="s">
        <v>105</v>
      </c>
      <c r="R3054" t="s">
        <v>72</v>
      </c>
      <c r="S3054" s="3">
        <v>14.7</v>
      </c>
      <c r="T3054" s="5">
        <v>45147</v>
      </c>
      <c r="U3054">
        <v>3</v>
      </c>
      <c r="V3054">
        <v>2023</v>
      </c>
      <c r="X3054">
        <f t="shared" si="141"/>
        <v>7.1996945999999999</v>
      </c>
      <c r="Y3054">
        <f t="shared" si="142"/>
        <v>14.699694599999999</v>
      </c>
      <c r="Z3054">
        <f t="shared" si="143"/>
        <v>63.099694599999999</v>
      </c>
    </row>
    <row r="3055" spans="1:26" x14ac:dyDescent="0.3">
      <c r="A3055" t="s">
        <v>3145</v>
      </c>
      <c r="B3055" t="s">
        <v>63</v>
      </c>
      <c r="C3055" t="s">
        <v>89</v>
      </c>
      <c r="D3055" t="s">
        <v>57</v>
      </c>
      <c r="E3055">
        <v>21</v>
      </c>
      <c r="F3055" s="3">
        <v>8.01</v>
      </c>
      <c r="G3055" s="4">
        <v>70</v>
      </c>
      <c r="H3055">
        <v>1</v>
      </c>
      <c r="I3055">
        <v>0</v>
      </c>
      <c r="J3055">
        <v>3</v>
      </c>
      <c r="K3055" s="4">
        <v>57.9</v>
      </c>
      <c r="L3055" s="4">
        <v>71.2</v>
      </c>
      <c r="M3055" s="4">
        <v>90.5</v>
      </c>
      <c r="N3055">
        <v>0</v>
      </c>
      <c r="O3055" t="s">
        <v>64</v>
      </c>
      <c r="P3055" t="s">
        <v>65</v>
      </c>
      <c r="S3055" s="3">
        <v>0</v>
      </c>
      <c r="T3055" s="5"/>
      <c r="U3055">
        <v>0</v>
      </c>
      <c r="V3055">
        <v>2025</v>
      </c>
      <c r="X3055">
        <f t="shared" si="141"/>
        <v>8.0096945000000002</v>
      </c>
      <c r="Y3055">
        <f t="shared" si="142"/>
        <v>-3.055E-4</v>
      </c>
      <c r="Z3055">
        <f t="shared" si="143"/>
        <v>71.199694500000007</v>
      </c>
    </row>
    <row r="3056" spans="1:26" x14ac:dyDescent="0.3">
      <c r="A3056" t="s">
        <v>3146</v>
      </c>
      <c r="B3056" t="s">
        <v>55</v>
      </c>
      <c r="C3056" t="s">
        <v>78</v>
      </c>
      <c r="D3056" t="s">
        <v>69</v>
      </c>
      <c r="E3056">
        <v>22</v>
      </c>
      <c r="F3056" s="3">
        <v>8.9700000000000006</v>
      </c>
      <c r="G3056" s="4">
        <v>66.8</v>
      </c>
      <c r="H3056">
        <v>1</v>
      </c>
      <c r="I3056">
        <v>3</v>
      </c>
      <c r="J3056">
        <v>5</v>
      </c>
      <c r="K3056" s="4">
        <v>74.7</v>
      </c>
      <c r="L3056" s="4">
        <v>69.5</v>
      </c>
      <c r="M3056" s="4">
        <v>77.3</v>
      </c>
      <c r="N3056">
        <v>1</v>
      </c>
      <c r="O3056" t="s">
        <v>58</v>
      </c>
      <c r="P3056" t="s">
        <v>112</v>
      </c>
      <c r="Q3056" t="s">
        <v>93</v>
      </c>
      <c r="R3056" t="s">
        <v>130</v>
      </c>
      <c r="S3056" s="3">
        <v>7.2</v>
      </c>
      <c r="T3056" s="5">
        <v>45512</v>
      </c>
      <c r="U3056">
        <v>1</v>
      </c>
      <c r="V3056">
        <v>2024</v>
      </c>
      <c r="X3056">
        <f t="shared" si="141"/>
        <v>8.9696943999999998</v>
      </c>
      <c r="Y3056">
        <f t="shared" si="142"/>
        <v>7.1996944000000003</v>
      </c>
      <c r="Z3056">
        <f t="shared" si="143"/>
        <v>69.499694399999996</v>
      </c>
    </row>
    <row r="3057" spans="1:26" x14ac:dyDescent="0.3">
      <c r="A3057" t="s">
        <v>3147</v>
      </c>
      <c r="B3057" t="s">
        <v>82</v>
      </c>
      <c r="C3057" t="s">
        <v>101</v>
      </c>
      <c r="D3057" t="s">
        <v>69</v>
      </c>
      <c r="E3057">
        <v>21</v>
      </c>
      <c r="F3057" s="3">
        <v>7.53</v>
      </c>
      <c r="G3057" s="4">
        <v>81.5</v>
      </c>
      <c r="H3057">
        <v>2</v>
      </c>
      <c r="I3057">
        <v>0</v>
      </c>
      <c r="J3057">
        <v>4</v>
      </c>
      <c r="K3057" s="4">
        <v>77.400000000000006</v>
      </c>
      <c r="L3057" s="4">
        <v>69.099999999999994</v>
      </c>
      <c r="M3057" s="4">
        <v>71.5</v>
      </c>
      <c r="N3057">
        <v>0</v>
      </c>
      <c r="O3057" t="s">
        <v>58</v>
      </c>
      <c r="P3057" t="s">
        <v>59</v>
      </c>
      <c r="Q3057" t="s">
        <v>60</v>
      </c>
      <c r="R3057" t="s">
        <v>130</v>
      </c>
      <c r="S3057" s="3">
        <v>18.36</v>
      </c>
      <c r="T3057" s="5">
        <v>44869</v>
      </c>
      <c r="U3057">
        <v>2</v>
      </c>
      <c r="V3057">
        <v>2022</v>
      </c>
      <c r="X3057">
        <f t="shared" si="141"/>
        <v>7.5296943000000001</v>
      </c>
      <c r="Y3057">
        <f t="shared" si="142"/>
        <v>18.359694300000001</v>
      </c>
      <c r="Z3057">
        <f t="shared" si="143"/>
        <v>69.099694299999996</v>
      </c>
    </row>
    <row r="3058" spans="1:26" x14ac:dyDescent="0.3">
      <c r="A3058" t="s">
        <v>3148</v>
      </c>
      <c r="B3058" t="s">
        <v>67</v>
      </c>
      <c r="C3058" t="s">
        <v>56</v>
      </c>
      <c r="D3058" t="s">
        <v>57</v>
      </c>
      <c r="E3058">
        <v>20</v>
      </c>
      <c r="F3058" s="3">
        <v>8.35</v>
      </c>
      <c r="G3058" s="4">
        <v>75.2</v>
      </c>
      <c r="H3058">
        <v>3</v>
      </c>
      <c r="I3058">
        <v>2</v>
      </c>
      <c r="J3058">
        <v>3</v>
      </c>
      <c r="K3058" s="4">
        <v>59.3</v>
      </c>
      <c r="L3058" s="4">
        <v>61.5</v>
      </c>
      <c r="M3058" s="4">
        <v>69.599999999999994</v>
      </c>
      <c r="N3058">
        <v>0</v>
      </c>
      <c r="O3058" t="s">
        <v>58</v>
      </c>
      <c r="P3058" t="s">
        <v>79</v>
      </c>
      <c r="Q3058" t="s">
        <v>71</v>
      </c>
      <c r="R3058" t="s">
        <v>72</v>
      </c>
      <c r="S3058" s="3">
        <v>8.34</v>
      </c>
      <c r="T3058" s="5">
        <v>45196</v>
      </c>
      <c r="U3058">
        <v>3</v>
      </c>
      <c r="V3058">
        <v>2023</v>
      </c>
      <c r="X3058">
        <f t="shared" si="141"/>
        <v>8.3496942000000001</v>
      </c>
      <c r="Y3058">
        <f t="shared" si="142"/>
        <v>8.3396942000000003</v>
      </c>
      <c r="Z3058">
        <f t="shared" si="143"/>
        <v>61.4996942</v>
      </c>
    </row>
    <row r="3059" spans="1:26" x14ac:dyDescent="0.3">
      <c r="A3059" t="s">
        <v>3149</v>
      </c>
      <c r="B3059" t="s">
        <v>67</v>
      </c>
      <c r="C3059" t="s">
        <v>74</v>
      </c>
      <c r="D3059" t="s">
        <v>57</v>
      </c>
      <c r="E3059">
        <v>20</v>
      </c>
      <c r="F3059" s="3">
        <v>7.19</v>
      </c>
      <c r="G3059" s="4">
        <v>65.8</v>
      </c>
      <c r="H3059">
        <v>0</v>
      </c>
      <c r="I3059">
        <v>2</v>
      </c>
      <c r="J3059">
        <v>2</v>
      </c>
      <c r="K3059" s="4">
        <v>85.3</v>
      </c>
      <c r="L3059" s="4">
        <v>75.5</v>
      </c>
      <c r="M3059" s="4">
        <v>71.3</v>
      </c>
      <c r="N3059">
        <v>0</v>
      </c>
      <c r="O3059" t="s">
        <v>58</v>
      </c>
      <c r="P3059" t="s">
        <v>87</v>
      </c>
      <c r="Q3059" t="s">
        <v>71</v>
      </c>
      <c r="R3059" t="s">
        <v>61</v>
      </c>
      <c r="S3059" s="3">
        <v>4.71</v>
      </c>
      <c r="T3059" s="5">
        <v>45209</v>
      </c>
      <c r="U3059">
        <v>1</v>
      </c>
      <c r="V3059">
        <v>2023</v>
      </c>
      <c r="X3059">
        <f t="shared" si="141"/>
        <v>7.1896941000000005</v>
      </c>
      <c r="Y3059">
        <f t="shared" si="142"/>
        <v>4.7096941000000001</v>
      </c>
      <c r="Z3059">
        <f t="shared" si="143"/>
        <v>75.499694099999999</v>
      </c>
    </row>
    <row r="3060" spans="1:26" x14ac:dyDescent="0.3">
      <c r="A3060" t="s">
        <v>3150</v>
      </c>
      <c r="B3060" t="s">
        <v>67</v>
      </c>
      <c r="C3060" t="s">
        <v>68</v>
      </c>
      <c r="D3060" t="s">
        <v>69</v>
      </c>
      <c r="E3060">
        <v>21</v>
      </c>
      <c r="F3060" s="3">
        <v>6.59</v>
      </c>
      <c r="G3060" s="4">
        <v>78.7</v>
      </c>
      <c r="H3060">
        <v>1</v>
      </c>
      <c r="I3060">
        <v>1</v>
      </c>
      <c r="J3060">
        <v>4</v>
      </c>
      <c r="K3060" s="4">
        <v>66.5</v>
      </c>
      <c r="L3060" s="4">
        <v>100</v>
      </c>
      <c r="M3060" s="4">
        <v>72.099999999999994</v>
      </c>
      <c r="N3060">
        <v>0</v>
      </c>
      <c r="O3060" t="s">
        <v>64</v>
      </c>
      <c r="P3060" t="s">
        <v>65</v>
      </c>
      <c r="S3060" s="3">
        <v>0</v>
      </c>
      <c r="T3060" s="5"/>
      <c r="U3060">
        <v>0</v>
      </c>
      <c r="V3060">
        <v>2023</v>
      </c>
      <c r="X3060">
        <f t="shared" si="141"/>
        <v>6.5896939999999997</v>
      </c>
      <c r="Y3060">
        <f t="shared" si="142"/>
        <v>-3.0600000000000001E-4</v>
      </c>
      <c r="Z3060">
        <f t="shared" si="143"/>
        <v>99.999694000000005</v>
      </c>
    </row>
    <row r="3061" spans="1:26" x14ac:dyDescent="0.3">
      <c r="A3061" t="s">
        <v>3151</v>
      </c>
      <c r="B3061" t="s">
        <v>82</v>
      </c>
      <c r="C3061" t="s">
        <v>56</v>
      </c>
      <c r="D3061" t="s">
        <v>57</v>
      </c>
      <c r="E3061">
        <v>23</v>
      </c>
      <c r="F3061" s="3">
        <v>9.15</v>
      </c>
      <c r="G3061" s="4">
        <v>85.3</v>
      </c>
      <c r="H3061">
        <v>2</v>
      </c>
      <c r="I3061">
        <v>1</v>
      </c>
      <c r="J3061">
        <v>3</v>
      </c>
      <c r="K3061" s="4">
        <v>77</v>
      </c>
      <c r="L3061" s="4">
        <v>82.4</v>
      </c>
      <c r="M3061" s="4">
        <v>51.1</v>
      </c>
      <c r="N3061">
        <v>0</v>
      </c>
      <c r="O3061" t="s">
        <v>58</v>
      </c>
      <c r="P3061" t="s">
        <v>75</v>
      </c>
      <c r="Q3061" t="s">
        <v>71</v>
      </c>
      <c r="R3061" t="s">
        <v>80</v>
      </c>
      <c r="S3061" s="3">
        <v>9.06</v>
      </c>
      <c r="T3061" s="5">
        <v>44793</v>
      </c>
      <c r="U3061">
        <v>2</v>
      </c>
      <c r="V3061">
        <v>2022</v>
      </c>
      <c r="X3061">
        <f t="shared" si="141"/>
        <v>9.1496939000000008</v>
      </c>
      <c r="Y3061">
        <f t="shared" si="142"/>
        <v>9.059693900000001</v>
      </c>
      <c r="Z3061">
        <f t="shared" si="143"/>
        <v>82.399693900000003</v>
      </c>
    </row>
    <row r="3062" spans="1:26" x14ac:dyDescent="0.3">
      <c r="A3062" t="s">
        <v>3152</v>
      </c>
      <c r="B3062" t="s">
        <v>67</v>
      </c>
      <c r="C3062" t="s">
        <v>89</v>
      </c>
      <c r="D3062" t="s">
        <v>69</v>
      </c>
      <c r="E3062">
        <v>20</v>
      </c>
      <c r="F3062" s="3">
        <v>8.32</v>
      </c>
      <c r="G3062" s="4">
        <v>78</v>
      </c>
      <c r="H3062">
        <v>1</v>
      </c>
      <c r="I3062">
        <v>1</v>
      </c>
      <c r="J3062">
        <v>6</v>
      </c>
      <c r="K3062" s="4">
        <v>83.4</v>
      </c>
      <c r="L3062" s="4">
        <v>42.3</v>
      </c>
      <c r="M3062" s="4">
        <v>66.5</v>
      </c>
      <c r="N3062">
        <v>0</v>
      </c>
      <c r="O3062" t="s">
        <v>58</v>
      </c>
      <c r="P3062" t="s">
        <v>90</v>
      </c>
      <c r="Q3062" t="s">
        <v>60</v>
      </c>
      <c r="R3062" t="s">
        <v>130</v>
      </c>
      <c r="S3062" s="3">
        <v>7.85</v>
      </c>
      <c r="T3062" s="5">
        <v>45185</v>
      </c>
      <c r="U3062">
        <v>1</v>
      </c>
      <c r="V3062">
        <v>2023</v>
      </c>
      <c r="X3062">
        <f t="shared" si="141"/>
        <v>8.3196937999999996</v>
      </c>
      <c r="Y3062">
        <f t="shared" si="142"/>
        <v>7.8496937999999998</v>
      </c>
      <c r="Z3062">
        <f t="shared" si="143"/>
        <v>42.2996938</v>
      </c>
    </row>
    <row r="3063" spans="1:26" x14ac:dyDescent="0.3">
      <c r="A3063" t="s">
        <v>3153</v>
      </c>
      <c r="B3063" t="s">
        <v>82</v>
      </c>
      <c r="C3063" t="s">
        <v>84</v>
      </c>
      <c r="D3063" t="s">
        <v>57</v>
      </c>
      <c r="E3063">
        <v>22</v>
      </c>
      <c r="F3063" s="3">
        <v>7.53</v>
      </c>
      <c r="G3063" s="4">
        <v>87.4</v>
      </c>
      <c r="H3063">
        <v>2</v>
      </c>
      <c r="I3063">
        <v>2</v>
      </c>
      <c r="J3063">
        <v>4</v>
      </c>
      <c r="K3063" s="4">
        <v>74</v>
      </c>
      <c r="L3063" s="4">
        <v>63.9</v>
      </c>
      <c r="M3063" s="4">
        <v>60.9</v>
      </c>
      <c r="N3063">
        <v>0</v>
      </c>
      <c r="O3063" t="s">
        <v>64</v>
      </c>
      <c r="P3063" t="s">
        <v>65</v>
      </c>
      <c r="S3063" s="3">
        <v>0</v>
      </c>
      <c r="T3063" s="5"/>
      <c r="U3063">
        <v>0</v>
      </c>
      <c r="V3063">
        <v>2022</v>
      </c>
      <c r="X3063">
        <f t="shared" si="141"/>
        <v>7.5296937000000002</v>
      </c>
      <c r="Y3063">
        <f t="shared" si="142"/>
        <v>-3.0629999999999996E-4</v>
      </c>
      <c r="Z3063">
        <f t="shared" si="143"/>
        <v>63.8996937</v>
      </c>
    </row>
    <row r="3064" spans="1:26" x14ac:dyDescent="0.3">
      <c r="A3064" t="s">
        <v>3154</v>
      </c>
      <c r="B3064" t="s">
        <v>67</v>
      </c>
      <c r="C3064" t="s">
        <v>74</v>
      </c>
      <c r="D3064" t="s">
        <v>57</v>
      </c>
      <c r="E3064">
        <v>21</v>
      </c>
      <c r="F3064" s="3">
        <v>8.2799999999999994</v>
      </c>
      <c r="G3064" s="4">
        <v>97.3</v>
      </c>
      <c r="H3064">
        <v>3</v>
      </c>
      <c r="I3064">
        <v>0</v>
      </c>
      <c r="J3064">
        <v>1</v>
      </c>
      <c r="K3064" s="4">
        <v>93.4</v>
      </c>
      <c r="L3064" s="4">
        <v>78</v>
      </c>
      <c r="M3064" s="4">
        <v>49.7</v>
      </c>
      <c r="N3064">
        <v>2</v>
      </c>
      <c r="O3064" t="s">
        <v>58</v>
      </c>
      <c r="P3064" t="s">
        <v>79</v>
      </c>
      <c r="Q3064" t="s">
        <v>71</v>
      </c>
      <c r="R3064" t="s">
        <v>109</v>
      </c>
      <c r="S3064" s="3">
        <v>7.93</v>
      </c>
      <c r="T3064" s="5">
        <v>45241</v>
      </c>
      <c r="U3064">
        <v>2</v>
      </c>
      <c r="V3064">
        <v>2023</v>
      </c>
      <c r="X3064">
        <f t="shared" si="141"/>
        <v>8.2796935999999999</v>
      </c>
      <c r="Y3064">
        <f t="shared" si="142"/>
        <v>7.9296935999999993</v>
      </c>
      <c r="Z3064">
        <f t="shared" si="143"/>
        <v>77.999693600000001</v>
      </c>
    </row>
    <row r="3065" spans="1:26" x14ac:dyDescent="0.3">
      <c r="A3065" t="s">
        <v>3155</v>
      </c>
      <c r="B3065" t="s">
        <v>63</v>
      </c>
      <c r="C3065" t="s">
        <v>78</v>
      </c>
      <c r="D3065" t="s">
        <v>69</v>
      </c>
      <c r="E3065">
        <v>22</v>
      </c>
      <c r="F3065" s="3">
        <v>6.74</v>
      </c>
      <c r="G3065" s="4">
        <v>89.3</v>
      </c>
      <c r="H3065">
        <v>2</v>
      </c>
      <c r="I3065">
        <v>4</v>
      </c>
      <c r="J3065">
        <v>2</v>
      </c>
      <c r="K3065" s="4">
        <v>100</v>
      </c>
      <c r="L3065" s="4">
        <v>47.6</v>
      </c>
      <c r="M3065" s="4">
        <v>75.900000000000006</v>
      </c>
      <c r="N3065">
        <v>0</v>
      </c>
      <c r="O3065" t="s">
        <v>58</v>
      </c>
      <c r="P3065" t="s">
        <v>104</v>
      </c>
      <c r="Q3065" t="s">
        <v>105</v>
      </c>
      <c r="R3065" t="s">
        <v>109</v>
      </c>
      <c r="S3065" s="3">
        <v>13.26</v>
      </c>
      <c r="T3065" s="5">
        <v>45897</v>
      </c>
      <c r="U3065">
        <v>2</v>
      </c>
      <c r="V3065">
        <v>2025</v>
      </c>
      <c r="X3065">
        <f t="shared" si="141"/>
        <v>6.7396935000000004</v>
      </c>
      <c r="Y3065">
        <f t="shared" si="142"/>
        <v>13.259693499999999</v>
      </c>
      <c r="Z3065">
        <f t="shared" si="143"/>
        <v>47.599693500000001</v>
      </c>
    </row>
    <row r="3066" spans="1:26" x14ac:dyDescent="0.3">
      <c r="A3066" t="s">
        <v>3156</v>
      </c>
      <c r="B3066" t="s">
        <v>63</v>
      </c>
      <c r="C3066" t="s">
        <v>68</v>
      </c>
      <c r="D3066" t="s">
        <v>69</v>
      </c>
      <c r="E3066">
        <v>20</v>
      </c>
      <c r="F3066" s="3">
        <v>8.0500000000000007</v>
      </c>
      <c r="G3066" s="4">
        <v>83.9</v>
      </c>
      <c r="H3066">
        <v>0</v>
      </c>
      <c r="I3066">
        <v>1</v>
      </c>
      <c r="J3066">
        <v>3</v>
      </c>
      <c r="K3066" s="4">
        <v>68.3</v>
      </c>
      <c r="L3066" s="4">
        <v>33.700000000000003</v>
      </c>
      <c r="M3066" s="4">
        <v>79.3</v>
      </c>
      <c r="N3066">
        <v>0</v>
      </c>
      <c r="O3066" t="s">
        <v>64</v>
      </c>
      <c r="P3066" t="s">
        <v>65</v>
      </c>
      <c r="S3066" s="3">
        <v>0</v>
      </c>
      <c r="T3066" s="5"/>
      <c r="U3066">
        <v>0</v>
      </c>
      <c r="V3066">
        <v>2025</v>
      </c>
      <c r="X3066">
        <f t="shared" si="141"/>
        <v>8.0496934000000007</v>
      </c>
      <c r="Y3066">
        <f t="shared" si="142"/>
        <v>-3.0659999999999997E-4</v>
      </c>
      <c r="Z3066">
        <f t="shared" si="143"/>
        <v>33.699693400000001</v>
      </c>
    </row>
    <row r="3067" spans="1:26" x14ac:dyDescent="0.3">
      <c r="A3067" t="s">
        <v>3157</v>
      </c>
      <c r="B3067" t="s">
        <v>82</v>
      </c>
      <c r="C3067" t="s">
        <v>56</v>
      </c>
      <c r="D3067" t="s">
        <v>57</v>
      </c>
      <c r="E3067">
        <v>23</v>
      </c>
      <c r="F3067" s="3">
        <v>7.85</v>
      </c>
      <c r="G3067" s="4">
        <v>89.3</v>
      </c>
      <c r="H3067">
        <v>2</v>
      </c>
      <c r="I3067">
        <v>4</v>
      </c>
      <c r="J3067">
        <v>2</v>
      </c>
      <c r="K3067" s="4">
        <v>81.400000000000006</v>
      </c>
      <c r="L3067" s="4">
        <v>59.1</v>
      </c>
      <c r="M3067" s="4">
        <v>63.7</v>
      </c>
      <c r="N3067">
        <v>0</v>
      </c>
      <c r="O3067" t="s">
        <v>58</v>
      </c>
      <c r="P3067" t="s">
        <v>59</v>
      </c>
      <c r="Q3067" t="s">
        <v>60</v>
      </c>
      <c r="R3067" t="s">
        <v>109</v>
      </c>
      <c r="S3067" s="3">
        <v>19.649999999999999</v>
      </c>
      <c r="T3067" s="5">
        <v>44833</v>
      </c>
      <c r="U3067">
        <v>1</v>
      </c>
      <c r="V3067">
        <v>2022</v>
      </c>
      <c r="X3067">
        <f t="shared" si="141"/>
        <v>7.8496932999999993</v>
      </c>
      <c r="Y3067">
        <f t="shared" si="142"/>
        <v>19.649693299999999</v>
      </c>
      <c r="Z3067">
        <f t="shared" si="143"/>
        <v>59.099693299999998</v>
      </c>
    </row>
    <row r="3068" spans="1:26" x14ac:dyDescent="0.3">
      <c r="A3068" t="s">
        <v>3158</v>
      </c>
      <c r="B3068" t="s">
        <v>63</v>
      </c>
      <c r="C3068" t="s">
        <v>89</v>
      </c>
      <c r="D3068" t="s">
        <v>69</v>
      </c>
      <c r="E3068">
        <v>22</v>
      </c>
      <c r="F3068" s="3">
        <v>8.24</v>
      </c>
      <c r="G3068" s="4">
        <v>100</v>
      </c>
      <c r="H3068">
        <v>3</v>
      </c>
      <c r="I3068">
        <v>4</v>
      </c>
      <c r="J3068">
        <v>5</v>
      </c>
      <c r="K3068" s="4">
        <v>100</v>
      </c>
      <c r="L3068" s="4">
        <v>57.9</v>
      </c>
      <c r="M3068" s="4">
        <v>70.599999999999994</v>
      </c>
      <c r="N3068">
        <v>2</v>
      </c>
      <c r="O3068" t="s">
        <v>58</v>
      </c>
      <c r="P3068" t="s">
        <v>112</v>
      </c>
      <c r="Q3068" t="s">
        <v>93</v>
      </c>
      <c r="R3068" t="s">
        <v>130</v>
      </c>
      <c r="S3068" s="3">
        <v>7.74</v>
      </c>
      <c r="T3068" s="5">
        <v>45891</v>
      </c>
      <c r="U3068">
        <v>1</v>
      </c>
      <c r="V3068">
        <v>2025</v>
      </c>
      <c r="X3068">
        <f t="shared" si="141"/>
        <v>8.2396931999999996</v>
      </c>
      <c r="Y3068">
        <f t="shared" si="142"/>
        <v>7.7396932000000005</v>
      </c>
      <c r="Z3068">
        <f t="shared" si="143"/>
        <v>57.899693200000002</v>
      </c>
    </row>
    <row r="3069" spans="1:26" x14ac:dyDescent="0.3">
      <c r="A3069" t="s">
        <v>3159</v>
      </c>
      <c r="B3069" t="s">
        <v>82</v>
      </c>
      <c r="C3069" t="s">
        <v>74</v>
      </c>
      <c r="D3069" t="s">
        <v>57</v>
      </c>
      <c r="E3069">
        <v>20</v>
      </c>
      <c r="F3069" s="3">
        <v>9.1300000000000008</v>
      </c>
      <c r="G3069" s="4">
        <v>69</v>
      </c>
      <c r="H3069">
        <v>2</v>
      </c>
      <c r="I3069">
        <v>2</v>
      </c>
      <c r="J3069">
        <v>5</v>
      </c>
      <c r="K3069" s="4">
        <v>59.4</v>
      </c>
      <c r="L3069" s="4">
        <v>94.6</v>
      </c>
      <c r="M3069" s="4">
        <v>80.8</v>
      </c>
      <c r="N3069">
        <v>3</v>
      </c>
      <c r="O3069" t="s">
        <v>58</v>
      </c>
      <c r="P3069" t="s">
        <v>95</v>
      </c>
      <c r="Q3069" t="s">
        <v>93</v>
      </c>
      <c r="R3069" t="s">
        <v>76</v>
      </c>
      <c r="S3069" s="3">
        <v>9.0500000000000007</v>
      </c>
      <c r="T3069" s="5">
        <v>44877</v>
      </c>
      <c r="U3069">
        <v>1</v>
      </c>
      <c r="V3069">
        <v>2022</v>
      </c>
      <c r="X3069">
        <f t="shared" si="141"/>
        <v>9.1296931000000008</v>
      </c>
      <c r="Y3069">
        <f t="shared" si="142"/>
        <v>9.0496931000000007</v>
      </c>
      <c r="Z3069">
        <f t="shared" si="143"/>
        <v>94.599693099999996</v>
      </c>
    </row>
    <row r="3070" spans="1:26" x14ac:dyDescent="0.3">
      <c r="A3070" t="s">
        <v>3160</v>
      </c>
      <c r="B3070" t="s">
        <v>63</v>
      </c>
      <c r="C3070" t="s">
        <v>56</v>
      </c>
      <c r="D3070" t="s">
        <v>57</v>
      </c>
      <c r="E3070">
        <v>20</v>
      </c>
      <c r="F3070" s="3">
        <v>8.9499999999999993</v>
      </c>
      <c r="G3070" s="4">
        <v>87.7</v>
      </c>
      <c r="H3070">
        <v>1</v>
      </c>
      <c r="I3070">
        <v>2</v>
      </c>
      <c r="J3070">
        <v>6</v>
      </c>
      <c r="K3070" s="4">
        <v>29</v>
      </c>
      <c r="L3070" s="4">
        <v>75.3</v>
      </c>
      <c r="M3070" s="4">
        <v>70.400000000000006</v>
      </c>
      <c r="N3070">
        <v>1</v>
      </c>
      <c r="O3070" t="s">
        <v>58</v>
      </c>
      <c r="P3070" t="s">
        <v>87</v>
      </c>
      <c r="Q3070" t="s">
        <v>71</v>
      </c>
      <c r="R3070" t="s">
        <v>61</v>
      </c>
      <c r="S3070" s="3">
        <v>5.32</v>
      </c>
      <c r="T3070" s="5">
        <v>45982</v>
      </c>
      <c r="U3070">
        <v>1</v>
      </c>
      <c r="V3070">
        <v>2025</v>
      </c>
      <c r="X3070">
        <f t="shared" si="141"/>
        <v>8.9496929999999999</v>
      </c>
      <c r="Y3070">
        <f t="shared" si="142"/>
        <v>5.319693</v>
      </c>
      <c r="Z3070">
        <f t="shared" si="143"/>
        <v>75.299692999999991</v>
      </c>
    </row>
    <row r="3071" spans="1:26" x14ac:dyDescent="0.3">
      <c r="A3071" t="s">
        <v>3161</v>
      </c>
      <c r="B3071" t="s">
        <v>63</v>
      </c>
      <c r="C3071" t="s">
        <v>89</v>
      </c>
      <c r="D3071" t="s">
        <v>69</v>
      </c>
      <c r="E3071">
        <v>20</v>
      </c>
      <c r="F3071" s="3">
        <v>6.4</v>
      </c>
      <c r="G3071" s="4">
        <v>73</v>
      </c>
      <c r="H3071">
        <v>3</v>
      </c>
      <c r="I3071">
        <v>1</v>
      </c>
      <c r="J3071">
        <v>4</v>
      </c>
      <c r="K3071" s="4">
        <v>81.5</v>
      </c>
      <c r="L3071" s="4">
        <v>67.8</v>
      </c>
      <c r="M3071" s="4">
        <v>72.400000000000006</v>
      </c>
      <c r="N3071">
        <v>0</v>
      </c>
      <c r="O3071" t="s">
        <v>58</v>
      </c>
      <c r="P3071" t="s">
        <v>92</v>
      </c>
      <c r="Q3071" t="s">
        <v>93</v>
      </c>
      <c r="R3071" t="s">
        <v>109</v>
      </c>
      <c r="S3071" s="3">
        <v>7.63</v>
      </c>
      <c r="T3071" s="5">
        <v>45920</v>
      </c>
      <c r="U3071">
        <v>1</v>
      </c>
      <c r="V3071">
        <v>2025</v>
      </c>
      <c r="X3071">
        <f t="shared" si="141"/>
        <v>6.3996929000000007</v>
      </c>
      <c r="Y3071">
        <f t="shared" si="142"/>
        <v>7.6296929000000002</v>
      </c>
      <c r="Z3071">
        <f t="shared" si="143"/>
        <v>67.799692899999997</v>
      </c>
    </row>
    <row r="3072" spans="1:26" x14ac:dyDescent="0.3">
      <c r="A3072" t="s">
        <v>3162</v>
      </c>
      <c r="B3072" t="s">
        <v>82</v>
      </c>
      <c r="C3072" t="s">
        <v>101</v>
      </c>
      <c r="D3072" t="s">
        <v>57</v>
      </c>
      <c r="E3072">
        <v>22</v>
      </c>
      <c r="F3072" s="3">
        <v>5.85</v>
      </c>
      <c r="G3072" s="4">
        <v>84.2</v>
      </c>
      <c r="H3072">
        <v>3</v>
      </c>
      <c r="I3072">
        <v>5</v>
      </c>
      <c r="J3072">
        <v>4</v>
      </c>
      <c r="K3072" s="4">
        <v>62.6</v>
      </c>
      <c r="L3072" s="4">
        <v>65.3</v>
      </c>
      <c r="M3072" s="4">
        <v>71.099999999999994</v>
      </c>
      <c r="N3072">
        <v>0</v>
      </c>
      <c r="O3072" t="s">
        <v>58</v>
      </c>
      <c r="P3072" t="s">
        <v>112</v>
      </c>
      <c r="Q3072" t="s">
        <v>93</v>
      </c>
      <c r="R3072" t="s">
        <v>72</v>
      </c>
      <c r="S3072" s="3">
        <v>6.32</v>
      </c>
      <c r="T3072" s="5">
        <v>44797</v>
      </c>
      <c r="U3072">
        <v>1</v>
      </c>
      <c r="V3072">
        <v>2022</v>
      </c>
      <c r="X3072">
        <f t="shared" si="141"/>
        <v>5.8496927999999997</v>
      </c>
      <c r="Y3072">
        <f t="shared" si="142"/>
        <v>6.3196928000000003</v>
      </c>
      <c r="Z3072">
        <f t="shared" si="143"/>
        <v>65.299692800000003</v>
      </c>
    </row>
    <row r="3073" spans="1:26" x14ac:dyDescent="0.3">
      <c r="A3073" t="s">
        <v>3163</v>
      </c>
      <c r="B3073" t="s">
        <v>55</v>
      </c>
      <c r="C3073" t="s">
        <v>74</v>
      </c>
      <c r="D3073" t="s">
        <v>57</v>
      </c>
      <c r="E3073">
        <v>20</v>
      </c>
      <c r="F3073" s="3">
        <v>7.87</v>
      </c>
      <c r="G3073" s="4">
        <v>70.099999999999994</v>
      </c>
      <c r="H3073">
        <v>3</v>
      </c>
      <c r="I3073">
        <v>2</v>
      </c>
      <c r="J3073">
        <v>6</v>
      </c>
      <c r="K3073" s="4">
        <v>51.2</v>
      </c>
      <c r="L3073" s="4">
        <v>76.8</v>
      </c>
      <c r="M3073" s="4">
        <v>81.2</v>
      </c>
      <c r="N3073">
        <v>0</v>
      </c>
      <c r="O3073" t="s">
        <v>58</v>
      </c>
      <c r="P3073" t="s">
        <v>95</v>
      </c>
      <c r="Q3073" t="s">
        <v>93</v>
      </c>
      <c r="R3073" t="s">
        <v>61</v>
      </c>
      <c r="S3073" s="3">
        <v>7.61</v>
      </c>
      <c r="T3073" s="5">
        <v>45602</v>
      </c>
      <c r="U3073">
        <v>1</v>
      </c>
      <c r="V3073">
        <v>2024</v>
      </c>
      <c r="X3073">
        <f t="shared" si="141"/>
        <v>7.8696926999999999</v>
      </c>
      <c r="Y3073">
        <f t="shared" si="142"/>
        <v>7.6096927000000001</v>
      </c>
      <c r="Z3073">
        <f t="shared" si="143"/>
        <v>76.799692699999994</v>
      </c>
    </row>
    <row r="3074" spans="1:26" x14ac:dyDescent="0.3">
      <c r="A3074" t="s">
        <v>3164</v>
      </c>
      <c r="B3074" t="s">
        <v>63</v>
      </c>
      <c r="C3074" t="s">
        <v>74</v>
      </c>
      <c r="D3074" t="s">
        <v>57</v>
      </c>
      <c r="E3074">
        <v>21</v>
      </c>
      <c r="F3074" s="3">
        <v>7.8</v>
      </c>
      <c r="G3074" s="4">
        <v>88.8</v>
      </c>
      <c r="H3074">
        <v>1</v>
      </c>
      <c r="I3074">
        <v>4</v>
      </c>
      <c r="J3074">
        <v>6</v>
      </c>
      <c r="K3074" s="4">
        <v>58</v>
      </c>
      <c r="L3074" s="4">
        <v>73</v>
      </c>
      <c r="M3074" s="4">
        <v>73.8</v>
      </c>
      <c r="N3074">
        <v>0</v>
      </c>
      <c r="O3074" t="s">
        <v>58</v>
      </c>
      <c r="P3074" t="s">
        <v>87</v>
      </c>
      <c r="Q3074" t="s">
        <v>71</v>
      </c>
      <c r="R3074" t="s">
        <v>80</v>
      </c>
      <c r="S3074" s="3">
        <v>7.19</v>
      </c>
      <c r="T3074" s="5">
        <v>45942</v>
      </c>
      <c r="U3074">
        <v>1</v>
      </c>
      <c r="V3074">
        <v>2025</v>
      </c>
      <c r="X3074">
        <f t="shared" ref="X3074:X3137" si="144">F3074-ROW()*0.0000001</f>
        <v>7.7996926000000002</v>
      </c>
      <c r="Y3074">
        <f t="shared" ref="Y3074:Y3137" si="145">S3074-ROW()*0.0000001</f>
        <v>7.1896926000000008</v>
      </c>
      <c r="Z3074">
        <f t="shared" ref="Z3074:Z3137" si="146">L3074-ROW()*0.0000001</f>
        <v>72.999692600000003</v>
      </c>
    </row>
    <row r="3075" spans="1:26" x14ac:dyDescent="0.3">
      <c r="A3075" t="s">
        <v>3165</v>
      </c>
      <c r="B3075" t="s">
        <v>67</v>
      </c>
      <c r="C3075" t="s">
        <v>84</v>
      </c>
      <c r="D3075" t="s">
        <v>69</v>
      </c>
      <c r="E3075">
        <v>20</v>
      </c>
      <c r="F3075" s="3">
        <v>6.63</v>
      </c>
      <c r="G3075" s="4">
        <v>84.5</v>
      </c>
      <c r="H3075">
        <v>2</v>
      </c>
      <c r="I3075">
        <v>2</v>
      </c>
      <c r="J3075">
        <v>5</v>
      </c>
      <c r="K3075" s="4">
        <v>46.2</v>
      </c>
      <c r="L3075" s="4">
        <v>76.7</v>
      </c>
      <c r="M3075" s="4">
        <v>70.099999999999994</v>
      </c>
      <c r="N3075">
        <v>0</v>
      </c>
      <c r="O3075" t="s">
        <v>58</v>
      </c>
      <c r="P3075" t="s">
        <v>75</v>
      </c>
      <c r="Q3075" t="s">
        <v>71</v>
      </c>
      <c r="R3075" t="s">
        <v>80</v>
      </c>
      <c r="S3075" s="3">
        <v>6.07</v>
      </c>
      <c r="T3075" s="5">
        <v>45199</v>
      </c>
      <c r="U3075">
        <v>2</v>
      </c>
      <c r="V3075">
        <v>2023</v>
      </c>
      <c r="X3075">
        <f t="shared" si="144"/>
        <v>6.6296925</v>
      </c>
      <c r="Y3075">
        <f t="shared" si="145"/>
        <v>6.0696925000000004</v>
      </c>
      <c r="Z3075">
        <f t="shared" si="146"/>
        <v>76.699692499999998</v>
      </c>
    </row>
    <row r="3076" spans="1:26" x14ac:dyDescent="0.3">
      <c r="A3076" t="s">
        <v>3166</v>
      </c>
      <c r="B3076" t="s">
        <v>55</v>
      </c>
      <c r="C3076" t="s">
        <v>101</v>
      </c>
      <c r="D3076" t="s">
        <v>57</v>
      </c>
      <c r="E3076">
        <v>21</v>
      </c>
      <c r="F3076" s="3">
        <v>6.79</v>
      </c>
      <c r="G3076" s="4">
        <v>95.5</v>
      </c>
      <c r="H3076">
        <v>2</v>
      </c>
      <c r="I3076">
        <v>4</v>
      </c>
      <c r="J3076">
        <v>5</v>
      </c>
      <c r="K3076" s="4">
        <v>91.8</v>
      </c>
      <c r="L3076" s="4">
        <v>74.8</v>
      </c>
      <c r="M3076" s="4">
        <v>68.3</v>
      </c>
      <c r="N3076">
        <v>0</v>
      </c>
      <c r="O3076" t="s">
        <v>58</v>
      </c>
      <c r="P3076" t="s">
        <v>92</v>
      </c>
      <c r="Q3076" t="s">
        <v>93</v>
      </c>
      <c r="R3076" t="s">
        <v>80</v>
      </c>
      <c r="S3076" s="3">
        <v>9.73</v>
      </c>
      <c r="T3076" s="5">
        <v>45506</v>
      </c>
      <c r="U3076">
        <v>2</v>
      </c>
      <c r="V3076">
        <v>2024</v>
      </c>
      <c r="X3076">
        <f t="shared" si="144"/>
        <v>6.7896923999999999</v>
      </c>
      <c r="Y3076">
        <f t="shared" si="145"/>
        <v>9.7296924000000011</v>
      </c>
      <c r="Z3076">
        <f t="shared" si="146"/>
        <v>74.799692399999998</v>
      </c>
    </row>
    <row r="3077" spans="1:26" x14ac:dyDescent="0.3">
      <c r="A3077" t="s">
        <v>3167</v>
      </c>
      <c r="B3077" t="s">
        <v>82</v>
      </c>
      <c r="C3077" t="s">
        <v>78</v>
      </c>
      <c r="D3077" t="s">
        <v>69</v>
      </c>
      <c r="E3077">
        <v>23</v>
      </c>
      <c r="F3077" s="3">
        <v>6.96</v>
      </c>
      <c r="G3077" s="4">
        <v>79.599999999999994</v>
      </c>
      <c r="H3077">
        <v>0</v>
      </c>
      <c r="I3077">
        <v>2</v>
      </c>
      <c r="J3077">
        <v>4</v>
      </c>
      <c r="K3077" s="4">
        <v>88.4</v>
      </c>
      <c r="L3077" s="4">
        <v>85.6</v>
      </c>
      <c r="M3077" s="4">
        <v>63.9</v>
      </c>
      <c r="N3077">
        <v>3</v>
      </c>
      <c r="O3077" t="s">
        <v>58</v>
      </c>
      <c r="P3077" t="s">
        <v>90</v>
      </c>
      <c r="Q3077" t="s">
        <v>60</v>
      </c>
      <c r="R3077" t="s">
        <v>72</v>
      </c>
      <c r="S3077" s="3">
        <v>8.77</v>
      </c>
      <c r="T3077" s="5">
        <v>44882</v>
      </c>
      <c r="U3077">
        <v>1</v>
      </c>
      <c r="V3077">
        <v>2022</v>
      </c>
      <c r="X3077">
        <f t="shared" si="144"/>
        <v>6.9596923000000004</v>
      </c>
      <c r="Y3077">
        <f t="shared" si="145"/>
        <v>8.7696922999999991</v>
      </c>
      <c r="Z3077">
        <f t="shared" si="146"/>
        <v>85.599692300000001</v>
      </c>
    </row>
    <row r="3078" spans="1:26" x14ac:dyDescent="0.3">
      <c r="A3078" t="s">
        <v>3168</v>
      </c>
      <c r="B3078" t="s">
        <v>55</v>
      </c>
      <c r="C3078" t="s">
        <v>56</v>
      </c>
      <c r="D3078" t="s">
        <v>69</v>
      </c>
      <c r="E3078">
        <v>21</v>
      </c>
      <c r="F3078" s="3">
        <v>8.85</v>
      </c>
      <c r="G3078" s="4">
        <v>79.3</v>
      </c>
      <c r="H3078">
        <v>1</v>
      </c>
      <c r="I3078">
        <v>4</v>
      </c>
      <c r="J3078">
        <v>1</v>
      </c>
      <c r="K3078" s="4">
        <v>64.8</v>
      </c>
      <c r="L3078" s="4">
        <v>70.5</v>
      </c>
      <c r="M3078" s="4">
        <v>81.2</v>
      </c>
      <c r="N3078">
        <v>0</v>
      </c>
      <c r="O3078" t="s">
        <v>58</v>
      </c>
      <c r="P3078" t="s">
        <v>112</v>
      </c>
      <c r="Q3078" t="s">
        <v>93</v>
      </c>
      <c r="R3078" t="s">
        <v>130</v>
      </c>
      <c r="S3078" s="3">
        <v>8.1</v>
      </c>
      <c r="T3078" s="5">
        <v>45593</v>
      </c>
      <c r="U3078">
        <v>1</v>
      </c>
      <c r="V3078">
        <v>2024</v>
      </c>
      <c r="X3078">
        <f t="shared" si="144"/>
        <v>8.8496921999999998</v>
      </c>
      <c r="Y3078">
        <f t="shared" si="145"/>
        <v>8.0996921999999998</v>
      </c>
      <c r="Z3078">
        <f t="shared" si="146"/>
        <v>70.499692199999998</v>
      </c>
    </row>
    <row r="3079" spans="1:26" x14ac:dyDescent="0.3">
      <c r="A3079" t="s">
        <v>3169</v>
      </c>
      <c r="B3079" t="s">
        <v>107</v>
      </c>
      <c r="C3079" t="s">
        <v>84</v>
      </c>
      <c r="D3079" t="s">
        <v>57</v>
      </c>
      <c r="E3079">
        <v>23</v>
      </c>
      <c r="F3079" s="3">
        <v>7.22</v>
      </c>
      <c r="G3079" s="4">
        <v>79.400000000000006</v>
      </c>
      <c r="H3079">
        <v>2</v>
      </c>
      <c r="I3079">
        <v>0</v>
      </c>
      <c r="J3079">
        <v>3</v>
      </c>
      <c r="K3079" s="4">
        <v>66</v>
      </c>
      <c r="L3079" s="4">
        <v>81.7</v>
      </c>
      <c r="M3079" s="4">
        <v>80.8</v>
      </c>
      <c r="N3079">
        <v>0</v>
      </c>
      <c r="O3079" t="s">
        <v>58</v>
      </c>
      <c r="P3079" t="s">
        <v>59</v>
      </c>
      <c r="Q3079" t="s">
        <v>60</v>
      </c>
      <c r="R3079" t="s">
        <v>76</v>
      </c>
      <c r="S3079" s="3">
        <v>19.72</v>
      </c>
      <c r="T3079" s="5">
        <v>44484</v>
      </c>
      <c r="U3079">
        <v>2</v>
      </c>
      <c r="V3079">
        <v>2021</v>
      </c>
      <c r="X3079">
        <f t="shared" si="144"/>
        <v>7.2196920999999996</v>
      </c>
      <c r="Y3079">
        <f t="shared" si="145"/>
        <v>19.7196921</v>
      </c>
      <c r="Z3079">
        <f t="shared" si="146"/>
        <v>81.699692100000007</v>
      </c>
    </row>
    <row r="3080" spans="1:26" x14ac:dyDescent="0.3">
      <c r="A3080" t="s">
        <v>3170</v>
      </c>
      <c r="B3080" t="s">
        <v>107</v>
      </c>
      <c r="C3080" t="s">
        <v>56</v>
      </c>
      <c r="D3080" t="s">
        <v>69</v>
      </c>
      <c r="E3080">
        <v>23</v>
      </c>
      <c r="F3080" s="3">
        <v>6.3</v>
      </c>
      <c r="G3080" s="4">
        <v>100</v>
      </c>
      <c r="H3080">
        <v>2</v>
      </c>
      <c r="I3080">
        <v>2</v>
      </c>
      <c r="J3080">
        <v>4</v>
      </c>
      <c r="K3080" s="4">
        <v>70.7</v>
      </c>
      <c r="L3080" s="4">
        <v>75.400000000000006</v>
      </c>
      <c r="M3080" s="4">
        <v>73.900000000000006</v>
      </c>
      <c r="N3080">
        <v>0</v>
      </c>
      <c r="O3080" t="s">
        <v>58</v>
      </c>
      <c r="P3080" t="s">
        <v>59</v>
      </c>
      <c r="Q3080" t="s">
        <v>60</v>
      </c>
      <c r="R3080" t="s">
        <v>109</v>
      </c>
      <c r="S3080" s="3">
        <v>19.21</v>
      </c>
      <c r="T3080" s="5">
        <v>44463</v>
      </c>
      <c r="U3080">
        <v>2</v>
      </c>
      <c r="V3080">
        <v>2021</v>
      </c>
      <c r="X3080">
        <f t="shared" si="144"/>
        <v>6.2996919999999994</v>
      </c>
      <c r="Y3080">
        <f t="shared" si="145"/>
        <v>19.209692</v>
      </c>
      <c r="Z3080">
        <f t="shared" si="146"/>
        <v>75.399692000000002</v>
      </c>
    </row>
    <row r="3081" spans="1:26" x14ac:dyDescent="0.3">
      <c r="A3081" t="s">
        <v>3171</v>
      </c>
      <c r="B3081" t="s">
        <v>63</v>
      </c>
      <c r="C3081" t="s">
        <v>89</v>
      </c>
      <c r="D3081" t="s">
        <v>69</v>
      </c>
      <c r="E3081">
        <v>21</v>
      </c>
      <c r="F3081" s="3">
        <v>7.59</v>
      </c>
      <c r="G3081" s="4">
        <v>87.7</v>
      </c>
      <c r="H3081">
        <v>2</v>
      </c>
      <c r="I3081">
        <v>2</v>
      </c>
      <c r="J3081">
        <v>4</v>
      </c>
      <c r="K3081" s="4">
        <v>91.4</v>
      </c>
      <c r="L3081" s="4">
        <v>73</v>
      </c>
      <c r="M3081" s="4">
        <v>85.3</v>
      </c>
      <c r="N3081">
        <v>0</v>
      </c>
      <c r="O3081" t="s">
        <v>58</v>
      </c>
      <c r="P3081" t="s">
        <v>79</v>
      </c>
      <c r="Q3081" t="s">
        <v>71</v>
      </c>
      <c r="R3081" t="s">
        <v>85</v>
      </c>
      <c r="S3081" s="3">
        <v>6.91</v>
      </c>
      <c r="T3081" s="5">
        <v>45873</v>
      </c>
      <c r="U3081">
        <v>2</v>
      </c>
      <c r="V3081">
        <v>2025</v>
      </c>
      <c r="X3081">
        <f t="shared" si="144"/>
        <v>7.5896919</v>
      </c>
      <c r="Y3081">
        <f t="shared" si="145"/>
        <v>6.9096919000000003</v>
      </c>
      <c r="Z3081">
        <f t="shared" si="146"/>
        <v>72.999691900000002</v>
      </c>
    </row>
    <row r="3082" spans="1:26" x14ac:dyDescent="0.3">
      <c r="A3082" t="s">
        <v>3172</v>
      </c>
      <c r="B3082" t="s">
        <v>63</v>
      </c>
      <c r="C3082" t="s">
        <v>56</v>
      </c>
      <c r="D3082" t="s">
        <v>57</v>
      </c>
      <c r="E3082">
        <v>23</v>
      </c>
      <c r="F3082" s="3">
        <v>7.65</v>
      </c>
      <c r="G3082" s="4">
        <v>94.1</v>
      </c>
      <c r="H3082">
        <v>0</v>
      </c>
      <c r="I3082">
        <v>2</v>
      </c>
      <c r="J3082">
        <v>5</v>
      </c>
      <c r="K3082" s="4">
        <v>53.2</v>
      </c>
      <c r="L3082" s="4">
        <v>64</v>
      </c>
      <c r="M3082" s="4">
        <v>74.099999999999994</v>
      </c>
      <c r="N3082">
        <v>0</v>
      </c>
      <c r="O3082" t="s">
        <v>58</v>
      </c>
      <c r="P3082" t="s">
        <v>104</v>
      </c>
      <c r="Q3082" t="s">
        <v>105</v>
      </c>
      <c r="R3082" t="s">
        <v>109</v>
      </c>
      <c r="S3082" s="3">
        <v>15.55</v>
      </c>
      <c r="T3082" s="5">
        <v>45984</v>
      </c>
      <c r="U3082">
        <v>2</v>
      </c>
      <c r="V3082">
        <v>2025</v>
      </c>
      <c r="X3082">
        <f t="shared" si="144"/>
        <v>7.6496918000000003</v>
      </c>
      <c r="Y3082">
        <f t="shared" si="145"/>
        <v>15.549691800000002</v>
      </c>
      <c r="Z3082">
        <f t="shared" si="146"/>
        <v>63.999691800000001</v>
      </c>
    </row>
    <row r="3083" spans="1:26" x14ac:dyDescent="0.3">
      <c r="A3083" t="s">
        <v>3173</v>
      </c>
      <c r="B3083" t="s">
        <v>67</v>
      </c>
      <c r="C3083" t="s">
        <v>89</v>
      </c>
      <c r="D3083" t="s">
        <v>57</v>
      </c>
      <c r="E3083">
        <v>21</v>
      </c>
      <c r="F3083" s="3">
        <v>6.72</v>
      </c>
      <c r="G3083" s="4">
        <v>88.5</v>
      </c>
      <c r="H3083">
        <v>1</v>
      </c>
      <c r="I3083">
        <v>2</v>
      </c>
      <c r="J3083">
        <v>5</v>
      </c>
      <c r="K3083" s="4">
        <v>65.7</v>
      </c>
      <c r="L3083" s="4">
        <v>69</v>
      </c>
      <c r="M3083" s="4">
        <v>77.900000000000006</v>
      </c>
      <c r="N3083">
        <v>0</v>
      </c>
      <c r="O3083" t="s">
        <v>58</v>
      </c>
      <c r="P3083" t="s">
        <v>59</v>
      </c>
      <c r="Q3083" t="s">
        <v>60</v>
      </c>
      <c r="R3083" t="s">
        <v>109</v>
      </c>
      <c r="S3083" s="3">
        <v>18.28</v>
      </c>
      <c r="T3083" s="5">
        <v>45242</v>
      </c>
      <c r="U3083">
        <v>1</v>
      </c>
      <c r="V3083">
        <v>2023</v>
      </c>
      <c r="X3083">
        <f t="shared" si="144"/>
        <v>6.7196916999999994</v>
      </c>
      <c r="Y3083">
        <f t="shared" si="145"/>
        <v>18.279691700000001</v>
      </c>
      <c r="Z3083">
        <f t="shared" si="146"/>
        <v>68.9996917</v>
      </c>
    </row>
    <row r="3084" spans="1:26" x14ac:dyDescent="0.3">
      <c r="A3084" t="s">
        <v>3174</v>
      </c>
      <c r="B3084" t="s">
        <v>55</v>
      </c>
      <c r="C3084" t="s">
        <v>74</v>
      </c>
      <c r="D3084" t="s">
        <v>57</v>
      </c>
      <c r="E3084">
        <v>22</v>
      </c>
      <c r="F3084" s="3">
        <v>8.18</v>
      </c>
      <c r="G3084" s="4">
        <v>89.9</v>
      </c>
      <c r="H3084">
        <v>1</v>
      </c>
      <c r="I3084">
        <v>3</v>
      </c>
      <c r="J3084">
        <v>4</v>
      </c>
      <c r="K3084" s="4">
        <v>85.5</v>
      </c>
      <c r="L3084" s="4">
        <v>69.3</v>
      </c>
      <c r="M3084" s="4">
        <v>67.2</v>
      </c>
      <c r="N3084">
        <v>1</v>
      </c>
      <c r="O3084" t="s">
        <v>58</v>
      </c>
      <c r="P3084" t="s">
        <v>112</v>
      </c>
      <c r="Q3084" t="s">
        <v>93</v>
      </c>
      <c r="R3084" t="s">
        <v>76</v>
      </c>
      <c r="S3084" s="3">
        <v>7.44</v>
      </c>
      <c r="T3084" s="5">
        <v>45562</v>
      </c>
      <c r="U3084">
        <v>3</v>
      </c>
      <c r="V3084">
        <v>2024</v>
      </c>
      <c r="X3084">
        <f t="shared" si="144"/>
        <v>8.1796916</v>
      </c>
      <c r="Y3084">
        <f t="shared" si="145"/>
        <v>7.4396916000000006</v>
      </c>
      <c r="Z3084">
        <f t="shared" si="146"/>
        <v>69.299691600000003</v>
      </c>
    </row>
    <row r="3085" spans="1:26" x14ac:dyDescent="0.3">
      <c r="A3085" t="s">
        <v>3175</v>
      </c>
      <c r="B3085" t="s">
        <v>107</v>
      </c>
      <c r="C3085" t="s">
        <v>68</v>
      </c>
      <c r="D3085" t="s">
        <v>69</v>
      </c>
      <c r="E3085">
        <v>23</v>
      </c>
      <c r="F3085" s="3">
        <v>8.67</v>
      </c>
      <c r="G3085" s="4">
        <v>68.7</v>
      </c>
      <c r="H3085">
        <v>2</v>
      </c>
      <c r="I3085">
        <v>1</v>
      </c>
      <c r="J3085">
        <v>1</v>
      </c>
      <c r="K3085" s="4">
        <v>63.3</v>
      </c>
      <c r="L3085" s="4">
        <v>86.2</v>
      </c>
      <c r="M3085" s="4">
        <v>88.4</v>
      </c>
      <c r="N3085">
        <v>2</v>
      </c>
      <c r="O3085" t="s">
        <v>64</v>
      </c>
      <c r="P3085" t="s">
        <v>65</v>
      </c>
      <c r="S3085" s="3">
        <v>0</v>
      </c>
      <c r="T3085" s="5"/>
      <c r="U3085">
        <v>0</v>
      </c>
      <c r="V3085">
        <v>2021</v>
      </c>
      <c r="X3085">
        <f t="shared" si="144"/>
        <v>8.6696915000000008</v>
      </c>
      <c r="Y3085">
        <f t="shared" si="145"/>
        <v>-3.0849999999999996E-4</v>
      </c>
      <c r="Z3085">
        <f t="shared" si="146"/>
        <v>86.1996915</v>
      </c>
    </row>
    <row r="3086" spans="1:26" x14ac:dyDescent="0.3">
      <c r="A3086" t="s">
        <v>3176</v>
      </c>
      <c r="B3086" t="s">
        <v>63</v>
      </c>
      <c r="C3086" t="s">
        <v>74</v>
      </c>
      <c r="D3086" t="s">
        <v>69</v>
      </c>
      <c r="E3086">
        <v>21</v>
      </c>
      <c r="F3086" s="3">
        <v>7.33</v>
      </c>
      <c r="G3086" s="4">
        <v>77</v>
      </c>
      <c r="H3086">
        <v>0</v>
      </c>
      <c r="I3086">
        <v>2</v>
      </c>
      <c r="J3086">
        <v>3</v>
      </c>
      <c r="K3086" s="4">
        <v>56.3</v>
      </c>
      <c r="L3086" s="4">
        <v>73.5</v>
      </c>
      <c r="M3086" s="4">
        <v>75.900000000000006</v>
      </c>
      <c r="N3086">
        <v>0</v>
      </c>
      <c r="O3086" t="s">
        <v>58</v>
      </c>
      <c r="P3086" t="s">
        <v>59</v>
      </c>
      <c r="Q3086" t="s">
        <v>60</v>
      </c>
      <c r="R3086" t="s">
        <v>72</v>
      </c>
      <c r="S3086" s="3">
        <v>18.399999999999999</v>
      </c>
      <c r="T3086" s="5">
        <v>45962</v>
      </c>
      <c r="U3086">
        <v>1</v>
      </c>
      <c r="V3086">
        <v>2025</v>
      </c>
      <c r="X3086">
        <f t="shared" si="144"/>
        <v>7.3296913999999997</v>
      </c>
      <c r="Y3086">
        <f t="shared" si="145"/>
        <v>18.399691399999998</v>
      </c>
      <c r="Z3086">
        <f t="shared" si="146"/>
        <v>73.499691400000003</v>
      </c>
    </row>
    <row r="3087" spans="1:26" x14ac:dyDescent="0.3">
      <c r="A3087" t="s">
        <v>3177</v>
      </c>
      <c r="B3087" t="s">
        <v>55</v>
      </c>
      <c r="C3087" t="s">
        <v>56</v>
      </c>
      <c r="D3087" t="s">
        <v>57</v>
      </c>
      <c r="E3087">
        <v>23</v>
      </c>
      <c r="F3087" s="3">
        <v>6.3</v>
      </c>
      <c r="G3087" s="4">
        <v>76.400000000000006</v>
      </c>
      <c r="H3087">
        <v>2</v>
      </c>
      <c r="I3087">
        <v>2</v>
      </c>
      <c r="J3087">
        <v>3</v>
      </c>
      <c r="K3087" s="4">
        <v>70.3</v>
      </c>
      <c r="L3087" s="4">
        <v>56.4</v>
      </c>
      <c r="M3087" s="4">
        <v>78.599999999999994</v>
      </c>
      <c r="N3087">
        <v>2</v>
      </c>
      <c r="O3087" t="s">
        <v>64</v>
      </c>
      <c r="P3087" t="s">
        <v>65</v>
      </c>
      <c r="S3087" s="3">
        <v>0</v>
      </c>
      <c r="T3087" s="5"/>
      <c r="U3087">
        <v>0</v>
      </c>
      <c r="V3087">
        <v>2024</v>
      </c>
      <c r="X3087">
        <f t="shared" si="144"/>
        <v>6.2996913000000001</v>
      </c>
      <c r="Y3087">
        <f t="shared" si="145"/>
        <v>-3.0869999999999997E-4</v>
      </c>
      <c r="Z3087">
        <f t="shared" si="146"/>
        <v>56.399691300000001</v>
      </c>
    </row>
    <row r="3088" spans="1:26" x14ac:dyDescent="0.3">
      <c r="A3088" t="s">
        <v>3178</v>
      </c>
      <c r="B3088" t="s">
        <v>63</v>
      </c>
      <c r="C3088" t="s">
        <v>89</v>
      </c>
      <c r="D3088" t="s">
        <v>57</v>
      </c>
      <c r="E3088">
        <v>20</v>
      </c>
      <c r="F3088" s="3">
        <v>7.4</v>
      </c>
      <c r="G3088" s="4">
        <v>82.5</v>
      </c>
      <c r="H3088">
        <v>2</v>
      </c>
      <c r="I3088">
        <v>1</v>
      </c>
      <c r="J3088">
        <v>3</v>
      </c>
      <c r="K3088" s="4">
        <v>43</v>
      </c>
      <c r="L3088" s="4">
        <v>46.8</v>
      </c>
      <c r="M3088" s="4">
        <v>74.8</v>
      </c>
      <c r="N3088">
        <v>1</v>
      </c>
      <c r="O3088" t="s">
        <v>58</v>
      </c>
      <c r="P3088" t="s">
        <v>104</v>
      </c>
      <c r="Q3088" t="s">
        <v>105</v>
      </c>
      <c r="R3088" t="s">
        <v>61</v>
      </c>
      <c r="S3088" s="3">
        <v>15.02</v>
      </c>
      <c r="T3088" s="5">
        <v>45896</v>
      </c>
      <c r="U3088">
        <v>1</v>
      </c>
      <c r="V3088">
        <v>2025</v>
      </c>
      <c r="X3088">
        <f t="shared" si="144"/>
        <v>7.3996912000000004</v>
      </c>
      <c r="Y3088">
        <f t="shared" si="145"/>
        <v>15.019691199999999</v>
      </c>
      <c r="Z3088">
        <f t="shared" si="146"/>
        <v>46.799691199999998</v>
      </c>
    </row>
    <row r="3089" spans="1:26" x14ac:dyDescent="0.3">
      <c r="A3089" t="s">
        <v>3179</v>
      </c>
      <c r="B3089" t="s">
        <v>63</v>
      </c>
      <c r="C3089" t="s">
        <v>84</v>
      </c>
      <c r="D3089" t="s">
        <v>57</v>
      </c>
      <c r="E3089">
        <v>21</v>
      </c>
      <c r="F3089" s="3">
        <v>7.92</v>
      </c>
      <c r="G3089" s="4">
        <v>81.099999999999994</v>
      </c>
      <c r="H3089">
        <v>3</v>
      </c>
      <c r="I3089">
        <v>3</v>
      </c>
      <c r="J3089">
        <v>4</v>
      </c>
      <c r="K3089" s="4">
        <v>73.2</v>
      </c>
      <c r="L3089" s="4">
        <v>52.9</v>
      </c>
      <c r="M3089" s="4">
        <v>75</v>
      </c>
      <c r="N3089">
        <v>0</v>
      </c>
      <c r="O3089" t="s">
        <v>58</v>
      </c>
      <c r="P3089" t="s">
        <v>92</v>
      </c>
      <c r="Q3089" t="s">
        <v>93</v>
      </c>
      <c r="R3089" t="s">
        <v>80</v>
      </c>
      <c r="S3089" s="3">
        <v>9.74</v>
      </c>
      <c r="T3089" s="5">
        <v>45899</v>
      </c>
      <c r="U3089">
        <v>1</v>
      </c>
      <c r="V3089">
        <v>2025</v>
      </c>
      <c r="X3089">
        <f t="shared" si="144"/>
        <v>7.9196910999999997</v>
      </c>
      <c r="Y3089">
        <f t="shared" si="145"/>
        <v>9.7396910999999999</v>
      </c>
      <c r="Z3089">
        <f t="shared" si="146"/>
        <v>52.899691099999998</v>
      </c>
    </row>
    <row r="3090" spans="1:26" x14ac:dyDescent="0.3">
      <c r="A3090" t="s">
        <v>3180</v>
      </c>
      <c r="B3090" t="s">
        <v>107</v>
      </c>
      <c r="C3090" t="s">
        <v>84</v>
      </c>
      <c r="D3090" t="s">
        <v>57</v>
      </c>
      <c r="E3090">
        <v>20</v>
      </c>
      <c r="F3090" s="3">
        <v>5.71</v>
      </c>
      <c r="G3090" s="4">
        <v>67.5</v>
      </c>
      <c r="H3090">
        <v>1</v>
      </c>
      <c r="I3090">
        <v>0</v>
      </c>
      <c r="J3090">
        <v>2</v>
      </c>
      <c r="K3090" s="4">
        <v>64.5</v>
      </c>
      <c r="L3090" s="4">
        <v>59.7</v>
      </c>
      <c r="M3090" s="4">
        <v>77.099999999999994</v>
      </c>
      <c r="N3090">
        <v>0</v>
      </c>
      <c r="O3090" t="s">
        <v>58</v>
      </c>
      <c r="P3090" t="s">
        <v>104</v>
      </c>
      <c r="Q3090" t="s">
        <v>105</v>
      </c>
      <c r="R3090" t="s">
        <v>85</v>
      </c>
      <c r="S3090" s="3">
        <v>12.96</v>
      </c>
      <c r="T3090" s="5">
        <v>44518</v>
      </c>
      <c r="U3090">
        <v>1</v>
      </c>
      <c r="V3090">
        <v>2021</v>
      </c>
      <c r="X3090">
        <f t="shared" si="144"/>
        <v>5.7096910000000003</v>
      </c>
      <c r="Y3090">
        <f t="shared" si="145"/>
        <v>12.959691000000001</v>
      </c>
      <c r="Z3090">
        <f t="shared" si="146"/>
        <v>59.699691000000001</v>
      </c>
    </row>
    <row r="3091" spans="1:26" x14ac:dyDescent="0.3">
      <c r="A3091" t="s">
        <v>3181</v>
      </c>
      <c r="B3091" t="s">
        <v>107</v>
      </c>
      <c r="C3091" t="s">
        <v>56</v>
      </c>
      <c r="D3091" t="s">
        <v>57</v>
      </c>
      <c r="E3091">
        <v>23</v>
      </c>
      <c r="F3091" s="3">
        <v>8.08</v>
      </c>
      <c r="G3091" s="4">
        <v>82.4</v>
      </c>
      <c r="H3091">
        <v>2</v>
      </c>
      <c r="I3091">
        <v>1</v>
      </c>
      <c r="J3091">
        <v>1</v>
      </c>
      <c r="K3091" s="4">
        <v>76.900000000000006</v>
      </c>
      <c r="L3091" s="4">
        <v>76.900000000000006</v>
      </c>
      <c r="M3091" s="4">
        <v>49.4</v>
      </c>
      <c r="N3091">
        <v>1</v>
      </c>
      <c r="O3091" t="s">
        <v>58</v>
      </c>
      <c r="P3091" t="s">
        <v>75</v>
      </c>
      <c r="Q3091" t="s">
        <v>71</v>
      </c>
      <c r="R3091" t="s">
        <v>61</v>
      </c>
      <c r="S3091" s="3">
        <v>6.89</v>
      </c>
      <c r="T3091" s="5">
        <v>44511</v>
      </c>
      <c r="U3091">
        <v>1</v>
      </c>
      <c r="V3091">
        <v>2021</v>
      </c>
      <c r="X3091">
        <f t="shared" si="144"/>
        <v>8.0796908999999992</v>
      </c>
      <c r="Y3091">
        <f t="shared" si="145"/>
        <v>6.8896908999999997</v>
      </c>
      <c r="Z3091">
        <f t="shared" si="146"/>
        <v>76.89969090000001</v>
      </c>
    </row>
    <row r="3092" spans="1:26" x14ac:dyDescent="0.3">
      <c r="A3092" t="s">
        <v>3182</v>
      </c>
      <c r="B3092" t="s">
        <v>63</v>
      </c>
      <c r="C3092" t="s">
        <v>78</v>
      </c>
      <c r="D3092" t="s">
        <v>69</v>
      </c>
      <c r="E3092">
        <v>23</v>
      </c>
      <c r="F3092" s="3">
        <v>7.31</v>
      </c>
      <c r="G3092" s="4">
        <v>63.9</v>
      </c>
      <c r="H3092">
        <v>3</v>
      </c>
      <c r="I3092">
        <v>2</v>
      </c>
      <c r="J3092">
        <v>3</v>
      </c>
      <c r="K3092" s="4">
        <v>58.3</v>
      </c>
      <c r="L3092" s="4">
        <v>60.7</v>
      </c>
      <c r="M3092" s="4">
        <v>79.099999999999994</v>
      </c>
      <c r="N3092">
        <v>0</v>
      </c>
      <c r="O3092" t="s">
        <v>58</v>
      </c>
      <c r="P3092" t="s">
        <v>104</v>
      </c>
      <c r="Q3092" t="s">
        <v>105</v>
      </c>
      <c r="R3092" t="s">
        <v>80</v>
      </c>
      <c r="S3092" s="3">
        <v>15.19</v>
      </c>
      <c r="T3092" s="5">
        <v>45931</v>
      </c>
      <c r="U3092">
        <v>1</v>
      </c>
      <c r="V3092">
        <v>2025</v>
      </c>
      <c r="X3092">
        <f t="shared" si="144"/>
        <v>7.3096907999999994</v>
      </c>
      <c r="Y3092">
        <f t="shared" si="145"/>
        <v>15.189690799999999</v>
      </c>
      <c r="Z3092">
        <f t="shared" si="146"/>
        <v>60.699690800000006</v>
      </c>
    </row>
    <row r="3093" spans="1:26" x14ac:dyDescent="0.3">
      <c r="A3093" t="s">
        <v>3183</v>
      </c>
      <c r="B3093" t="s">
        <v>82</v>
      </c>
      <c r="C3093" t="s">
        <v>78</v>
      </c>
      <c r="D3093" t="s">
        <v>57</v>
      </c>
      <c r="E3093">
        <v>22</v>
      </c>
      <c r="F3093" s="3">
        <v>7.69</v>
      </c>
      <c r="G3093" s="4">
        <v>89</v>
      </c>
      <c r="H3093">
        <v>2</v>
      </c>
      <c r="I3093">
        <v>4</v>
      </c>
      <c r="J3093">
        <v>5</v>
      </c>
      <c r="K3093" s="4">
        <v>74.3</v>
      </c>
      <c r="L3093" s="4">
        <v>88.4</v>
      </c>
      <c r="M3093" s="4">
        <v>65.5</v>
      </c>
      <c r="N3093">
        <v>1</v>
      </c>
      <c r="O3093" t="s">
        <v>58</v>
      </c>
      <c r="P3093" t="s">
        <v>95</v>
      </c>
      <c r="Q3093" t="s">
        <v>93</v>
      </c>
      <c r="R3093" t="s">
        <v>109</v>
      </c>
      <c r="S3093" s="3">
        <v>9.0500000000000007</v>
      </c>
      <c r="T3093" s="5">
        <v>44838</v>
      </c>
      <c r="U3093">
        <v>2</v>
      </c>
      <c r="V3093">
        <v>2022</v>
      </c>
      <c r="X3093">
        <f t="shared" si="144"/>
        <v>7.6896907000000008</v>
      </c>
      <c r="Y3093">
        <f t="shared" si="145"/>
        <v>9.0496907000000011</v>
      </c>
      <c r="Z3093">
        <f t="shared" si="146"/>
        <v>88.399690700000008</v>
      </c>
    </row>
    <row r="3094" spans="1:26" x14ac:dyDescent="0.3">
      <c r="A3094" t="s">
        <v>3184</v>
      </c>
      <c r="B3094" t="s">
        <v>63</v>
      </c>
      <c r="C3094" t="s">
        <v>74</v>
      </c>
      <c r="D3094" t="s">
        <v>69</v>
      </c>
      <c r="E3094">
        <v>21</v>
      </c>
      <c r="F3094" s="3">
        <v>7.39</v>
      </c>
      <c r="G3094" s="4">
        <v>82.9</v>
      </c>
      <c r="H3094">
        <v>0</v>
      </c>
      <c r="I3094">
        <v>2</v>
      </c>
      <c r="J3094">
        <v>1</v>
      </c>
      <c r="K3094" s="4">
        <v>71</v>
      </c>
      <c r="L3094" s="4">
        <v>51.6</v>
      </c>
      <c r="M3094" s="4">
        <v>71.2</v>
      </c>
      <c r="N3094">
        <v>0</v>
      </c>
      <c r="O3094" t="s">
        <v>58</v>
      </c>
      <c r="P3094" t="s">
        <v>79</v>
      </c>
      <c r="Q3094" t="s">
        <v>71</v>
      </c>
      <c r="R3094" t="s">
        <v>85</v>
      </c>
      <c r="S3094" s="3">
        <v>3.57</v>
      </c>
      <c r="T3094" s="5">
        <v>45880</v>
      </c>
      <c r="U3094">
        <v>1</v>
      </c>
      <c r="V3094">
        <v>2025</v>
      </c>
      <c r="X3094">
        <f t="shared" si="144"/>
        <v>7.3896905999999998</v>
      </c>
      <c r="Y3094">
        <f t="shared" si="145"/>
        <v>3.5696905999999999</v>
      </c>
      <c r="Z3094">
        <f t="shared" si="146"/>
        <v>51.599690600000002</v>
      </c>
    </row>
    <row r="3095" spans="1:26" x14ac:dyDescent="0.3">
      <c r="A3095" t="s">
        <v>3185</v>
      </c>
      <c r="B3095" t="s">
        <v>63</v>
      </c>
      <c r="C3095" t="s">
        <v>56</v>
      </c>
      <c r="D3095" t="s">
        <v>57</v>
      </c>
      <c r="E3095">
        <v>20</v>
      </c>
      <c r="F3095" s="3">
        <v>6.97</v>
      </c>
      <c r="G3095" s="4">
        <v>93.2</v>
      </c>
      <c r="H3095">
        <v>0</v>
      </c>
      <c r="I3095">
        <v>3</v>
      </c>
      <c r="J3095">
        <v>5</v>
      </c>
      <c r="K3095" s="4">
        <v>51.5</v>
      </c>
      <c r="L3095" s="4">
        <v>79.900000000000006</v>
      </c>
      <c r="M3095" s="4">
        <v>66.099999999999994</v>
      </c>
      <c r="N3095">
        <v>0</v>
      </c>
      <c r="O3095" t="s">
        <v>58</v>
      </c>
      <c r="P3095" t="s">
        <v>79</v>
      </c>
      <c r="Q3095" t="s">
        <v>71</v>
      </c>
      <c r="R3095" t="s">
        <v>76</v>
      </c>
      <c r="S3095" s="3">
        <v>7.18</v>
      </c>
      <c r="T3095" s="5">
        <v>45956</v>
      </c>
      <c r="U3095">
        <v>2</v>
      </c>
      <c r="V3095">
        <v>2025</v>
      </c>
      <c r="X3095">
        <f t="shared" si="144"/>
        <v>6.9696904999999996</v>
      </c>
      <c r="Y3095">
        <f t="shared" si="145"/>
        <v>7.1796904999999995</v>
      </c>
      <c r="Z3095">
        <f t="shared" si="146"/>
        <v>79.899690500000005</v>
      </c>
    </row>
    <row r="3096" spans="1:26" x14ac:dyDescent="0.3">
      <c r="A3096" t="s">
        <v>3186</v>
      </c>
      <c r="B3096" t="s">
        <v>67</v>
      </c>
      <c r="C3096" t="s">
        <v>78</v>
      </c>
      <c r="D3096" t="s">
        <v>69</v>
      </c>
      <c r="E3096">
        <v>22</v>
      </c>
      <c r="F3096" s="3">
        <v>7.55</v>
      </c>
      <c r="G3096" s="4">
        <v>83.9</v>
      </c>
      <c r="H3096">
        <v>2</v>
      </c>
      <c r="I3096">
        <v>2</v>
      </c>
      <c r="J3096">
        <v>3</v>
      </c>
      <c r="K3096" s="4">
        <v>54.8</v>
      </c>
      <c r="L3096" s="4">
        <v>42.1</v>
      </c>
      <c r="M3096" s="4">
        <v>84</v>
      </c>
      <c r="N3096">
        <v>0</v>
      </c>
      <c r="O3096" t="s">
        <v>58</v>
      </c>
      <c r="P3096" t="s">
        <v>112</v>
      </c>
      <c r="Q3096" t="s">
        <v>93</v>
      </c>
      <c r="R3096" t="s">
        <v>109</v>
      </c>
      <c r="S3096" s="3">
        <v>6.7</v>
      </c>
      <c r="T3096" s="5">
        <v>45187</v>
      </c>
      <c r="U3096">
        <v>1</v>
      </c>
      <c r="V3096">
        <v>2023</v>
      </c>
      <c r="X3096">
        <f t="shared" si="144"/>
        <v>7.5496904000000002</v>
      </c>
      <c r="Y3096">
        <f t="shared" si="145"/>
        <v>6.6996904000000006</v>
      </c>
      <c r="Z3096">
        <f t="shared" si="146"/>
        <v>42.0996904</v>
      </c>
    </row>
    <row r="3097" spans="1:26" x14ac:dyDescent="0.3">
      <c r="A3097" t="s">
        <v>3187</v>
      </c>
      <c r="B3097" t="s">
        <v>67</v>
      </c>
      <c r="C3097" t="s">
        <v>84</v>
      </c>
      <c r="D3097" t="s">
        <v>57</v>
      </c>
      <c r="E3097">
        <v>23</v>
      </c>
      <c r="F3097" s="3">
        <v>7.19</v>
      </c>
      <c r="G3097" s="4">
        <v>77.8</v>
      </c>
      <c r="H3097">
        <v>1</v>
      </c>
      <c r="I3097">
        <v>3</v>
      </c>
      <c r="J3097">
        <v>2</v>
      </c>
      <c r="K3097" s="4">
        <v>85.2</v>
      </c>
      <c r="L3097" s="4">
        <v>53.2</v>
      </c>
      <c r="M3097" s="4">
        <v>64.5</v>
      </c>
      <c r="N3097">
        <v>1</v>
      </c>
      <c r="O3097" t="s">
        <v>58</v>
      </c>
      <c r="P3097" t="s">
        <v>104</v>
      </c>
      <c r="Q3097" t="s">
        <v>105</v>
      </c>
      <c r="R3097" t="s">
        <v>61</v>
      </c>
      <c r="S3097" s="3">
        <v>12.19</v>
      </c>
      <c r="T3097" s="5">
        <v>45155</v>
      </c>
      <c r="U3097">
        <v>2</v>
      </c>
      <c r="V3097">
        <v>2023</v>
      </c>
      <c r="X3097">
        <f t="shared" si="144"/>
        <v>7.1896903000000005</v>
      </c>
      <c r="Y3097">
        <f t="shared" si="145"/>
        <v>12.189690299999999</v>
      </c>
      <c r="Z3097">
        <f t="shared" si="146"/>
        <v>53.1996903</v>
      </c>
    </row>
    <row r="3098" spans="1:26" x14ac:dyDescent="0.3">
      <c r="A3098" t="s">
        <v>3188</v>
      </c>
      <c r="B3098" t="s">
        <v>67</v>
      </c>
      <c r="C3098" t="s">
        <v>89</v>
      </c>
      <c r="D3098" t="s">
        <v>69</v>
      </c>
      <c r="E3098">
        <v>23</v>
      </c>
      <c r="F3098" s="3">
        <v>7.33</v>
      </c>
      <c r="G3098" s="4">
        <v>67.8</v>
      </c>
      <c r="H3098">
        <v>2</v>
      </c>
      <c r="I3098">
        <v>1</v>
      </c>
      <c r="J3098">
        <v>4</v>
      </c>
      <c r="K3098" s="4">
        <v>81.400000000000006</v>
      </c>
      <c r="L3098" s="4">
        <v>55.1</v>
      </c>
      <c r="M3098" s="4">
        <v>70.5</v>
      </c>
      <c r="N3098">
        <v>0</v>
      </c>
      <c r="O3098" t="s">
        <v>58</v>
      </c>
      <c r="P3098" t="s">
        <v>95</v>
      </c>
      <c r="Q3098" t="s">
        <v>93</v>
      </c>
      <c r="R3098" t="s">
        <v>130</v>
      </c>
      <c r="S3098" s="3">
        <v>5.76</v>
      </c>
      <c r="T3098" s="5">
        <v>45153</v>
      </c>
      <c r="U3098">
        <v>3</v>
      </c>
      <c r="V3098">
        <v>2023</v>
      </c>
      <c r="X3098">
        <f t="shared" si="144"/>
        <v>7.3296901999999999</v>
      </c>
      <c r="Y3098">
        <f t="shared" si="145"/>
        <v>5.7596901999999996</v>
      </c>
      <c r="Z3098">
        <f t="shared" si="146"/>
        <v>55.099690200000005</v>
      </c>
    </row>
    <row r="3099" spans="1:26" x14ac:dyDescent="0.3">
      <c r="A3099" t="s">
        <v>3189</v>
      </c>
      <c r="B3099" t="s">
        <v>82</v>
      </c>
      <c r="C3099" t="s">
        <v>68</v>
      </c>
      <c r="D3099" t="s">
        <v>57</v>
      </c>
      <c r="E3099">
        <v>22</v>
      </c>
      <c r="F3099" s="3">
        <v>6.86</v>
      </c>
      <c r="G3099" s="4">
        <v>78.400000000000006</v>
      </c>
      <c r="H3099">
        <v>2</v>
      </c>
      <c r="I3099">
        <v>3</v>
      </c>
      <c r="J3099">
        <v>6</v>
      </c>
      <c r="K3099" s="4">
        <v>43.8</v>
      </c>
      <c r="L3099" s="4">
        <v>54.9</v>
      </c>
      <c r="M3099" s="4">
        <v>66.2</v>
      </c>
      <c r="N3099">
        <v>1</v>
      </c>
      <c r="O3099" t="s">
        <v>64</v>
      </c>
      <c r="P3099" t="s">
        <v>65</v>
      </c>
      <c r="S3099" s="3">
        <v>0</v>
      </c>
      <c r="T3099" s="5"/>
      <c r="U3099">
        <v>0</v>
      </c>
      <c r="V3099">
        <v>2022</v>
      </c>
      <c r="X3099">
        <f t="shared" si="144"/>
        <v>6.8596900999999999</v>
      </c>
      <c r="Y3099">
        <f t="shared" si="145"/>
        <v>-3.099E-4</v>
      </c>
      <c r="Z3099">
        <f t="shared" si="146"/>
        <v>54.899690100000001</v>
      </c>
    </row>
    <row r="3100" spans="1:26" x14ac:dyDescent="0.3">
      <c r="A3100" t="s">
        <v>3190</v>
      </c>
      <c r="B3100" t="s">
        <v>82</v>
      </c>
      <c r="C3100" t="s">
        <v>68</v>
      </c>
      <c r="D3100" t="s">
        <v>57</v>
      </c>
      <c r="E3100">
        <v>20</v>
      </c>
      <c r="F3100" s="3">
        <v>8.1300000000000008</v>
      </c>
      <c r="G3100" s="4">
        <v>74.900000000000006</v>
      </c>
      <c r="H3100">
        <v>3</v>
      </c>
      <c r="I3100">
        <v>2</v>
      </c>
      <c r="J3100">
        <v>4</v>
      </c>
      <c r="K3100" s="4">
        <v>61.9</v>
      </c>
      <c r="L3100" s="4">
        <v>60.4</v>
      </c>
      <c r="M3100" s="4">
        <v>65.099999999999994</v>
      </c>
      <c r="N3100">
        <v>0</v>
      </c>
      <c r="O3100" t="s">
        <v>58</v>
      </c>
      <c r="P3100" t="s">
        <v>112</v>
      </c>
      <c r="Q3100" t="s">
        <v>93</v>
      </c>
      <c r="R3100" t="s">
        <v>109</v>
      </c>
      <c r="S3100" s="3">
        <v>7.62</v>
      </c>
      <c r="T3100" s="5">
        <v>44890</v>
      </c>
      <c r="U3100">
        <v>1</v>
      </c>
      <c r="V3100">
        <v>2022</v>
      </c>
      <c r="X3100">
        <f t="shared" si="144"/>
        <v>8.1296900000000001</v>
      </c>
      <c r="Y3100">
        <f t="shared" si="145"/>
        <v>7.6196900000000003</v>
      </c>
      <c r="Z3100">
        <f t="shared" si="146"/>
        <v>60.39969</v>
      </c>
    </row>
    <row r="3101" spans="1:26" x14ac:dyDescent="0.3">
      <c r="A3101" t="s">
        <v>3191</v>
      </c>
      <c r="B3101" t="s">
        <v>63</v>
      </c>
      <c r="C3101" t="s">
        <v>56</v>
      </c>
      <c r="D3101" t="s">
        <v>57</v>
      </c>
      <c r="E3101">
        <v>23</v>
      </c>
      <c r="F3101" s="3">
        <v>8.76</v>
      </c>
      <c r="G3101" s="4">
        <v>85.3</v>
      </c>
      <c r="H3101">
        <v>1</v>
      </c>
      <c r="I3101">
        <v>2</v>
      </c>
      <c r="J3101">
        <v>4</v>
      </c>
      <c r="K3101" s="4">
        <v>72.400000000000006</v>
      </c>
      <c r="L3101" s="4">
        <v>81.8</v>
      </c>
      <c r="M3101" s="4">
        <v>65.2</v>
      </c>
      <c r="N3101">
        <v>3</v>
      </c>
      <c r="O3101" t="s">
        <v>58</v>
      </c>
      <c r="P3101" t="s">
        <v>79</v>
      </c>
      <c r="Q3101" t="s">
        <v>71</v>
      </c>
      <c r="R3101" t="s">
        <v>85</v>
      </c>
      <c r="S3101" s="3">
        <v>5.95</v>
      </c>
      <c r="T3101" s="5">
        <v>45879</v>
      </c>
      <c r="U3101">
        <v>1</v>
      </c>
      <c r="V3101">
        <v>2025</v>
      </c>
      <c r="X3101">
        <f t="shared" si="144"/>
        <v>8.7596898999999997</v>
      </c>
      <c r="Y3101">
        <f t="shared" si="145"/>
        <v>5.9496899000000001</v>
      </c>
      <c r="Z3101">
        <f t="shared" si="146"/>
        <v>81.799689900000004</v>
      </c>
    </row>
    <row r="3102" spans="1:26" x14ac:dyDescent="0.3">
      <c r="A3102" t="s">
        <v>3192</v>
      </c>
      <c r="B3102" t="s">
        <v>67</v>
      </c>
      <c r="C3102" t="s">
        <v>78</v>
      </c>
      <c r="D3102" t="s">
        <v>69</v>
      </c>
      <c r="E3102">
        <v>23</v>
      </c>
      <c r="F3102" s="3">
        <v>6.86</v>
      </c>
      <c r="G3102" s="4">
        <v>78.2</v>
      </c>
      <c r="H3102">
        <v>2</v>
      </c>
      <c r="I3102">
        <v>1</v>
      </c>
      <c r="J3102">
        <v>5</v>
      </c>
      <c r="K3102" s="4">
        <v>75.5</v>
      </c>
      <c r="L3102" s="4">
        <v>80.8</v>
      </c>
      <c r="M3102" s="4">
        <v>59.1</v>
      </c>
      <c r="N3102">
        <v>0</v>
      </c>
      <c r="O3102" t="s">
        <v>64</v>
      </c>
      <c r="P3102" t="s">
        <v>65</v>
      </c>
      <c r="S3102" s="3">
        <v>0</v>
      </c>
      <c r="T3102" s="5"/>
      <c r="U3102">
        <v>0</v>
      </c>
      <c r="V3102">
        <v>2023</v>
      </c>
      <c r="X3102">
        <f t="shared" si="144"/>
        <v>6.8596897999999999</v>
      </c>
      <c r="Y3102">
        <f t="shared" si="145"/>
        <v>-3.102E-4</v>
      </c>
      <c r="Z3102">
        <f t="shared" si="146"/>
        <v>80.799689799999996</v>
      </c>
    </row>
    <row r="3103" spans="1:26" x14ac:dyDescent="0.3">
      <c r="A3103" t="s">
        <v>3193</v>
      </c>
      <c r="B3103" t="s">
        <v>82</v>
      </c>
      <c r="C3103" t="s">
        <v>78</v>
      </c>
      <c r="D3103" t="s">
        <v>57</v>
      </c>
      <c r="E3103">
        <v>21</v>
      </c>
      <c r="F3103" s="3">
        <v>7.54</v>
      </c>
      <c r="G3103" s="4">
        <v>87.4</v>
      </c>
      <c r="H3103">
        <v>0</v>
      </c>
      <c r="I3103">
        <v>4</v>
      </c>
      <c r="J3103">
        <v>5</v>
      </c>
      <c r="K3103" s="4">
        <v>71.8</v>
      </c>
      <c r="L3103" s="4">
        <v>54.9</v>
      </c>
      <c r="M3103" s="4">
        <v>67.2</v>
      </c>
      <c r="N3103">
        <v>1</v>
      </c>
      <c r="O3103" t="s">
        <v>64</v>
      </c>
      <c r="P3103" t="s">
        <v>65</v>
      </c>
      <c r="S3103" s="3">
        <v>0</v>
      </c>
      <c r="T3103" s="5"/>
      <c r="U3103">
        <v>0</v>
      </c>
      <c r="V3103">
        <v>2022</v>
      </c>
      <c r="X3103">
        <f t="shared" si="144"/>
        <v>7.5396897000000003</v>
      </c>
      <c r="Y3103">
        <f t="shared" si="145"/>
        <v>-3.1030000000000001E-4</v>
      </c>
      <c r="Z3103">
        <f t="shared" si="146"/>
        <v>54.899689699999996</v>
      </c>
    </row>
    <row r="3104" spans="1:26" x14ac:dyDescent="0.3">
      <c r="A3104" t="s">
        <v>3194</v>
      </c>
      <c r="B3104" t="s">
        <v>107</v>
      </c>
      <c r="C3104" t="s">
        <v>56</v>
      </c>
      <c r="D3104" t="s">
        <v>57</v>
      </c>
      <c r="E3104">
        <v>22</v>
      </c>
      <c r="F3104" s="3">
        <v>6.66</v>
      </c>
      <c r="G3104" s="4">
        <v>94.2</v>
      </c>
      <c r="H3104">
        <v>1</v>
      </c>
      <c r="I3104">
        <v>3</v>
      </c>
      <c r="J3104">
        <v>2</v>
      </c>
      <c r="K3104" s="4">
        <v>73.3</v>
      </c>
      <c r="L3104" s="4">
        <v>67.099999999999994</v>
      </c>
      <c r="M3104" s="4">
        <v>76.3</v>
      </c>
      <c r="N3104">
        <v>1</v>
      </c>
      <c r="O3104" t="s">
        <v>58</v>
      </c>
      <c r="P3104" t="s">
        <v>79</v>
      </c>
      <c r="Q3104" t="s">
        <v>71</v>
      </c>
      <c r="R3104" t="s">
        <v>85</v>
      </c>
      <c r="S3104" s="3">
        <v>4.1500000000000004</v>
      </c>
      <c r="T3104" s="5">
        <v>44436</v>
      </c>
      <c r="U3104">
        <v>2</v>
      </c>
      <c r="V3104">
        <v>2021</v>
      </c>
      <c r="X3104">
        <f t="shared" si="144"/>
        <v>6.6596896000000001</v>
      </c>
      <c r="Y3104">
        <f t="shared" si="145"/>
        <v>4.1496896000000003</v>
      </c>
      <c r="Z3104">
        <f t="shared" si="146"/>
        <v>67.099689599999991</v>
      </c>
    </row>
    <row r="3105" spans="1:26" x14ac:dyDescent="0.3">
      <c r="A3105" t="s">
        <v>3195</v>
      </c>
      <c r="B3105" t="s">
        <v>63</v>
      </c>
      <c r="C3105" t="s">
        <v>101</v>
      </c>
      <c r="D3105" t="s">
        <v>69</v>
      </c>
      <c r="E3105">
        <v>23</v>
      </c>
      <c r="F3105" s="3">
        <v>8</v>
      </c>
      <c r="G3105" s="4">
        <v>69.3</v>
      </c>
      <c r="H3105">
        <v>1</v>
      </c>
      <c r="I3105">
        <v>3</v>
      </c>
      <c r="J3105">
        <v>5</v>
      </c>
      <c r="K3105" s="4">
        <v>63</v>
      </c>
      <c r="L3105" s="4">
        <v>76.8</v>
      </c>
      <c r="M3105" s="4">
        <v>63.1</v>
      </c>
      <c r="N3105">
        <v>0</v>
      </c>
      <c r="O3105" t="s">
        <v>58</v>
      </c>
      <c r="P3105" t="s">
        <v>87</v>
      </c>
      <c r="Q3105" t="s">
        <v>71</v>
      </c>
      <c r="R3105" t="s">
        <v>109</v>
      </c>
      <c r="S3105" s="3">
        <v>7.41</v>
      </c>
      <c r="T3105" s="5">
        <v>45871</v>
      </c>
      <c r="U3105">
        <v>2</v>
      </c>
      <c r="V3105">
        <v>2025</v>
      </c>
      <c r="X3105">
        <f t="shared" si="144"/>
        <v>7.9996894999999997</v>
      </c>
      <c r="Y3105">
        <f t="shared" si="145"/>
        <v>7.4096894999999998</v>
      </c>
      <c r="Z3105">
        <f t="shared" si="146"/>
        <v>76.799689499999999</v>
      </c>
    </row>
    <row r="3106" spans="1:26" x14ac:dyDescent="0.3">
      <c r="A3106" t="s">
        <v>3196</v>
      </c>
      <c r="B3106" t="s">
        <v>55</v>
      </c>
      <c r="C3106" t="s">
        <v>74</v>
      </c>
      <c r="D3106" t="s">
        <v>69</v>
      </c>
      <c r="E3106">
        <v>20</v>
      </c>
      <c r="F3106" s="3">
        <v>7.85</v>
      </c>
      <c r="G3106" s="4">
        <v>82</v>
      </c>
      <c r="H3106">
        <v>2</v>
      </c>
      <c r="I3106">
        <v>1</v>
      </c>
      <c r="J3106">
        <v>6</v>
      </c>
      <c r="K3106" s="4">
        <v>70.400000000000006</v>
      </c>
      <c r="L3106" s="4">
        <v>67.2</v>
      </c>
      <c r="M3106" s="4">
        <v>75.5</v>
      </c>
      <c r="N3106">
        <v>0</v>
      </c>
      <c r="O3106" t="s">
        <v>64</v>
      </c>
      <c r="P3106" t="s">
        <v>65</v>
      </c>
      <c r="S3106" s="3">
        <v>0</v>
      </c>
      <c r="T3106" s="5"/>
      <c r="U3106">
        <v>0</v>
      </c>
      <c r="V3106">
        <v>2024</v>
      </c>
      <c r="X3106">
        <f t="shared" si="144"/>
        <v>7.8496893999999999</v>
      </c>
      <c r="Y3106">
        <f t="shared" si="145"/>
        <v>-3.1059999999999996E-4</v>
      </c>
      <c r="Z3106">
        <f t="shared" si="146"/>
        <v>67.199689399999997</v>
      </c>
    </row>
    <row r="3107" spans="1:26" x14ac:dyDescent="0.3">
      <c r="A3107" t="s">
        <v>3197</v>
      </c>
      <c r="B3107" t="s">
        <v>63</v>
      </c>
      <c r="C3107" t="s">
        <v>84</v>
      </c>
      <c r="D3107" t="s">
        <v>57</v>
      </c>
      <c r="E3107">
        <v>21</v>
      </c>
      <c r="F3107" s="3">
        <v>7.13</v>
      </c>
      <c r="G3107" s="4">
        <v>81.599999999999994</v>
      </c>
      <c r="H3107">
        <v>2</v>
      </c>
      <c r="I3107">
        <v>0</v>
      </c>
      <c r="J3107">
        <v>4</v>
      </c>
      <c r="K3107" s="4">
        <v>54.3</v>
      </c>
      <c r="L3107" s="4">
        <v>93.7</v>
      </c>
      <c r="M3107" s="4">
        <v>80.400000000000006</v>
      </c>
      <c r="N3107">
        <v>0</v>
      </c>
      <c r="O3107" t="s">
        <v>58</v>
      </c>
      <c r="P3107" t="s">
        <v>75</v>
      </c>
      <c r="Q3107" t="s">
        <v>71</v>
      </c>
      <c r="R3107" t="s">
        <v>109</v>
      </c>
      <c r="S3107" s="3">
        <v>7.24</v>
      </c>
      <c r="T3107" s="5">
        <v>45904</v>
      </c>
      <c r="U3107">
        <v>1</v>
      </c>
      <c r="V3107">
        <v>2025</v>
      </c>
      <c r="X3107">
        <f t="shared" si="144"/>
        <v>7.1296892999999999</v>
      </c>
      <c r="Y3107">
        <f t="shared" si="145"/>
        <v>7.2396893000000002</v>
      </c>
      <c r="Z3107">
        <f t="shared" si="146"/>
        <v>93.699689300000003</v>
      </c>
    </row>
    <row r="3108" spans="1:26" x14ac:dyDescent="0.3">
      <c r="A3108" t="s">
        <v>3198</v>
      </c>
      <c r="B3108" t="s">
        <v>55</v>
      </c>
      <c r="C3108" t="s">
        <v>74</v>
      </c>
      <c r="D3108" t="s">
        <v>69</v>
      </c>
      <c r="E3108">
        <v>22</v>
      </c>
      <c r="F3108" s="3">
        <v>7.58</v>
      </c>
      <c r="G3108" s="4">
        <v>84.8</v>
      </c>
      <c r="H3108">
        <v>1</v>
      </c>
      <c r="I3108">
        <v>1</v>
      </c>
      <c r="J3108">
        <v>5</v>
      </c>
      <c r="K3108" s="4">
        <v>62.9</v>
      </c>
      <c r="L3108" s="4">
        <v>75.7</v>
      </c>
      <c r="M3108" s="4">
        <v>72.3</v>
      </c>
      <c r="N3108">
        <v>0</v>
      </c>
      <c r="O3108" t="s">
        <v>58</v>
      </c>
      <c r="P3108" t="s">
        <v>75</v>
      </c>
      <c r="Q3108" t="s">
        <v>71</v>
      </c>
      <c r="R3108" t="s">
        <v>76</v>
      </c>
      <c r="S3108" s="3">
        <v>5.12</v>
      </c>
      <c r="T3108" s="5">
        <v>45519</v>
      </c>
      <c r="U3108">
        <v>1</v>
      </c>
      <c r="V3108">
        <v>2024</v>
      </c>
      <c r="X3108">
        <f t="shared" si="144"/>
        <v>7.5796891999999998</v>
      </c>
      <c r="Y3108">
        <f t="shared" si="145"/>
        <v>5.1196891999999998</v>
      </c>
      <c r="Z3108">
        <f t="shared" si="146"/>
        <v>75.699689200000009</v>
      </c>
    </row>
    <row r="3109" spans="1:26" x14ac:dyDescent="0.3">
      <c r="A3109" t="s">
        <v>3199</v>
      </c>
      <c r="B3109" t="s">
        <v>67</v>
      </c>
      <c r="C3109" t="s">
        <v>56</v>
      </c>
      <c r="D3109" t="s">
        <v>57</v>
      </c>
      <c r="E3109">
        <v>20</v>
      </c>
      <c r="F3109" s="3">
        <v>8.43</v>
      </c>
      <c r="G3109" s="4">
        <v>88.2</v>
      </c>
      <c r="H3109">
        <v>1</v>
      </c>
      <c r="I3109">
        <v>2</v>
      </c>
      <c r="J3109">
        <v>4</v>
      </c>
      <c r="K3109" s="4">
        <v>38.799999999999997</v>
      </c>
      <c r="L3109" s="4">
        <v>57.1</v>
      </c>
      <c r="M3109" s="4">
        <v>59.7</v>
      </c>
      <c r="N3109">
        <v>0</v>
      </c>
      <c r="O3109" t="s">
        <v>58</v>
      </c>
      <c r="P3109" t="s">
        <v>70</v>
      </c>
      <c r="Q3109" t="s">
        <v>71</v>
      </c>
      <c r="R3109" t="s">
        <v>76</v>
      </c>
      <c r="S3109" s="3">
        <v>4.7699999999999996</v>
      </c>
      <c r="T3109" s="5">
        <v>45197</v>
      </c>
      <c r="U3109">
        <v>2</v>
      </c>
      <c r="V3109">
        <v>2023</v>
      </c>
      <c r="X3109">
        <f t="shared" si="144"/>
        <v>8.4296890999999992</v>
      </c>
      <c r="Y3109">
        <f t="shared" si="145"/>
        <v>4.7696890999999999</v>
      </c>
      <c r="Z3109">
        <f t="shared" si="146"/>
        <v>57.099689099999999</v>
      </c>
    </row>
    <row r="3110" spans="1:26" x14ac:dyDescent="0.3">
      <c r="A3110" t="s">
        <v>3200</v>
      </c>
      <c r="B3110" t="s">
        <v>55</v>
      </c>
      <c r="C3110" t="s">
        <v>74</v>
      </c>
      <c r="D3110" t="s">
        <v>69</v>
      </c>
      <c r="E3110">
        <v>23</v>
      </c>
      <c r="F3110" s="3">
        <v>6.2</v>
      </c>
      <c r="G3110" s="4">
        <v>96.3</v>
      </c>
      <c r="H3110">
        <v>2</v>
      </c>
      <c r="I3110">
        <v>3</v>
      </c>
      <c r="J3110">
        <v>3</v>
      </c>
      <c r="K3110" s="4">
        <v>53.2</v>
      </c>
      <c r="L3110" s="4">
        <v>58.5</v>
      </c>
      <c r="M3110" s="4">
        <v>52.9</v>
      </c>
      <c r="N3110">
        <v>1</v>
      </c>
      <c r="O3110" t="s">
        <v>58</v>
      </c>
      <c r="P3110" t="s">
        <v>75</v>
      </c>
      <c r="Q3110" t="s">
        <v>71</v>
      </c>
      <c r="R3110" t="s">
        <v>61</v>
      </c>
      <c r="S3110" s="3">
        <v>5.71</v>
      </c>
      <c r="T3110" s="5">
        <v>45579</v>
      </c>
      <c r="U3110">
        <v>1</v>
      </c>
      <c r="V3110">
        <v>2024</v>
      </c>
      <c r="X3110">
        <f t="shared" si="144"/>
        <v>6.1996890000000002</v>
      </c>
      <c r="Y3110">
        <f t="shared" si="145"/>
        <v>5.709689</v>
      </c>
      <c r="Z3110">
        <f t="shared" si="146"/>
        <v>58.499688999999996</v>
      </c>
    </row>
    <row r="3111" spans="1:26" x14ac:dyDescent="0.3">
      <c r="A3111" t="s">
        <v>3201</v>
      </c>
      <c r="B3111" t="s">
        <v>67</v>
      </c>
      <c r="C3111" t="s">
        <v>68</v>
      </c>
      <c r="D3111" t="s">
        <v>69</v>
      </c>
      <c r="E3111">
        <v>22</v>
      </c>
      <c r="F3111" s="3">
        <v>6.49</v>
      </c>
      <c r="G3111" s="4">
        <v>72</v>
      </c>
      <c r="H3111">
        <v>2</v>
      </c>
      <c r="I3111">
        <v>1</v>
      </c>
      <c r="J3111">
        <v>4</v>
      </c>
      <c r="K3111" s="4">
        <v>55.7</v>
      </c>
      <c r="L3111" s="4">
        <v>55.5</v>
      </c>
      <c r="M3111" s="4">
        <v>83.7</v>
      </c>
      <c r="N3111">
        <v>0</v>
      </c>
      <c r="O3111" t="s">
        <v>58</v>
      </c>
      <c r="P3111" t="s">
        <v>112</v>
      </c>
      <c r="Q3111" t="s">
        <v>93</v>
      </c>
      <c r="R3111" t="s">
        <v>130</v>
      </c>
      <c r="S3111" s="3">
        <v>5.83</v>
      </c>
      <c r="T3111" s="5">
        <v>45171</v>
      </c>
      <c r="U3111">
        <v>2</v>
      </c>
      <c r="V3111">
        <v>2023</v>
      </c>
      <c r="X3111">
        <f t="shared" si="144"/>
        <v>6.4896889</v>
      </c>
      <c r="Y3111">
        <f t="shared" si="145"/>
        <v>5.8296888999999998</v>
      </c>
      <c r="Z3111">
        <f t="shared" si="146"/>
        <v>55.499688900000002</v>
      </c>
    </row>
    <row r="3112" spans="1:26" x14ac:dyDescent="0.3">
      <c r="A3112" t="s">
        <v>3202</v>
      </c>
      <c r="B3112" t="s">
        <v>107</v>
      </c>
      <c r="C3112" t="s">
        <v>56</v>
      </c>
      <c r="D3112" t="s">
        <v>57</v>
      </c>
      <c r="E3112">
        <v>22</v>
      </c>
      <c r="F3112" s="3">
        <v>8.17</v>
      </c>
      <c r="G3112" s="4">
        <v>67.900000000000006</v>
      </c>
      <c r="H3112">
        <v>2</v>
      </c>
      <c r="I3112">
        <v>1</v>
      </c>
      <c r="J3112">
        <v>4</v>
      </c>
      <c r="K3112" s="4">
        <v>56.4</v>
      </c>
      <c r="L3112" s="4">
        <v>59.5</v>
      </c>
      <c r="M3112" s="4">
        <v>92.5</v>
      </c>
      <c r="N3112">
        <v>0</v>
      </c>
      <c r="O3112" t="s">
        <v>58</v>
      </c>
      <c r="P3112" t="s">
        <v>90</v>
      </c>
      <c r="Q3112" t="s">
        <v>60</v>
      </c>
      <c r="R3112" t="s">
        <v>80</v>
      </c>
      <c r="S3112" s="3">
        <v>7.38</v>
      </c>
      <c r="T3112" s="5">
        <v>44463</v>
      </c>
      <c r="U3112">
        <v>1</v>
      </c>
      <c r="V3112">
        <v>2021</v>
      </c>
      <c r="X3112">
        <f t="shared" si="144"/>
        <v>8.1696887999999994</v>
      </c>
      <c r="Y3112">
        <f t="shared" si="145"/>
        <v>7.3796888000000003</v>
      </c>
      <c r="Z3112">
        <f t="shared" si="146"/>
        <v>59.499688800000001</v>
      </c>
    </row>
    <row r="3113" spans="1:26" x14ac:dyDescent="0.3">
      <c r="A3113" t="s">
        <v>3203</v>
      </c>
      <c r="B3113" t="s">
        <v>55</v>
      </c>
      <c r="C3113" t="s">
        <v>89</v>
      </c>
      <c r="D3113" t="s">
        <v>69</v>
      </c>
      <c r="E3113">
        <v>20</v>
      </c>
      <c r="F3113" s="3">
        <v>7.7</v>
      </c>
      <c r="G3113" s="4">
        <v>83.7</v>
      </c>
      <c r="H3113">
        <v>3</v>
      </c>
      <c r="I3113">
        <v>1</v>
      </c>
      <c r="J3113">
        <v>5</v>
      </c>
      <c r="K3113" s="4">
        <v>78.2</v>
      </c>
      <c r="L3113" s="4">
        <v>70.3</v>
      </c>
      <c r="M3113" s="4">
        <v>90.9</v>
      </c>
      <c r="N3113">
        <v>0</v>
      </c>
      <c r="O3113" t="s">
        <v>58</v>
      </c>
      <c r="P3113" t="s">
        <v>90</v>
      </c>
      <c r="Q3113" t="s">
        <v>60</v>
      </c>
      <c r="R3113" t="s">
        <v>109</v>
      </c>
      <c r="S3113" s="3">
        <v>8.5299999999999994</v>
      </c>
      <c r="T3113" s="5">
        <v>45584</v>
      </c>
      <c r="U3113">
        <v>1</v>
      </c>
      <c r="V3113">
        <v>2024</v>
      </c>
      <c r="X3113">
        <f t="shared" si="144"/>
        <v>7.6996887000000003</v>
      </c>
      <c r="Y3113">
        <f t="shared" si="145"/>
        <v>8.5296886999999995</v>
      </c>
      <c r="Z3113">
        <f t="shared" si="146"/>
        <v>70.29968869999999</v>
      </c>
    </row>
    <row r="3114" spans="1:26" x14ac:dyDescent="0.3">
      <c r="A3114" t="s">
        <v>3204</v>
      </c>
      <c r="B3114" t="s">
        <v>63</v>
      </c>
      <c r="C3114" t="s">
        <v>89</v>
      </c>
      <c r="D3114" t="s">
        <v>57</v>
      </c>
      <c r="E3114">
        <v>22</v>
      </c>
      <c r="F3114" s="3">
        <v>7.59</v>
      </c>
      <c r="G3114" s="4">
        <v>86</v>
      </c>
      <c r="H3114">
        <v>2</v>
      </c>
      <c r="I3114">
        <v>3</v>
      </c>
      <c r="J3114">
        <v>6</v>
      </c>
      <c r="K3114" s="4">
        <v>46</v>
      </c>
      <c r="L3114" s="4">
        <v>66.5</v>
      </c>
      <c r="M3114" s="4">
        <v>77.599999999999994</v>
      </c>
      <c r="N3114">
        <v>0</v>
      </c>
      <c r="O3114" t="s">
        <v>58</v>
      </c>
      <c r="P3114" t="s">
        <v>87</v>
      </c>
      <c r="Q3114" t="s">
        <v>71</v>
      </c>
      <c r="R3114" t="s">
        <v>85</v>
      </c>
      <c r="S3114" s="3">
        <v>6.7</v>
      </c>
      <c r="T3114" s="5">
        <v>45944</v>
      </c>
      <c r="U3114">
        <v>1</v>
      </c>
      <c r="V3114">
        <v>2025</v>
      </c>
      <c r="X3114">
        <f t="shared" si="144"/>
        <v>7.5896885999999997</v>
      </c>
      <c r="Y3114">
        <f t="shared" si="145"/>
        <v>6.6996886</v>
      </c>
      <c r="Z3114">
        <f t="shared" si="146"/>
        <v>66.499688599999999</v>
      </c>
    </row>
    <row r="3115" spans="1:26" x14ac:dyDescent="0.3">
      <c r="A3115" t="s">
        <v>3205</v>
      </c>
      <c r="B3115" t="s">
        <v>67</v>
      </c>
      <c r="C3115" t="s">
        <v>78</v>
      </c>
      <c r="D3115" t="s">
        <v>57</v>
      </c>
      <c r="E3115">
        <v>20</v>
      </c>
      <c r="F3115" s="3">
        <v>8.5</v>
      </c>
      <c r="G3115" s="4">
        <v>88.5</v>
      </c>
      <c r="H3115">
        <v>1</v>
      </c>
      <c r="I3115">
        <v>1</v>
      </c>
      <c r="J3115">
        <v>5</v>
      </c>
      <c r="K3115" s="4">
        <v>59.1</v>
      </c>
      <c r="L3115" s="4">
        <v>63</v>
      </c>
      <c r="M3115" s="4">
        <v>77.7</v>
      </c>
      <c r="N3115">
        <v>0</v>
      </c>
      <c r="O3115" t="s">
        <v>58</v>
      </c>
      <c r="P3115" t="s">
        <v>112</v>
      </c>
      <c r="Q3115" t="s">
        <v>93</v>
      </c>
      <c r="R3115" t="s">
        <v>72</v>
      </c>
      <c r="S3115" s="3">
        <v>5.92</v>
      </c>
      <c r="T3115" s="5">
        <v>45222</v>
      </c>
      <c r="U3115">
        <v>2</v>
      </c>
      <c r="V3115">
        <v>2023</v>
      </c>
      <c r="X3115">
        <f t="shared" si="144"/>
        <v>8.4996884999999995</v>
      </c>
      <c r="Y3115">
        <f t="shared" si="145"/>
        <v>5.9196885000000004</v>
      </c>
      <c r="Z3115">
        <f t="shared" si="146"/>
        <v>62.999688499999998</v>
      </c>
    </row>
    <row r="3116" spans="1:26" x14ac:dyDescent="0.3">
      <c r="A3116" t="s">
        <v>3206</v>
      </c>
      <c r="B3116" t="s">
        <v>63</v>
      </c>
      <c r="C3116" t="s">
        <v>56</v>
      </c>
      <c r="D3116" t="s">
        <v>69</v>
      </c>
      <c r="E3116">
        <v>23</v>
      </c>
      <c r="F3116" s="3">
        <v>8.2799999999999994</v>
      </c>
      <c r="G3116" s="4">
        <v>75.2</v>
      </c>
      <c r="H3116">
        <v>1</v>
      </c>
      <c r="I3116">
        <v>5</v>
      </c>
      <c r="J3116">
        <v>6</v>
      </c>
      <c r="K3116" s="4">
        <v>77</v>
      </c>
      <c r="L3116" s="4">
        <v>78.7</v>
      </c>
      <c r="M3116" s="4">
        <v>71.400000000000006</v>
      </c>
      <c r="N3116">
        <v>0</v>
      </c>
      <c r="O3116" t="s">
        <v>58</v>
      </c>
      <c r="P3116" t="s">
        <v>90</v>
      </c>
      <c r="Q3116" t="s">
        <v>60</v>
      </c>
      <c r="R3116" t="s">
        <v>85</v>
      </c>
      <c r="S3116" s="3">
        <v>6.72</v>
      </c>
      <c r="T3116" s="5">
        <v>45921</v>
      </c>
      <c r="U3116">
        <v>2</v>
      </c>
      <c r="V3116">
        <v>2025</v>
      </c>
      <c r="X3116">
        <f t="shared" si="144"/>
        <v>8.2796883999999995</v>
      </c>
      <c r="Y3116">
        <f t="shared" si="145"/>
        <v>6.7196883999999999</v>
      </c>
      <c r="Z3116">
        <f t="shared" si="146"/>
        <v>78.699688399999999</v>
      </c>
    </row>
    <row r="3117" spans="1:26" x14ac:dyDescent="0.3">
      <c r="A3117" t="s">
        <v>3207</v>
      </c>
      <c r="B3117" t="s">
        <v>82</v>
      </c>
      <c r="C3117" t="s">
        <v>68</v>
      </c>
      <c r="D3117" t="s">
        <v>69</v>
      </c>
      <c r="E3117">
        <v>21</v>
      </c>
      <c r="F3117" s="3">
        <v>9.19</v>
      </c>
      <c r="G3117" s="4">
        <v>67.8</v>
      </c>
      <c r="H3117">
        <v>1</v>
      </c>
      <c r="I3117">
        <v>1</v>
      </c>
      <c r="J3117">
        <v>3</v>
      </c>
      <c r="K3117" s="4">
        <v>49.5</v>
      </c>
      <c r="L3117" s="4">
        <v>75.099999999999994</v>
      </c>
      <c r="M3117" s="4">
        <v>71.2</v>
      </c>
      <c r="N3117">
        <v>1</v>
      </c>
      <c r="O3117" t="s">
        <v>64</v>
      </c>
      <c r="P3117" t="s">
        <v>65</v>
      </c>
      <c r="S3117" s="3">
        <v>0</v>
      </c>
      <c r="T3117" s="5"/>
      <c r="U3117">
        <v>0</v>
      </c>
      <c r="V3117">
        <v>2022</v>
      </c>
      <c r="X3117">
        <f t="shared" si="144"/>
        <v>9.1896883000000003</v>
      </c>
      <c r="Y3117">
        <f t="shared" si="145"/>
        <v>-3.1169999999999999E-4</v>
      </c>
      <c r="Z3117">
        <f t="shared" si="146"/>
        <v>75.099688299999997</v>
      </c>
    </row>
    <row r="3118" spans="1:26" x14ac:dyDescent="0.3">
      <c r="A3118" t="s">
        <v>3208</v>
      </c>
      <c r="B3118" t="s">
        <v>67</v>
      </c>
      <c r="C3118" t="s">
        <v>56</v>
      </c>
      <c r="D3118" t="s">
        <v>57</v>
      </c>
      <c r="E3118">
        <v>20</v>
      </c>
      <c r="F3118" s="3">
        <v>8.4600000000000009</v>
      </c>
      <c r="G3118" s="4">
        <v>93</v>
      </c>
      <c r="H3118">
        <v>2</v>
      </c>
      <c r="I3118">
        <v>3</v>
      </c>
      <c r="J3118">
        <v>5</v>
      </c>
      <c r="K3118" s="4">
        <v>85.8</v>
      </c>
      <c r="L3118" s="4">
        <v>46.3</v>
      </c>
      <c r="M3118" s="4">
        <v>65.3</v>
      </c>
      <c r="N3118">
        <v>0</v>
      </c>
      <c r="O3118" t="s">
        <v>58</v>
      </c>
      <c r="P3118" t="s">
        <v>87</v>
      </c>
      <c r="Q3118" t="s">
        <v>71</v>
      </c>
      <c r="R3118" t="s">
        <v>61</v>
      </c>
      <c r="S3118" s="3">
        <v>7.06</v>
      </c>
      <c r="T3118" s="5">
        <v>45177</v>
      </c>
      <c r="U3118">
        <v>3</v>
      </c>
      <c r="V3118">
        <v>2023</v>
      </c>
      <c r="X3118">
        <f t="shared" si="144"/>
        <v>8.4596882000000004</v>
      </c>
      <c r="Y3118">
        <f t="shared" si="145"/>
        <v>7.0596881999999992</v>
      </c>
      <c r="Z3118">
        <f t="shared" si="146"/>
        <v>46.299688199999999</v>
      </c>
    </row>
    <row r="3119" spans="1:26" x14ac:dyDescent="0.3">
      <c r="A3119" t="s">
        <v>3209</v>
      </c>
      <c r="B3119" t="s">
        <v>55</v>
      </c>
      <c r="C3119" t="s">
        <v>78</v>
      </c>
      <c r="D3119" t="s">
        <v>57</v>
      </c>
      <c r="E3119">
        <v>21</v>
      </c>
      <c r="F3119" s="3">
        <v>8.1199999999999992</v>
      </c>
      <c r="G3119" s="4">
        <v>86.6</v>
      </c>
      <c r="H3119">
        <v>1</v>
      </c>
      <c r="I3119">
        <v>2</v>
      </c>
      <c r="J3119">
        <v>3</v>
      </c>
      <c r="K3119" s="4">
        <v>70.5</v>
      </c>
      <c r="L3119" s="4">
        <v>50.9</v>
      </c>
      <c r="M3119" s="4">
        <v>63.8</v>
      </c>
      <c r="N3119">
        <v>0</v>
      </c>
      <c r="O3119" t="s">
        <v>58</v>
      </c>
      <c r="P3119" t="s">
        <v>104</v>
      </c>
      <c r="Q3119" t="s">
        <v>105</v>
      </c>
      <c r="R3119" t="s">
        <v>80</v>
      </c>
      <c r="S3119" s="3">
        <v>13.52</v>
      </c>
      <c r="T3119" s="5">
        <v>45618</v>
      </c>
      <c r="U3119">
        <v>3</v>
      </c>
      <c r="V3119">
        <v>2024</v>
      </c>
      <c r="X3119">
        <f t="shared" si="144"/>
        <v>8.1196880999999994</v>
      </c>
      <c r="Y3119">
        <f t="shared" si="145"/>
        <v>13.5196881</v>
      </c>
      <c r="Z3119">
        <f t="shared" si="146"/>
        <v>50.899688099999999</v>
      </c>
    </row>
    <row r="3120" spans="1:26" x14ac:dyDescent="0.3">
      <c r="A3120" t="s">
        <v>3210</v>
      </c>
      <c r="B3120" t="s">
        <v>67</v>
      </c>
      <c r="C3120" t="s">
        <v>56</v>
      </c>
      <c r="D3120" t="s">
        <v>57</v>
      </c>
      <c r="E3120">
        <v>22</v>
      </c>
      <c r="F3120" s="3">
        <v>7.6</v>
      </c>
      <c r="G3120" s="4">
        <v>78.599999999999994</v>
      </c>
      <c r="H3120">
        <v>2</v>
      </c>
      <c r="I3120">
        <v>1</v>
      </c>
      <c r="J3120">
        <v>2</v>
      </c>
      <c r="K3120" s="4">
        <v>77.599999999999994</v>
      </c>
      <c r="L3120" s="4">
        <v>55.2</v>
      </c>
      <c r="M3120" s="4">
        <v>51.5</v>
      </c>
      <c r="N3120">
        <v>0</v>
      </c>
      <c r="O3120" t="s">
        <v>58</v>
      </c>
      <c r="P3120" t="s">
        <v>70</v>
      </c>
      <c r="Q3120" t="s">
        <v>71</v>
      </c>
      <c r="R3120" t="s">
        <v>72</v>
      </c>
      <c r="S3120" s="3">
        <v>6.42</v>
      </c>
      <c r="T3120" s="5">
        <v>45225</v>
      </c>
      <c r="U3120">
        <v>1</v>
      </c>
      <c r="V3120">
        <v>2023</v>
      </c>
      <c r="X3120">
        <f t="shared" si="144"/>
        <v>7.5996879999999996</v>
      </c>
      <c r="Y3120">
        <f t="shared" si="145"/>
        <v>6.4196879999999998</v>
      </c>
      <c r="Z3120">
        <f t="shared" si="146"/>
        <v>55.199688000000002</v>
      </c>
    </row>
    <row r="3121" spans="1:26" x14ac:dyDescent="0.3">
      <c r="A3121" t="s">
        <v>3211</v>
      </c>
      <c r="B3121" t="s">
        <v>63</v>
      </c>
      <c r="C3121" t="s">
        <v>84</v>
      </c>
      <c r="D3121" t="s">
        <v>69</v>
      </c>
      <c r="E3121">
        <v>20</v>
      </c>
      <c r="F3121" s="3">
        <v>7.52</v>
      </c>
      <c r="G3121" s="4">
        <v>62.7</v>
      </c>
      <c r="H3121">
        <v>0</v>
      </c>
      <c r="I3121">
        <v>3</v>
      </c>
      <c r="J3121">
        <v>4</v>
      </c>
      <c r="K3121" s="4">
        <v>54.8</v>
      </c>
      <c r="L3121" s="4">
        <v>57.9</v>
      </c>
      <c r="M3121" s="4">
        <v>82.4</v>
      </c>
      <c r="N3121">
        <v>0</v>
      </c>
      <c r="O3121" t="s">
        <v>64</v>
      </c>
      <c r="P3121" t="s">
        <v>65</v>
      </c>
      <c r="S3121" s="3">
        <v>0</v>
      </c>
      <c r="T3121" s="5"/>
      <c r="U3121">
        <v>0</v>
      </c>
      <c r="V3121">
        <v>2025</v>
      </c>
      <c r="X3121">
        <f t="shared" si="144"/>
        <v>7.5196878999999992</v>
      </c>
      <c r="Y3121">
        <f t="shared" si="145"/>
        <v>-3.121E-4</v>
      </c>
      <c r="Z3121">
        <f t="shared" si="146"/>
        <v>57.899687899999996</v>
      </c>
    </row>
    <row r="3122" spans="1:26" x14ac:dyDescent="0.3">
      <c r="A3122" t="s">
        <v>3212</v>
      </c>
      <c r="B3122" t="s">
        <v>107</v>
      </c>
      <c r="C3122" t="s">
        <v>78</v>
      </c>
      <c r="D3122" t="s">
        <v>69</v>
      </c>
      <c r="E3122">
        <v>23</v>
      </c>
      <c r="F3122" s="3">
        <v>7.65</v>
      </c>
      <c r="G3122" s="4">
        <v>76</v>
      </c>
      <c r="H3122">
        <v>3</v>
      </c>
      <c r="I3122">
        <v>2</v>
      </c>
      <c r="J3122">
        <v>3</v>
      </c>
      <c r="K3122" s="4">
        <v>57.4</v>
      </c>
      <c r="L3122" s="4">
        <v>60.4</v>
      </c>
      <c r="M3122" s="4">
        <v>80.599999999999994</v>
      </c>
      <c r="N3122">
        <v>0</v>
      </c>
      <c r="O3122" t="s">
        <v>58</v>
      </c>
      <c r="P3122" t="s">
        <v>79</v>
      </c>
      <c r="Q3122" t="s">
        <v>71</v>
      </c>
      <c r="R3122" t="s">
        <v>80</v>
      </c>
      <c r="S3122" s="3">
        <v>6.02</v>
      </c>
      <c r="T3122" s="5">
        <v>44418</v>
      </c>
      <c r="U3122">
        <v>1</v>
      </c>
      <c r="V3122">
        <v>2021</v>
      </c>
      <c r="X3122">
        <f t="shared" si="144"/>
        <v>7.6496878000000006</v>
      </c>
      <c r="Y3122">
        <f t="shared" si="145"/>
        <v>6.0196877999999998</v>
      </c>
      <c r="Z3122">
        <f t="shared" si="146"/>
        <v>60.399687799999995</v>
      </c>
    </row>
    <row r="3123" spans="1:26" x14ac:dyDescent="0.3">
      <c r="A3123" t="s">
        <v>3213</v>
      </c>
      <c r="B3123" t="s">
        <v>67</v>
      </c>
      <c r="C3123" t="s">
        <v>68</v>
      </c>
      <c r="D3123" t="s">
        <v>69</v>
      </c>
      <c r="E3123">
        <v>20</v>
      </c>
      <c r="F3123" s="3">
        <v>7.85</v>
      </c>
      <c r="G3123" s="4">
        <v>88.3</v>
      </c>
      <c r="H3123">
        <v>2</v>
      </c>
      <c r="I3123">
        <v>3</v>
      </c>
      <c r="J3123">
        <v>6</v>
      </c>
      <c r="K3123" s="4">
        <v>66</v>
      </c>
      <c r="L3123" s="4">
        <v>63.9</v>
      </c>
      <c r="M3123" s="4">
        <v>69.5</v>
      </c>
      <c r="N3123">
        <v>1</v>
      </c>
      <c r="O3123" t="s">
        <v>64</v>
      </c>
      <c r="P3123" t="s">
        <v>65</v>
      </c>
      <c r="S3123" s="3">
        <v>0</v>
      </c>
      <c r="T3123" s="5"/>
      <c r="U3123">
        <v>0</v>
      </c>
      <c r="V3123">
        <v>2023</v>
      </c>
      <c r="X3123">
        <f t="shared" si="144"/>
        <v>7.8496876999999996</v>
      </c>
      <c r="Y3123">
        <f t="shared" si="145"/>
        <v>-3.123E-4</v>
      </c>
      <c r="Z3123">
        <f t="shared" si="146"/>
        <v>63.899687700000001</v>
      </c>
    </row>
    <row r="3124" spans="1:26" x14ac:dyDescent="0.3">
      <c r="A3124" t="s">
        <v>3214</v>
      </c>
      <c r="B3124" t="s">
        <v>55</v>
      </c>
      <c r="C3124" t="s">
        <v>68</v>
      </c>
      <c r="D3124" t="s">
        <v>57</v>
      </c>
      <c r="E3124">
        <v>20</v>
      </c>
      <c r="F3124" s="3">
        <v>6.56</v>
      </c>
      <c r="G3124" s="4">
        <v>85.9</v>
      </c>
      <c r="H3124">
        <v>1</v>
      </c>
      <c r="I3124">
        <v>2</v>
      </c>
      <c r="J3124">
        <v>4</v>
      </c>
      <c r="K3124" s="4">
        <v>79.400000000000006</v>
      </c>
      <c r="L3124" s="4">
        <v>75.3</v>
      </c>
      <c r="M3124" s="4">
        <v>89.1</v>
      </c>
      <c r="N3124">
        <v>0</v>
      </c>
      <c r="O3124" t="s">
        <v>64</v>
      </c>
      <c r="P3124" t="s">
        <v>65</v>
      </c>
      <c r="S3124" s="3">
        <v>0</v>
      </c>
      <c r="T3124" s="5"/>
      <c r="U3124">
        <v>0</v>
      </c>
      <c r="V3124">
        <v>2024</v>
      </c>
      <c r="X3124">
        <f t="shared" si="144"/>
        <v>6.5596875999999993</v>
      </c>
      <c r="Y3124">
        <f t="shared" si="145"/>
        <v>-3.124E-4</v>
      </c>
      <c r="Z3124">
        <f t="shared" si="146"/>
        <v>75.299687599999999</v>
      </c>
    </row>
    <row r="3125" spans="1:26" x14ac:dyDescent="0.3">
      <c r="A3125" t="s">
        <v>3215</v>
      </c>
      <c r="B3125" t="s">
        <v>82</v>
      </c>
      <c r="C3125" t="s">
        <v>56</v>
      </c>
      <c r="D3125" t="s">
        <v>69</v>
      </c>
      <c r="E3125">
        <v>20</v>
      </c>
      <c r="F3125" s="3">
        <v>7.89</v>
      </c>
      <c r="G3125" s="4">
        <v>69.599999999999994</v>
      </c>
      <c r="H3125">
        <v>1</v>
      </c>
      <c r="I3125">
        <v>0</v>
      </c>
      <c r="J3125">
        <v>6</v>
      </c>
      <c r="K3125" s="4">
        <v>78.900000000000006</v>
      </c>
      <c r="L3125" s="4">
        <v>53.1</v>
      </c>
      <c r="M3125" s="4">
        <v>100</v>
      </c>
      <c r="N3125">
        <v>0</v>
      </c>
      <c r="O3125" t="s">
        <v>58</v>
      </c>
      <c r="P3125" t="s">
        <v>59</v>
      </c>
      <c r="Q3125" t="s">
        <v>60</v>
      </c>
      <c r="R3125" t="s">
        <v>109</v>
      </c>
      <c r="S3125" s="3">
        <v>18.329999999999998</v>
      </c>
      <c r="T3125" s="5">
        <v>44829</v>
      </c>
      <c r="U3125">
        <v>1</v>
      </c>
      <c r="V3125">
        <v>2022</v>
      </c>
      <c r="X3125">
        <f t="shared" si="144"/>
        <v>7.8896875</v>
      </c>
      <c r="Y3125">
        <f t="shared" si="145"/>
        <v>18.329687499999999</v>
      </c>
      <c r="Z3125">
        <f t="shared" si="146"/>
        <v>53.099687500000002</v>
      </c>
    </row>
    <row r="3126" spans="1:26" x14ac:dyDescent="0.3">
      <c r="A3126" t="s">
        <v>3216</v>
      </c>
      <c r="B3126" t="s">
        <v>107</v>
      </c>
      <c r="C3126" t="s">
        <v>74</v>
      </c>
      <c r="D3126" t="s">
        <v>69</v>
      </c>
      <c r="E3126">
        <v>21</v>
      </c>
      <c r="F3126" s="3">
        <v>7.43</v>
      </c>
      <c r="G3126" s="4">
        <v>87.6</v>
      </c>
      <c r="H3126">
        <v>0</v>
      </c>
      <c r="I3126">
        <v>3</v>
      </c>
      <c r="J3126">
        <v>2</v>
      </c>
      <c r="K3126" s="4">
        <v>73.599999999999994</v>
      </c>
      <c r="L3126" s="4">
        <v>58.5</v>
      </c>
      <c r="M3126" s="4">
        <v>56.1</v>
      </c>
      <c r="N3126">
        <v>0</v>
      </c>
      <c r="O3126" t="s">
        <v>58</v>
      </c>
      <c r="P3126" t="s">
        <v>104</v>
      </c>
      <c r="Q3126" t="s">
        <v>105</v>
      </c>
      <c r="R3126" t="s">
        <v>80</v>
      </c>
      <c r="S3126" s="3">
        <v>14.18</v>
      </c>
      <c r="T3126" s="5">
        <v>44415</v>
      </c>
      <c r="U3126">
        <v>1</v>
      </c>
      <c r="V3126">
        <v>2021</v>
      </c>
      <c r="X3126">
        <f t="shared" si="144"/>
        <v>7.4296873999999997</v>
      </c>
      <c r="Y3126">
        <f t="shared" si="145"/>
        <v>14.179687399999999</v>
      </c>
      <c r="Z3126">
        <f t="shared" si="146"/>
        <v>58.499687399999999</v>
      </c>
    </row>
    <row r="3127" spans="1:26" x14ac:dyDescent="0.3">
      <c r="A3127" t="s">
        <v>3217</v>
      </c>
      <c r="B3127" t="s">
        <v>82</v>
      </c>
      <c r="C3127" t="s">
        <v>101</v>
      </c>
      <c r="D3127" t="s">
        <v>69</v>
      </c>
      <c r="E3127">
        <v>21</v>
      </c>
      <c r="F3127" s="3">
        <v>7.97</v>
      </c>
      <c r="G3127" s="4">
        <v>81.2</v>
      </c>
      <c r="H3127">
        <v>2</v>
      </c>
      <c r="I3127">
        <v>3</v>
      </c>
      <c r="J3127">
        <v>5</v>
      </c>
      <c r="K3127" s="4">
        <v>64.900000000000006</v>
      </c>
      <c r="L3127" s="4">
        <v>46.2</v>
      </c>
      <c r="M3127" s="4">
        <v>80.8</v>
      </c>
      <c r="N3127">
        <v>0</v>
      </c>
      <c r="O3127" t="s">
        <v>58</v>
      </c>
      <c r="P3127" t="s">
        <v>112</v>
      </c>
      <c r="Q3127" t="s">
        <v>93</v>
      </c>
      <c r="R3127" t="s">
        <v>61</v>
      </c>
      <c r="S3127" s="3">
        <v>6.23</v>
      </c>
      <c r="T3127" s="5">
        <v>44863</v>
      </c>
      <c r="U3127">
        <v>2</v>
      </c>
      <c r="V3127">
        <v>2022</v>
      </c>
      <c r="X3127">
        <f t="shared" si="144"/>
        <v>7.9696872999999995</v>
      </c>
      <c r="Y3127">
        <f t="shared" si="145"/>
        <v>6.2296873000000001</v>
      </c>
      <c r="Z3127">
        <f t="shared" si="146"/>
        <v>46.199687300000001</v>
      </c>
    </row>
    <row r="3128" spans="1:26" x14ac:dyDescent="0.3">
      <c r="A3128" t="s">
        <v>3218</v>
      </c>
      <c r="B3128" t="s">
        <v>67</v>
      </c>
      <c r="C3128" t="s">
        <v>84</v>
      </c>
      <c r="D3128" t="s">
        <v>57</v>
      </c>
      <c r="E3128">
        <v>22</v>
      </c>
      <c r="F3128" s="3">
        <v>7.13</v>
      </c>
      <c r="G3128" s="4">
        <v>93.4</v>
      </c>
      <c r="H3128">
        <v>2</v>
      </c>
      <c r="I3128">
        <v>3</v>
      </c>
      <c r="J3128">
        <v>5</v>
      </c>
      <c r="K3128" s="4">
        <v>57.2</v>
      </c>
      <c r="L3128" s="4">
        <v>56.2</v>
      </c>
      <c r="M3128" s="4">
        <v>73.7</v>
      </c>
      <c r="N3128">
        <v>0</v>
      </c>
      <c r="O3128" t="s">
        <v>58</v>
      </c>
      <c r="P3128" t="s">
        <v>90</v>
      </c>
      <c r="Q3128" t="s">
        <v>60</v>
      </c>
      <c r="R3128" t="s">
        <v>72</v>
      </c>
      <c r="S3128" s="3">
        <v>7.9</v>
      </c>
      <c r="T3128" s="5">
        <v>45178</v>
      </c>
      <c r="U3128">
        <v>1</v>
      </c>
      <c r="V3128">
        <v>2023</v>
      </c>
      <c r="X3128">
        <f t="shared" si="144"/>
        <v>7.1296872000000002</v>
      </c>
      <c r="Y3128">
        <f t="shared" si="145"/>
        <v>7.8996872000000007</v>
      </c>
      <c r="Z3128">
        <f t="shared" si="146"/>
        <v>56.1996872</v>
      </c>
    </row>
    <row r="3129" spans="1:26" x14ac:dyDescent="0.3">
      <c r="A3129" t="s">
        <v>3219</v>
      </c>
      <c r="B3129" t="s">
        <v>63</v>
      </c>
      <c r="C3129" t="s">
        <v>56</v>
      </c>
      <c r="D3129" t="s">
        <v>57</v>
      </c>
      <c r="E3129">
        <v>22</v>
      </c>
      <c r="F3129" s="3">
        <v>7.06</v>
      </c>
      <c r="G3129" s="4">
        <v>75.7</v>
      </c>
      <c r="H3129">
        <v>2</v>
      </c>
      <c r="I3129">
        <v>2</v>
      </c>
      <c r="J3129">
        <v>4</v>
      </c>
      <c r="K3129" s="4">
        <v>82.7</v>
      </c>
      <c r="L3129" s="4">
        <v>66.900000000000006</v>
      </c>
      <c r="M3129" s="4">
        <v>93.3</v>
      </c>
      <c r="N3129">
        <v>0</v>
      </c>
      <c r="O3129" t="s">
        <v>58</v>
      </c>
      <c r="P3129" t="s">
        <v>87</v>
      </c>
      <c r="Q3129" t="s">
        <v>71</v>
      </c>
      <c r="R3129" t="s">
        <v>85</v>
      </c>
      <c r="S3129" s="3">
        <v>6.64</v>
      </c>
      <c r="T3129" s="5">
        <v>45888</v>
      </c>
      <c r="U3129">
        <v>2</v>
      </c>
      <c r="V3129">
        <v>2025</v>
      </c>
      <c r="X3129">
        <f t="shared" si="144"/>
        <v>7.0596870999999997</v>
      </c>
      <c r="Y3129">
        <f t="shared" si="145"/>
        <v>6.6396870999999997</v>
      </c>
      <c r="Z3129">
        <f t="shared" si="146"/>
        <v>66.899687100000008</v>
      </c>
    </row>
    <row r="3130" spans="1:26" x14ac:dyDescent="0.3">
      <c r="A3130" t="s">
        <v>3220</v>
      </c>
      <c r="B3130" t="s">
        <v>63</v>
      </c>
      <c r="C3130" t="s">
        <v>89</v>
      </c>
      <c r="D3130" t="s">
        <v>69</v>
      </c>
      <c r="E3130">
        <v>22</v>
      </c>
      <c r="F3130" s="3">
        <v>7.86</v>
      </c>
      <c r="G3130" s="4">
        <v>76.400000000000006</v>
      </c>
      <c r="H3130">
        <v>0</v>
      </c>
      <c r="I3130">
        <v>1</v>
      </c>
      <c r="J3130">
        <v>3</v>
      </c>
      <c r="K3130" s="4">
        <v>63</v>
      </c>
      <c r="L3130" s="4">
        <v>56.5</v>
      </c>
      <c r="M3130" s="4">
        <v>67.8</v>
      </c>
      <c r="N3130">
        <v>0</v>
      </c>
      <c r="O3130" t="s">
        <v>64</v>
      </c>
      <c r="P3130" t="s">
        <v>65</v>
      </c>
      <c r="S3130" s="3">
        <v>0</v>
      </c>
      <c r="T3130" s="5"/>
      <c r="U3130">
        <v>0</v>
      </c>
      <c r="V3130">
        <v>2025</v>
      </c>
      <c r="X3130">
        <f t="shared" si="144"/>
        <v>7.8596870000000001</v>
      </c>
      <c r="Y3130">
        <f t="shared" si="145"/>
        <v>-3.1299999999999996E-4</v>
      </c>
      <c r="Z3130">
        <f t="shared" si="146"/>
        <v>56.499687000000002</v>
      </c>
    </row>
    <row r="3131" spans="1:26" x14ac:dyDescent="0.3">
      <c r="A3131" t="s">
        <v>3221</v>
      </c>
      <c r="B3131" t="s">
        <v>55</v>
      </c>
      <c r="C3131" t="s">
        <v>78</v>
      </c>
      <c r="D3131" t="s">
        <v>69</v>
      </c>
      <c r="E3131">
        <v>22</v>
      </c>
      <c r="F3131" s="3">
        <v>8.08</v>
      </c>
      <c r="G3131" s="4">
        <v>83</v>
      </c>
      <c r="H3131">
        <v>1</v>
      </c>
      <c r="I3131">
        <v>1</v>
      </c>
      <c r="J3131">
        <v>5</v>
      </c>
      <c r="K3131" s="4">
        <v>46.4</v>
      </c>
      <c r="L3131" s="4">
        <v>54.5</v>
      </c>
      <c r="M3131" s="4">
        <v>86.7</v>
      </c>
      <c r="N3131">
        <v>0</v>
      </c>
      <c r="O3131" t="s">
        <v>64</v>
      </c>
      <c r="P3131" t="s">
        <v>65</v>
      </c>
      <c r="S3131" s="3">
        <v>0</v>
      </c>
      <c r="T3131" s="5"/>
      <c r="U3131">
        <v>0</v>
      </c>
      <c r="V3131">
        <v>2024</v>
      </c>
      <c r="X3131">
        <f t="shared" si="144"/>
        <v>8.0796869000000004</v>
      </c>
      <c r="Y3131">
        <f t="shared" si="145"/>
        <v>-3.1309999999999997E-4</v>
      </c>
      <c r="Z3131">
        <f t="shared" si="146"/>
        <v>54.4996869</v>
      </c>
    </row>
    <row r="3132" spans="1:26" x14ac:dyDescent="0.3">
      <c r="A3132" t="s">
        <v>3222</v>
      </c>
      <c r="B3132" t="s">
        <v>63</v>
      </c>
      <c r="C3132" t="s">
        <v>89</v>
      </c>
      <c r="D3132" t="s">
        <v>57</v>
      </c>
      <c r="E3132">
        <v>20</v>
      </c>
      <c r="F3132" s="3">
        <v>7.11</v>
      </c>
      <c r="G3132" s="4">
        <v>78.2</v>
      </c>
      <c r="H3132">
        <v>1</v>
      </c>
      <c r="I3132">
        <v>4</v>
      </c>
      <c r="J3132">
        <v>4</v>
      </c>
      <c r="K3132" s="4">
        <v>54.5</v>
      </c>
      <c r="L3132" s="4">
        <v>62.3</v>
      </c>
      <c r="M3132" s="4">
        <v>82.3</v>
      </c>
      <c r="N3132">
        <v>1</v>
      </c>
      <c r="O3132" t="s">
        <v>58</v>
      </c>
      <c r="P3132" t="s">
        <v>79</v>
      </c>
      <c r="Q3132" t="s">
        <v>71</v>
      </c>
      <c r="R3132" t="s">
        <v>76</v>
      </c>
      <c r="S3132" s="3">
        <v>4.6500000000000004</v>
      </c>
      <c r="T3132" s="5">
        <v>45988</v>
      </c>
      <c r="U3132">
        <v>2</v>
      </c>
      <c r="V3132">
        <v>2025</v>
      </c>
      <c r="X3132">
        <f t="shared" si="144"/>
        <v>7.1096868000000004</v>
      </c>
      <c r="Y3132">
        <f t="shared" si="145"/>
        <v>4.6496868000000005</v>
      </c>
      <c r="Z3132">
        <f t="shared" si="146"/>
        <v>62.299686799999996</v>
      </c>
    </row>
    <row r="3133" spans="1:26" x14ac:dyDescent="0.3">
      <c r="A3133" t="s">
        <v>3223</v>
      </c>
      <c r="B3133" t="s">
        <v>107</v>
      </c>
      <c r="C3133" t="s">
        <v>56</v>
      </c>
      <c r="D3133" t="s">
        <v>69</v>
      </c>
      <c r="E3133">
        <v>21</v>
      </c>
      <c r="F3133" s="3">
        <v>8.84</v>
      </c>
      <c r="G3133" s="4">
        <v>74.099999999999994</v>
      </c>
      <c r="H3133">
        <v>1</v>
      </c>
      <c r="I3133">
        <v>4</v>
      </c>
      <c r="J3133">
        <v>4</v>
      </c>
      <c r="K3133" s="4">
        <v>58.1</v>
      </c>
      <c r="L3133" s="4">
        <v>73.5</v>
      </c>
      <c r="M3133" s="4">
        <v>87.8</v>
      </c>
      <c r="N3133">
        <v>0</v>
      </c>
      <c r="O3133" t="s">
        <v>58</v>
      </c>
      <c r="P3133" t="s">
        <v>70</v>
      </c>
      <c r="Q3133" t="s">
        <v>71</v>
      </c>
      <c r="R3133" t="s">
        <v>85</v>
      </c>
      <c r="S3133" s="3">
        <v>6.48</v>
      </c>
      <c r="T3133" s="5">
        <v>44419</v>
      </c>
      <c r="U3133">
        <v>1</v>
      </c>
      <c r="V3133">
        <v>2021</v>
      </c>
      <c r="X3133">
        <f t="shared" si="144"/>
        <v>8.8396866999999997</v>
      </c>
      <c r="Y3133">
        <f t="shared" si="145"/>
        <v>6.4796867000000002</v>
      </c>
      <c r="Z3133">
        <f t="shared" si="146"/>
        <v>73.499686699999998</v>
      </c>
    </row>
    <row r="3134" spans="1:26" x14ac:dyDescent="0.3">
      <c r="A3134" t="s">
        <v>3224</v>
      </c>
      <c r="B3134" t="s">
        <v>63</v>
      </c>
      <c r="C3134" t="s">
        <v>56</v>
      </c>
      <c r="D3134" t="s">
        <v>57</v>
      </c>
      <c r="E3134">
        <v>21</v>
      </c>
      <c r="F3134" s="3">
        <v>8.83</v>
      </c>
      <c r="G3134" s="4">
        <v>98.6</v>
      </c>
      <c r="H3134">
        <v>1</v>
      </c>
      <c r="I3134">
        <v>2</v>
      </c>
      <c r="J3134">
        <v>4</v>
      </c>
      <c r="K3134" s="4">
        <v>63.2</v>
      </c>
      <c r="L3134" s="4">
        <v>56.2</v>
      </c>
      <c r="M3134" s="4">
        <v>65.3</v>
      </c>
      <c r="N3134">
        <v>0</v>
      </c>
      <c r="O3134" t="s">
        <v>58</v>
      </c>
      <c r="P3134" t="s">
        <v>70</v>
      </c>
      <c r="Q3134" t="s">
        <v>71</v>
      </c>
      <c r="R3134" t="s">
        <v>76</v>
      </c>
      <c r="S3134" s="3">
        <v>6.44</v>
      </c>
      <c r="T3134" s="5">
        <v>45921</v>
      </c>
      <c r="U3134">
        <v>2</v>
      </c>
      <c r="V3134">
        <v>2025</v>
      </c>
      <c r="X3134">
        <f t="shared" si="144"/>
        <v>8.8296866000000005</v>
      </c>
      <c r="Y3134">
        <f t="shared" si="145"/>
        <v>6.4396866000000008</v>
      </c>
      <c r="Z3134">
        <f t="shared" si="146"/>
        <v>56.1996866</v>
      </c>
    </row>
    <row r="3135" spans="1:26" x14ac:dyDescent="0.3">
      <c r="A3135" t="s">
        <v>3225</v>
      </c>
      <c r="B3135" t="s">
        <v>55</v>
      </c>
      <c r="C3135" t="s">
        <v>74</v>
      </c>
      <c r="D3135" t="s">
        <v>69</v>
      </c>
      <c r="E3135">
        <v>21</v>
      </c>
      <c r="F3135" s="3">
        <v>6.23</v>
      </c>
      <c r="G3135" s="4">
        <v>94.8</v>
      </c>
      <c r="H3135">
        <v>1</v>
      </c>
      <c r="I3135">
        <v>1</v>
      </c>
      <c r="J3135">
        <v>2</v>
      </c>
      <c r="K3135" s="4">
        <v>67</v>
      </c>
      <c r="L3135" s="4">
        <v>85.3</v>
      </c>
      <c r="M3135" s="4">
        <v>69.400000000000006</v>
      </c>
      <c r="N3135">
        <v>1</v>
      </c>
      <c r="O3135" t="s">
        <v>64</v>
      </c>
      <c r="P3135" t="s">
        <v>65</v>
      </c>
      <c r="S3135" s="3">
        <v>0</v>
      </c>
      <c r="T3135" s="5"/>
      <c r="U3135">
        <v>0</v>
      </c>
      <c r="V3135">
        <v>2024</v>
      </c>
      <c r="X3135">
        <f t="shared" si="144"/>
        <v>6.2296865000000006</v>
      </c>
      <c r="Y3135">
        <f t="shared" si="145"/>
        <v>-3.1349999999999998E-4</v>
      </c>
      <c r="Z3135">
        <f t="shared" si="146"/>
        <v>85.299686499999993</v>
      </c>
    </row>
    <row r="3136" spans="1:26" x14ac:dyDescent="0.3">
      <c r="A3136" t="s">
        <v>3226</v>
      </c>
      <c r="B3136" t="s">
        <v>67</v>
      </c>
      <c r="C3136" t="s">
        <v>101</v>
      </c>
      <c r="D3136" t="s">
        <v>57</v>
      </c>
      <c r="E3136">
        <v>21</v>
      </c>
      <c r="F3136" s="3">
        <v>6.95</v>
      </c>
      <c r="G3136" s="4">
        <v>73.400000000000006</v>
      </c>
      <c r="H3136">
        <v>1</v>
      </c>
      <c r="I3136">
        <v>3</v>
      </c>
      <c r="J3136">
        <v>2</v>
      </c>
      <c r="K3136" s="4">
        <v>48.8</v>
      </c>
      <c r="L3136" s="4">
        <v>57.3</v>
      </c>
      <c r="M3136" s="4">
        <v>80.3</v>
      </c>
      <c r="N3136">
        <v>0</v>
      </c>
      <c r="O3136" t="s">
        <v>58</v>
      </c>
      <c r="P3136" t="s">
        <v>70</v>
      </c>
      <c r="Q3136" t="s">
        <v>71</v>
      </c>
      <c r="R3136" t="s">
        <v>76</v>
      </c>
      <c r="S3136" s="3">
        <v>3.66</v>
      </c>
      <c r="T3136" s="5">
        <v>45150</v>
      </c>
      <c r="U3136">
        <v>2</v>
      </c>
      <c r="V3136">
        <v>2023</v>
      </c>
      <c r="X3136">
        <f t="shared" si="144"/>
        <v>6.9496864</v>
      </c>
      <c r="Y3136">
        <f t="shared" si="145"/>
        <v>3.6596864</v>
      </c>
      <c r="Z3136">
        <f t="shared" si="146"/>
        <v>57.299686399999999</v>
      </c>
    </row>
    <row r="3137" spans="1:26" x14ac:dyDescent="0.3">
      <c r="A3137" t="s">
        <v>3227</v>
      </c>
      <c r="B3137" t="s">
        <v>67</v>
      </c>
      <c r="C3137" t="s">
        <v>68</v>
      </c>
      <c r="D3137" t="s">
        <v>57</v>
      </c>
      <c r="E3137">
        <v>22</v>
      </c>
      <c r="F3137" s="3">
        <v>7.75</v>
      </c>
      <c r="G3137" s="4">
        <v>84</v>
      </c>
      <c r="H3137">
        <v>2</v>
      </c>
      <c r="I3137">
        <v>3</v>
      </c>
      <c r="J3137">
        <v>3</v>
      </c>
      <c r="K3137" s="4">
        <v>61.2</v>
      </c>
      <c r="L3137" s="4">
        <v>63.8</v>
      </c>
      <c r="M3137" s="4">
        <v>87.6</v>
      </c>
      <c r="N3137">
        <v>0</v>
      </c>
      <c r="O3137" t="s">
        <v>58</v>
      </c>
      <c r="P3137" t="s">
        <v>90</v>
      </c>
      <c r="Q3137" t="s">
        <v>60</v>
      </c>
      <c r="R3137" t="s">
        <v>61</v>
      </c>
      <c r="S3137" s="3">
        <v>8.52</v>
      </c>
      <c r="T3137" s="5">
        <v>45230</v>
      </c>
      <c r="U3137">
        <v>1</v>
      </c>
      <c r="V3137">
        <v>2023</v>
      </c>
      <c r="X3137">
        <f t="shared" si="144"/>
        <v>7.7496862999999996</v>
      </c>
      <c r="Y3137">
        <f t="shared" si="145"/>
        <v>8.5196863</v>
      </c>
      <c r="Z3137">
        <f t="shared" si="146"/>
        <v>63.799686299999998</v>
      </c>
    </row>
    <row r="3138" spans="1:26" x14ac:dyDescent="0.3">
      <c r="A3138" t="s">
        <v>3228</v>
      </c>
      <c r="B3138" t="s">
        <v>63</v>
      </c>
      <c r="C3138" t="s">
        <v>68</v>
      </c>
      <c r="D3138" t="s">
        <v>57</v>
      </c>
      <c r="E3138">
        <v>20</v>
      </c>
      <c r="F3138" s="3">
        <v>7.98</v>
      </c>
      <c r="G3138" s="4">
        <v>68.2</v>
      </c>
      <c r="H3138">
        <v>2</v>
      </c>
      <c r="I3138">
        <v>3</v>
      </c>
      <c r="J3138">
        <v>6</v>
      </c>
      <c r="K3138" s="4">
        <v>63</v>
      </c>
      <c r="L3138" s="4">
        <v>87.4</v>
      </c>
      <c r="M3138" s="4">
        <v>76.7</v>
      </c>
      <c r="N3138">
        <v>0</v>
      </c>
      <c r="O3138" t="s">
        <v>58</v>
      </c>
      <c r="P3138" t="s">
        <v>104</v>
      </c>
      <c r="Q3138" t="s">
        <v>105</v>
      </c>
      <c r="R3138" t="s">
        <v>109</v>
      </c>
      <c r="S3138" s="3">
        <v>15.76</v>
      </c>
      <c r="T3138" s="5">
        <v>45931</v>
      </c>
      <c r="U3138">
        <v>1</v>
      </c>
      <c r="V3138">
        <v>2025</v>
      </c>
      <c r="X3138">
        <f t="shared" ref="X3138:X3201" si="147">F3138-ROW()*0.0000001</f>
        <v>7.9796862000000006</v>
      </c>
      <c r="Y3138">
        <f t="shared" ref="Y3138:Y3201" si="148">S3138-ROW()*0.0000001</f>
        <v>15.759686199999999</v>
      </c>
      <c r="Z3138">
        <f t="shared" ref="Z3138:Z3201" si="149">L3138-ROW()*0.0000001</f>
        <v>87.399686200000005</v>
      </c>
    </row>
    <row r="3139" spans="1:26" x14ac:dyDescent="0.3">
      <c r="A3139" t="s">
        <v>3229</v>
      </c>
      <c r="B3139" t="s">
        <v>82</v>
      </c>
      <c r="C3139" t="s">
        <v>84</v>
      </c>
      <c r="D3139" t="s">
        <v>57</v>
      </c>
      <c r="E3139">
        <v>21</v>
      </c>
      <c r="F3139" s="3">
        <v>9.57</v>
      </c>
      <c r="G3139" s="4">
        <v>97.3</v>
      </c>
      <c r="H3139">
        <v>1</v>
      </c>
      <c r="I3139">
        <v>0</v>
      </c>
      <c r="J3139">
        <v>4</v>
      </c>
      <c r="K3139" s="4">
        <v>65.2</v>
      </c>
      <c r="L3139" s="4">
        <v>78.599999999999994</v>
      </c>
      <c r="M3139" s="4">
        <v>51.2</v>
      </c>
      <c r="N3139">
        <v>1</v>
      </c>
      <c r="O3139" t="s">
        <v>58</v>
      </c>
      <c r="P3139" t="s">
        <v>95</v>
      </c>
      <c r="Q3139" t="s">
        <v>93</v>
      </c>
      <c r="R3139" t="s">
        <v>80</v>
      </c>
      <c r="S3139" s="3">
        <v>9.4700000000000006</v>
      </c>
      <c r="T3139" s="5">
        <v>44846</v>
      </c>
      <c r="U3139">
        <v>1</v>
      </c>
      <c r="V3139">
        <v>2022</v>
      </c>
      <c r="X3139">
        <f t="shared" si="147"/>
        <v>9.5696861000000002</v>
      </c>
      <c r="Y3139">
        <f t="shared" si="148"/>
        <v>9.4696861000000006</v>
      </c>
      <c r="Z3139">
        <f t="shared" si="149"/>
        <v>78.5996861</v>
      </c>
    </row>
    <row r="3140" spans="1:26" x14ac:dyDescent="0.3">
      <c r="A3140" t="s">
        <v>3230</v>
      </c>
      <c r="B3140" t="s">
        <v>67</v>
      </c>
      <c r="C3140" t="s">
        <v>89</v>
      </c>
      <c r="D3140" t="s">
        <v>57</v>
      </c>
      <c r="E3140">
        <v>23</v>
      </c>
      <c r="F3140" s="3">
        <v>7.78</v>
      </c>
      <c r="G3140" s="4">
        <v>88.8</v>
      </c>
      <c r="H3140">
        <v>2</v>
      </c>
      <c r="I3140">
        <v>0</v>
      </c>
      <c r="J3140">
        <v>5</v>
      </c>
      <c r="K3140" s="4">
        <v>57.1</v>
      </c>
      <c r="L3140" s="4">
        <v>67.900000000000006</v>
      </c>
      <c r="M3140" s="4">
        <v>88.2</v>
      </c>
      <c r="N3140">
        <v>0</v>
      </c>
      <c r="O3140" t="s">
        <v>58</v>
      </c>
      <c r="P3140" t="s">
        <v>95</v>
      </c>
      <c r="Q3140" t="s">
        <v>93</v>
      </c>
      <c r="R3140" t="s">
        <v>109</v>
      </c>
      <c r="S3140" s="3">
        <v>8.06</v>
      </c>
      <c r="T3140" s="5">
        <v>45161</v>
      </c>
      <c r="U3140">
        <v>1</v>
      </c>
      <c r="V3140">
        <v>2023</v>
      </c>
      <c r="X3140">
        <f t="shared" si="147"/>
        <v>7.7796859999999999</v>
      </c>
      <c r="Y3140">
        <f t="shared" si="148"/>
        <v>8.059686000000001</v>
      </c>
      <c r="Z3140">
        <f t="shared" si="149"/>
        <v>67.899686000000003</v>
      </c>
    </row>
    <row r="3141" spans="1:26" x14ac:dyDescent="0.3">
      <c r="A3141" t="s">
        <v>3231</v>
      </c>
      <c r="B3141" t="s">
        <v>63</v>
      </c>
      <c r="C3141" t="s">
        <v>84</v>
      </c>
      <c r="D3141" t="s">
        <v>69</v>
      </c>
      <c r="E3141">
        <v>20</v>
      </c>
      <c r="F3141" s="3">
        <v>7.55</v>
      </c>
      <c r="G3141" s="4">
        <v>91</v>
      </c>
      <c r="H3141">
        <v>0</v>
      </c>
      <c r="I3141">
        <v>1</v>
      </c>
      <c r="J3141">
        <v>4</v>
      </c>
      <c r="K3141" s="4">
        <v>100</v>
      </c>
      <c r="L3141" s="4">
        <v>75.599999999999994</v>
      </c>
      <c r="M3141" s="4">
        <v>89.5</v>
      </c>
      <c r="N3141">
        <v>0</v>
      </c>
      <c r="O3141" t="s">
        <v>64</v>
      </c>
      <c r="P3141" t="s">
        <v>65</v>
      </c>
      <c r="S3141" s="3">
        <v>0</v>
      </c>
      <c r="T3141" s="5"/>
      <c r="U3141">
        <v>0</v>
      </c>
      <c r="V3141">
        <v>2025</v>
      </c>
      <c r="X3141">
        <f t="shared" si="147"/>
        <v>7.5496859000000001</v>
      </c>
      <c r="Y3141">
        <f t="shared" si="148"/>
        <v>-3.1409999999999999E-4</v>
      </c>
      <c r="Z3141">
        <f t="shared" si="149"/>
        <v>75.599685899999997</v>
      </c>
    </row>
    <row r="3142" spans="1:26" x14ac:dyDescent="0.3">
      <c r="A3142" t="s">
        <v>3232</v>
      </c>
      <c r="B3142" t="s">
        <v>55</v>
      </c>
      <c r="C3142" t="s">
        <v>68</v>
      </c>
      <c r="D3142" t="s">
        <v>57</v>
      </c>
      <c r="E3142">
        <v>23</v>
      </c>
      <c r="F3142" s="3">
        <v>6.63</v>
      </c>
      <c r="G3142" s="4">
        <v>79.7</v>
      </c>
      <c r="H3142">
        <v>1</v>
      </c>
      <c r="I3142">
        <v>1</v>
      </c>
      <c r="J3142">
        <v>6</v>
      </c>
      <c r="K3142" s="4">
        <v>63</v>
      </c>
      <c r="L3142" s="4">
        <v>51</v>
      </c>
      <c r="M3142" s="4">
        <v>67.400000000000006</v>
      </c>
      <c r="N3142">
        <v>0</v>
      </c>
      <c r="O3142" t="s">
        <v>58</v>
      </c>
      <c r="P3142" t="s">
        <v>59</v>
      </c>
      <c r="Q3142" t="s">
        <v>60</v>
      </c>
      <c r="R3142" t="s">
        <v>61</v>
      </c>
      <c r="S3142" s="3">
        <v>17.63</v>
      </c>
      <c r="T3142" s="5">
        <v>45574</v>
      </c>
      <c r="U3142">
        <v>2</v>
      </c>
      <c r="V3142">
        <v>2024</v>
      </c>
      <c r="X3142">
        <f t="shared" si="147"/>
        <v>6.6296857999999999</v>
      </c>
      <c r="Y3142">
        <f t="shared" si="148"/>
        <v>17.629685800000001</v>
      </c>
      <c r="Z3142">
        <f t="shared" si="149"/>
        <v>50.999685800000002</v>
      </c>
    </row>
    <row r="3143" spans="1:26" x14ac:dyDescent="0.3">
      <c r="A3143" t="s">
        <v>3233</v>
      </c>
      <c r="B3143" t="s">
        <v>63</v>
      </c>
      <c r="C3143" t="s">
        <v>56</v>
      </c>
      <c r="D3143" t="s">
        <v>57</v>
      </c>
      <c r="E3143">
        <v>20</v>
      </c>
      <c r="F3143" s="3">
        <v>6.22</v>
      </c>
      <c r="G3143" s="4">
        <v>92.6</v>
      </c>
      <c r="H3143">
        <v>3</v>
      </c>
      <c r="I3143">
        <v>3</v>
      </c>
      <c r="J3143">
        <v>3</v>
      </c>
      <c r="K3143" s="4">
        <v>59.7</v>
      </c>
      <c r="L3143" s="4">
        <v>97.1</v>
      </c>
      <c r="M3143" s="4">
        <v>84.2</v>
      </c>
      <c r="N3143">
        <v>0</v>
      </c>
      <c r="O3143" t="s">
        <v>58</v>
      </c>
      <c r="P3143" t="s">
        <v>75</v>
      </c>
      <c r="Q3143" t="s">
        <v>71</v>
      </c>
      <c r="R3143" t="s">
        <v>109</v>
      </c>
      <c r="S3143" s="3">
        <v>7.55</v>
      </c>
      <c r="T3143" s="5">
        <v>45919</v>
      </c>
      <c r="U3143">
        <v>2</v>
      </c>
      <c r="V3143">
        <v>2025</v>
      </c>
      <c r="X3143">
        <f t="shared" si="147"/>
        <v>6.2196856999999994</v>
      </c>
      <c r="Y3143">
        <f t="shared" si="148"/>
        <v>7.5496856999999995</v>
      </c>
      <c r="Z3143">
        <f t="shared" si="149"/>
        <v>97.099685699999995</v>
      </c>
    </row>
    <row r="3144" spans="1:26" x14ac:dyDescent="0.3">
      <c r="A3144" t="s">
        <v>3234</v>
      </c>
      <c r="B3144" t="s">
        <v>67</v>
      </c>
      <c r="C3144" t="s">
        <v>84</v>
      </c>
      <c r="D3144" t="s">
        <v>57</v>
      </c>
      <c r="E3144">
        <v>20</v>
      </c>
      <c r="F3144" s="3">
        <v>7.53</v>
      </c>
      <c r="G3144" s="4">
        <v>92.6</v>
      </c>
      <c r="H3144">
        <v>0</v>
      </c>
      <c r="I3144">
        <v>2</v>
      </c>
      <c r="J3144">
        <v>2</v>
      </c>
      <c r="K3144" s="4">
        <v>52.6</v>
      </c>
      <c r="L3144" s="4">
        <v>51.8</v>
      </c>
      <c r="M3144" s="4">
        <v>79.900000000000006</v>
      </c>
      <c r="N3144">
        <v>1</v>
      </c>
      <c r="O3144" t="s">
        <v>58</v>
      </c>
      <c r="P3144" t="s">
        <v>59</v>
      </c>
      <c r="Q3144" t="s">
        <v>60</v>
      </c>
      <c r="R3144" t="s">
        <v>109</v>
      </c>
      <c r="S3144" s="3">
        <v>19.03</v>
      </c>
      <c r="T3144" s="5">
        <v>45202</v>
      </c>
      <c r="U3144">
        <v>3</v>
      </c>
      <c r="V3144">
        <v>2023</v>
      </c>
      <c r="X3144">
        <f t="shared" si="147"/>
        <v>7.5296856000000005</v>
      </c>
      <c r="Y3144">
        <f t="shared" si="148"/>
        <v>19.029685600000001</v>
      </c>
      <c r="Z3144">
        <f t="shared" si="149"/>
        <v>51.799685599999997</v>
      </c>
    </row>
    <row r="3145" spans="1:26" x14ac:dyDescent="0.3">
      <c r="A3145" t="s">
        <v>3235</v>
      </c>
      <c r="B3145" t="s">
        <v>55</v>
      </c>
      <c r="C3145" t="s">
        <v>68</v>
      </c>
      <c r="D3145" t="s">
        <v>57</v>
      </c>
      <c r="E3145">
        <v>20</v>
      </c>
      <c r="F3145" s="3">
        <v>9.5</v>
      </c>
      <c r="G3145" s="4">
        <v>80.5</v>
      </c>
      <c r="H3145">
        <v>1</v>
      </c>
      <c r="I3145">
        <v>3</v>
      </c>
      <c r="J3145">
        <v>5</v>
      </c>
      <c r="K3145" s="4">
        <v>78.7</v>
      </c>
      <c r="L3145" s="4">
        <v>73.099999999999994</v>
      </c>
      <c r="M3145" s="4">
        <v>63.3</v>
      </c>
      <c r="N3145">
        <v>1</v>
      </c>
      <c r="O3145" t="s">
        <v>64</v>
      </c>
      <c r="P3145" t="s">
        <v>65</v>
      </c>
      <c r="S3145" s="3">
        <v>0</v>
      </c>
      <c r="T3145" s="5"/>
      <c r="U3145">
        <v>0</v>
      </c>
      <c r="V3145">
        <v>2024</v>
      </c>
      <c r="X3145">
        <f t="shared" si="147"/>
        <v>9.4996855</v>
      </c>
      <c r="Y3145">
        <f t="shared" si="148"/>
        <v>-3.145E-4</v>
      </c>
      <c r="Z3145">
        <f t="shared" si="149"/>
        <v>73.099685499999993</v>
      </c>
    </row>
    <row r="3146" spans="1:26" x14ac:dyDescent="0.3">
      <c r="A3146" t="s">
        <v>3236</v>
      </c>
      <c r="B3146" t="s">
        <v>63</v>
      </c>
      <c r="C3146" t="s">
        <v>56</v>
      </c>
      <c r="D3146" t="s">
        <v>57</v>
      </c>
      <c r="E3146">
        <v>23</v>
      </c>
      <c r="F3146" s="3">
        <v>7.46</v>
      </c>
      <c r="G3146" s="4">
        <v>71.7</v>
      </c>
      <c r="H3146">
        <v>0</v>
      </c>
      <c r="I3146">
        <v>1</v>
      </c>
      <c r="J3146">
        <v>4</v>
      </c>
      <c r="K3146" s="4">
        <v>42</v>
      </c>
      <c r="L3146" s="4">
        <v>86.8</v>
      </c>
      <c r="M3146" s="4">
        <v>84.7</v>
      </c>
      <c r="N3146">
        <v>0</v>
      </c>
      <c r="O3146" t="s">
        <v>64</v>
      </c>
      <c r="P3146" t="s">
        <v>65</v>
      </c>
      <c r="S3146" s="3">
        <v>0</v>
      </c>
      <c r="T3146" s="5"/>
      <c r="U3146">
        <v>0</v>
      </c>
      <c r="V3146">
        <v>2025</v>
      </c>
      <c r="X3146">
        <f t="shared" si="147"/>
        <v>7.4596853999999997</v>
      </c>
      <c r="Y3146">
        <f t="shared" si="148"/>
        <v>-3.146E-4</v>
      </c>
      <c r="Z3146">
        <f t="shared" si="149"/>
        <v>86.799685400000001</v>
      </c>
    </row>
    <row r="3147" spans="1:26" x14ac:dyDescent="0.3">
      <c r="A3147" t="s">
        <v>3237</v>
      </c>
      <c r="B3147" t="s">
        <v>107</v>
      </c>
      <c r="C3147" t="s">
        <v>74</v>
      </c>
      <c r="D3147" t="s">
        <v>57</v>
      </c>
      <c r="E3147">
        <v>21</v>
      </c>
      <c r="F3147" s="3">
        <v>6.95</v>
      </c>
      <c r="G3147" s="4">
        <v>85.9</v>
      </c>
      <c r="H3147">
        <v>1</v>
      </c>
      <c r="I3147">
        <v>2</v>
      </c>
      <c r="J3147">
        <v>4</v>
      </c>
      <c r="K3147" s="4">
        <v>43.1</v>
      </c>
      <c r="L3147" s="4">
        <v>73.900000000000006</v>
      </c>
      <c r="M3147" s="4">
        <v>73.5</v>
      </c>
      <c r="N3147">
        <v>0</v>
      </c>
      <c r="O3147" t="s">
        <v>64</v>
      </c>
      <c r="P3147" t="s">
        <v>65</v>
      </c>
      <c r="S3147" s="3">
        <v>0</v>
      </c>
      <c r="T3147" s="5"/>
      <c r="U3147">
        <v>0</v>
      </c>
      <c r="V3147">
        <v>2021</v>
      </c>
      <c r="X3147">
        <f t="shared" si="147"/>
        <v>6.9496853000000005</v>
      </c>
      <c r="Y3147">
        <f t="shared" si="148"/>
        <v>-3.1470000000000001E-4</v>
      </c>
      <c r="Z3147">
        <f t="shared" si="149"/>
        <v>73.899685300000002</v>
      </c>
    </row>
    <row r="3148" spans="1:26" x14ac:dyDescent="0.3">
      <c r="A3148" t="s">
        <v>3238</v>
      </c>
      <c r="B3148" t="s">
        <v>55</v>
      </c>
      <c r="C3148" t="s">
        <v>56</v>
      </c>
      <c r="D3148" t="s">
        <v>69</v>
      </c>
      <c r="E3148">
        <v>21</v>
      </c>
      <c r="F3148" s="3">
        <v>8.06</v>
      </c>
      <c r="G3148" s="4">
        <v>80.900000000000006</v>
      </c>
      <c r="H3148">
        <v>2</v>
      </c>
      <c r="I3148">
        <v>2</v>
      </c>
      <c r="J3148">
        <v>3</v>
      </c>
      <c r="K3148" s="4">
        <v>67.5</v>
      </c>
      <c r="L3148" s="4">
        <v>69.2</v>
      </c>
      <c r="M3148" s="4">
        <v>57.7</v>
      </c>
      <c r="N3148">
        <v>1</v>
      </c>
      <c r="O3148" t="s">
        <v>58</v>
      </c>
      <c r="P3148" t="s">
        <v>70</v>
      </c>
      <c r="Q3148" t="s">
        <v>71</v>
      </c>
      <c r="R3148" t="s">
        <v>76</v>
      </c>
      <c r="S3148" s="3">
        <v>6.57</v>
      </c>
      <c r="T3148" s="5">
        <v>45531</v>
      </c>
      <c r="U3148">
        <v>1</v>
      </c>
      <c r="V3148">
        <v>2024</v>
      </c>
      <c r="X3148">
        <f t="shared" si="147"/>
        <v>8.0596852000000005</v>
      </c>
      <c r="Y3148">
        <f t="shared" si="148"/>
        <v>6.5696852000000003</v>
      </c>
      <c r="Z3148">
        <f t="shared" si="149"/>
        <v>69.199685200000005</v>
      </c>
    </row>
    <row r="3149" spans="1:26" x14ac:dyDescent="0.3">
      <c r="A3149" t="s">
        <v>3239</v>
      </c>
      <c r="B3149" t="s">
        <v>107</v>
      </c>
      <c r="C3149" t="s">
        <v>68</v>
      </c>
      <c r="D3149" t="s">
        <v>57</v>
      </c>
      <c r="E3149">
        <v>23</v>
      </c>
      <c r="F3149" s="3">
        <v>5.84</v>
      </c>
      <c r="G3149" s="4">
        <v>98.7</v>
      </c>
      <c r="H3149">
        <v>0</v>
      </c>
      <c r="I3149">
        <v>1</v>
      </c>
      <c r="J3149">
        <v>2</v>
      </c>
      <c r="K3149" s="4">
        <v>74.5</v>
      </c>
      <c r="L3149" s="4">
        <v>86.9</v>
      </c>
      <c r="M3149" s="4">
        <v>84.8</v>
      </c>
      <c r="N3149">
        <v>0</v>
      </c>
      <c r="O3149" t="s">
        <v>64</v>
      </c>
      <c r="P3149" t="s">
        <v>65</v>
      </c>
      <c r="S3149" s="3">
        <v>0</v>
      </c>
      <c r="T3149" s="5"/>
      <c r="U3149">
        <v>0</v>
      </c>
      <c r="V3149">
        <v>2021</v>
      </c>
      <c r="X3149">
        <f t="shared" si="147"/>
        <v>5.8396850999999996</v>
      </c>
      <c r="Y3149">
        <f t="shared" si="148"/>
        <v>-3.1490000000000001E-4</v>
      </c>
      <c r="Z3149">
        <f t="shared" si="149"/>
        <v>86.899685099999999</v>
      </c>
    </row>
    <row r="3150" spans="1:26" x14ac:dyDescent="0.3">
      <c r="A3150" t="s">
        <v>3240</v>
      </c>
      <c r="B3150" t="s">
        <v>82</v>
      </c>
      <c r="C3150" t="s">
        <v>101</v>
      </c>
      <c r="D3150" t="s">
        <v>69</v>
      </c>
      <c r="E3150">
        <v>21</v>
      </c>
      <c r="F3150" s="3">
        <v>7.72</v>
      </c>
      <c r="G3150" s="4">
        <v>82.5</v>
      </c>
      <c r="H3150">
        <v>0</v>
      </c>
      <c r="I3150">
        <v>2</v>
      </c>
      <c r="J3150">
        <v>4</v>
      </c>
      <c r="K3150" s="4">
        <v>66.8</v>
      </c>
      <c r="L3150" s="4">
        <v>79.3</v>
      </c>
      <c r="M3150" s="4">
        <v>99.4</v>
      </c>
      <c r="N3150">
        <v>1</v>
      </c>
      <c r="O3150" t="s">
        <v>58</v>
      </c>
      <c r="P3150" t="s">
        <v>79</v>
      </c>
      <c r="Q3150" t="s">
        <v>71</v>
      </c>
      <c r="R3150" t="s">
        <v>85</v>
      </c>
      <c r="S3150" s="3">
        <v>5.5</v>
      </c>
      <c r="T3150" s="5">
        <v>44866</v>
      </c>
      <c r="U3150">
        <v>1</v>
      </c>
      <c r="V3150">
        <v>2022</v>
      </c>
      <c r="X3150">
        <f t="shared" si="147"/>
        <v>7.7196850000000001</v>
      </c>
      <c r="Y3150">
        <f t="shared" si="148"/>
        <v>5.4996850000000004</v>
      </c>
      <c r="Z3150">
        <f t="shared" si="149"/>
        <v>79.299684999999997</v>
      </c>
    </row>
    <row r="3151" spans="1:26" x14ac:dyDescent="0.3">
      <c r="A3151" t="s">
        <v>3241</v>
      </c>
      <c r="B3151" t="s">
        <v>55</v>
      </c>
      <c r="C3151" t="s">
        <v>84</v>
      </c>
      <c r="D3151" t="s">
        <v>57</v>
      </c>
      <c r="E3151">
        <v>22</v>
      </c>
      <c r="F3151" s="3">
        <v>8.39</v>
      </c>
      <c r="G3151" s="4">
        <v>83</v>
      </c>
      <c r="H3151">
        <v>2</v>
      </c>
      <c r="I3151">
        <v>2</v>
      </c>
      <c r="J3151">
        <v>4</v>
      </c>
      <c r="K3151" s="4">
        <v>96.4</v>
      </c>
      <c r="L3151" s="4">
        <v>62.7</v>
      </c>
      <c r="M3151" s="4">
        <v>46.4</v>
      </c>
      <c r="N3151">
        <v>0</v>
      </c>
      <c r="O3151" t="s">
        <v>58</v>
      </c>
      <c r="P3151" t="s">
        <v>95</v>
      </c>
      <c r="Q3151" t="s">
        <v>93</v>
      </c>
      <c r="R3151" t="s">
        <v>72</v>
      </c>
      <c r="S3151" s="3">
        <v>7.78</v>
      </c>
      <c r="T3151" s="5">
        <v>45577</v>
      </c>
      <c r="U3151">
        <v>1</v>
      </c>
      <c r="V3151">
        <v>2024</v>
      </c>
      <c r="X3151">
        <f t="shared" si="147"/>
        <v>8.3896849000000007</v>
      </c>
      <c r="Y3151">
        <f t="shared" si="148"/>
        <v>7.7796849000000003</v>
      </c>
      <c r="Z3151">
        <f t="shared" si="149"/>
        <v>62.699684900000001</v>
      </c>
    </row>
    <row r="3152" spans="1:26" x14ac:dyDescent="0.3">
      <c r="A3152" t="s">
        <v>3242</v>
      </c>
      <c r="B3152" t="s">
        <v>107</v>
      </c>
      <c r="C3152" t="s">
        <v>84</v>
      </c>
      <c r="D3152" t="s">
        <v>57</v>
      </c>
      <c r="E3152">
        <v>21</v>
      </c>
      <c r="F3152" s="3">
        <v>6.8</v>
      </c>
      <c r="G3152" s="4">
        <v>89.3</v>
      </c>
      <c r="H3152">
        <v>1</v>
      </c>
      <c r="I3152">
        <v>4</v>
      </c>
      <c r="J3152">
        <v>4</v>
      </c>
      <c r="K3152" s="4">
        <v>60.7</v>
      </c>
      <c r="L3152" s="4">
        <v>93.1</v>
      </c>
      <c r="M3152" s="4">
        <v>77.7</v>
      </c>
      <c r="N3152">
        <v>0</v>
      </c>
      <c r="O3152" t="s">
        <v>58</v>
      </c>
      <c r="P3152" t="s">
        <v>79</v>
      </c>
      <c r="Q3152" t="s">
        <v>71</v>
      </c>
      <c r="R3152" t="s">
        <v>76</v>
      </c>
      <c r="S3152" s="3">
        <v>6.08</v>
      </c>
      <c r="T3152" s="5">
        <v>44517</v>
      </c>
      <c r="U3152">
        <v>1</v>
      </c>
      <c r="V3152">
        <v>2021</v>
      </c>
      <c r="X3152">
        <f t="shared" si="147"/>
        <v>6.7996847999999996</v>
      </c>
      <c r="Y3152">
        <f t="shared" si="148"/>
        <v>6.0796847999999999</v>
      </c>
      <c r="Z3152">
        <f t="shared" si="149"/>
        <v>93.099684799999991</v>
      </c>
    </row>
    <row r="3153" spans="1:26" x14ac:dyDescent="0.3">
      <c r="A3153" t="s">
        <v>3243</v>
      </c>
      <c r="B3153" t="s">
        <v>67</v>
      </c>
      <c r="C3153" t="s">
        <v>56</v>
      </c>
      <c r="D3153" t="s">
        <v>57</v>
      </c>
      <c r="E3153">
        <v>22</v>
      </c>
      <c r="F3153" s="3">
        <v>8.8800000000000008</v>
      </c>
      <c r="G3153" s="4">
        <v>82</v>
      </c>
      <c r="H3153">
        <v>1</v>
      </c>
      <c r="I3153">
        <v>0</v>
      </c>
      <c r="J3153">
        <v>3</v>
      </c>
      <c r="K3153" s="4">
        <v>63.8</v>
      </c>
      <c r="L3153" s="4">
        <v>58.8</v>
      </c>
      <c r="M3153" s="4">
        <v>77.2</v>
      </c>
      <c r="N3153">
        <v>0</v>
      </c>
      <c r="O3153" t="s">
        <v>58</v>
      </c>
      <c r="P3153" t="s">
        <v>104</v>
      </c>
      <c r="Q3153" t="s">
        <v>105</v>
      </c>
      <c r="R3153" t="s">
        <v>72</v>
      </c>
      <c r="S3153" s="3">
        <v>15.96</v>
      </c>
      <c r="T3153" s="5">
        <v>45182</v>
      </c>
      <c r="U3153">
        <v>1</v>
      </c>
      <c r="V3153">
        <v>2023</v>
      </c>
      <c r="X3153">
        <f t="shared" si="147"/>
        <v>8.8796847000000003</v>
      </c>
      <c r="Y3153">
        <f t="shared" si="148"/>
        <v>15.9596847</v>
      </c>
      <c r="Z3153">
        <f t="shared" si="149"/>
        <v>58.7996847</v>
      </c>
    </row>
    <row r="3154" spans="1:26" x14ac:dyDescent="0.3">
      <c r="A3154" t="s">
        <v>3244</v>
      </c>
      <c r="B3154" t="s">
        <v>67</v>
      </c>
      <c r="C3154" t="s">
        <v>74</v>
      </c>
      <c r="D3154" t="s">
        <v>69</v>
      </c>
      <c r="E3154">
        <v>22</v>
      </c>
      <c r="F3154" s="3">
        <v>8.24</v>
      </c>
      <c r="G3154" s="4">
        <v>88.2</v>
      </c>
      <c r="H3154">
        <v>3</v>
      </c>
      <c r="I3154">
        <v>3</v>
      </c>
      <c r="J3154">
        <v>4</v>
      </c>
      <c r="K3154" s="4">
        <v>67.400000000000006</v>
      </c>
      <c r="L3154" s="4">
        <v>94.4</v>
      </c>
      <c r="M3154" s="4">
        <v>60.2</v>
      </c>
      <c r="N3154">
        <v>0</v>
      </c>
      <c r="O3154" t="s">
        <v>58</v>
      </c>
      <c r="P3154" t="s">
        <v>112</v>
      </c>
      <c r="Q3154" t="s">
        <v>93</v>
      </c>
      <c r="R3154" t="s">
        <v>61</v>
      </c>
      <c r="S3154" s="3">
        <v>8.68</v>
      </c>
      <c r="T3154" s="5">
        <v>45196</v>
      </c>
      <c r="U3154">
        <v>2</v>
      </c>
      <c r="V3154">
        <v>2023</v>
      </c>
      <c r="X3154">
        <f t="shared" si="147"/>
        <v>8.2396846000000004</v>
      </c>
      <c r="Y3154">
        <f t="shared" si="148"/>
        <v>8.6796845999999999</v>
      </c>
      <c r="Z3154">
        <f t="shared" si="149"/>
        <v>94.399684600000001</v>
      </c>
    </row>
    <row r="3155" spans="1:26" x14ac:dyDescent="0.3">
      <c r="A3155" t="s">
        <v>3245</v>
      </c>
      <c r="B3155" t="s">
        <v>82</v>
      </c>
      <c r="C3155" t="s">
        <v>56</v>
      </c>
      <c r="D3155" t="s">
        <v>69</v>
      </c>
      <c r="E3155">
        <v>22</v>
      </c>
      <c r="F3155" s="3">
        <v>8.89</v>
      </c>
      <c r="G3155" s="4">
        <v>77.099999999999994</v>
      </c>
      <c r="H3155">
        <v>1</v>
      </c>
      <c r="I3155">
        <v>5</v>
      </c>
      <c r="J3155">
        <v>2</v>
      </c>
      <c r="K3155" s="4">
        <v>68.599999999999994</v>
      </c>
      <c r="L3155" s="4">
        <v>78.900000000000006</v>
      </c>
      <c r="M3155" s="4">
        <v>86.3</v>
      </c>
      <c r="N3155">
        <v>0</v>
      </c>
      <c r="O3155" t="s">
        <v>58</v>
      </c>
      <c r="P3155" t="s">
        <v>79</v>
      </c>
      <c r="Q3155" t="s">
        <v>71</v>
      </c>
      <c r="R3155" t="s">
        <v>72</v>
      </c>
      <c r="S3155" s="3">
        <v>7.58</v>
      </c>
      <c r="T3155" s="5">
        <v>44835</v>
      </c>
      <c r="U3155">
        <v>1</v>
      </c>
      <c r="V3155">
        <v>2022</v>
      </c>
      <c r="X3155">
        <f t="shared" si="147"/>
        <v>8.8896845000000013</v>
      </c>
      <c r="Y3155">
        <f t="shared" si="148"/>
        <v>7.5796844999999999</v>
      </c>
      <c r="Z3155">
        <f t="shared" si="149"/>
        <v>78.899684500000006</v>
      </c>
    </row>
    <row r="3156" spans="1:26" x14ac:dyDescent="0.3">
      <c r="A3156" t="s">
        <v>3246</v>
      </c>
      <c r="B3156" t="s">
        <v>55</v>
      </c>
      <c r="C3156" t="s">
        <v>101</v>
      </c>
      <c r="D3156" t="s">
        <v>69</v>
      </c>
      <c r="E3156">
        <v>23</v>
      </c>
      <c r="F3156" s="3">
        <v>6.41</v>
      </c>
      <c r="G3156" s="4">
        <v>71.900000000000006</v>
      </c>
      <c r="H3156">
        <v>2</v>
      </c>
      <c r="I3156">
        <v>3</v>
      </c>
      <c r="J3156">
        <v>4</v>
      </c>
      <c r="K3156" s="4">
        <v>66.3</v>
      </c>
      <c r="L3156" s="4">
        <v>64.099999999999994</v>
      </c>
      <c r="M3156" s="4">
        <v>60.9</v>
      </c>
      <c r="N3156">
        <v>2</v>
      </c>
      <c r="O3156" t="s">
        <v>64</v>
      </c>
      <c r="P3156" t="s">
        <v>65</v>
      </c>
      <c r="S3156" s="3">
        <v>0</v>
      </c>
      <c r="T3156" s="5"/>
      <c r="U3156">
        <v>0</v>
      </c>
      <c r="V3156">
        <v>2024</v>
      </c>
      <c r="X3156">
        <f t="shared" si="147"/>
        <v>6.4096843999999997</v>
      </c>
      <c r="Y3156">
        <f t="shared" si="148"/>
        <v>-3.1559999999999997E-4</v>
      </c>
      <c r="Z3156">
        <f t="shared" si="149"/>
        <v>64.099684400000001</v>
      </c>
    </row>
    <row r="3157" spans="1:26" x14ac:dyDescent="0.3">
      <c r="A3157" t="s">
        <v>3247</v>
      </c>
      <c r="B3157" t="s">
        <v>55</v>
      </c>
      <c r="C3157" t="s">
        <v>74</v>
      </c>
      <c r="D3157" t="s">
        <v>57</v>
      </c>
      <c r="E3157">
        <v>21</v>
      </c>
      <c r="F3157" s="3">
        <v>7.49</v>
      </c>
      <c r="G3157" s="4">
        <v>73.8</v>
      </c>
      <c r="H3157">
        <v>3</v>
      </c>
      <c r="I3157">
        <v>3</v>
      </c>
      <c r="J3157">
        <v>5</v>
      </c>
      <c r="K3157" s="4">
        <v>65.599999999999994</v>
      </c>
      <c r="L3157" s="4">
        <v>54.7</v>
      </c>
      <c r="M3157" s="4">
        <v>75</v>
      </c>
      <c r="N3157">
        <v>0</v>
      </c>
      <c r="O3157" t="s">
        <v>58</v>
      </c>
      <c r="P3157" t="s">
        <v>79</v>
      </c>
      <c r="Q3157" t="s">
        <v>71</v>
      </c>
      <c r="R3157" t="s">
        <v>109</v>
      </c>
      <c r="S3157" s="3">
        <v>7.09</v>
      </c>
      <c r="T3157" s="5">
        <v>45595</v>
      </c>
      <c r="U3157">
        <v>1</v>
      </c>
      <c r="V3157">
        <v>2024</v>
      </c>
      <c r="X3157">
        <f t="shared" si="147"/>
        <v>7.4896843000000004</v>
      </c>
      <c r="Y3157">
        <f t="shared" si="148"/>
        <v>7.0896843000000001</v>
      </c>
      <c r="Z3157">
        <f t="shared" si="149"/>
        <v>54.699684300000001</v>
      </c>
    </row>
    <row r="3158" spans="1:26" x14ac:dyDescent="0.3">
      <c r="A3158" t="s">
        <v>3248</v>
      </c>
      <c r="B3158" t="s">
        <v>55</v>
      </c>
      <c r="C3158" t="s">
        <v>89</v>
      </c>
      <c r="D3158" t="s">
        <v>69</v>
      </c>
      <c r="E3158">
        <v>21</v>
      </c>
      <c r="F3158" s="3">
        <v>8.48</v>
      </c>
      <c r="G3158" s="4">
        <v>79</v>
      </c>
      <c r="H3158">
        <v>1</v>
      </c>
      <c r="I3158">
        <v>1</v>
      </c>
      <c r="J3158">
        <v>1</v>
      </c>
      <c r="K3158" s="4">
        <v>49.7</v>
      </c>
      <c r="L3158" s="4">
        <v>72.400000000000006</v>
      </c>
      <c r="M3158" s="4">
        <v>65</v>
      </c>
      <c r="N3158">
        <v>0</v>
      </c>
      <c r="O3158" t="s">
        <v>58</v>
      </c>
      <c r="P3158" t="s">
        <v>70</v>
      </c>
      <c r="Q3158" t="s">
        <v>71</v>
      </c>
      <c r="R3158" t="s">
        <v>109</v>
      </c>
      <c r="S3158" s="3">
        <v>5.96</v>
      </c>
      <c r="T3158" s="5">
        <v>45557</v>
      </c>
      <c r="U3158">
        <v>3</v>
      </c>
      <c r="V3158">
        <v>2024</v>
      </c>
      <c r="X3158">
        <f t="shared" si="147"/>
        <v>8.4796842000000012</v>
      </c>
      <c r="Y3158">
        <f t="shared" si="148"/>
        <v>5.9596841999999999</v>
      </c>
      <c r="Z3158">
        <f t="shared" si="149"/>
        <v>72.39968420000001</v>
      </c>
    </row>
    <row r="3159" spans="1:26" x14ac:dyDescent="0.3">
      <c r="A3159" t="s">
        <v>3249</v>
      </c>
      <c r="B3159" t="s">
        <v>82</v>
      </c>
      <c r="C3159" t="s">
        <v>78</v>
      </c>
      <c r="D3159" t="s">
        <v>57</v>
      </c>
      <c r="E3159">
        <v>23</v>
      </c>
      <c r="F3159" s="3">
        <v>6.3</v>
      </c>
      <c r="G3159" s="4">
        <v>83.1</v>
      </c>
      <c r="H3159">
        <v>1</v>
      </c>
      <c r="I3159">
        <v>2</v>
      </c>
      <c r="J3159">
        <v>3</v>
      </c>
      <c r="K3159" s="4">
        <v>77.599999999999994</v>
      </c>
      <c r="L3159" s="4">
        <v>60.7</v>
      </c>
      <c r="M3159" s="4">
        <v>61.7</v>
      </c>
      <c r="N3159">
        <v>0</v>
      </c>
      <c r="O3159" t="s">
        <v>58</v>
      </c>
      <c r="P3159" t="s">
        <v>59</v>
      </c>
      <c r="Q3159" t="s">
        <v>60</v>
      </c>
      <c r="R3159" t="s">
        <v>72</v>
      </c>
      <c r="S3159" s="3">
        <v>17.489999999999998</v>
      </c>
      <c r="T3159" s="5">
        <v>44876</v>
      </c>
      <c r="U3159">
        <v>1</v>
      </c>
      <c r="V3159">
        <v>2022</v>
      </c>
      <c r="X3159">
        <f t="shared" si="147"/>
        <v>6.2996840999999995</v>
      </c>
      <c r="Y3159">
        <f t="shared" si="148"/>
        <v>17.489684099999998</v>
      </c>
      <c r="Z3159">
        <f t="shared" si="149"/>
        <v>60.699684100000006</v>
      </c>
    </row>
    <row r="3160" spans="1:26" x14ac:dyDescent="0.3">
      <c r="A3160" t="s">
        <v>3250</v>
      </c>
      <c r="B3160" t="s">
        <v>55</v>
      </c>
      <c r="C3160" t="s">
        <v>68</v>
      </c>
      <c r="D3160" t="s">
        <v>57</v>
      </c>
      <c r="E3160">
        <v>23</v>
      </c>
      <c r="F3160" s="3">
        <v>8.5</v>
      </c>
      <c r="G3160" s="4">
        <v>86.5</v>
      </c>
      <c r="H3160">
        <v>1</v>
      </c>
      <c r="I3160">
        <v>3</v>
      </c>
      <c r="J3160">
        <v>2</v>
      </c>
      <c r="K3160" s="4">
        <v>81.7</v>
      </c>
      <c r="L3160" s="4">
        <v>71.599999999999994</v>
      </c>
      <c r="M3160" s="4">
        <v>78.5</v>
      </c>
      <c r="N3160">
        <v>0</v>
      </c>
      <c r="O3160" t="s">
        <v>58</v>
      </c>
      <c r="P3160" t="s">
        <v>104</v>
      </c>
      <c r="Q3160" t="s">
        <v>105</v>
      </c>
      <c r="R3160" t="s">
        <v>72</v>
      </c>
      <c r="S3160" s="3">
        <v>16.45</v>
      </c>
      <c r="T3160" s="5">
        <v>45565</v>
      </c>
      <c r="U3160">
        <v>3</v>
      </c>
      <c r="V3160">
        <v>2024</v>
      </c>
      <c r="X3160">
        <f t="shared" si="147"/>
        <v>8.4996840000000002</v>
      </c>
      <c r="Y3160">
        <f t="shared" si="148"/>
        <v>16.449683999999998</v>
      </c>
      <c r="Z3160">
        <f t="shared" si="149"/>
        <v>71.599683999999996</v>
      </c>
    </row>
    <row r="3161" spans="1:26" x14ac:dyDescent="0.3">
      <c r="A3161" t="s">
        <v>3251</v>
      </c>
      <c r="B3161" t="s">
        <v>67</v>
      </c>
      <c r="C3161" t="s">
        <v>74</v>
      </c>
      <c r="D3161" t="s">
        <v>69</v>
      </c>
      <c r="E3161">
        <v>21</v>
      </c>
      <c r="F3161" s="3">
        <v>7.49</v>
      </c>
      <c r="G3161" s="4">
        <v>86.1</v>
      </c>
      <c r="H3161">
        <v>2</v>
      </c>
      <c r="I3161">
        <v>2</v>
      </c>
      <c r="J3161">
        <v>6</v>
      </c>
      <c r="K3161" s="4">
        <v>61.4</v>
      </c>
      <c r="L3161" s="4">
        <v>81.5</v>
      </c>
      <c r="M3161" s="4">
        <v>65.5</v>
      </c>
      <c r="N3161">
        <v>0</v>
      </c>
      <c r="O3161" t="s">
        <v>58</v>
      </c>
      <c r="P3161" t="s">
        <v>75</v>
      </c>
      <c r="Q3161" t="s">
        <v>71</v>
      </c>
      <c r="R3161" t="s">
        <v>85</v>
      </c>
      <c r="S3161" s="3">
        <v>7.94</v>
      </c>
      <c r="T3161" s="5">
        <v>45213</v>
      </c>
      <c r="U3161">
        <v>1</v>
      </c>
      <c r="V3161">
        <v>2023</v>
      </c>
      <c r="X3161">
        <f t="shared" si="147"/>
        <v>7.4896839000000002</v>
      </c>
      <c r="Y3161">
        <f t="shared" si="148"/>
        <v>7.9396839000000003</v>
      </c>
      <c r="Z3161">
        <f t="shared" si="149"/>
        <v>81.499683899999994</v>
      </c>
    </row>
    <row r="3162" spans="1:26" x14ac:dyDescent="0.3">
      <c r="A3162" t="s">
        <v>3252</v>
      </c>
      <c r="B3162" t="s">
        <v>107</v>
      </c>
      <c r="C3162" t="s">
        <v>84</v>
      </c>
      <c r="D3162" t="s">
        <v>57</v>
      </c>
      <c r="E3162">
        <v>23</v>
      </c>
      <c r="F3162" s="3">
        <v>8.5</v>
      </c>
      <c r="G3162" s="4">
        <v>82.1</v>
      </c>
      <c r="H3162">
        <v>1</v>
      </c>
      <c r="I3162">
        <v>1</v>
      </c>
      <c r="J3162">
        <v>4</v>
      </c>
      <c r="K3162" s="4">
        <v>67.400000000000006</v>
      </c>
      <c r="L3162" s="4">
        <v>83.3</v>
      </c>
      <c r="M3162" s="4">
        <v>89.4</v>
      </c>
      <c r="N3162">
        <v>3</v>
      </c>
      <c r="O3162" t="s">
        <v>58</v>
      </c>
      <c r="P3162" t="s">
        <v>70</v>
      </c>
      <c r="Q3162" t="s">
        <v>71</v>
      </c>
      <c r="R3162" t="s">
        <v>80</v>
      </c>
      <c r="S3162" s="3">
        <v>6.58</v>
      </c>
      <c r="T3162" s="5">
        <v>44458</v>
      </c>
      <c r="U3162">
        <v>2</v>
      </c>
      <c r="V3162">
        <v>2021</v>
      </c>
      <c r="X3162">
        <f t="shared" si="147"/>
        <v>8.4996837999999997</v>
      </c>
      <c r="Y3162">
        <f t="shared" si="148"/>
        <v>6.5796837999999997</v>
      </c>
      <c r="Z3162">
        <f t="shared" si="149"/>
        <v>83.299683799999997</v>
      </c>
    </row>
    <row r="3163" spans="1:26" x14ac:dyDescent="0.3">
      <c r="A3163" t="s">
        <v>3253</v>
      </c>
      <c r="B3163" t="s">
        <v>67</v>
      </c>
      <c r="C3163" t="s">
        <v>84</v>
      </c>
      <c r="D3163" t="s">
        <v>69</v>
      </c>
      <c r="E3163">
        <v>23</v>
      </c>
      <c r="F3163" s="3">
        <v>7.85</v>
      </c>
      <c r="G3163" s="4">
        <v>72.400000000000006</v>
      </c>
      <c r="H3163">
        <v>2</v>
      </c>
      <c r="I3163">
        <v>4</v>
      </c>
      <c r="J3163">
        <v>3</v>
      </c>
      <c r="K3163" s="4">
        <v>89.8</v>
      </c>
      <c r="L3163" s="4">
        <v>90.8</v>
      </c>
      <c r="M3163" s="4">
        <v>74.3</v>
      </c>
      <c r="N3163">
        <v>0</v>
      </c>
      <c r="O3163" t="s">
        <v>58</v>
      </c>
      <c r="P3163" t="s">
        <v>104</v>
      </c>
      <c r="Q3163" t="s">
        <v>105</v>
      </c>
      <c r="R3163" t="s">
        <v>61</v>
      </c>
      <c r="S3163" s="3">
        <v>17.059999999999999</v>
      </c>
      <c r="T3163" s="5">
        <v>45192</v>
      </c>
      <c r="U3163">
        <v>1</v>
      </c>
      <c r="V3163">
        <v>2023</v>
      </c>
      <c r="X3163">
        <f t="shared" si="147"/>
        <v>7.8496836999999999</v>
      </c>
      <c r="Y3163">
        <f t="shared" si="148"/>
        <v>17.059683699999997</v>
      </c>
      <c r="Z3163">
        <f t="shared" si="149"/>
        <v>90.799683700000003</v>
      </c>
    </row>
    <row r="3164" spans="1:26" x14ac:dyDescent="0.3">
      <c r="A3164" t="s">
        <v>3254</v>
      </c>
      <c r="B3164" t="s">
        <v>67</v>
      </c>
      <c r="C3164" t="s">
        <v>74</v>
      </c>
      <c r="D3164" t="s">
        <v>57</v>
      </c>
      <c r="E3164">
        <v>22</v>
      </c>
      <c r="F3164" s="3">
        <v>8.92</v>
      </c>
      <c r="G3164" s="4">
        <v>88.3</v>
      </c>
      <c r="H3164">
        <v>3</v>
      </c>
      <c r="I3164">
        <v>2</v>
      </c>
      <c r="J3164">
        <v>3</v>
      </c>
      <c r="K3164" s="4">
        <v>57.5</v>
      </c>
      <c r="L3164" s="4">
        <v>54.6</v>
      </c>
      <c r="M3164" s="4">
        <v>84.3</v>
      </c>
      <c r="N3164">
        <v>1</v>
      </c>
      <c r="O3164" t="s">
        <v>58</v>
      </c>
      <c r="P3164" t="s">
        <v>90</v>
      </c>
      <c r="Q3164" t="s">
        <v>60</v>
      </c>
      <c r="R3164" t="s">
        <v>109</v>
      </c>
      <c r="S3164" s="3">
        <v>8.7899999999999991</v>
      </c>
      <c r="T3164" s="5">
        <v>45180</v>
      </c>
      <c r="U3164">
        <v>2</v>
      </c>
      <c r="V3164">
        <v>2023</v>
      </c>
      <c r="X3164">
        <f t="shared" si="147"/>
        <v>8.919683599999999</v>
      </c>
      <c r="Y3164">
        <f t="shared" si="148"/>
        <v>8.7896835999999983</v>
      </c>
      <c r="Z3164">
        <f t="shared" si="149"/>
        <v>54.599683599999999</v>
      </c>
    </row>
    <row r="3165" spans="1:26" x14ac:dyDescent="0.3">
      <c r="A3165" t="s">
        <v>3255</v>
      </c>
      <c r="B3165" t="s">
        <v>107</v>
      </c>
      <c r="C3165" t="s">
        <v>68</v>
      </c>
      <c r="D3165" t="s">
        <v>69</v>
      </c>
      <c r="E3165">
        <v>23</v>
      </c>
      <c r="F3165" s="3">
        <v>6.49</v>
      </c>
      <c r="G3165" s="4">
        <v>68.5</v>
      </c>
      <c r="H3165">
        <v>2</v>
      </c>
      <c r="I3165">
        <v>5</v>
      </c>
      <c r="J3165">
        <v>6</v>
      </c>
      <c r="K3165" s="4">
        <v>70.900000000000006</v>
      </c>
      <c r="L3165" s="4">
        <v>73.599999999999994</v>
      </c>
      <c r="M3165" s="4">
        <v>83.6</v>
      </c>
      <c r="N3165">
        <v>0</v>
      </c>
      <c r="O3165" t="s">
        <v>58</v>
      </c>
      <c r="P3165" t="s">
        <v>92</v>
      </c>
      <c r="Q3165" t="s">
        <v>93</v>
      </c>
      <c r="R3165" t="s">
        <v>72</v>
      </c>
      <c r="S3165" s="3">
        <v>8.1300000000000008</v>
      </c>
      <c r="T3165" s="5">
        <v>44467</v>
      </c>
      <c r="U3165">
        <v>1</v>
      </c>
      <c r="V3165">
        <v>2021</v>
      </c>
      <c r="X3165">
        <f t="shared" si="147"/>
        <v>6.4896834999999999</v>
      </c>
      <c r="Y3165">
        <f t="shared" si="148"/>
        <v>8.1296835000000005</v>
      </c>
      <c r="Z3165">
        <f t="shared" si="149"/>
        <v>73.599683499999998</v>
      </c>
    </row>
    <row r="3166" spans="1:26" x14ac:dyDescent="0.3">
      <c r="A3166" t="s">
        <v>3256</v>
      </c>
      <c r="B3166" t="s">
        <v>67</v>
      </c>
      <c r="C3166" t="s">
        <v>84</v>
      </c>
      <c r="D3166" t="s">
        <v>69</v>
      </c>
      <c r="E3166">
        <v>22</v>
      </c>
      <c r="F3166" s="3">
        <v>7.95</v>
      </c>
      <c r="G3166" s="4">
        <v>71.5</v>
      </c>
      <c r="H3166">
        <v>3</v>
      </c>
      <c r="I3166">
        <v>2</v>
      </c>
      <c r="J3166">
        <v>4</v>
      </c>
      <c r="K3166" s="4">
        <v>69.400000000000006</v>
      </c>
      <c r="L3166" s="4">
        <v>48.8</v>
      </c>
      <c r="M3166" s="4">
        <v>88.3</v>
      </c>
      <c r="N3166">
        <v>0</v>
      </c>
      <c r="O3166" t="s">
        <v>64</v>
      </c>
      <c r="P3166" t="s">
        <v>65</v>
      </c>
      <c r="S3166" s="3">
        <v>0</v>
      </c>
      <c r="T3166" s="5"/>
      <c r="U3166">
        <v>0</v>
      </c>
      <c r="V3166">
        <v>2023</v>
      </c>
      <c r="X3166">
        <f t="shared" si="147"/>
        <v>7.9496834000000005</v>
      </c>
      <c r="Y3166">
        <f t="shared" si="148"/>
        <v>-3.166E-4</v>
      </c>
      <c r="Z3166">
        <f t="shared" si="149"/>
        <v>48.799683399999999</v>
      </c>
    </row>
    <row r="3167" spans="1:26" x14ac:dyDescent="0.3">
      <c r="A3167" t="s">
        <v>3257</v>
      </c>
      <c r="B3167" t="s">
        <v>82</v>
      </c>
      <c r="C3167" t="s">
        <v>56</v>
      </c>
      <c r="D3167" t="s">
        <v>57</v>
      </c>
      <c r="E3167">
        <v>20</v>
      </c>
      <c r="F3167" s="3">
        <v>6.29</v>
      </c>
      <c r="G3167" s="4">
        <v>82.4</v>
      </c>
      <c r="H3167">
        <v>2</v>
      </c>
      <c r="I3167">
        <v>3</v>
      </c>
      <c r="J3167">
        <v>2</v>
      </c>
      <c r="K3167" s="4">
        <v>90.5</v>
      </c>
      <c r="L3167" s="4">
        <v>70.099999999999994</v>
      </c>
      <c r="M3167" s="4">
        <v>70.5</v>
      </c>
      <c r="N3167">
        <v>0</v>
      </c>
      <c r="O3167" t="s">
        <v>58</v>
      </c>
      <c r="P3167" t="s">
        <v>95</v>
      </c>
      <c r="Q3167" t="s">
        <v>93</v>
      </c>
      <c r="R3167" t="s">
        <v>109</v>
      </c>
      <c r="S3167" s="3">
        <v>6.2</v>
      </c>
      <c r="T3167" s="5">
        <v>44787</v>
      </c>
      <c r="U3167">
        <v>1</v>
      </c>
      <c r="V3167">
        <v>2022</v>
      </c>
      <c r="X3167">
        <f t="shared" si="147"/>
        <v>6.2896833000000001</v>
      </c>
      <c r="Y3167">
        <f t="shared" si="148"/>
        <v>6.1996833000000002</v>
      </c>
      <c r="Z3167">
        <f t="shared" si="149"/>
        <v>70.099683299999995</v>
      </c>
    </row>
    <row r="3168" spans="1:26" x14ac:dyDescent="0.3">
      <c r="A3168" t="s">
        <v>3258</v>
      </c>
      <c r="B3168" t="s">
        <v>107</v>
      </c>
      <c r="C3168" t="s">
        <v>68</v>
      </c>
      <c r="D3168" t="s">
        <v>57</v>
      </c>
      <c r="E3168">
        <v>22</v>
      </c>
      <c r="F3168" s="3">
        <v>8.0299999999999994</v>
      </c>
      <c r="G3168" s="4">
        <v>89.2</v>
      </c>
      <c r="H3168">
        <v>3</v>
      </c>
      <c r="I3168">
        <v>3</v>
      </c>
      <c r="J3168">
        <v>3</v>
      </c>
      <c r="K3168" s="4">
        <v>94</v>
      </c>
      <c r="L3168" s="4">
        <v>46.7</v>
      </c>
      <c r="M3168" s="4">
        <v>72.5</v>
      </c>
      <c r="N3168">
        <v>1</v>
      </c>
      <c r="O3168" t="s">
        <v>58</v>
      </c>
      <c r="P3168" t="s">
        <v>95</v>
      </c>
      <c r="Q3168" t="s">
        <v>93</v>
      </c>
      <c r="R3168" t="s">
        <v>130</v>
      </c>
      <c r="S3168" s="3">
        <v>6.99</v>
      </c>
      <c r="T3168" s="5">
        <v>44518</v>
      </c>
      <c r="U3168">
        <v>3</v>
      </c>
      <c r="V3168">
        <v>2021</v>
      </c>
      <c r="X3168">
        <f t="shared" si="147"/>
        <v>8.0296831999999991</v>
      </c>
      <c r="Y3168">
        <f t="shared" si="148"/>
        <v>6.9896832</v>
      </c>
      <c r="Z3168">
        <f t="shared" si="149"/>
        <v>46.699683200000003</v>
      </c>
    </row>
    <row r="3169" spans="1:26" x14ac:dyDescent="0.3">
      <c r="A3169" t="s">
        <v>3259</v>
      </c>
      <c r="B3169" t="s">
        <v>67</v>
      </c>
      <c r="C3169" t="s">
        <v>56</v>
      </c>
      <c r="D3169" t="s">
        <v>57</v>
      </c>
      <c r="E3169">
        <v>22</v>
      </c>
      <c r="F3169" s="3">
        <v>7.95</v>
      </c>
      <c r="G3169" s="4">
        <v>87.6</v>
      </c>
      <c r="H3169">
        <v>0</v>
      </c>
      <c r="I3169">
        <v>2</v>
      </c>
      <c r="J3169">
        <v>5</v>
      </c>
      <c r="K3169" s="4">
        <v>79.099999999999994</v>
      </c>
      <c r="L3169" s="4">
        <v>100</v>
      </c>
      <c r="M3169" s="4">
        <v>63.3</v>
      </c>
      <c r="N3169">
        <v>0</v>
      </c>
      <c r="O3169" t="s">
        <v>58</v>
      </c>
      <c r="P3169" t="s">
        <v>79</v>
      </c>
      <c r="Q3169" t="s">
        <v>71</v>
      </c>
      <c r="R3169" t="s">
        <v>109</v>
      </c>
      <c r="S3169" s="3">
        <v>6.67</v>
      </c>
      <c r="T3169" s="5">
        <v>45151</v>
      </c>
      <c r="U3169">
        <v>2</v>
      </c>
      <c r="V3169">
        <v>2023</v>
      </c>
      <c r="X3169">
        <f t="shared" si="147"/>
        <v>7.9496831000000006</v>
      </c>
      <c r="Y3169">
        <f t="shared" si="148"/>
        <v>6.6696831000000003</v>
      </c>
      <c r="Z3169">
        <f t="shared" si="149"/>
        <v>99.999683099999999</v>
      </c>
    </row>
    <row r="3170" spans="1:26" x14ac:dyDescent="0.3">
      <c r="A3170" t="s">
        <v>3260</v>
      </c>
      <c r="B3170" t="s">
        <v>63</v>
      </c>
      <c r="C3170" t="s">
        <v>68</v>
      </c>
      <c r="D3170" t="s">
        <v>69</v>
      </c>
      <c r="E3170">
        <v>23</v>
      </c>
      <c r="F3170" s="3">
        <v>7.39</v>
      </c>
      <c r="G3170" s="4">
        <v>81.099999999999994</v>
      </c>
      <c r="H3170">
        <v>2</v>
      </c>
      <c r="I3170">
        <v>0</v>
      </c>
      <c r="J3170">
        <v>3</v>
      </c>
      <c r="K3170" s="4">
        <v>100</v>
      </c>
      <c r="L3170" s="4">
        <v>89.4</v>
      </c>
      <c r="M3170" s="4">
        <v>75.7</v>
      </c>
      <c r="N3170">
        <v>1</v>
      </c>
      <c r="O3170" t="s">
        <v>58</v>
      </c>
      <c r="P3170" t="s">
        <v>112</v>
      </c>
      <c r="Q3170" t="s">
        <v>93</v>
      </c>
      <c r="R3170" t="s">
        <v>76</v>
      </c>
      <c r="S3170" s="3">
        <v>6.54</v>
      </c>
      <c r="T3170" s="5">
        <v>45940</v>
      </c>
      <c r="U3170">
        <v>1</v>
      </c>
      <c r="V3170">
        <v>2025</v>
      </c>
      <c r="X3170">
        <f t="shared" si="147"/>
        <v>7.3896829999999998</v>
      </c>
      <c r="Y3170">
        <f t="shared" si="148"/>
        <v>6.5396830000000001</v>
      </c>
      <c r="Z3170">
        <f t="shared" si="149"/>
        <v>89.39968300000001</v>
      </c>
    </row>
    <row r="3171" spans="1:26" x14ac:dyDescent="0.3">
      <c r="A3171" t="s">
        <v>3261</v>
      </c>
      <c r="B3171" t="s">
        <v>67</v>
      </c>
      <c r="C3171" t="s">
        <v>56</v>
      </c>
      <c r="D3171" t="s">
        <v>57</v>
      </c>
      <c r="E3171">
        <v>21</v>
      </c>
      <c r="F3171" s="3">
        <v>6.94</v>
      </c>
      <c r="G3171" s="4">
        <v>86</v>
      </c>
      <c r="H3171">
        <v>2</v>
      </c>
      <c r="I3171">
        <v>0</v>
      </c>
      <c r="J3171">
        <v>3</v>
      </c>
      <c r="K3171" s="4">
        <v>68.400000000000006</v>
      </c>
      <c r="L3171" s="4">
        <v>46.9</v>
      </c>
      <c r="M3171" s="4">
        <v>64.400000000000006</v>
      </c>
      <c r="N3171">
        <v>0</v>
      </c>
      <c r="O3171" t="s">
        <v>58</v>
      </c>
      <c r="P3171" t="s">
        <v>90</v>
      </c>
      <c r="Q3171" t="s">
        <v>60</v>
      </c>
      <c r="R3171" t="s">
        <v>80</v>
      </c>
      <c r="S3171" s="3">
        <v>6.37</v>
      </c>
      <c r="T3171" s="5">
        <v>45217</v>
      </c>
      <c r="U3171">
        <v>1</v>
      </c>
      <c r="V3171">
        <v>2023</v>
      </c>
      <c r="X3171">
        <f t="shared" si="147"/>
        <v>6.9396829000000002</v>
      </c>
      <c r="Y3171">
        <f t="shared" si="148"/>
        <v>6.3696828999999999</v>
      </c>
      <c r="Z3171">
        <f t="shared" si="149"/>
        <v>46.899682900000002</v>
      </c>
    </row>
    <row r="3172" spans="1:26" x14ac:dyDescent="0.3">
      <c r="A3172" t="s">
        <v>3262</v>
      </c>
      <c r="B3172" t="s">
        <v>82</v>
      </c>
      <c r="C3172" t="s">
        <v>74</v>
      </c>
      <c r="D3172" t="s">
        <v>69</v>
      </c>
      <c r="E3172">
        <v>20</v>
      </c>
      <c r="F3172" s="3">
        <v>7.36</v>
      </c>
      <c r="G3172" s="4">
        <v>72.400000000000006</v>
      </c>
      <c r="H3172">
        <v>1</v>
      </c>
      <c r="I3172">
        <v>2</v>
      </c>
      <c r="J3172">
        <v>6</v>
      </c>
      <c r="K3172" s="4">
        <v>20</v>
      </c>
      <c r="L3172" s="4">
        <v>60.6</v>
      </c>
      <c r="M3172" s="4">
        <v>87.6</v>
      </c>
      <c r="N3172">
        <v>2</v>
      </c>
      <c r="O3172" t="s">
        <v>58</v>
      </c>
      <c r="P3172" t="s">
        <v>79</v>
      </c>
      <c r="Q3172" t="s">
        <v>71</v>
      </c>
      <c r="R3172" t="s">
        <v>80</v>
      </c>
      <c r="S3172" s="3">
        <v>6.57</v>
      </c>
      <c r="T3172" s="5">
        <v>44875</v>
      </c>
      <c r="U3172">
        <v>1</v>
      </c>
      <c r="V3172">
        <v>2022</v>
      </c>
      <c r="X3172">
        <f t="shared" si="147"/>
        <v>7.3596828000000007</v>
      </c>
      <c r="Y3172">
        <f t="shared" si="148"/>
        <v>6.5696828000000007</v>
      </c>
      <c r="Z3172">
        <f t="shared" si="149"/>
        <v>60.599682800000004</v>
      </c>
    </row>
    <row r="3173" spans="1:26" x14ac:dyDescent="0.3">
      <c r="A3173" t="s">
        <v>3263</v>
      </c>
      <c r="B3173" t="s">
        <v>55</v>
      </c>
      <c r="C3173" t="s">
        <v>56</v>
      </c>
      <c r="D3173" t="s">
        <v>69</v>
      </c>
      <c r="E3173">
        <v>20</v>
      </c>
      <c r="F3173" s="3">
        <v>7.74</v>
      </c>
      <c r="G3173" s="4">
        <v>76.900000000000006</v>
      </c>
      <c r="H3173">
        <v>0</v>
      </c>
      <c r="I3173">
        <v>4</v>
      </c>
      <c r="J3173">
        <v>6</v>
      </c>
      <c r="K3173" s="4">
        <v>60.8</v>
      </c>
      <c r="L3173" s="4">
        <v>80.8</v>
      </c>
      <c r="M3173" s="4">
        <v>63</v>
      </c>
      <c r="N3173">
        <v>0</v>
      </c>
      <c r="O3173" t="s">
        <v>58</v>
      </c>
      <c r="P3173" t="s">
        <v>87</v>
      </c>
      <c r="Q3173" t="s">
        <v>71</v>
      </c>
      <c r="R3173" t="s">
        <v>109</v>
      </c>
      <c r="S3173" s="3">
        <v>5.92</v>
      </c>
      <c r="T3173" s="5">
        <v>45548</v>
      </c>
      <c r="U3173">
        <v>1</v>
      </c>
      <c r="V3173">
        <v>2024</v>
      </c>
      <c r="X3173">
        <f t="shared" si="147"/>
        <v>7.7396827000000004</v>
      </c>
      <c r="Y3173">
        <f t="shared" si="148"/>
        <v>5.9196827000000001</v>
      </c>
      <c r="Z3173">
        <f t="shared" si="149"/>
        <v>80.799682699999991</v>
      </c>
    </row>
    <row r="3174" spans="1:26" x14ac:dyDescent="0.3">
      <c r="A3174" t="s">
        <v>3264</v>
      </c>
      <c r="B3174" t="s">
        <v>67</v>
      </c>
      <c r="C3174" t="s">
        <v>68</v>
      </c>
      <c r="D3174" t="s">
        <v>57</v>
      </c>
      <c r="E3174">
        <v>20</v>
      </c>
      <c r="F3174" s="3">
        <v>7.91</v>
      </c>
      <c r="G3174" s="4">
        <v>77.099999999999994</v>
      </c>
      <c r="H3174">
        <v>2</v>
      </c>
      <c r="I3174">
        <v>2</v>
      </c>
      <c r="J3174">
        <v>6</v>
      </c>
      <c r="K3174" s="4">
        <v>61.7</v>
      </c>
      <c r="L3174" s="4">
        <v>73.5</v>
      </c>
      <c r="M3174" s="4">
        <v>68.8</v>
      </c>
      <c r="N3174">
        <v>0</v>
      </c>
      <c r="O3174" t="s">
        <v>58</v>
      </c>
      <c r="P3174" t="s">
        <v>87</v>
      </c>
      <c r="Q3174" t="s">
        <v>71</v>
      </c>
      <c r="R3174" t="s">
        <v>85</v>
      </c>
      <c r="S3174" s="3">
        <v>6.98</v>
      </c>
      <c r="T3174" s="5">
        <v>45181</v>
      </c>
      <c r="U3174">
        <v>1</v>
      </c>
      <c r="V3174">
        <v>2023</v>
      </c>
      <c r="X3174">
        <f t="shared" si="147"/>
        <v>7.9096826</v>
      </c>
      <c r="Y3174">
        <f t="shared" si="148"/>
        <v>6.9796826000000003</v>
      </c>
      <c r="Z3174">
        <f t="shared" si="149"/>
        <v>73.4996826</v>
      </c>
    </row>
    <row r="3175" spans="1:26" x14ac:dyDescent="0.3">
      <c r="A3175" t="s">
        <v>3265</v>
      </c>
      <c r="B3175" t="s">
        <v>55</v>
      </c>
      <c r="C3175" t="s">
        <v>84</v>
      </c>
      <c r="D3175" t="s">
        <v>57</v>
      </c>
      <c r="E3175">
        <v>21</v>
      </c>
      <c r="F3175" s="3">
        <v>9.39</v>
      </c>
      <c r="G3175" s="4">
        <v>73.2</v>
      </c>
      <c r="H3175">
        <v>0</v>
      </c>
      <c r="I3175">
        <v>1</v>
      </c>
      <c r="J3175">
        <v>2</v>
      </c>
      <c r="K3175" s="4">
        <v>89.7</v>
      </c>
      <c r="L3175" s="4">
        <v>70.3</v>
      </c>
      <c r="M3175" s="4">
        <v>80.5</v>
      </c>
      <c r="N3175">
        <v>0</v>
      </c>
      <c r="O3175" t="s">
        <v>58</v>
      </c>
      <c r="P3175" t="s">
        <v>75</v>
      </c>
      <c r="Q3175" t="s">
        <v>71</v>
      </c>
      <c r="R3175" t="s">
        <v>61</v>
      </c>
      <c r="S3175" s="3">
        <v>6.78</v>
      </c>
      <c r="T3175" s="5">
        <v>45624</v>
      </c>
      <c r="U3175">
        <v>1</v>
      </c>
      <c r="V3175">
        <v>2024</v>
      </c>
      <c r="X3175">
        <f t="shared" si="147"/>
        <v>9.389682500000001</v>
      </c>
      <c r="Y3175">
        <f t="shared" si="148"/>
        <v>6.7796824999999998</v>
      </c>
      <c r="Z3175">
        <f t="shared" si="149"/>
        <v>70.299682500000003</v>
      </c>
    </row>
    <row r="3176" spans="1:26" x14ac:dyDescent="0.3">
      <c r="A3176" t="s">
        <v>3266</v>
      </c>
      <c r="B3176" t="s">
        <v>63</v>
      </c>
      <c r="C3176" t="s">
        <v>101</v>
      </c>
      <c r="D3176" t="s">
        <v>69</v>
      </c>
      <c r="E3176">
        <v>20</v>
      </c>
      <c r="F3176" s="3">
        <v>8.44</v>
      </c>
      <c r="G3176" s="4">
        <v>78.8</v>
      </c>
      <c r="H3176">
        <v>1</v>
      </c>
      <c r="I3176">
        <v>1</v>
      </c>
      <c r="J3176">
        <v>3</v>
      </c>
      <c r="K3176" s="4">
        <v>65.400000000000006</v>
      </c>
      <c r="L3176" s="4">
        <v>73.8</v>
      </c>
      <c r="M3176" s="4">
        <v>80.099999999999994</v>
      </c>
      <c r="N3176">
        <v>0</v>
      </c>
      <c r="O3176" t="s">
        <v>58</v>
      </c>
      <c r="P3176" t="s">
        <v>79</v>
      </c>
      <c r="Q3176" t="s">
        <v>71</v>
      </c>
      <c r="R3176" t="s">
        <v>109</v>
      </c>
      <c r="S3176" s="3">
        <v>8.59</v>
      </c>
      <c r="T3176" s="5">
        <v>45887</v>
      </c>
      <c r="U3176">
        <v>1</v>
      </c>
      <c r="V3176">
        <v>2025</v>
      </c>
      <c r="X3176">
        <f t="shared" si="147"/>
        <v>8.4396823999999988</v>
      </c>
      <c r="Y3176">
        <f t="shared" si="148"/>
        <v>8.5896823999999992</v>
      </c>
      <c r="Z3176">
        <f t="shared" si="149"/>
        <v>73.799682399999995</v>
      </c>
    </row>
    <row r="3177" spans="1:26" x14ac:dyDescent="0.3">
      <c r="A3177" t="s">
        <v>3267</v>
      </c>
      <c r="B3177" t="s">
        <v>67</v>
      </c>
      <c r="C3177" t="s">
        <v>101</v>
      </c>
      <c r="D3177" t="s">
        <v>57</v>
      </c>
      <c r="E3177">
        <v>20</v>
      </c>
      <c r="F3177" s="3">
        <v>7.12</v>
      </c>
      <c r="G3177" s="4">
        <v>80.099999999999994</v>
      </c>
      <c r="H3177">
        <v>1</v>
      </c>
      <c r="I3177">
        <v>2</v>
      </c>
      <c r="J3177">
        <v>3</v>
      </c>
      <c r="K3177" s="4">
        <v>86.6</v>
      </c>
      <c r="L3177" s="4">
        <v>82.8</v>
      </c>
      <c r="M3177" s="4">
        <v>60.3</v>
      </c>
      <c r="N3177">
        <v>0</v>
      </c>
      <c r="O3177" t="s">
        <v>64</v>
      </c>
      <c r="P3177" t="s">
        <v>65</v>
      </c>
      <c r="S3177" s="3">
        <v>0</v>
      </c>
      <c r="T3177" s="5"/>
      <c r="U3177">
        <v>0</v>
      </c>
      <c r="V3177">
        <v>2023</v>
      </c>
      <c r="X3177">
        <f t="shared" si="147"/>
        <v>7.1196823</v>
      </c>
      <c r="Y3177">
        <f t="shared" si="148"/>
        <v>-3.1769999999999997E-4</v>
      </c>
      <c r="Z3177">
        <f t="shared" si="149"/>
        <v>82.799682300000001</v>
      </c>
    </row>
    <row r="3178" spans="1:26" x14ac:dyDescent="0.3">
      <c r="A3178" t="s">
        <v>3268</v>
      </c>
      <c r="B3178" t="s">
        <v>107</v>
      </c>
      <c r="C3178" t="s">
        <v>89</v>
      </c>
      <c r="D3178" t="s">
        <v>57</v>
      </c>
      <c r="E3178">
        <v>21</v>
      </c>
      <c r="F3178" s="3">
        <v>8.17</v>
      </c>
      <c r="G3178" s="4">
        <v>77.8</v>
      </c>
      <c r="H3178">
        <v>3</v>
      </c>
      <c r="I3178">
        <v>2</v>
      </c>
      <c r="J3178">
        <v>5</v>
      </c>
      <c r="K3178" s="4">
        <v>79.3</v>
      </c>
      <c r="L3178" s="4">
        <v>100</v>
      </c>
      <c r="M3178" s="4">
        <v>66.8</v>
      </c>
      <c r="N3178">
        <v>0</v>
      </c>
      <c r="O3178" t="s">
        <v>58</v>
      </c>
      <c r="P3178" t="s">
        <v>95</v>
      </c>
      <c r="Q3178" t="s">
        <v>93</v>
      </c>
      <c r="R3178" t="s">
        <v>109</v>
      </c>
      <c r="S3178" s="3">
        <v>9.57</v>
      </c>
      <c r="T3178" s="5">
        <v>44439</v>
      </c>
      <c r="U3178">
        <v>1</v>
      </c>
      <c r="V3178">
        <v>2021</v>
      </c>
      <c r="X3178">
        <f t="shared" si="147"/>
        <v>8.1696822000000004</v>
      </c>
      <c r="Y3178">
        <f t="shared" si="148"/>
        <v>9.5696822000000008</v>
      </c>
      <c r="Z3178">
        <f t="shared" si="149"/>
        <v>99.999682199999995</v>
      </c>
    </row>
    <row r="3179" spans="1:26" x14ac:dyDescent="0.3">
      <c r="A3179" t="s">
        <v>3269</v>
      </c>
      <c r="B3179" t="s">
        <v>55</v>
      </c>
      <c r="C3179" t="s">
        <v>56</v>
      </c>
      <c r="D3179" t="s">
        <v>57</v>
      </c>
      <c r="E3179">
        <v>20</v>
      </c>
      <c r="F3179" s="3">
        <v>8.44</v>
      </c>
      <c r="G3179" s="4">
        <v>79.7</v>
      </c>
      <c r="H3179">
        <v>1</v>
      </c>
      <c r="I3179">
        <v>4</v>
      </c>
      <c r="J3179">
        <v>5</v>
      </c>
      <c r="K3179" s="4">
        <v>72.099999999999994</v>
      </c>
      <c r="L3179" s="4">
        <v>53</v>
      </c>
      <c r="M3179" s="4">
        <v>70.3</v>
      </c>
      <c r="N3179">
        <v>0</v>
      </c>
      <c r="O3179" t="s">
        <v>58</v>
      </c>
      <c r="P3179" t="s">
        <v>92</v>
      </c>
      <c r="Q3179" t="s">
        <v>93</v>
      </c>
      <c r="R3179" t="s">
        <v>76</v>
      </c>
      <c r="S3179" s="3">
        <v>7.93</v>
      </c>
      <c r="T3179" s="5">
        <v>45508</v>
      </c>
      <c r="U3179">
        <v>2</v>
      </c>
      <c r="V3179">
        <v>2024</v>
      </c>
      <c r="X3179">
        <f t="shared" si="147"/>
        <v>8.4396820999999989</v>
      </c>
      <c r="Y3179">
        <f t="shared" si="148"/>
        <v>7.9296821</v>
      </c>
      <c r="Z3179">
        <f t="shared" si="149"/>
        <v>52.999682100000001</v>
      </c>
    </row>
    <row r="3180" spans="1:26" x14ac:dyDescent="0.3">
      <c r="A3180" t="s">
        <v>3270</v>
      </c>
      <c r="B3180" t="s">
        <v>63</v>
      </c>
      <c r="C3180" t="s">
        <v>56</v>
      </c>
      <c r="D3180" t="s">
        <v>57</v>
      </c>
      <c r="E3180">
        <v>23</v>
      </c>
      <c r="F3180" s="3">
        <v>7.06</v>
      </c>
      <c r="G3180" s="4">
        <v>56.2</v>
      </c>
      <c r="H3180">
        <v>2</v>
      </c>
      <c r="I3180">
        <v>2</v>
      </c>
      <c r="J3180">
        <v>5</v>
      </c>
      <c r="K3180" s="4">
        <v>73.599999999999994</v>
      </c>
      <c r="L3180" s="4">
        <v>66.900000000000006</v>
      </c>
      <c r="M3180" s="4">
        <v>72</v>
      </c>
      <c r="N3180">
        <v>0</v>
      </c>
      <c r="O3180" t="s">
        <v>64</v>
      </c>
      <c r="P3180" t="s">
        <v>65</v>
      </c>
      <c r="S3180" s="3">
        <v>0</v>
      </c>
      <c r="T3180" s="5"/>
      <c r="U3180">
        <v>0</v>
      </c>
      <c r="V3180">
        <v>2025</v>
      </c>
      <c r="X3180">
        <f t="shared" si="147"/>
        <v>7.0596819999999996</v>
      </c>
      <c r="Y3180">
        <f t="shared" si="148"/>
        <v>-3.1799999999999998E-4</v>
      </c>
      <c r="Z3180">
        <f t="shared" si="149"/>
        <v>66.899682000000013</v>
      </c>
    </row>
    <row r="3181" spans="1:26" x14ac:dyDescent="0.3">
      <c r="A3181" t="s">
        <v>3271</v>
      </c>
      <c r="B3181" t="s">
        <v>107</v>
      </c>
      <c r="C3181" t="s">
        <v>84</v>
      </c>
      <c r="D3181" t="s">
        <v>69</v>
      </c>
      <c r="E3181">
        <v>23</v>
      </c>
      <c r="F3181" s="3">
        <v>8.2799999999999994</v>
      </c>
      <c r="G3181" s="4">
        <v>85.5</v>
      </c>
      <c r="H3181">
        <v>0</v>
      </c>
      <c r="I3181">
        <v>1</v>
      </c>
      <c r="J3181">
        <v>6</v>
      </c>
      <c r="K3181" s="4">
        <v>72</v>
      </c>
      <c r="L3181" s="4">
        <v>43</v>
      </c>
      <c r="M3181" s="4">
        <v>76.400000000000006</v>
      </c>
      <c r="N3181">
        <v>0</v>
      </c>
      <c r="O3181" t="s">
        <v>64</v>
      </c>
      <c r="P3181" t="s">
        <v>65</v>
      </c>
      <c r="S3181" s="3">
        <v>0</v>
      </c>
      <c r="T3181" s="5"/>
      <c r="U3181">
        <v>0</v>
      </c>
      <c r="V3181">
        <v>2021</v>
      </c>
      <c r="X3181">
        <f t="shared" si="147"/>
        <v>8.2796818999999999</v>
      </c>
      <c r="Y3181">
        <f t="shared" si="148"/>
        <v>-3.1809999999999998E-4</v>
      </c>
      <c r="Z3181">
        <f t="shared" si="149"/>
        <v>42.999681899999999</v>
      </c>
    </row>
    <row r="3182" spans="1:26" x14ac:dyDescent="0.3">
      <c r="A3182" t="s">
        <v>3272</v>
      </c>
      <c r="B3182" t="s">
        <v>107</v>
      </c>
      <c r="C3182" t="s">
        <v>74</v>
      </c>
      <c r="D3182" t="s">
        <v>57</v>
      </c>
      <c r="E3182">
        <v>22</v>
      </c>
      <c r="F3182" s="3">
        <v>6.31</v>
      </c>
      <c r="G3182" s="4">
        <v>78.3</v>
      </c>
      <c r="H3182">
        <v>1</v>
      </c>
      <c r="I3182">
        <v>2</v>
      </c>
      <c r="J3182">
        <v>5</v>
      </c>
      <c r="K3182" s="4">
        <v>83.9</v>
      </c>
      <c r="L3182" s="4">
        <v>69.2</v>
      </c>
      <c r="M3182" s="4">
        <v>83.1</v>
      </c>
      <c r="N3182">
        <v>1</v>
      </c>
      <c r="O3182" t="s">
        <v>64</v>
      </c>
      <c r="P3182" t="s">
        <v>65</v>
      </c>
      <c r="S3182" s="3">
        <v>0</v>
      </c>
      <c r="T3182" s="5"/>
      <c r="U3182">
        <v>0</v>
      </c>
      <c r="V3182">
        <v>2021</v>
      </c>
      <c r="X3182">
        <f t="shared" si="147"/>
        <v>6.3096817999999999</v>
      </c>
      <c r="Y3182">
        <f t="shared" si="148"/>
        <v>-3.1819999999999998E-4</v>
      </c>
      <c r="Z3182">
        <f t="shared" si="149"/>
        <v>69.199681800000008</v>
      </c>
    </row>
    <row r="3183" spans="1:26" x14ac:dyDescent="0.3">
      <c r="A3183" t="s">
        <v>3273</v>
      </c>
      <c r="B3183" t="s">
        <v>107</v>
      </c>
      <c r="C3183" t="s">
        <v>56</v>
      </c>
      <c r="D3183" t="s">
        <v>69</v>
      </c>
      <c r="E3183">
        <v>22</v>
      </c>
      <c r="F3183" s="3">
        <v>7.03</v>
      </c>
      <c r="G3183" s="4">
        <v>78.3</v>
      </c>
      <c r="H3183">
        <v>1</v>
      </c>
      <c r="I3183">
        <v>3</v>
      </c>
      <c r="J3183">
        <v>3</v>
      </c>
      <c r="K3183" s="4">
        <v>64.5</v>
      </c>
      <c r="L3183" s="4">
        <v>94.6</v>
      </c>
      <c r="M3183" s="4">
        <v>72.3</v>
      </c>
      <c r="N3183">
        <v>0</v>
      </c>
      <c r="O3183" t="s">
        <v>58</v>
      </c>
      <c r="P3183" t="s">
        <v>112</v>
      </c>
      <c r="Q3183" t="s">
        <v>93</v>
      </c>
      <c r="R3183" t="s">
        <v>109</v>
      </c>
      <c r="S3183" s="3">
        <v>7.49</v>
      </c>
      <c r="T3183" s="5">
        <v>44463</v>
      </c>
      <c r="U3183">
        <v>1</v>
      </c>
      <c r="V3183">
        <v>2021</v>
      </c>
      <c r="X3183">
        <f t="shared" si="147"/>
        <v>7.0296817000000003</v>
      </c>
      <c r="Y3183">
        <f t="shared" si="148"/>
        <v>7.4896817000000002</v>
      </c>
      <c r="Z3183">
        <f t="shared" si="149"/>
        <v>94.599681699999991</v>
      </c>
    </row>
    <row r="3184" spans="1:26" x14ac:dyDescent="0.3">
      <c r="A3184" t="s">
        <v>3274</v>
      </c>
      <c r="B3184" t="s">
        <v>107</v>
      </c>
      <c r="C3184" t="s">
        <v>78</v>
      </c>
      <c r="D3184" t="s">
        <v>57</v>
      </c>
      <c r="E3184">
        <v>22</v>
      </c>
      <c r="F3184" s="3">
        <v>6.37</v>
      </c>
      <c r="G3184" s="4">
        <v>69.5</v>
      </c>
      <c r="H3184">
        <v>2</v>
      </c>
      <c r="I3184">
        <v>2</v>
      </c>
      <c r="J3184">
        <v>3</v>
      </c>
      <c r="K3184" s="4">
        <v>62.7</v>
      </c>
      <c r="L3184" s="4">
        <v>77.099999999999994</v>
      </c>
      <c r="M3184" s="4">
        <v>75.099999999999994</v>
      </c>
      <c r="N3184">
        <v>3</v>
      </c>
      <c r="O3184" t="s">
        <v>64</v>
      </c>
      <c r="P3184" t="s">
        <v>65</v>
      </c>
      <c r="S3184" s="3">
        <v>0</v>
      </c>
      <c r="T3184" s="5"/>
      <c r="U3184">
        <v>0</v>
      </c>
      <c r="V3184">
        <v>2021</v>
      </c>
      <c r="X3184">
        <f t="shared" si="147"/>
        <v>6.3696815999999998</v>
      </c>
      <c r="Y3184">
        <f t="shared" si="148"/>
        <v>-3.1839999999999999E-4</v>
      </c>
      <c r="Z3184">
        <f t="shared" si="149"/>
        <v>77.099681599999997</v>
      </c>
    </row>
    <row r="3185" spans="1:26" x14ac:dyDescent="0.3">
      <c r="A3185" t="s">
        <v>3275</v>
      </c>
      <c r="B3185" t="s">
        <v>67</v>
      </c>
      <c r="C3185" t="s">
        <v>74</v>
      </c>
      <c r="D3185" t="s">
        <v>69</v>
      </c>
      <c r="E3185">
        <v>23</v>
      </c>
      <c r="F3185" s="3">
        <v>7.46</v>
      </c>
      <c r="G3185" s="4">
        <v>96</v>
      </c>
      <c r="H3185">
        <v>2</v>
      </c>
      <c r="I3185">
        <v>1</v>
      </c>
      <c r="J3185">
        <v>3</v>
      </c>
      <c r="K3185" s="4">
        <v>73.7</v>
      </c>
      <c r="L3185" s="4">
        <v>81.599999999999994</v>
      </c>
      <c r="M3185" s="4">
        <v>64.599999999999994</v>
      </c>
      <c r="N3185">
        <v>1</v>
      </c>
      <c r="O3185" t="s">
        <v>58</v>
      </c>
      <c r="P3185" t="s">
        <v>112</v>
      </c>
      <c r="Q3185" t="s">
        <v>93</v>
      </c>
      <c r="R3185" t="s">
        <v>130</v>
      </c>
      <c r="S3185" s="3">
        <v>7.41</v>
      </c>
      <c r="T3185" s="5">
        <v>45206</v>
      </c>
      <c r="U3185">
        <v>1</v>
      </c>
      <c r="V3185">
        <v>2023</v>
      </c>
      <c r="X3185">
        <f t="shared" si="147"/>
        <v>7.4596815000000003</v>
      </c>
      <c r="Y3185">
        <f t="shared" si="148"/>
        <v>7.4096815000000005</v>
      </c>
      <c r="Z3185">
        <f t="shared" si="149"/>
        <v>81.599681499999988</v>
      </c>
    </row>
    <row r="3186" spans="1:26" x14ac:dyDescent="0.3">
      <c r="A3186" t="s">
        <v>3276</v>
      </c>
      <c r="B3186" t="s">
        <v>67</v>
      </c>
      <c r="C3186" t="s">
        <v>74</v>
      </c>
      <c r="D3186" t="s">
        <v>57</v>
      </c>
      <c r="E3186">
        <v>23</v>
      </c>
      <c r="F3186" s="3">
        <v>7.22</v>
      </c>
      <c r="G3186" s="4">
        <v>96.4</v>
      </c>
      <c r="H3186">
        <v>2</v>
      </c>
      <c r="I3186">
        <v>1</v>
      </c>
      <c r="J3186">
        <v>3</v>
      </c>
      <c r="K3186" s="4">
        <v>70.7</v>
      </c>
      <c r="L3186" s="4">
        <v>72.7</v>
      </c>
      <c r="M3186" s="4">
        <v>92</v>
      </c>
      <c r="N3186">
        <v>0</v>
      </c>
      <c r="O3186" t="s">
        <v>64</v>
      </c>
      <c r="P3186" t="s">
        <v>65</v>
      </c>
      <c r="S3186" s="3">
        <v>0</v>
      </c>
      <c r="T3186" s="5"/>
      <c r="U3186">
        <v>0</v>
      </c>
      <c r="V3186">
        <v>2023</v>
      </c>
      <c r="X3186">
        <f t="shared" si="147"/>
        <v>7.2196813999999998</v>
      </c>
      <c r="Y3186">
        <f t="shared" si="148"/>
        <v>-3.1859999999999999E-4</v>
      </c>
      <c r="Z3186">
        <f t="shared" si="149"/>
        <v>72.699681400000003</v>
      </c>
    </row>
    <row r="3187" spans="1:26" x14ac:dyDescent="0.3">
      <c r="A3187" t="s">
        <v>3277</v>
      </c>
      <c r="B3187" t="s">
        <v>67</v>
      </c>
      <c r="C3187" t="s">
        <v>84</v>
      </c>
      <c r="D3187" t="s">
        <v>57</v>
      </c>
      <c r="E3187">
        <v>23</v>
      </c>
      <c r="F3187" s="3">
        <v>7.29</v>
      </c>
      <c r="G3187" s="4">
        <v>67</v>
      </c>
      <c r="H3187">
        <v>2</v>
      </c>
      <c r="I3187">
        <v>3</v>
      </c>
      <c r="J3187">
        <v>3</v>
      </c>
      <c r="K3187" s="4">
        <v>65.099999999999994</v>
      </c>
      <c r="L3187" s="4">
        <v>59.2</v>
      </c>
      <c r="M3187" s="4">
        <v>78.900000000000006</v>
      </c>
      <c r="N3187">
        <v>0</v>
      </c>
      <c r="O3187" t="s">
        <v>58</v>
      </c>
      <c r="P3187" t="s">
        <v>59</v>
      </c>
      <c r="Q3187" t="s">
        <v>60</v>
      </c>
      <c r="R3187" t="s">
        <v>76</v>
      </c>
      <c r="S3187" s="3">
        <v>20.27</v>
      </c>
      <c r="T3187" s="5">
        <v>45178</v>
      </c>
      <c r="U3187">
        <v>1</v>
      </c>
      <c r="V3187">
        <v>2023</v>
      </c>
      <c r="X3187">
        <f t="shared" si="147"/>
        <v>7.2896812999999998</v>
      </c>
      <c r="Y3187">
        <f t="shared" si="148"/>
        <v>20.269681299999998</v>
      </c>
      <c r="Z3187">
        <f t="shared" si="149"/>
        <v>59.199681300000002</v>
      </c>
    </row>
    <row r="3188" spans="1:26" x14ac:dyDescent="0.3">
      <c r="A3188" t="s">
        <v>3278</v>
      </c>
      <c r="B3188" t="s">
        <v>63</v>
      </c>
      <c r="C3188" t="s">
        <v>101</v>
      </c>
      <c r="D3188" t="s">
        <v>57</v>
      </c>
      <c r="E3188">
        <v>22</v>
      </c>
      <c r="F3188" s="3">
        <v>8.3800000000000008</v>
      </c>
      <c r="G3188" s="4">
        <v>79.900000000000006</v>
      </c>
      <c r="H3188">
        <v>1</v>
      </c>
      <c r="I3188">
        <v>0</v>
      </c>
      <c r="J3188">
        <v>5</v>
      </c>
      <c r="K3188" s="4">
        <v>98.6</v>
      </c>
      <c r="L3188" s="4">
        <v>47</v>
      </c>
      <c r="M3188" s="4">
        <v>70.599999999999994</v>
      </c>
      <c r="N3188">
        <v>0</v>
      </c>
      <c r="O3188" t="s">
        <v>64</v>
      </c>
      <c r="P3188" t="s">
        <v>65</v>
      </c>
      <c r="S3188" s="3">
        <v>0</v>
      </c>
      <c r="T3188" s="5"/>
      <c r="U3188">
        <v>0</v>
      </c>
      <c r="V3188">
        <v>2025</v>
      </c>
      <c r="X3188">
        <f t="shared" si="147"/>
        <v>8.3796812000000003</v>
      </c>
      <c r="Y3188">
        <f t="shared" si="148"/>
        <v>-3.188E-4</v>
      </c>
      <c r="Z3188">
        <f t="shared" si="149"/>
        <v>46.999681199999998</v>
      </c>
    </row>
    <row r="3189" spans="1:26" x14ac:dyDescent="0.3">
      <c r="A3189" t="s">
        <v>3279</v>
      </c>
      <c r="B3189" t="s">
        <v>63</v>
      </c>
      <c r="C3189" t="s">
        <v>74</v>
      </c>
      <c r="D3189" t="s">
        <v>69</v>
      </c>
      <c r="E3189">
        <v>22</v>
      </c>
      <c r="F3189" s="3">
        <v>7.73</v>
      </c>
      <c r="G3189" s="4">
        <v>90.4</v>
      </c>
      <c r="H3189">
        <v>2</v>
      </c>
      <c r="I3189">
        <v>1</v>
      </c>
      <c r="J3189">
        <v>1</v>
      </c>
      <c r="K3189" s="4">
        <v>78</v>
      </c>
      <c r="L3189" s="4">
        <v>91.8</v>
      </c>
      <c r="M3189" s="4">
        <v>88.8</v>
      </c>
      <c r="N3189">
        <v>0</v>
      </c>
      <c r="O3189" t="s">
        <v>58</v>
      </c>
      <c r="P3189" t="s">
        <v>112</v>
      </c>
      <c r="Q3189" t="s">
        <v>93</v>
      </c>
      <c r="R3189" t="s">
        <v>109</v>
      </c>
      <c r="S3189" s="3">
        <v>7.99</v>
      </c>
      <c r="T3189" s="5">
        <v>45945</v>
      </c>
      <c r="U3189">
        <v>1</v>
      </c>
      <c r="V3189">
        <v>2025</v>
      </c>
      <c r="X3189">
        <f t="shared" si="147"/>
        <v>7.7296811000000005</v>
      </c>
      <c r="Y3189">
        <f t="shared" si="148"/>
        <v>7.9896811000000003</v>
      </c>
      <c r="Z3189">
        <f t="shared" si="149"/>
        <v>91.799681100000001</v>
      </c>
    </row>
    <row r="3190" spans="1:26" x14ac:dyDescent="0.3">
      <c r="A3190" t="s">
        <v>3280</v>
      </c>
      <c r="B3190" t="s">
        <v>63</v>
      </c>
      <c r="C3190" t="s">
        <v>84</v>
      </c>
      <c r="D3190" t="s">
        <v>69</v>
      </c>
      <c r="E3190">
        <v>22</v>
      </c>
      <c r="F3190" s="3">
        <v>8.3699999999999992</v>
      </c>
      <c r="G3190" s="4">
        <v>78.8</v>
      </c>
      <c r="H3190">
        <v>1</v>
      </c>
      <c r="I3190">
        <v>1</v>
      </c>
      <c r="J3190">
        <v>4</v>
      </c>
      <c r="K3190" s="4">
        <v>60.2</v>
      </c>
      <c r="L3190" s="4">
        <v>63.3</v>
      </c>
      <c r="M3190" s="4">
        <v>78.400000000000006</v>
      </c>
      <c r="N3190">
        <v>0</v>
      </c>
      <c r="O3190" t="s">
        <v>64</v>
      </c>
      <c r="P3190" t="s">
        <v>65</v>
      </c>
      <c r="S3190" s="3">
        <v>0</v>
      </c>
      <c r="T3190" s="5"/>
      <c r="U3190">
        <v>0</v>
      </c>
      <c r="V3190">
        <v>2025</v>
      </c>
      <c r="X3190">
        <f t="shared" si="147"/>
        <v>8.3696809999999999</v>
      </c>
      <c r="Y3190">
        <f t="shared" si="148"/>
        <v>-3.19E-4</v>
      </c>
      <c r="Z3190">
        <f t="shared" si="149"/>
        <v>63.299681</v>
      </c>
    </row>
    <row r="3191" spans="1:26" x14ac:dyDescent="0.3">
      <c r="A3191" t="s">
        <v>3281</v>
      </c>
      <c r="B3191" t="s">
        <v>82</v>
      </c>
      <c r="C3191" t="s">
        <v>89</v>
      </c>
      <c r="D3191" t="s">
        <v>57</v>
      </c>
      <c r="E3191">
        <v>22</v>
      </c>
      <c r="F3191" s="3">
        <v>9.11</v>
      </c>
      <c r="G3191" s="4">
        <v>76.5</v>
      </c>
      <c r="H3191">
        <v>0</v>
      </c>
      <c r="I3191">
        <v>4</v>
      </c>
      <c r="J3191">
        <v>5</v>
      </c>
      <c r="K3191" s="4">
        <v>76.400000000000006</v>
      </c>
      <c r="L3191" s="4">
        <v>67.3</v>
      </c>
      <c r="M3191" s="4">
        <v>76.599999999999994</v>
      </c>
      <c r="N3191">
        <v>1</v>
      </c>
      <c r="O3191" t="s">
        <v>58</v>
      </c>
      <c r="P3191" t="s">
        <v>104</v>
      </c>
      <c r="Q3191" t="s">
        <v>105</v>
      </c>
      <c r="R3191" t="s">
        <v>109</v>
      </c>
      <c r="S3191" s="3">
        <v>15.34</v>
      </c>
      <c r="T3191" s="5">
        <v>44857</v>
      </c>
      <c r="U3191">
        <v>1</v>
      </c>
      <c r="V3191">
        <v>2022</v>
      </c>
      <c r="X3191">
        <f t="shared" si="147"/>
        <v>9.109680899999999</v>
      </c>
      <c r="Y3191">
        <f t="shared" si="148"/>
        <v>15.339680899999999</v>
      </c>
      <c r="Z3191">
        <f t="shared" si="149"/>
        <v>67.299680899999998</v>
      </c>
    </row>
    <row r="3192" spans="1:26" x14ac:dyDescent="0.3">
      <c r="A3192" t="s">
        <v>3282</v>
      </c>
      <c r="B3192" t="s">
        <v>63</v>
      </c>
      <c r="C3192" t="s">
        <v>78</v>
      </c>
      <c r="D3192" t="s">
        <v>57</v>
      </c>
      <c r="E3192">
        <v>22</v>
      </c>
      <c r="F3192" s="3">
        <v>9.5399999999999991</v>
      </c>
      <c r="G3192" s="4">
        <v>76</v>
      </c>
      <c r="H3192">
        <v>2</v>
      </c>
      <c r="I3192">
        <v>0</v>
      </c>
      <c r="J3192">
        <v>2</v>
      </c>
      <c r="K3192" s="4">
        <v>54.8</v>
      </c>
      <c r="L3192" s="4">
        <v>40.6</v>
      </c>
      <c r="M3192" s="4">
        <v>74.099999999999994</v>
      </c>
      <c r="N3192">
        <v>1</v>
      </c>
      <c r="O3192" t="s">
        <v>58</v>
      </c>
      <c r="P3192" t="s">
        <v>75</v>
      </c>
      <c r="Q3192" t="s">
        <v>71</v>
      </c>
      <c r="R3192" t="s">
        <v>72</v>
      </c>
      <c r="S3192" s="3">
        <v>7.21</v>
      </c>
      <c r="T3192" s="5">
        <v>45944</v>
      </c>
      <c r="U3192">
        <v>1</v>
      </c>
      <c r="V3192">
        <v>2025</v>
      </c>
      <c r="X3192">
        <f t="shared" si="147"/>
        <v>9.5396807999999993</v>
      </c>
      <c r="Y3192">
        <f t="shared" si="148"/>
        <v>7.2096808000000001</v>
      </c>
      <c r="Z3192">
        <f t="shared" si="149"/>
        <v>40.599680800000002</v>
      </c>
    </row>
    <row r="3193" spans="1:26" x14ac:dyDescent="0.3">
      <c r="A3193" t="s">
        <v>3283</v>
      </c>
      <c r="B3193" t="s">
        <v>67</v>
      </c>
      <c r="C3193" t="s">
        <v>56</v>
      </c>
      <c r="D3193" t="s">
        <v>57</v>
      </c>
      <c r="E3193">
        <v>22</v>
      </c>
      <c r="F3193" s="3">
        <v>7.52</v>
      </c>
      <c r="G3193" s="4">
        <v>84.8</v>
      </c>
      <c r="H3193">
        <v>2</v>
      </c>
      <c r="I3193">
        <v>3</v>
      </c>
      <c r="J3193">
        <v>2</v>
      </c>
      <c r="K3193" s="4">
        <v>52</v>
      </c>
      <c r="L3193" s="4">
        <v>60.3</v>
      </c>
      <c r="M3193" s="4">
        <v>86.2</v>
      </c>
      <c r="N3193">
        <v>3</v>
      </c>
      <c r="O3193" t="s">
        <v>58</v>
      </c>
      <c r="P3193" t="s">
        <v>70</v>
      </c>
      <c r="Q3193" t="s">
        <v>71</v>
      </c>
      <c r="R3193" t="s">
        <v>61</v>
      </c>
      <c r="S3193" s="3">
        <v>5.64</v>
      </c>
      <c r="T3193" s="5">
        <v>45255</v>
      </c>
      <c r="U3193">
        <v>1</v>
      </c>
      <c r="V3193">
        <v>2023</v>
      </c>
      <c r="X3193">
        <f t="shared" si="147"/>
        <v>7.5196806999999994</v>
      </c>
      <c r="Y3193">
        <f t="shared" si="148"/>
        <v>5.6396806999999995</v>
      </c>
      <c r="Z3193">
        <f t="shared" si="149"/>
        <v>60.299680699999996</v>
      </c>
    </row>
    <row r="3194" spans="1:26" x14ac:dyDescent="0.3">
      <c r="A3194" t="s">
        <v>3284</v>
      </c>
      <c r="B3194" t="s">
        <v>67</v>
      </c>
      <c r="C3194" t="s">
        <v>56</v>
      </c>
      <c r="D3194" t="s">
        <v>57</v>
      </c>
      <c r="E3194">
        <v>23</v>
      </c>
      <c r="F3194" s="3">
        <v>8.1300000000000008</v>
      </c>
      <c r="G3194" s="4">
        <v>100</v>
      </c>
      <c r="H3194">
        <v>1</v>
      </c>
      <c r="I3194">
        <v>2</v>
      </c>
      <c r="J3194">
        <v>3</v>
      </c>
      <c r="K3194" s="4">
        <v>79.2</v>
      </c>
      <c r="L3194" s="4">
        <v>72</v>
      </c>
      <c r="M3194" s="4">
        <v>93.4</v>
      </c>
      <c r="N3194">
        <v>0</v>
      </c>
      <c r="O3194" t="s">
        <v>58</v>
      </c>
      <c r="P3194" t="s">
        <v>75</v>
      </c>
      <c r="Q3194" t="s">
        <v>71</v>
      </c>
      <c r="R3194" t="s">
        <v>80</v>
      </c>
      <c r="S3194" s="3">
        <v>6.43</v>
      </c>
      <c r="T3194" s="5">
        <v>45255</v>
      </c>
      <c r="U3194">
        <v>1</v>
      </c>
      <c r="V3194">
        <v>2023</v>
      </c>
      <c r="X3194">
        <f t="shared" si="147"/>
        <v>8.1296806000000004</v>
      </c>
      <c r="Y3194">
        <f t="shared" si="148"/>
        <v>6.4296805999999993</v>
      </c>
      <c r="Z3194">
        <f t="shared" si="149"/>
        <v>71.999680600000005</v>
      </c>
    </row>
    <row r="3195" spans="1:26" x14ac:dyDescent="0.3">
      <c r="A3195" t="s">
        <v>3285</v>
      </c>
      <c r="B3195" t="s">
        <v>82</v>
      </c>
      <c r="C3195" t="s">
        <v>89</v>
      </c>
      <c r="D3195" t="s">
        <v>69</v>
      </c>
      <c r="E3195">
        <v>21</v>
      </c>
      <c r="F3195" s="3">
        <v>7.51</v>
      </c>
      <c r="G3195" s="4">
        <v>89.5</v>
      </c>
      <c r="H3195">
        <v>3</v>
      </c>
      <c r="I3195">
        <v>2</v>
      </c>
      <c r="J3195">
        <v>3</v>
      </c>
      <c r="K3195" s="4">
        <v>56</v>
      </c>
      <c r="L3195" s="4">
        <v>75.099999999999994</v>
      </c>
      <c r="M3195" s="4">
        <v>86</v>
      </c>
      <c r="N3195">
        <v>3</v>
      </c>
      <c r="O3195" t="s">
        <v>64</v>
      </c>
      <c r="P3195" t="s">
        <v>65</v>
      </c>
      <c r="S3195" s="3">
        <v>0</v>
      </c>
      <c r="T3195" s="5"/>
      <c r="U3195">
        <v>0</v>
      </c>
      <c r="V3195">
        <v>2022</v>
      </c>
      <c r="X3195">
        <f t="shared" si="147"/>
        <v>7.5096805</v>
      </c>
      <c r="Y3195">
        <f t="shared" si="148"/>
        <v>-3.1949999999999996E-4</v>
      </c>
      <c r="Z3195">
        <f t="shared" si="149"/>
        <v>75.099680499999991</v>
      </c>
    </row>
    <row r="3196" spans="1:26" x14ac:dyDescent="0.3">
      <c r="A3196" t="s">
        <v>3286</v>
      </c>
      <c r="B3196" t="s">
        <v>82</v>
      </c>
      <c r="C3196" t="s">
        <v>84</v>
      </c>
      <c r="D3196" t="s">
        <v>69</v>
      </c>
      <c r="E3196">
        <v>21</v>
      </c>
      <c r="F3196" s="3">
        <v>8.56</v>
      </c>
      <c r="G3196" s="4">
        <v>72</v>
      </c>
      <c r="H3196">
        <v>2</v>
      </c>
      <c r="I3196">
        <v>3</v>
      </c>
      <c r="J3196">
        <v>4</v>
      </c>
      <c r="K3196" s="4">
        <v>68.599999999999994</v>
      </c>
      <c r="L3196" s="4">
        <v>94.1</v>
      </c>
      <c r="M3196" s="4">
        <v>74.400000000000006</v>
      </c>
      <c r="N3196">
        <v>0</v>
      </c>
      <c r="O3196" t="s">
        <v>58</v>
      </c>
      <c r="P3196" t="s">
        <v>87</v>
      </c>
      <c r="Q3196" t="s">
        <v>71</v>
      </c>
      <c r="R3196" t="s">
        <v>130</v>
      </c>
      <c r="S3196" s="3">
        <v>5.66</v>
      </c>
      <c r="T3196" s="5">
        <v>44803</v>
      </c>
      <c r="U3196">
        <v>1</v>
      </c>
      <c r="V3196">
        <v>2022</v>
      </c>
      <c r="X3196">
        <f t="shared" si="147"/>
        <v>8.5596804000000013</v>
      </c>
      <c r="Y3196">
        <f t="shared" si="148"/>
        <v>5.6596804000000001</v>
      </c>
      <c r="Z3196">
        <f t="shared" si="149"/>
        <v>94.099680399999997</v>
      </c>
    </row>
    <row r="3197" spans="1:26" x14ac:dyDescent="0.3">
      <c r="A3197" t="s">
        <v>3287</v>
      </c>
      <c r="B3197" t="s">
        <v>63</v>
      </c>
      <c r="C3197" t="s">
        <v>89</v>
      </c>
      <c r="D3197" t="s">
        <v>57</v>
      </c>
      <c r="E3197">
        <v>22</v>
      </c>
      <c r="F3197" s="3">
        <v>8.39</v>
      </c>
      <c r="G3197" s="4">
        <v>76.3</v>
      </c>
      <c r="H3197">
        <v>1</v>
      </c>
      <c r="I3197">
        <v>2</v>
      </c>
      <c r="J3197">
        <v>4</v>
      </c>
      <c r="K3197" s="4">
        <v>53.4</v>
      </c>
      <c r="L3197" s="4">
        <v>66.2</v>
      </c>
      <c r="M3197" s="4">
        <v>90.1</v>
      </c>
      <c r="N3197">
        <v>1</v>
      </c>
      <c r="O3197" t="s">
        <v>58</v>
      </c>
      <c r="P3197" t="s">
        <v>79</v>
      </c>
      <c r="Q3197" t="s">
        <v>71</v>
      </c>
      <c r="R3197" t="s">
        <v>85</v>
      </c>
      <c r="S3197" s="3">
        <v>5.93</v>
      </c>
      <c r="T3197" s="5">
        <v>45982</v>
      </c>
      <c r="U3197">
        <v>2</v>
      </c>
      <c r="V3197">
        <v>2025</v>
      </c>
      <c r="X3197">
        <f t="shared" si="147"/>
        <v>8.3896803000000002</v>
      </c>
      <c r="Y3197">
        <f t="shared" si="148"/>
        <v>5.9296802999999993</v>
      </c>
      <c r="Z3197">
        <f t="shared" si="149"/>
        <v>66.199680299999997</v>
      </c>
    </row>
    <row r="3198" spans="1:26" x14ac:dyDescent="0.3">
      <c r="A3198" t="s">
        <v>3288</v>
      </c>
      <c r="B3198" t="s">
        <v>55</v>
      </c>
      <c r="C3198" t="s">
        <v>56</v>
      </c>
      <c r="D3198" t="s">
        <v>69</v>
      </c>
      <c r="E3198">
        <v>21</v>
      </c>
      <c r="F3198" s="3">
        <v>7.06</v>
      </c>
      <c r="G3198" s="4">
        <v>79.599999999999994</v>
      </c>
      <c r="H3198">
        <v>1</v>
      </c>
      <c r="I3198">
        <v>2</v>
      </c>
      <c r="J3198">
        <v>4</v>
      </c>
      <c r="K3198" s="4">
        <v>63.9</v>
      </c>
      <c r="L3198" s="4">
        <v>68.400000000000006</v>
      </c>
      <c r="M3198" s="4">
        <v>70.900000000000006</v>
      </c>
      <c r="N3198">
        <v>0</v>
      </c>
      <c r="O3198" t="s">
        <v>58</v>
      </c>
      <c r="P3198" t="s">
        <v>87</v>
      </c>
      <c r="Q3198" t="s">
        <v>71</v>
      </c>
      <c r="R3198" t="s">
        <v>61</v>
      </c>
      <c r="S3198" s="3">
        <v>5.85</v>
      </c>
      <c r="T3198" s="5">
        <v>45623</v>
      </c>
      <c r="U3198">
        <v>1</v>
      </c>
      <c r="V3198">
        <v>2024</v>
      </c>
      <c r="X3198">
        <f t="shared" si="147"/>
        <v>7.0596801999999999</v>
      </c>
      <c r="Y3198">
        <f t="shared" si="148"/>
        <v>5.8496801999999999</v>
      </c>
      <c r="Z3198">
        <f t="shared" si="149"/>
        <v>68.399680200000006</v>
      </c>
    </row>
    <row r="3199" spans="1:26" x14ac:dyDescent="0.3">
      <c r="A3199" t="s">
        <v>3289</v>
      </c>
      <c r="B3199" t="s">
        <v>82</v>
      </c>
      <c r="C3199" t="s">
        <v>56</v>
      </c>
      <c r="D3199" t="s">
        <v>57</v>
      </c>
      <c r="E3199">
        <v>21</v>
      </c>
      <c r="F3199" s="3">
        <v>7.19</v>
      </c>
      <c r="G3199" s="4">
        <v>74.3</v>
      </c>
      <c r="H3199">
        <v>3</v>
      </c>
      <c r="I3199">
        <v>1</v>
      </c>
      <c r="J3199">
        <v>3</v>
      </c>
      <c r="K3199" s="4">
        <v>62</v>
      </c>
      <c r="L3199" s="4">
        <v>92.8</v>
      </c>
      <c r="M3199" s="4">
        <v>63.4</v>
      </c>
      <c r="N3199">
        <v>0</v>
      </c>
      <c r="O3199" t="s">
        <v>58</v>
      </c>
      <c r="P3199" t="s">
        <v>59</v>
      </c>
      <c r="Q3199" t="s">
        <v>60</v>
      </c>
      <c r="R3199" t="s">
        <v>76</v>
      </c>
      <c r="S3199" s="3">
        <v>21.22</v>
      </c>
      <c r="T3199" s="5">
        <v>44881</v>
      </c>
      <c r="U3199">
        <v>1</v>
      </c>
      <c r="V3199">
        <v>2022</v>
      </c>
      <c r="X3199">
        <f t="shared" si="147"/>
        <v>7.1896801000000004</v>
      </c>
      <c r="Y3199">
        <f t="shared" si="148"/>
        <v>21.219680099999998</v>
      </c>
      <c r="Z3199">
        <f t="shared" si="149"/>
        <v>92.799680100000003</v>
      </c>
    </row>
    <row r="3200" spans="1:26" x14ac:dyDescent="0.3">
      <c r="A3200" t="s">
        <v>3290</v>
      </c>
      <c r="B3200" t="s">
        <v>107</v>
      </c>
      <c r="C3200" t="s">
        <v>101</v>
      </c>
      <c r="D3200" t="s">
        <v>69</v>
      </c>
      <c r="E3200">
        <v>23</v>
      </c>
      <c r="F3200" s="3">
        <v>8.9</v>
      </c>
      <c r="G3200" s="4">
        <v>72.599999999999994</v>
      </c>
      <c r="H3200">
        <v>2</v>
      </c>
      <c r="I3200">
        <v>2</v>
      </c>
      <c r="J3200">
        <v>4</v>
      </c>
      <c r="K3200" s="4">
        <v>66.7</v>
      </c>
      <c r="L3200" s="4">
        <v>87.6</v>
      </c>
      <c r="M3200" s="4">
        <v>83.7</v>
      </c>
      <c r="N3200">
        <v>0</v>
      </c>
      <c r="O3200" t="s">
        <v>58</v>
      </c>
      <c r="P3200" t="s">
        <v>104</v>
      </c>
      <c r="Q3200" t="s">
        <v>105</v>
      </c>
      <c r="R3200" t="s">
        <v>61</v>
      </c>
      <c r="S3200" s="3">
        <v>18.43</v>
      </c>
      <c r="T3200" s="5">
        <v>44503</v>
      </c>
      <c r="U3200">
        <v>1</v>
      </c>
      <c r="V3200">
        <v>2021</v>
      </c>
      <c r="X3200">
        <f t="shared" si="147"/>
        <v>8.89968</v>
      </c>
      <c r="Y3200">
        <f t="shared" si="148"/>
        <v>18.429680000000001</v>
      </c>
      <c r="Z3200">
        <f t="shared" si="149"/>
        <v>87.599679999999992</v>
      </c>
    </row>
    <row r="3201" spans="1:26" x14ac:dyDescent="0.3">
      <c r="A3201" t="s">
        <v>3291</v>
      </c>
      <c r="B3201" t="s">
        <v>67</v>
      </c>
      <c r="C3201" t="s">
        <v>56</v>
      </c>
      <c r="D3201" t="s">
        <v>57</v>
      </c>
      <c r="E3201">
        <v>22</v>
      </c>
      <c r="F3201" s="3">
        <v>7.16</v>
      </c>
      <c r="G3201" s="4">
        <v>88.7</v>
      </c>
      <c r="H3201">
        <v>1</v>
      </c>
      <c r="I3201">
        <v>4</v>
      </c>
      <c r="J3201">
        <v>4</v>
      </c>
      <c r="K3201" s="4">
        <v>100</v>
      </c>
      <c r="L3201" s="4">
        <v>48.9</v>
      </c>
      <c r="M3201" s="4">
        <v>91.3</v>
      </c>
      <c r="N3201">
        <v>0</v>
      </c>
      <c r="O3201" t="s">
        <v>58</v>
      </c>
      <c r="P3201" t="s">
        <v>90</v>
      </c>
      <c r="Q3201" t="s">
        <v>60</v>
      </c>
      <c r="R3201" t="s">
        <v>85</v>
      </c>
      <c r="S3201" s="3">
        <v>7.19</v>
      </c>
      <c r="T3201" s="5">
        <v>45166</v>
      </c>
      <c r="U3201">
        <v>2</v>
      </c>
      <c r="V3201">
        <v>2023</v>
      </c>
      <c r="X3201">
        <f t="shared" si="147"/>
        <v>7.1596799000000004</v>
      </c>
      <c r="Y3201">
        <f t="shared" si="148"/>
        <v>7.1896799000000007</v>
      </c>
      <c r="Z3201">
        <f t="shared" si="149"/>
        <v>48.899679899999995</v>
      </c>
    </row>
    <row r="3202" spans="1:26" x14ac:dyDescent="0.3">
      <c r="A3202" t="s">
        <v>3292</v>
      </c>
      <c r="B3202" t="s">
        <v>107</v>
      </c>
      <c r="C3202" t="s">
        <v>68</v>
      </c>
      <c r="D3202" t="s">
        <v>57</v>
      </c>
      <c r="E3202">
        <v>22</v>
      </c>
      <c r="F3202" s="3">
        <v>7.55</v>
      </c>
      <c r="G3202" s="4">
        <v>77.5</v>
      </c>
      <c r="H3202">
        <v>2</v>
      </c>
      <c r="I3202">
        <v>4</v>
      </c>
      <c r="J3202">
        <v>2</v>
      </c>
      <c r="K3202" s="4">
        <v>85.9</v>
      </c>
      <c r="L3202" s="4">
        <v>91.7</v>
      </c>
      <c r="M3202" s="4">
        <v>74</v>
      </c>
      <c r="N3202">
        <v>0</v>
      </c>
      <c r="O3202" t="s">
        <v>58</v>
      </c>
      <c r="P3202" t="s">
        <v>75</v>
      </c>
      <c r="Q3202" t="s">
        <v>71</v>
      </c>
      <c r="R3202" t="s">
        <v>76</v>
      </c>
      <c r="S3202" s="3">
        <v>5.81</v>
      </c>
      <c r="T3202" s="5">
        <v>44516</v>
      </c>
      <c r="U3202">
        <v>1</v>
      </c>
      <c r="V3202">
        <v>2021</v>
      </c>
      <c r="X3202">
        <f t="shared" ref="X3202:X3265" si="150">F3202-ROW()*0.0000001</f>
        <v>7.5496797999999998</v>
      </c>
      <c r="Y3202">
        <f t="shared" ref="Y3202:Y3265" si="151">S3202-ROW()*0.0000001</f>
        <v>5.8096797999999996</v>
      </c>
      <c r="Z3202">
        <f t="shared" ref="Z3202:Z3265" si="152">L3202-ROW()*0.0000001</f>
        <v>91.699679799999998</v>
      </c>
    </row>
    <row r="3203" spans="1:26" x14ac:dyDescent="0.3">
      <c r="A3203" t="s">
        <v>3293</v>
      </c>
      <c r="B3203" t="s">
        <v>67</v>
      </c>
      <c r="C3203" t="s">
        <v>56</v>
      </c>
      <c r="D3203" t="s">
        <v>57</v>
      </c>
      <c r="E3203">
        <v>21</v>
      </c>
      <c r="F3203" s="3">
        <v>8.26</v>
      </c>
      <c r="G3203" s="4">
        <v>85.3</v>
      </c>
      <c r="H3203">
        <v>1</v>
      </c>
      <c r="I3203">
        <v>3</v>
      </c>
      <c r="J3203">
        <v>3</v>
      </c>
      <c r="K3203" s="4">
        <v>66.400000000000006</v>
      </c>
      <c r="L3203" s="4">
        <v>45.9</v>
      </c>
      <c r="M3203" s="4">
        <v>93.8</v>
      </c>
      <c r="N3203">
        <v>3</v>
      </c>
      <c r="O3203" t="s">
        <v>58</v>
      </c>
      <c r="P3203" t="s">
        <v>87</v>
      </c>
      <c r="Q3203" t="s">
        <v>71</v>
      </c>
      <c r="R3203" t="s">
        <v>130</v>
      </c>
      <c r="S3203" s="3">
        <v>6.28</v>
      </c>
      <c r="T3203" s="5">
        <v>45187</v>
      </c>
      <c r="U3203">
        <v>1</v>
      </c>
      <c r="V3203">
        <v>2023</v>
      </c>
      <c r="X3203">
        <f t="shared" si="150"/>
        <v>8.2596796999999995</v>
      </c>
      <c r="Y3203">
        <f t="shared" si="151"/>
        <v>6.2796797</v>
      </c>
      <c r="Z3203">
        <f t="shared" si="152"/>
        <v>45.8996797</v>
      </c>
    </row>
    <row r="3204" spans="1:26" x14ac:dyDescent="0.3">
      <c r="A3204" t="s">
        <v>3294</v>
      </c>
      <c r="B3204" t="s">
        <v>67</v>
      </c>
      <c r="C3204" t="s">
        <v>56</v>
      </c>
      <c r="D3204" t="s">
        <v>57</v>
      </c>
      <c r="E3204">
        <v>22</v>
      </c>
      <c r="F3204" s="3">
        <v>7.5</v>
      </c>
      <c r="G3204" s="4">
        <v>98</v>
      </c>
      <c r="H3204">
        <v>1</v>
      </c>
      <c r="I3204">
        <v>4</v>
      </c>
      <c r="J3204">
        <v>5</v>
      </c>
      <c r="K3204" s="4">
        <v>65.099999999999994</v>
      </c>
      <c r="L3204" s="4">
        <v>77.099999999999994</v>
      </c>
      <c r="M3204" s="4">
        <v>56.6</v>
      </c>
      <c r="N3204">
        <v>0</v>
      </c>
      <c r="O3204" t="s">
        <v>58</v>
      </c>
      <c r="P3204" t="s">
        <v>70</v>
      </c>
      <c r="Q3204" t="s">
        <v>71</v>
      </c>
      <c r="R3204" t="s">
        <v>72</v>
      </c>
      <c r="S3204" s="3">
        <v>5.81</v>
      </c>
      <c r="T3204" s="5">
        <v>45231</v>
      </c>
      <c r="U3204">
        <v>1</v>
      </c>
      <c r="V3204">
        <v>2023</v>
      </c>
      <c r="X3204">
        <f t="shared" si="150"/>
        <v>7.4996796000000003</v>
      </c>
      <c r="Y3204">
        <f t="shared" si="151"/>
        <v>5.8096795999999999</v>
      </c>
      <c r="Z3204">
        <f t="shared" si="152"/>
        <v>77.099679599999988</v>
      </c>
    </row>
    <row r="3205" spans="1:26" x14ac:dyDescent="0.3">
      <c r="A3205" t="s">
        <v>3295</v>
      </c>
      <c r="B3205" t="s">
        <v>82</v>
      </c>
      <c r="C3205" t="s">
        <v>78</v>
      </c>
      <c r="D3205" t="s">
        <v>69</v>
      </c>
      <c r="E3205">
        <v>22</v>
      </c>
      <c r="F3205" s="3">
        <v>9.0299999999999994</v>
      </c>
      <c r="G3205" s="4">
        <v>77.3</v>
      </c>
      <c r="H3205">
        <v>2</v>
      </c>
      <c r="I3205">
        <v>5</v>
      </c>
      <c r="J3205">
        <v>3</v>
      </c>
      <c r="K3205" s="4">
        <v>58.1</v>
      </c>
      <c r="L3205" s="4">
        <v>81.3</v>
      </c>
      <c r="M3205" s="4">
        <v>72.900000000000006</v>
      </c>
      <c r="N3205">
        <v>0</v>
      </c>
      <c r="O3205" t="s">
        <v>64</v>
      </c>
      <c r="P3205" t="s">
        <v>65</v>
      </c>
      <c r="S3205" s="3">
        <v>0</v>
      </c>
      <c r="T3205" s="5"/>
      <c r="U3205">
        <v>0</v>
      </c>
      <c r="V3205">
        <v>2022</v>
      </c>
      <c r="X3205">
        <f t="shared" si="150"/>
        <v>9.0296794999999985</v>
      </c>
      <c r="Y3205">
        <f t="shared" si="151"/>
        <v>-3.2049999999999998E-4</v>
      </c>
      <c r="Z3205">
        <f t="shared" si="152"/>
        <v>81.299679499999996</v>
      </c>
    </row>
    <row r="3206" spans="1:26" x14ac:dyDescent="0.3">
      <c r="A3206" t="s">
        <v>3296</v>
      </c>
      <c r="B3206" t="s">
        <v>82</v>
      </c>
      <c r="C3206" t="s">
        <v>78</v>
      </c>
      <c r="D3206" t="s">
        <v>69</v>
      </c>
      <c r="E3206">
        <v>22</v>
      </c>
      <c r="F3206" s="3">
        <v>8.58</v>
      </c>
      <c r="G3206" s="4">
        <v>84.5</v>
      </c>
      <c r="H3206">
        <v>1</v>
      </c>
      <c r="I3206">
        <v>3</v>
      </c>
      <c r="J3206">
        <v>5</v>
      </c>
      <c r="K3206" s="4">
        <v>53.5</v>
      </c>
      <c r="L3206" s="4">
        <v>72.8</v>
      </c>
      <c r="M3206" s="4">
        <v>63.8</v>
      </c>
      <c r="N3206">
        <v>0</v>
      </c>
      <c r="O3206" t="s">
        <v>58</v>
      </c>
      <c r="P3206" t="s">
        <v>92</v>
      </c>
      <c r="Q3206" t="s">
        <v>93</v>
      </c>
      <c r="R3206" t="s">
        <v>76</v>
      </c>
      <c r="S3206" s="3">
        <v>10.49</v>
      </c>
      <c r="T3206" s="5">
        <v>44859</v>
      </c>
      <c r="U3206">
        <v>2</v>
      </c>
      <c r="V3206">
        <v>2022</v>
      </c>
      <c r="X3206">
        <f t="shared" si="150"/>
        <v>8.5796793999999998</v>
      </c>
      <c r="Y3206">
        <f t="shared" si="151"/>
        <v>10.4896794</v>
      </c>
      <c r="Z3206">
        <f t="shared" si="152"/>
        <v>72.799679400000002</v>
      </c>
    </row>
    <row r="3207" spans="1:26" x14ac:dyDescent="0.3">
      <c r="A3207" t="s">
        <v>3297</v>
      </c>
      <c r="B3207" t="s">
        <v>107</v>
      </c>
      <c r="C3207" t="s">
        <v>74</v>
      </c>
      <c r="D3207" t="s">
        <v>57</v>
      </c>
      <c r="E3207">
        <v>22</v>
      </c>
      <c r="F3207" s="3">
        <v>6.85</v>
      </c>
      <c r="G3207" s="4">
        <v>72.8</v>
      </c>
      <c r="H3207">
        <v>2</v>
      </c>
      <c r="I3207">
        <v>2</v>
      </c>
      <c r="J3207">
        <v>3</v>
      </c>
      <c r="K3207" s="4">
        <v>65.900000000000006</v>
      </c>
      <c r="L3207" s="4">
        <v>64.400000000000006</v>
      </c>
      <c r="M3207" s="4">
        <v>63.5</v>
      </c>
      <c r="N3207">
        <v>0</v>
      </c>
      <c r="O3207" t="s">
        <v>58</v>
      </c>
      <c r="P3207" t="s">
        <v>59</v>
      </c>
      <c r="Q3207" t="s">
        <v>60</v>
      </c>
      <c r="R3207" t="s">
        <v>76</v>
      </c>
      <c r="S3207" s="3">
        <v>17.920000000000002</v>
      </c>
      <c r="T3207" s="5">
        <v>44517</v>
      </c>
      <c r="U3207">
        <v>2</v>
      </c>
      <c r="V3207">
        <v>2021</v>
      </c>
      <c r="X3207">
        <f t="shared" si="150"/>
        <v>6.8496793</v>
      </c>
      <c r="Y3207">
        <f t="shared" si="151"/>
        <v>17.919679300000002</v>
      </c>
      <c r="Z3207">
        <f t="shared" si="152"/>
        <v>64.399679300000003</v>
      </c>
    </row>
    <row r="3208" spans="1:26" x14ac:dyDescent="0.3">
      <c r="A3208" t="s">
        <v>3298</v>
      </c>
      <c r="B3208" t="s">
        <v>67</v>
      </c>
      <c r="C3208" t="s">
        <v>56</v>
      </c>
      <c r="D3208" t="s">
        <v>69</v>
      </c>
      <c r="E3208">
        <v>21</v>
      </c>
      <c r="F3208" s="3">
        <v>7.12</v>
      </c>
      <c r="G3208" s="4">
        <v>85.7</v>
      </c>
      <c r="H3208">
        <v>3</v>
      </c>
      <c r="I3208">
        <v>2</v>
      </c>
      <c r="J3208">
        <v>1</v>
      </c>
      <c r="K3208" s="4">
        <v>86.7</v>
      </c>
      <c r="L3208" s="4">
        <v>63.3</v>
      </c>
      <c r="M3208" s="4">
        <v>73.599999999999994</v>
      </c>
      <c r="N3208">
        <v>0</v>
      </c>
      <c r="O3208" t="s">
        <v>64</v>
      </c>
      <c r="P3208" t="s">
        <v>65</v>
      </c>
      <c r="S3208" s="3">
        <v>0</v>
      </c>
      <c r="T3208" s="5"/>
      <c r="U3208">
        <v>0</v>
      </c>
      <c r="V3208">
        <v>2023</v>
      </c>
      <c r="X3208">
        <f t="shared" si="150"/>
        <v>7.1196792000000002</v>
      </c>
      <c r="Y3208">
        <f t="shared" si="151"/>
        <v>-3.2079999999999999E-4</v>
      </c>
      <c r="Z3208">
        <f t="shared" si="152"/>
        <v>63.2996792</v>
      </c>
    </row>
    <row r="3209" spans="1:26" x14ac:dyDescent="0.3">
      <c r="A3209" t="s">
        <v>3299</v>
      </c>
      <c r="B3209" t="s">
        <v>107</v>
      </c>
      <c r="C3209" t="s">
        <v>101</v>
      </c>
      <c r="D3209" t="s">
        <v>57</v>
      </c>
      <c r="E3209">
        <v>20</v>
      </c>
      <c r="F3209" s="3">
        <v>8.18</v>
      </c>
      <c r="G3209" s="4">
        <v>93.7</v>
      </c>
      <c r="H3209">
        <v>3</v>
      </c>
      <c r="I3209">
        <v>4</v>
      </c>
      <c r="J3209">
        <v>4</v>
      </c>
      <c r="K3209" s="4">
        <v>23.8</v>
      </c>
      <c r="L3209" s="4">
        <v>32.9</v>
      </c>
      <c r="M3209" s="4">
        <v>94.7</v>
      </c>
      <c r="N3209">
        <v>2</v>
      </c>
      <c r="O3209" t="s">
        <v>58</v>
      </c>
      <c r="P3209" t="s">
        <v>87</v>
      </c>
      <c r="Q3209" t="s">
        <v>71</v>
      </c>
      <c r="R3209" t="s">
        <v>72</v>
      </c>
      <c r="S3209" s="3">
        <v>7.41</v>
      </c>
      <c r="T3209" s="5">
        <v>44437</v>
      </c>
      <c r="U3209">
        <v>1</v>
      </c>
      <c r="V3209">
        <v>2021</v>
      </c>
      <c r="X3209">
        <f t="shared" si="150"/>
        <v>8.1796790999999995</v>
      </c>
      <c r="Y3209">
        <f t="shared" si="151"/>
        <v>7.4096791</v>
      </c>
      <c r="Z3209">
        <f t="shared" si="152"/>
        <v>32.8996791</v>
      </c>
    </row>
    <row r="3210" spans="1:26" x14ac:dyDescent="0.3">
      <c r="A3210" t="s">
        <v>3300</v>
      </c>
      <c r="B3210" t="s">
        <v>55</v>
      </c>
      <c r="C3210" t="s">
        <v>56</v>
      </c>
      <c r="D3210" t="s">
        <v>69</v>
      </c>
      <c r="E3210">
        <v>21</v>
      </c>
      <c r="F3210" s="3">
        <v>7.6</v>
      </c>
      <c r="G3210" s="4">
        <v>93.2</v>
      </c>
      <c r="H3210">
        <v>2</v>
      </c>
      <c r="I3210">
        <v>2</v>
      </c>
      <c r="J3210">
        <v>5</v>
      </c>
      <c r="K3210" s="4">
        <v>82.3</v>
      </c>
      <c r="L3210" s="4">
        <v>72.3</v>
      </c>
      <c r="M3210" s="4">
        <v>89.8</v>
      </c>
      <c r="N3210">
        <v>0</v>
      </c>
      <c r="O3210" t="s">
        <v>58</v>
      </c>
      <c r="P3210" t="s">
        <v>59</v>
      </c>
      <c r="Q3210" t="s">
        <v>60</v>
      </c>
      <c r="R3210" t="s">
        <v>85</v>
      </c>
      <c r="S3210" s="3">
        <v>19.829999999999998</v>
      </c>
      <c r="T3210" s="5">
        <v>45505</v>
      </c>
      <c r="U3210">
        <v>1</v>
      </c>
      <c r="V3210">
        <v>2024</v>
      </c>
      <c r="X3210">
        <f t="shared" si="150"/>
        <v>7.5996790000000001</v>
      </c>
      <c r="Y3210">
        <f t="shared" si="151"/>
        <v>19.829678999999999</v>
      </c>
      <c r="Z3210">
        <f t="shared" si="152"/>
        <v>72.299678999999998</v>
      </c>
    </row>
    <row r="3211" spans="1:26" x14ac:dyDescent="0.3">
      <c r="A3211" t="s">
        <v>3301</v>
      </c>
      <c r="B3211" t="s">
        <v>107</v>
      </c>
      <c r="C3211" t="s">
        <v>68</v>
      </c>
      <c r="D3211" t="s">
        <v>57</v>
      </c>
      <c r="E3211">
        <v>23</v>
      </c>
      <c r="F3211" s="3">
        <v>5.9</v>
      </c>
      <c r="G3211" s="4">
        <v>82.4</v>
      </c>
      <c r="H3211">
        <v>3</v>
      </c>
      <c r="I3211">
        <v>3</v>
      </c>
      <c r="J3211">
        <v>5</v>
      </c>
      <c r="K3211" s="4">
        <v>84.1</v>
      </c>
      <c r="L3211" s="4">
        <v>70.5</v>
      </c>
      <c r="M3211" s="4">
        <v>90.7</v>
      </c>
      <c r="N3211">
        <v>1</v>
      </c>
      <c r="O3211" t="s">
        <v>64</v>
      </c>
      <c r="P3211" t="s">
        <v>65</v>
      </c>
      <c r="S3211" s="3">
        <v>0</v>
      </c>
      <c r="T3211" s="5"/>
      <c r="U3211">
        <v>0</v>
      </c>
      <c r="V3211">
        <v>2021</v>
      </c>
      <c r="X3211">
        <f t="shared" si="150"/>
        <v>5.8996789000000005</v>
      </c>
      <c r="Y3211">
        <f t="shared" si="151"/>
        <v>-3.211E-4</v>
      </c>
      <c r="Z3211">
        <f t="shared" si="152"/>
        <v>70.499678900000006</v>
      </c>
    </row>
    <row r="3212" spans="1:26" x14ac:dyDescent="0.3">
      <c r="A3212" t="s">
        <v>3302</v>
      </c>
      <c r="B3212" t="s">
        <v>63</v>
      </c>
      <c r="C3212" t="s">
        <v>84</v>
      </c>
      <c r="D3212" t="s">
        <v>57</v>
      </c>
      <c r="E3212">
        <v>20</v>
      </c>
      <c r="F3212" s="3">
        <v>6.78</v>
      </c>
      <c r="G3212" s="4">
        <v>77.3</v>
      </c>
      <c r="H3212">
        <v>2</v>
      </c>
      <c r="I3212">
        <v>0</v>
      </c>
      <c r="J3212">
        <v>3</v>
      </c>
      <c r="K3212" s="4">
        <v>38.1</v>
      </c>
      <c r="L3212" s="4">
        <v>92.6</v>
      </c>
      <c r="M3212" s="4">
        <v>79.3</v>
      </c>
      <c r="N3212">
        <v>0</v>
      </c>
      <c r="O3212" t="s">
        <v>58</v>
      </c>
      <c r="P3212" t="s">
        <v>92</v>
      </c>
      <c r="Q3212" t="s">
        <v>93</v>
      </c>
      <c r="R3212" t="s">
        <v>76</v>
      </c>
      <c r="S3212" s="3">
        <v>9.18</v>
      </c>
      <c r="T3212" s="5">
        <v>45900</v>
      </c>
      <c r="U3212">
        <v>2</v>
      </c>
      <c r="V3212">
        <v>2025</v>
      </c>
      <c r="X3212">
        <f t="shared" si="150"/>
        <v>6.7796788000000001</v>
      </c>
      <c r="Y3212">
        <f t="shared" si="151"/>
        <v>9.1796787999999996</v>
      </c>
      <c r="Z3212">
        <f t="shared" si="152"/>
        <v>92.599678799999992</v>
      </c>
    </row>
    <row r="3213" spans="1:26" x14ac:dyDescent="0.3">
      <c r="A3213" t="s">
        <v>3303</v>
      </c>
      <c r="B3213" t="s">
        <v>107</v>
      </c>
      <c r="C3213" t="s">
        <v>56</v>
      </c>
      <c r="D3213" t="s">
        <v>57</v>
      </c>
      <c r="E3213">
        <v>20</v>
      </c>
      <c r="F3213" s="3">
        <v>7.86</v>
      </c>
      <c r="G3213" s="4">
        <v>84.1</v>
      </c>
      <c r="H3213">
        <v>1</v>
      </c>
      <c r="I3213">
        <v>1</v>
      </c>
      <c r="J3213">
        <v>6</v>
      </c>
      <c r="K3213" s="4">
        <v>68.5</v>
      </c>
      <c r="L3213" s="4">
        <v>65.900000000000006</v>
      </c>
      <c r="M3213" s="4">
        <v>70.599999999999994</v>
      </c>
      <c r="N3213">
        <v>1</v>
      </c>
      <c r="O3213" t="s">
        <v>58</v>
      </c>
      <c r="P3213" t="s">
        <v>92</v>
      </c>
      <c r="Q3213" t="s">
        <v>93</v>
      </c>
      <c r="R3213" t="s">
        <v>61</v>
      </c>
      <c r="S3213" s="3">
        <v>10.199999999999999</v>
      </c>
      <c r="T3213" s="5">
        <v>44435</v>
      </c>
      <c r="U3213">
        <v>1</v>
      </c>
      <c r="V3213">
        <v>2021</v>
      </c>
      <c r="X3213">
        <f t="shared" si="150"/>
        <v>7.8596786999999999</v>
      </c>
      <c r="Y3213">
        <f t="shared" si="151"/>
        <v>10.1996787</v>
      </c>
      <c r="Z3213">
        <f t="shared" si="152"/>
        <v>65.89967870000001</v>
      </c>
    </row>
    <row r="3214" spans="1:26" x14ac:dyDescent="0.3">
      <c r="A3214" t="s">
        <v>3304</v>
      </c>
      <c r="B3214" t="s">
        <v>63</v>
      </c>
      <c r="C3214" t="s">
        <v>84</v>
      </c>
      <c r="D3214" t="s">
        <v>69</v>
      </c>
      <c r="E3214">
        <v>20</v>
      </c>
      <c r="F3214" s="3">
        <v>8.4499999999999993</v>
      </c>
      <c r="G3214" s="4">
        <v>82.5</v>
      </c>
      <c r="H3214">
        <v>3</v>
      </c>
      <c r="I3214">
        <v>1</v>
      </c>
      <c r="J3214">
        <v>3</v>
      </c>
      <c r="K3214" s="4">
        <v>61.9</v>
      </c>
      <c r="L3214" s="4">
        <v>62.1</v>
      </c>
      <c r="M3214" s="4">
        <v>78</v>
      </c>
      <c r="N3214">
        <v>0</v>
      </c>
      <c r="O3214" t="s">
        <v>58</v>
      </c>
      <c r="P3214" t="s">
        <v>79</v>
      </c>
      <c r="Q3214" t="s">
        <v>71</v>
      </c>
      <c r="R3214" t="s">
        <v>80</v>
      </c>
      <c r="S3214" s="3">
        <v>7.35</v>
      </c>
      <c r="T3214" s="5">
        <v>45904</v>
      </c>
      <c r="U3214">
        <v>1</v>
      </c>
      <c r="V3214">
        <v>2025</v>
      </c>
      <c r="X3214">
        <f t="shared" si="150"/>
        <v>8.4496785999999986</v>
      </c>
      <c r="Y3214">
        <f t="shared" si="151"/>
        <v>7.3496785999999998</v>
      </c>
      <c r="Z3214">
        <f t="shared" si="152"/>
        <v>62.099678600000004</v>
      </c>
    </row>
    <row r="3215" spans="1:26" x14ac:dyDescent="0.3">
      <c r="A3215" t="s">
        <v>3305</v>
      </c>
      <c r="B3215" t="s">
        <v>63</v>
      </c>
      <c r="C3215" t="s">
        <v>56</v>
      </c>
      <c r="D3215" t="s">
        <v>69</v>
      </c>
      <c r="E3215">
        <v>21</v>
      </c>
      <c r="F3215" s="3">
        <v>8.4600000000000009</v>
      </c>
      <c r="G3215" s="4">
        <v>86.2</v>
      </c>
      <c r="H3215">
        <v>0</v>
      </c>
      <c r="I3215">
        <v>1</v>
      </c>
      <c r="J3215">
        <v>1</v>
      </c>
      <c r="K3215" s="4">
        <v>65.7</v>
      </c>
      <c r="L3215" s="4">
        <v>62.3</v>
      </c>
      <c r="M3215" s="4">
        <v>57</v>
      </c>
      <c r="N3215">
        <v>0</v>
      </c>
      <c r="O3215" t="s">
        <v>58</v>
      </c>
      <c r="P3215" t="s">
        <v>87</v>
      </c>
      <c r="Q3215" t="s">
        <v>71</v>
      </c>
      <c r="R3215" t="s">
        <v>85</v>
      </c>
      <c r="S3215" s="3">
        <v>6.75</v>
      </c>
      <c r="T3215" s="5">
        <v>45877</v>
      </c>
      <c r="U3215">
        <v>3</v>
      </c>
      <c r="V3215">
        <v>2025</v>
      </c>
      <c r="X3215">
        <f t="shared" si="150"/>
        <v>8.4596785000000008</v>
      </c>
      <c r="Y3215">
        <f t="shared" si="151"/>
        <v>6.7496784999999999</v>
      </c>
      <c r="Z3215">
        <f t="shared" si="152"/>
        <v>62.299678499999999</v>
      </c>
    </row>
    <row r="3216" spans="1:26" x14ac:dyDescent="0.3">
      <c r="A3216" t="s">
        <v>3306</v>
      </c>
      <c r="B3216" t="s">
        <v>63</v>
      </c>
      <c r="C3216" t="s">
        <v>89</v>
      </c>
      <c r="D3216" t="s">
        <v>57</v>
      </c>
      <c r="E3216">
        <v>23</v>
      </c>
      <c r="F3216" s="3">
        <v>9.42</v>
      </c>
      <c r="G3216" s="4">
        <v>76.3</v>
      </c>
      <c r="H3216">
        <v>1</v>
      </c>
      <c r="I3216">
        <v>4</v>
      </c>
      <c r="J3216">
        <v>1</v>
      </c>
      <c r="K3216" s="4">
        <v>71</v>
      </c>
      <c r="L3216" s="4">
        <v>57.4</v>
      </c>
      <c r="M3216" s="4">
        <v>92.5</v>
      </c>
      <c r="N3216">
        <v>0</v>
      </c>
      <c r="O3216" t="s">
        <v>58</v>
      </c>
      <c r="P3216" t="s">
        <v>92</v>
      </c>
      <c r="Q3216" t="s">
        <v>93</v>
      </c>
      <c r="R3216" t="s">
        <v>85</v>
      </c>
      <c r="S3216" s="3">
        <v>8.4</v>
      </c>
      <c r="T3216" s="5">
        <v>45909</v>
      </c>
      <c r="U3216">
        <v>1</v>
      </c>
      <c r="V3216">
        <v>2025</v>
      </c>
      <c r="X3216">
        <f t="shared" si="150"/>
        <v>9.4196784000000005</v>
      </c>
      <c r="Y3216">
        <f t="shared" si="151"/>
        <v>8.3996784000000009</v>
      </c>
      <c r="Z3216">
        <f t="shared" si="152"/>
        <v>57.399678399999999</v>
      </c>
    </row>
    <row r="3217" spans="1:26" x14ac:dyDescent="0.3">
      <c r="A3217" t="s">
        <v>3307</v>
      </c>
      <c r="B3217" t="s">
        <v>55</v>
      </c>
      <c r="C3217" t="s">
        <v>74</v>
      </c>
      <c r="D3217" t="s">
        <v>57</v>
      </c>
      <c r="E3217">
        <v>21</v>
      </c>
      <c r="F3217" s="3">
        <v>7.03</v>
      </c>
      <c r="G3217" s="4">
        <v>78.400000000000006</v>
      </c>
      <c r="H3217">
        <v>2</v>
      </c>
      <c r="I3217">
        <v>1</v>
      </c>
      <c r="J3217">
        <v>4</v>
      </c>
      <c r="K3217" s="4">
        <v>72.5</v>
      </c>
      <c r="L3217" s="4">
        <v>63.2</v>
      </c>
      <c r="M3217" s="4">
        <v>52.6</v>
      </c>
      <c r="N3217">
        <v>0</v>
      </c>
      <c r="O3217" t="s">
        <v>58</v>
      </c>
      <c r="P3217" t="s">
        <v>75</v>
      </c>
      <c r="Q3217" t="s">
        <v>71</v>
      </c>
      <c r="R3217" t="s">
        <v>85</v>
      </c>
      <c r="S3217" s="3">
        <v>4.66</v>
      </c>
      <c r="T3217" s="5">
        <v>45562</v>
      </c>
      <c r="U3217">
        <v>2</v>
      </c>
      <c r="V3217">
        <v>2024</v>
      </c>
      <c r="X3217">
        <f t="shared" si="150"/>
        <v>7.0296783000000005</v>
      </c>
      <c r="Y3217">
        <f t="shared" si="151"/>
        <v>4.6596783000000004</v>
      </c>
      <c r="Z3217">
        <f t="shared" si="152"/>
        <v>63.199678300000002</v>
      </c>
    </row>
    <row r="3218" spans="1:26" x14ac:dyDescent="0.3">
      <c r="A3218" t="s">
        <v>3308</v>
      </c>
      <c r="B3218" t="s">
        <v>107</v>
      </c>
      <c r="C3218" t="s">
        <v>84</v>
      </c>
      <c r="D3218" t="s">
        <v>57</v>
      </c>
      <c r="E3218">
        <v>23</v>
      </c>
      <c r="F3218" s="3">
        <v>7.07</v>
      </c>
      <c r="G3218" s="4">
        <v>80</v>
      </c>
      <c r="H3218">
        <v>1</v>
      </c>
      <c r="I3218">
        <v>2</v>
      </c>
      <c r="J3218">
        <v>4</v>
      </c>
      <c r="K3218" s="4">
        <v>48.8</v>
      </c>
      <c r="L3218" s="4">
        <v>54.5</v>
      </c>
      <c r="M3218" s="4">
        <v>72.5</v>
      </c>
      <c r="N3218">
        <v>0</v>
      </c>
      <c r="O3218" t="s">
        <v>58</v>
      </c>
      <c r="P3218" t="s">
        <v>70</v>
      </c>
      <c r="Q3218" t="s">
        <v>71</v>
      </c>
      <c r="R3218" t="s">
        <v>61</v>
      </c>
      <c r="S3218" s="3">
        <v>6.47</v>
      </c>
      <c r="T3218" s="5">
        <v>44480</v>
      </c>
      <c r="U3218">
        <v>1</v>
      </c>
      <c r="V3218">
        <v>2021</v>
      </c>
      <c r="X3218">
        <f t="shared" si="150"/>
        <v>7.0696782000000002</v>
      </c>
      <c r="Y3218">
        <f t="shared" si="151"/>
        <v>6.4696781999999997</v>
      </c>
      <c r="Z3218">
        <f t="shared" si="152"/>
        <v>54.499678199999998</v>
      </c>
    </row>
    <row r="3219" spans="1:26" x14ac:dyDescent="0.3">
      <c r="A3219" t="s">
        <v>3309</v>
      </c>
      <c r="B3219" t="s">
        <v>107</v>
      </c>
      <c r="C3219" t="s">
        <v>74</v>
      </c>
      <c r="D3219" t="s">
        <v>69</v>
      </c>
      <c r="E3219">
        <v>21</v>
      </c>
      <c r="F3219" s="3">
        <v>7.63</v>
      </c>
      <c r="G3219" s="4">
        <v>88</v>
      </c>
      <c r="H3219">
        <v>1</v>
      </c>
      <c r="I3219">
        <v>0</v>
      </c>
      <c r="J3219">
        <v>2</v>
      </c>
      <c r="K3219" s="4">
        <v>90.8</v>
      </c>
      <c r="L3219" s="4">
        <v>79.2</v>
      </c>
      <c r="M3219" s="4">
        <v>74</v>
      </c>
      <c r="N3219">
        <v>0</v>
      </c>
      <c r="O3219" t="s">
        <v>64</v>
      </c>
      <c r="P3219" t="s">
        <v>65</v>
      </c>
      <c r="S3219" s="3">
        <v>0</v>
      </c>
      <c r="T3219" s="5"/>
      <c r="U3219">
        <v>0</v>
      </c>
      <c r="V3219">
        <v>2021</v>
      </c>
      <c r="X3219">
        <f t="shared" si="150"/>
        <v>7.6296780999999996</v>
      </c>
      <c r="Y3219">
        <f t="shared" si="151"/>
        <v>-3.2189999999999996E-4</v>
      </c>
      <c r="Z3219">
        <f t="shared" si="152"/>
        <v>79.1996781</v>
      </c>
    </row>
    <row r="3220" spans="1:26" x14ac:dyDescent="0.3">
      <c r="A3220" t="s">
        <v>3310</v>
      </c>
      <c r="B3220" t="s">
        <v>55</v>
      </c>
      <c r="C3220" t="s">
        <v>74</v>
      </c>
      <c r="D3220" t="s">
        <v>69</v>
      </c>
      <c r="E3220">
        <v>21</v>
      </c>
      <c r="F3220" s="3">
        <v>6.14</v>
      </c>
      <c r="G3220" s="4">
        <v>89.2</v>
      </c>
      <c r="H3220">
        <v>2</v>
      </c>
      <c r="I3220">
        <v>1</v>
      </c>
      <c r="J3220">
        <v>6</v>
      </c>
      <c r="K3220" s="4">
        <v>61.3</v>
      </c>
      <c r="L3220" s="4">
        <v>76</v>
      </c>
      <c r="M3220" s="4">
        <v>84.2</v>
      </c>
      <c r="N3220">
        <v>1</v>
      </c>
      <c r="O3220" t="s">
        <v>58</v>
      </c>
      <c r="P3220" t="s">
        <v>112</v>
      </c>
      <c r="Q3220" t="s">
        <v>93</v>
      </c>
      <c r="R3220" t="s">
        <v>61</v>
      </c>
      <c r="S3220" s="3">
        <v>6.85</v>
      </c>
      <c r="T3220" s="5">
        <v>45519</v>
      </c>
      <c r="U3220">
        <v>2</v>
      </c>
      <c r="V3220">
        <v>2024</v>
      </c>
      <c r="X3220">
        <f t="shared" si="150"/>
        <v>6.139678</v>
      </c>
      <c r="Y3220">
        <f t="shared" si="151"/>
        <v>6.8496779999999999</v>
      </c>
      <c r="Z3220">
        <f t="shared" si="152"/>
        <v>75.999678000000003</v>
      </c>
    </row>
    <row r="3221" spans="1:26" x14ac:dyDescent="0.3">
      <c r="A3221" t="s">
        <v>3311</v>
      </c>
      <c r="B3221" t="s">
        <v>67</v>
      </c>
      <c r="C3221" t="s">
        <v>84</v>
      </c>
      <c r="D3221" t="s">
        <v>57</v>
      </c>
      <c r="E3221">
        <v>21</v>
      </c>
      <c r="F3221" s="3">
        <v>7.65</v>
      </c>
      <c r="G3221" s="4">
        <v>78.099999999999994</v>
      </c>
      <c r="H3221">
        <v>1</v>
      </c>
      <c r="I3221">
        <v>1</v>
      </c>
      <c r="J3221">
        <v>4</v>
      </c>
      <c r="K3221" s="4">
        <v>100</v>
      </c>
      <c r="L3221" s="4">
        <v>48.2</v>
      </c>
      <c r="M3221" s="4">
        <v>79.3</v>
      </c>
      <c r="N3221">
        <v>0</v>
      </c>
      <c r="O3221" t="s">
        <v>58</v>
      </c>
      <c r="P3221" t="s">
        <v>112</v>
      </c>
      <c r="Q3221" t="s">
        <v>93</v>
      </c>
      <c r="R3221" t="s">
        <v>61</v>
      </c>
      <c r="S3221" s="3">
        <v>6.74</v>
      </c>
      <c r="T3221" s="5">
        <v>45159</v>
      </c>
      <c r="U3221">
        <v>3</v>
      </c>
      <c r="V3221">
        <v>2023</v>
      </c>
      <c r="X3221">
        <f t="shared" si="150"/>
        <v>7.6496779000000004</v>
      </c>
      <c r="Y3221">
        <f t="shared" si="151"/>
        <v>6.7396779000000002</v>
      </c>
      <c r="Z3221">
        <f t="shared" si="152"/>
        <v>48.199677900000005</v>
      </c>
    </row>
    <row r="3222" spans="1:26" x14ac:dyDescent="0.3">
      <c r="A3222" t="s">
        <v>3312</v>
      </c>
      <c r="B3222" t="s">
        <v>82</v>
      </c>
      <c r="C3222" t="s">
        <v>68</v>
      </c>
      <c r="D3222" t="s">
        <v>57</v>
      </c>
      <c r="E3222">
        <v>20</v>
      </c>
      <c r="F3222" s="3">
        <v>7.47</v>
      </c>
      <c r="G3222" s="4">
        <v>71.599999999999994</v>
      </c>
      <c r="H3222">
        <v>3</v>
      </c>
      <c r="I3222">
        <v>5</v>
      </c>
      <c r="J3222">
        <v>5</v>
      </c>
      <c r="K3222" s="4">
        <v>54.8</v>
      </c>
      <c r="L3222" s="4">
        <v>71.400000000000006</v>
      </c>
      <c r="M3222" s="4">
        <v>80.099999999999994</v>
      </c>
      <c r="N3222">
        <v>0</v>
      </c>
      <c r="O3222" t="s">
        <v>58</v>
      </c>
      <c r="P3222" t="s">
        <v>104</v>
      </c>
      <c r="Q3222" t="s">
        <v>105</v>
      </c>
      <c r="R3222" t="s">
        <v>109</v>
      </c>
      <c r="S3222" s="3">
        <v>16.309999999999999</v>
      </c>
      <c r="T3222" s="5">
        <v>44810</v>
      </c>
      <c r="U3222">
        <v>1</v>
      </c>
      <c r="V3222">
        <v>2022</v>
      </c>
      <c r="X3222">
        <f t="shared" si="150"/>
        <v>7.4696777999999995</v>
      </c>
      <c r="Y3222">
        <f t="shared" si="151"/>
        <v>16.309677799999999</v>
      </c>
      <c r="Z3222">
        <f t="shared" si="152"/>
        <v>71.399677800000006</v>
      </c>
    </row>
    <row r="3223" spans="1:26" x14ac:dyDescent="0.3">
      <c r="A3223" t="s">
        <v>3313</v>
      </c>
      <c r="B3223" t="s">
        <v>107</v>
      </c>
      <c r="C3223" t="s">
        <v>68</v>
      </c>
      <c r="D3223" t="s">
        <v>69</v>
      </c>
      <c r="E3223">
        <v>21</v>
      </c>
      <c r="F3223" s="3">
        <v>8.36</v>
      </c>
      <c r="G3223" s="4">
        <v>85.3</v>
      </c>
      <c r="H3223">
        <v>1</v>
      </c>
      <c r="I3223">
        <v>3</v>
      </c>
      <c r="J3223">
        <v>4</v>
      </c>
      <c r="K3223" s="4">
        <v>53.2</v>
      </c>
      <c r="L3223" s="4">
        <v>86.7</v>
      </c>
      <c r="M3223" s="4">
        <v>45.8</v>
      </c>
      <c r="N3223">
        <v>0</v>
      </c>
      <c r="O3223" t="s">
        <v>58</v>
      </c>
      <c r="P3223" t="s">
        <v>112</v>
      </c>
      <c r="Q3223" t="s">
        <v>93</v>
      </c>
      <c r="R3223" t="s">
        <v>61</v>
      </c>
      <c r="S3223" s="3">
        <v>8.6199999999999992</v>
      </c>
      <c r="T3223" s="5">
        <v>44478</v>
      </c>
      <c r="U3223">
        <v>1</v>
      </c>
      <c r="V3223">
        <v>2021</v>
      </c>
      <c r="X3223">
        <f t="shared" si="150"/>
        <v>8.3596776999999989</v>
      </c>
      <c r="Y3223">
        <f t="shared" si="151"/>
        <v>8.6196776999999987</v>
      </c>
      <c r="Z3223">
        <f t="shared" si="152"/>
        <v>86.699677700000009</v>
      </c>
    </row>
    <row r="3224" spans="1:26" x14ac:dyDescent="0.3">
      <c r="A3224" t="s">
        <v>3314</v>
      </c>
      <c r="B3224" t="s">
        <v>82</v>
      </c>
      <c r="C3224" t="s">
        <v>74</v>
      </c>
      <c r="D3224" t="s">
        <v>57</v>
      </c>
      <c r="E3224">
        <v>23</v>
      </c>
      <c r="F3224" s="3">
        <v>8.52</v>
      </c>
      <c r="G3224" s="4">
        <v>88.6</v>
      </c>
      <c r="H3224">
        <v>3</v>
      </c>
      <c r="I3224">
        <v>2</v>
      </c>
      <c r="J3224">
        <v>4</v>
      </c>
      <c r="K3224" s="4">
        <v>72.5</v>
      </c>
      <c r="L3224" s="4">
        <v>85.9</v>
      </c>
      <c r="M3224" s="4">
        <v>72</v>
      </c>
      <c r="N3224">
        <v>1</v>
      </c>
      <c r="O3224" t="s">
        <v>58</v>
      </c>
      <c r="P3224" t="s">
        <v>112</v>
      </c>
      <c r="Q3224" t="s">
        <v>93</v>
      </c>
      <c r="R3224" t="s">
        <v>72</v>
      </c>
      <c r="S3224" s="3">
        <v>7.35</v>
      </c>
      <c r="T3224" s="5">
        <v>44827</v>
      </c>
      <c r="U3224">
        <v>2</v>
      </c>
      <c r="V3224">
        <v>2022</v>
      </c>
      <c r="X3224">
        <f t="shared" si="150"/>
        <v>8.5196775999999996</v>
      </c>
      <c r="Y3224">
        <f t="shared" si="151"/>
        <v>7.3496775999999997</v>
      </c>
      <c r="Z3224">
        <f t="shared" si="152"/>
        <v>85.899677600000004</v>
      </c>
    </row>
    <row r="3225" spans="1:26" x14ac:dyDescent="0.3">
      <c r="A3225" t="s">
        <v>3315</v>
      </c>
      <c r="B3225" t="s">
        <v>55</v>
      </c>
      <c r="C3225" t="s">
        <v>78</v>
      </c>
      <c r="D3225" t="s">
        <v>57</v>
      </c>
      <c r="E3225">
        <v>23</v>
      </c>
      <c r="F3225" s="3">
        <v>7.97</v>
      </c>
      <c r="G3225" s="4">
        <v>80.8</v>
      </c>
      <c r="H3225">
        <v>1</v>
      </c>
      <c r="I3225">
        <v>4</v>
      </c>
      <c r="J3225">
        <v>3</v>
      </c>
      <c r="K3225" s="4">
        <v>80.599999999999994</v>
      </c>
      <c r="L3225" s="4">
        <v>54.4</v>
      </c>
      <c r="M3225" s="4">
        <v>66.400000000000006</v>
      </c>
      <c r="N3225">
        <v>0</v>
      </c>
      <c r="O3225" t="s">
        <v>58</v>
      </c>
      <c r="P3225" t="s">
        <v>59</v>
      </c>
      <c r="Q3225" t="s">
        <v>60</v>
      </c>
      <c r="R3225" t="s">
        <v>76</v>
      </c>
      <c r="S3225" s="3">
        <v>19.91</v>
      </c>
      <c r="T3225" s="5">
        <v>45533</v>
      </c>
      <c r="U3225">
        <v>1</v>
      </c>
      <c r="V3225">
        <v>2024</v>
      </c>
      <c r="X3225">
        <f t="shared" si="150"/>
        <v>7.9696774999999995</v>
      </c>
      <c r="Y3225">
        <f t="shared" si="151"/>
        <v>19.909677500000001</v>
      </c>
      <c r="Z3225">
        <f t="shared" si="152"/>
        <v>54.399677499999996</v>
      </c>
    </row>
    <row r="3226" spans="1:26" x14ac:dyDescent="0.3">
      <c r="A3226" t="s">
        <v>3316</v>
      </c>
      <c r="B3226" t="s">
        <v>67</v>
      </c>
      <c r="C3226" t="s">
        <v>56</v>
      </c>
      <c r="D3226" t="s">
        <v>57</v>
      </c>
      <c r="E3226">
        <v>23</v>
      </c>
      <c r="F3226" s="3">
        <v>7.65</v>
      </c>
      <c r="G3226" s="4">
        <v>75.599999999999994</v>
      </c>
      <c r="H3226">
        <v>2</v>
      </c>
      <c r="I3226">
        <v>4</v>
      </c>
      <c r="J3226">
        <v>4</v>
      </c>
      <c r="K3226" s="4">
        <v>85.8</v>
      </c>
      <c r="L3226" s="4">
        <v>90</v>
      </c>
      <c r="M3226" s="4">
        <v>75.8</v>
      </c>
      <c r="N3226">
        <v>0</v>
      </c>
      <c r="O3226" t="s">
        <v>58</v>
      </c>
      <c r="P3226" t="s">
        <v>70</v>
      </c>
      <c r="Q3226" t="s">
        <v>71</v>
      </c>
      <c r="R3226" t="s">
        <v>85</v>
      </c>
      <c r="S3226" s="3">
        <v>5.01</v>
      </c>
      <c r="T3226" s="5">
        <v>45196</v>
      </c>
      <c r="U3226">
        <v>1</v>
      </c>
      <c r="V3226">
        <v>2023</v>
      </c>
      <c r="X3226">
        <f t="shared" si="150"/>
        <v>7.6496774000000007</v>
      </c>
      <c r="Y3226">
        <f t="shared" si="151"/>
        <v>5.0096774000000002</v>
      </c>
      <c r="Z3226">
        <f t="shared" si="152"/>
        <v>89.999677399999996</v>
      </c>
    </row>
    <row r="3227" spans="1:26" x14ac:dyDescent="0.3">
      <c r="A3227" t="s">
        <v>3317</v>
      </c>
      <c r="B3227" t="s">
        <v>67</v>
      </c>
      <c r="C3227" t="s">
        <v>56</v>
      </c>
      <c r="D3227" t="s">
        <v>57</v>
      </c>
      <c r="E3227">
        <v>20</v>
      </c>
      <c r="F3227" s="3">
        <v>7.98</v>
      </c>
      <c r="G3227" s="4">
        <v>77.7</v>
      </c>
      <c r="H3227">
        <v>1</v>
      </c>
      <c r="I3227">
        <v>2</v>
      </c>
      <c r="J3227">
        <v>6</v>
      </c>
      <c r="K3227" s="4">
        <v>54.2</v>
      </c>
      <c r="L3227" s="4">
        <v>62.1</v>
      </c>
      <c r="M3227" s="4">
        <v>72.400000000000006</v>
      </c>
      <c r="N3227">
        <v>0</v>
      </c>
      <c r="O3227" t="s">
        <v>58</v>
      </c>
      <c r="P3227" t="s">
        <v>59</v>
      </c>
      <c r="Q3227" t="s">
        <v>60</v>
      </c>
      <c r="R3227" t="s">
        <v>109</v>
      </c>
      <c r="S3227" s="3">
        <v>19.899999999999999</v>
      </c>
      <c r="T3227" s="5">
        <v>45227</v>
      </c>
      <c r="U3227">
        <v>1</v>
      </c>
      <c r="V3227">
        <v>2023</v>
      </c>
      <c r="X3227">
        <f t="shared" si="150"/>
        <v>7.9796773000000005</v>
      </c>
      <c r="Y3227">
        <f t="shared" si="151"/>
        <v>19.899677299999997</v>
      </c>
      <c r="Z3227">
        <f t="shared" si="152"/>
        <v>62.099677300000003</v>
      </c>
    </row>
    <row r="3228" spans="1:26" x14ac:dyDescent="0.3">
      <c r="A3228" t="s">
        <v>3318</v>
      </c>
      <c r="B3228" t="s">
        <v>67</v>
      </c>
      <c r="C3228" t="s">
        <v>89</v>
      </c>
      <c r="D3228" t="s">
        <v>57</v>
      </c>
      <c r="E3228">
        <v>21</v>
      </c>
      <c r="F3228" s="3">
        <v>6.94</v>
      </c>
      <c r="G3228" s="4">
        <v>96.8</v>
      </c>
      <c r="H3228">
        <v>2</v>
      </c>
      <c r="I3228">
        <v>1</v>
      </c>
      <c r="J3228">
        <v>4</v>
      </c>
      <c r="K3228" s="4">
        <v>63.3</v>
      </c>
      <c r="L3228" s="4">
        <v>70.3</v>
      </c>
      <c r="M3228" s="4">
        <v>76.7</v>
      </c>
      <c r="N3228">
        <v>0</v>
      </c>
      <c r="O3228" t="s">
        <v>58</v>
      </c>
      <c r="P3228" t="s">
        <v>95</v>
      </c>
      <c r="Q3228" t="s">
        <v>93</v>
      </c>
      <c r="R3228" t="s">
        <v>85</v>
      </c>
      <c r="S3228" s="3">
        <v>8.58</v>
      </c>
      <c r="T3228" s="5">
        <v>45225</v>
      </c>
      <c r="U3228">
        <v>1</v>
      </c>
      <c r="V3228">
        <v>2023</v>
      </c>
      <c r="X3228">
        <f t="shared" si="150"/>
        <v>6.9396772000000002</v>
      </c>
      <c r="Y3228">
        <f t="shared" si="151"/>
        <v>8.5796772000000008</v>
      </c>
      <c r="Z3228">
        <f t="shared" si="152"/>
        <v>70.299677199999991</v>
      </c>
    </row>
    <row r="3229" spans="1:26" x14ac:dyDescent="0.3">
      <c r="A3229" t="s">
        <v>3319</v>
      </c>
      <c r="B3229" t="s">
        <v>55</v>
      </c>
      <c r="C3229" t="s">
        <v>74</v>
      </c>
      <c r="D3229" t="s">
        <v>69</v>
      </c>
      <c r="E3229">
        <v>21</v>
      </c>
      <c r="F3229" s="3">
        <v>7.58</v>
      </c>
      <c r="G3229" s="4">
        <v>84</v>
      </c>
      <c r="H3229">
        <v>1</v>
      </c>
      <c r="I3229">
        <v>1</v>
      </c>
      <c r="J3229">
        <v>3</v>
      </c>
      <c r="K3229" s="4">
        <v>94.1</v>
      </c>
      <c r="L3229" s="4">
        <v>64.7</v>
      </c>
      <c r="M3229" s="4">
        <v>59.7</v>
      </c>
      <c r="N3229">
        <v>0</v>
      </c>
      <c r="O3229" t="s">
        <v>64</v>
      </c>
      <c r="P3229" t="s">
        <v>65</v>
      </c>
      <c r="S3229" s="3">
        <v>0</v>
      </c>
      <c r="T3229" s="5"/>
      <c r="U3229">
        <v>0</v>
      </c>
      <c r="V3229">
        <v>2024</v>
      </c>
      <c r="X3229">
        <f t="shared" si="150"/>
        <v>7.5796771000000005</v>
      </c>
      <c r="Y3229">
        <f t="shared" si="151"/>
        <v>-3.2289999999999999E-4</v>
      </c>
      <c r="Z3229">
        <f t="shared" si="152"/>
        <v>64.699677100000002</v>
      </c>
    </row>
    <row r="3230" spans="1:26" x14ac:dyDescent="0.3">
      <c r="A3230" t="s">
        <v>3320</v>
      </c>
      <c r="B3230" t="s">
        <v>63</v>
      </c>
      <c r="C3230" t="s">
        <v>84</v>
      </c>
      <c r="D3230" t="s">
        <v>57</v>
      </c>
      <c r="E3230">
        <v>22</v>
      </c>
      <c r="F3230" s="3">
        <v>7.67</v>
      </c>
      <c r="G3230" s="4">
        <v>91.1</v>
      </c>
      <c r="H3230">
        <v>1</v>
      </c>
      <c r="I3230">
        <v>0</v>
      </c>
      <c r="J3230">
        <v>3</v>
      </c>
      <c r="K3230" s="4">
        <v>62.8</v>
      </c>
      <c r="L3230" s="4">
        <v>52</v>
      </c>
      <c r="M3230" s="4">
        <v>75.2</v>
      </c>
      <c r="N3230">
        <v>0</v>
      </c>
      <c r="O3230" t="s">
        <v>58</v>
      </c>
      <c r="P3230" t="s">
        <v>87</v>
      </c>
      <c r="Q3230" t="s">
        <v>71</v>
      </c>
      <c r="R3230" t="s">
        <v>130</v>
      </c>
      <c r="S3230" s="3">
        <v>5.7</v>
      </c>
      <c r="T3230" s="5">
        <v>45960</v>
      </c>
      <c r="U3230">
        <v>1</v>
      </c>
      <c r="V3230">
        <v>2025</v>
      </c>
      <c r="X3230">
        <f t="shared" si="150"/>
        <v>7.6696770000000001</v>
      </c>
      <c r="Y3230">
        <f t="shared" si="151"/>
        <v>5.6996770000000003</v>
      </c>
      <c r="Z3230">
        <f t="shared" si="152"/>
        <v>51.999676999999998</v>
      </c>
    </row>
    <row r="3231" spans="1:26" x14ac:dyDescent="0.3">
      <c r="A3231" t="s">
        <v>3321</v>
      </c>
      <c r="B3231" t="s">
        <v>63</v>
      </c>
      <c r="C3231" t="s">
        <v>84</v>
      </c>
      <c r="D3231" t="s">
        <v>69</v>
      </c>
      <c r="E3231">
        <v>20</v>
      </c>
      <c r="F3231" s="3">
        <v>7.58</v>
      </c>
      <c r="G3231" s="4">
        <v>74.8</v>
      </c>
      <c r="H3231">
        <v>0</v>
      </c>
      <c r="I3231">
        <v>1</v>
      </c>
      <c r="J3231">
        <v>6</v>
      </c>
      <c r="K3231" s="4">
        <v>80.5</v>
      </c>
      <c r="L3231" s="4">
        <v>58.3</v>
      </c>
      <c r="M3231" s="4">
        <v>95</v>
      </c>
      <c r="N3231">
        <v>2</v>
      </c>
      <c r="O3231" t="s">
        <v>64</v>
      </c>
      <c r="P3231" t="s">
        <v>65</v>
      </c>
      <c r="S3231" s="3">
        <v>0</v>
      </c>
      <c r="T3231" s="5"/>
      <c r="U3231">
        <v>0</v>
      </c>
      <c r="V3231">
        <v>2025</v>
      </c>
      <c r="X3231">
        <f t="shared" si="150"/>
        <v>7.5796768999999999</v>
      </c>
      <c r="Y3231">
        <f t="shared" si="151"/>
        <v>-3.2309999999999999E-4</v>
      </c>
      <c r="Z3231">
        <f t="shared" si="152"/>
        <v>58.299676899999994</v>
      </c>
    </row>
    <row r="3232" spans="1:26" x14ac:dyDescent="0.3">
      <c r="A3232" t="s">
        <v>3322</v>
      </c>
      <c r="B3232" t="s">
        <v>82</v>
      </c>
      <c r="C3232" t="s">
        <v>78</v>
      </c>
      <c r="D3232" t="s">
        <v>57</v>
      </c>
      <c r="E3232">
        <v>23</v>
      </c>
      <c r="F3232" s="3">
        <v>7.5</v>
      </c>
      <c r="G3232" s="4">
        <v>92.9</v>
      </c>
      <c r="H3232">
        <v>1</v>
      </c>
      <c r="I3232">
        <v>1</v>
      </c>
      <c r="J3232">
        <v>2</v>
      </c>
      <c r="K3232" s="4">
        <v>41.5</v>
      </c>
      <c r="L3232" s="4">
        <v>88.7</v>
      </c>
      <c r="M3232" s="4">
        <v>99.5</v>
      </c>
      <c r="N3232">
        <v>0</v>
      </c>
      <c r="O3232" t="s">
        <v>58</v>
      </c>
      <c r="P3232" t="s">
        <v>79</v>
      </c>
      <c r="Q3232" t="s">
        <v>71</v>
      </c>
      <c r="R3232" t="s">
        <v>80</v>
      </c>
      <c r="S3232" s="3">
        <v>6.59</v>
      </c>
      <c r="T3232" s="5">
        <v>44860</v>
      </c>
      <c r="U3232">
        <v>1</v>
      </c>
      <c r="V3232">
        <v>2022</v>
      </c>
      <c r="X3232">
        <f t="shared" si="150"/>
        <v>7.4996767999999996</v>
      </c>
      <c r="Y3232">
        <f t="shared" si="151"/>
        <v>6.5896767999999994</v>
      </c>
      <c r="Z3232">
        <f t="shared" si="152"/>
        <v>88.699676800000006</v>
      </c>
    </row>
    <row r="3233" spans="1:26" x14ac:dyDescent="0.3">
      <c r="A3233" t="s">
        <v>3323</v>
      </c>
      <c r="B3233" t="s">
        <v>63</v>
      </c>
      <c r="C3233" t="s">
        <v>101</v>
      </c>
      <c r="D3233" t="s">
        <v>69</v>
      </c>
      <c r="E3233">
        <v>23</v>
      </c>
      <c r="F3233" s="3">
        <v>7.09</v>
      </c>
      <c r="G3233" s="4">
        <v>90.1</v>
      </c>
      <c r="H3233">
        <v>3</v>
      </c>
      <c r="I3233">
        <v>0</v>
      </c>
      <c r="J3233">
        <v>5</v>
      </c>
      <c r="K3233" s="4">
        <v>45.4</v>
      </c>
      <c r="L3233" s="4">
        <v>89.1</v>
      </c>
      <c r="M3233" s="4">
        <v>90.2</v>
      </c>
      <c r="N3233">
        <v>0</v>
      </c>
      <c r="O3233" t="s">
        <v>58</v>
      </c>
      <c r="P3233" t="s">
        <v>104</v>
      </c>
      <c r="Q3233" t="s">
        <v>105</v>
      </c>
      <c r="R3233" t="s">
        <v>76</v>
      </c>
      <c r="S3233" s="3">
        <v>15.57</v>
      </c>
      <c r="T3233" s="5">
        <v>45888</v>
      </c>
      <c r="U3233">
        <v>1</v>
      </c>
      <c r="V3233">
        <v>2025</v>
      </c>
      <c r="X3233">
        <f t="shared" si="150"/>
        <v>7.0896767000000001</v>
      </c>
      <c r="Y3233">
        <f t="shared" si="151"/>
        <v>15.5696767</v>
      </c>
      <c r="Z3233">
        <f t="shared" si="152"/>
        <v>89.099676699999989</v>
      </c>
    </row>
    <row r="3234" spans="1:26" x14ac:dyDescent="0.3">
      <c r="A3234" t="s">
        <v>3324</v>
      </c>
      <c r="B3234" t="s">
        <v>63</v>
      </c>
      <c r="C3234" t="s">
        <v>78</v>
      </c>
      <c r="D3234" t="s">
        <v>57</v>
      </c>
      <c r="E3234">
        <v>21</v>
      </c>
      <c r="F3234" s="3">
        <v>6.73</v>
      </c>
      <c r="G3234" s="4">
        <v>81.099999999999994</v>
      </c>
      <c r="H3234">
        <v>0</v>
      </c>
      <c r="I3234">
        <v>4</v>
      </c>
      <c r="J3234">
        <v>3</v>
      </c>
      <c r="K3234" s="4">
        <v>81.5</v>
      </c>
      <c r="L3234" s="4">
        <v>80.2</v>
      </c>
      <c r="M3234" s="4">
        <v>52</v>
      </c>
      <c r="N3234">
        <v>1</v>
      </c>
      <c r="O3234" t="s">
        <v>58</v>
      </c>
      <c r="P3234" t="s">
        <v>104</v>
      </c>
      <c r="Q3234" t="s">
        <v>105</v>
      </c>
      <c r="R3234" t="s">
        <v>80</v>
      </c>
      <c r="S3234" s="3">
        <v>14.37</v>
      </c>
      <c r="T3234" s="5">
        <v>45961</v>
      </c>
      <c r="U3234">
        <v>1</v>
      </c>
      <c r="V3234">
        <v>2025</v>
      </c>
      <c r="X3234">
        <f t="shared" si="150"/>
        <v>6.7296766000000003</v>
      </c>
      <c r="Y3234">
        <f t="shared" si="151"/>
        <v>14.3696766</v>
      </c>
      <c r="Z3234">
        <f t="shared" si="152"/>
        <v>80.199676600000004</v>
      </c>
    </row>
    <row r="3235" spans="1:26" x14ac:dyDescent="0.3">
      <c r="A3235" t="s">
        <v>3325</v>
      </c>
      <c r="B3235" t="s">
        <v>67</v>
      </c>
      <c r="C3235" t="s">
        <v>56</v>
      </c>
      <c r="D3235" t="s">
        <v>69</v>
      </c>
      <c r="E3235">
        <v>23</v>
      </c>
      <c r="F3235" s="3">
        <v>7.47</v>
      </c>
      <c r="G3235" s="4">
        <v>87.5</v>
      </c>
      <c r="H3235">
        <v>2</v>
      </c>
      <c r="I3235">
        <v>3</v>
      </c>
      <c r="J3235">
        <v>3</v>
      </c>
      <c r="K3235" s="4">
        <v>65.900000000000006</v>
      </c>
      <c r="L3235" s="4">
        <v>66.599999999999994</v>
      </c>
      <c r="M3235" s="4">
        <v>70.5</v>
      </c>
      <c r="N3235">
        <v>0</v>
      </c>
      <c r="O3235" t="s">
        <v>58</v>
      </c>
      <c r="P3235" t="s">
        <v>104</v>
      </c>
      <c r="Q3235" t="s">
        <v>105</v>
      </c>
      <c r="R3235" t="s">
        <v>76</v>
      </c>
      <c r="S3235" s="3">
        <v>14.29</v>
      </c>
      <c r="T3235" s="5">
        <v>45172</v>
      </c>
      <c r="U3235">
        <v>2</v>
      </c>
      <c r="V3235">
        <v>2023</v>
      </c>
      <c r="X3235">
        <f t="shared" si="150"/>
        <v>7.4696764999999994</v>
      </c>
      <c r="Y3235">
        <f t="shared" si="151"/>
        <v>14.289676499999999</v>
      </c>
      <c r="Z3235">
        <f t="shared" si="152"/>
        <v>66.599676500000001</v>
      </c>
    </row>
    <row r="3236" spans="1:26" x14ac:dyDescent="0.3">
      <c r="A3236" t="s">
        <v>3326</v>
      </c>
      <c r="B3236" t="s">
        <v>67</v>
      </c>
      <c r="C3236" t="s">
        <v>78</v>
      </c>
      <c r="D3236" t="s">
        <v>57</v>
      </c>
      <c r="E3236">
        <v>21</v>
      </c>
      <c r="F3236" s="3">
        <v>8.18</v>
      </c>
      <c r="G3236" s="4">
        <v>93.6</v>
      </c>
      <c r="H3236">
        <v>2</v>
      </c>
      <c r="I3236">
        <v>1</v>
      </c>
      <c r="J3236">
        <v>5</v>
      </c>
      <c r="K3236" s="4">
        <v>78.599999999999994</v>
      </c>
      <c r="L3236" s="4">
        <v>97</v>
      </c>
      <c r="M3236" s="4">
        <v>68</v>
      </c>
      <c r="N3236">
        <v>0</v>
      </c>
      <c r="O3236" t="s">
        <v>58</v>
      </c>
      <c r="P3236" t="s">
        <v>112</v>
      </c>
      <c r="Q3236" t="s">
        <v>93</v>
      </c>
      <c r="R3236" t="s">
        <v>76</v>
      </c>
      <c r="S3236" s="3">
        <v>7.83</v>
      </c>
      <c r="T3236" s="5">
        <v>45196</v>
      </c>
      <c r="U3236">
        <v>1</v>
      </c>
      <c r="V3236">
        <v>2023</v>
      </c>
      <c r="X3236">
        <f t="shared" si="150"/>
        <v>8.1796764</v>
      </c>
      <c r="Y3236">
        <f t="shared" si="151"/>
        <v>7.8296764000000003</v>
      </c>
      <c r="Z3236">
        <f t="shared" si="152"/>
        <v>96.999676399999998</v>
      </c>
    </row>
    <row r="3237" spans="1:26" x14ac:dyDescent="0.3">
      <c r="A3237" t="s">
        <v>3327</v>
      </c>
      <c r="B3237" t="s">
        <v>82</v>
      </c>
      <c r="C3237" t="s">
        <v>56</v>
      </c>
      <c r="D3237" t="s">
        <v>57</v>
      </c>
      <c r="E3237">
        <v>21</v>
      </c>
      <c r="F3237" s="3">
        <v>6.09</v>
      </c>
      <c r="G3237" s="4">
        <v>72</v>
      </c>
      <c r="H3237">
        <v>1</v>
      </c>
      <c r="I3237">
        <v>3</v>
      </c>
      <c r="J3237">
        <v>2</v>
      </c>
      <c r="K3237" s="4">
        <v>59.2</v>
      </c>
      <c r="L3237" s="4">
        <v>84.8</v>
      </c>
      <c r="M3237" s="4">
        <v>75.8</v>
      </c>
      <c r="N3237">
        <v>0</v>
      </c>
      <c r="O3237" t="s">
        <v>58</v>
      </c>
      <c r="P3237" t="s">
        <v>112</v>
      </c>
      <c r="Q3237" t="s">
        <v>93</v>
      </c>
      <c r="R3237" t="s">
        <v>76</v>
      </c>
      <c r="S3237" s="3">
        <v>6.9</v>
      </c>
      <c r="T3237" s="5">
        <v>44844</v>
      </c>
      <c r="U3237">
        <v>1</v>
      </c>
      <c r="V3237">
        <v>2022</v>
      </c>
      <c r="X3237">
        <f t="shared" si="150"/>
        <v>6.0896762999999998</v>
      </c>
      <c r="Y3237">
        <f t="shared" si="151"/>
        <v>6.8996763000000003</v>
      </c>
      <c r="Z3237">
        <f t="shared" si="152"/>
        <v>84.799676300000002</v>
      </c>
    </row>
    <row r="3238" spans="1:26" x14ac:dyDescent="0.3">
      <c r="A3238" t="s">
        <v>3328</v>
      </c>
      <c r="B3238" t="s">
        <v>107</v>
      </c>
      <c r="C3238" t="s">
        <v>74</v>
      </c>
      <c r="D3238" t="s">
        <v>57</v>
      </c>
      <c r="E3238">
        <v>22</v>
      </c>
      <c r="F3238" s="3">
        <v>7.2</v>
      </c>
      <c r="G3238" s="4">
        <v>77.3</v>
      </c>
      <c r="H3238">
        <v>1</v>
      </c>
      <c r="I3238">
        <v>3</v>
      </c>
      <c r="J3238">
        <v>3</v>
      </c>
      <c r="K3238" s="4">
        <v>44.8</v>
      </c>
      <c r="L3238" s="4">
        <v>68.2</v>
      </c>
      <c r="M3238" s="4">
        <v>89.9</v>
      </c>
      <c r="N3238">
        <v>0</v>
      </c>
      <c r="O3238" t="s">
        <v>64</v>
      </c>
      <c r="P3238" t="s">
        <v>65</v>
      </c>
      <c r="S3238" s="3">
        <v>0</v>
      </c>
      <c r="T3238" s="5"/>
      <c r="U3238">
        <v>0</v>
      </c>
      <c r="V3238">
        <v>2021</v>
      </c>
      <c r="X3238">
        <f t="shared" si="150"/>
        <v>7.1996761999999999</v>
      </c>
      <c r="Y3238">
        <f t="shared" si="151"/>
        <v>-3.2380000000000001E-4</v>
      </c>
      <c r="Z3238">
        <f t="shared" si="152"/>
        <v>68.199676199999999</v>
      </c>
    </row>
    <row r="3239" spans="1:26" x14ac:dyDescent="0.3">
      <c r="A3239" t="s">
        <v>3329</v>
      </c>
      <c r="B3239" t="s">
        <v>82</v>
      </c>
      <c r="C3239" t="s">
        <v>101</v>
      </c>
      <c r="D3239" t="s">
        <v>69</v>
      </c>
      <c r="E3239">
        <v>20</v>
      </c>
      <c r="F3239" s="3">
        <v>9.51</v>
      </c>
      <c r="G3239" s="4">
        <v>86.7</v>
      </c>
      <c r="H3239">
        <v>1</v>
      </c>
      <c r="I3239">
        <v>1</v>
      </c>
      <c r="J3239">
        <v>1</v>
      </c>
      <c r="K3239" s="4">
        <v>69.3</v>
      </c>
      <c r="L3239" s="4">
        <v>40.700000000000003</v>
      </c>
      <c r="M3239" s="4">
        <v>73.400000000000006</v>
      </c>
      <c r="N3239">
        <v>0</v>
      </c>
      <c r="O3239" t="s">
        <v>58</v>
      </c>
      <c r="P3239" t="s">
        <v>112</v>
      </c>
      <c r="Q3239" t="s">
        <v>93</v>
      </c>
      <c r="R3239" t="s">
        <v>85</v>
      </c>
      <c r="S3239" s="3">
        <v>7.36</v>
      </c>
      <c r="T3239" s="5">
        <v>44786</v>
      </c>
      <c r="U3239">
        <v>1</v>
      </c>
      <c r="V3239">
        <v>2022</v>
      </c>
      <c r="X3239">
        <f t="shared" si="150"/>
        <v>9.5096761000000001</v>
      </c>
      <c r="Y3239">
        <f t="shared" si="151"/>
        <v>7.3596761000000006</v>
      </c>
      <c r="Z3239">
        <f t="shared" si="152"/>
        <v>40.699676100000005</v>
      </c>
    </row>
    <row r="3240" spans="1:26" x14ac:dyDescent="0.3">
      <c r="A3240" t="s">
        <v>3330</v>
      </c>
      <c r="B3240" t="s">
        <v>82</v>
      </c>
      <c r="C3240" t="s">
        <v>68</v>
      </c>
      <c r="D3240" t="s">
        <v>57</v>
      </c>
      <c r="E3240">
        <v>21</v>
      </c>
      <c r="F3240" s="3">
        <v>7.48</v>
      </c>
      <c r="G3240" s="4">
        <v>82.2</v>
      </c>
      <c r="H3240">
        <v>1</v>
      </c>
      <c r="I3240">
        <v>3</v>
      </c>
      <c r="J3240">
        <v>4</v>
      </c>
      <c r="K3240" s="4">
        <v>48.4</v>
      </c>
      <c r="L3240" s="4">
        <v>82.9</v>
      </c>
      <c r="M3240" s="4">
        <v>63</v>
      </c>
      <c r="N3240">
        <v>0</v>
      </c>
      <c r="O3240" t="s">
        <v>58</v>
      </c>
      <c r="P3240" t="s">
        <v>79</v>
      </c>
      <c r="Q3240" t="s">
        <v>71</v>
      </c>
      <c r="R3240" t="s">
        <v>80</v>
      </c>
      <c r="S3240" s="3">
        <v>6.52</v>
      </c>
      <c r="T3240" s="5">
        <v>44777</v>
      </c>
      <c r="U3240">
        <v>1</v>
      </c>
      <c r="V3240">
        <v>2022</v>
      </c>
      <c r="X3240">
        <f t="shared" si="150"/>
        <v>7.4796760000000004</v>
      </c>
      <c r="Y3240">
        <f t="shared" si="151"/>
        <v>6.5196759999999996</v>
      </c>
      <c r="Z3240">
        <f t="shared" si="152"/>
        <v>82.899675999999999</v>
      </c>
    </row>
    <row r="3241" spans="1:26" x14ac:dyDescent="0.3">
      <c r="A3241" t="s">
        <v>3331</v>
      </c>
      <c r="B3241" t="s">
        <v>55</v>
      </c>
      <c r="C3241" t="s">
        <v>101</v>
      </c>
      <c r="D3241" t="s">
        <v>69</v>
      </c>
      <c r="E3241">
        <v>21</v>
      </c>
      <c r="F3241" s="3">
        <v>7.79</v>
      </c>
      <c r="G3241" s="4">
        <v>85.7</v>
      </c>
      <c r="H3241">
        <v>0</v>
      </c>
      <c r="I3241">
        <v>1</v>
      </c>
      <c r="J3241">
        <v>2</v>
      </c>
      <c r="K3241" s="4">
        <v>69.8</v>
      </c>
      <c r="L3241" s="4">
        <v>88.6</v>
      </c>
      <c r="M3241" s="4">
        <v>87.9</v>
      </c>
      <c r="N3241">
        <v>0</v>
      </c>
      <c r="O3241" t="s">
        <v>58</v>
      </c>
      <c r="P3241" t="s">
        <v>92</v>
      </c>
      <c r="Q3241" t="s">
        <v>93</v>
      </c>
      <c r="R3241" t="s">
        <v>80</v>
      </c>
      <c r="S3241" s="3">
        <v>7.66</v>
      </c>
      <c r="T3241" s="5">
        <v>45515</v>
      </c>
      <c r="U3241">
        <v>1</v>
      </c>
      <c r="V3241">
        <v>2024</v>
      </c>
      <c r="X3241">
        <f t="shared" si="150"/>
        <v>7.7896758999999998</v>
      </c>
      <c r="Y3241">
        <f t="shared" si="151"/>
        <v>7.6596758999999999</v>
      </c>
      <c r="Z3241">
        <f t="shared" si="152"/>
        <v>88.599675899999994</v>
      </c>
    </row>
    <row r="3242" spans="1:26" x14ac:dyDescent="0.3">
      <c r="A3242" t="s">
        <v>3332</v>
      </c>
      <c r="B3242" t="s">
        <v>55</v>
      </c>
      <c r="C3242" t="s">
        <v>56</v>
      </c>
      <c r="D3242" t="s">
        <v>69</v>
      </c>
      <c r="E3242">
        <v>21</v>
      </c>
      <c r="F3242" s="3">
        <v>9.3000000000000007</v>
      </c>
      <c r="G3242" s="4">
        <v>88.2</v>
      </c>
      <c r="H3242">
        <v>1</v>
      </c>
      <c r="I3242">
        <v>0</v>
      </c>
      <c r="J3242">
        <v>2</v>
      </c>
      <c r="K3242" s="4">
        <v>54.5</v>
      </c>
      <c r="L3242" s="4">
        <v>76.400000000000006</v>
      </c>
      <c r="M3242" s="4">
        <v>78.5</v>
      </c>
      <c r="N3242">
        <v>0</v>
      </c>
      <c r="O3242" t="s">
        <v>58</v>
      </c>
      <c r="P3242" t="s">
        <v>112</v>
      </c>
      <c r="Q3242" t="s">
        <v>93</v>
      </c>
      <c r="R3242" t="s">
        <v>61</v>
      </c>
      <c r="S3242" s="3">
        <v>7.83</v>
      </c>
      <c r="T3242" s="5">
        <v>45554</v>
      </c>
      <c r="U3242">
        <v>1</v>
      </c>
      <c r="V3242">
        <v>2024</v>
      </c>
      <c r="X3242">
        <f t="shared" si="150"/>
        <v>9.299675800000001</v>
      </c>
      <c r="Y3242">
        <f t="shared" si="151"/>
        <v>7.8296758000000004</v>
      </c>
      <c r="Z3242">
        <f t="shared" si="152"/>
        <v>76.399675800000011</v>
      </c>
    </row>
    <row r="3243" spans="1:26" x14ac:dyDescent="0.3">
      <c r="A3243" t="s">
        <v>3333</v>
      </c>
      <c r="B3243" t="s">
        <v>82</v>
      </c>
      <c r="C3243" t="s">
        <v>89</v>
      </c>
      <c r="D3243" t="s">
        <v>57</v>
      </c>
      <c r="E3243">
        <v>22</v>
      </c>
      <c r="F3243" s="3">
        <v>7.94</v>
      </c>
      <c r="G3243" s="4">
        <v>86.5</v>
      </c>
      <c r="H3243">
        <v>1</v>
      </c>
      <c r="I3243">
        <v>2</v>
      </c>
      <c r="J3243">
        <v>5</v>
      </c>
      <c r="K3243" s="4">
        <v>77.099999999999994</v>
      </c>
      <c r="L3243" s="4">
        <v>41.3</v>
      </c>
      <c r="M3243" s="4">
        <v>83.3</v>
      </c>
      <c r="N3243">
        <v>0</v>
      </c>
      <c r="O3243" t="s">
        <v>64</v>
      </c>
      <c r="P3243" t="s">
        <v>65</v>
      </c>
      <c r="S3243" s="3">
        <v>0</v>
      </c>
      <c r="T3243" s="5"/>
      <c r="U3243">
        <v>0</v>
      </c>
      <c r="V3243">
        <v>2022</v>
      </c>
      <c r="X3243">
        <f t="shared" si="150"/>
        <v>7.9396757000000004</v>
      </c>
      <c r="Y3243">
        <f t="shared" si="151"/>
        <v>-3.2429999999999997E-4</v>
      </c>
      <c r="Z3243">
        <f t="shared" si="152"/>
        <v>41.299675699999995</v>
      </c>
    </row>
    <row r="3244" spans="1:26" x14ac:dyDescent="0.3">
      <c r="A3244" t="s">
        <v>3334</v>
      </c>
      <c r="B3244" t="s">
        <v>82</v>
      </c>
      <c r="C3244" t="s">
        <v>56</v>
      </c>
      <c r="D3244" t="s">
        <v>69</v>
      </c>
      <c r="E3244">
        <v>21</v>
      </c>
      <c r="F3244" s="3">
        <v>7.96</v>
      </c>
      <c r="G3244" s="4">
        <v>79.7</v>
      </c>
      <c r="H3244">
        <v>2</v>
      </c>
      <c r="I3244">
        <v>2</v>
      </c>
      <c r="J3244">
        <v>3</v>
      </c>
      <c r="K3244" s="4">
        <v>64.2</v>
      </c>
      <c r="L3244" s="4">
        <v>73</v>
      </c>
      <c r="M3244" s="4">
        <v>86.1</v>
      </c>
      <c r="N3244">
        <v>1</v>
      </c>
      <c r="O3244" t="s">
        <v>58</v>
      </c>
      <c r="P3244" t="s">
        <v>59</v>
      </c>
      <c r="Q3244" t="s">
        <v>60</v>
      </c>
      <c r="R3244" t="s">
        <v>80</v>
      </c>
      <c r="S3244" s="3">
        <v>18.760000000000002</v>
      </c>
      <c r="T3244" s="5">
        <v>44833</v>
      </c>
      <c r="U3244">
        <v>3</v>
      </c>
      <c r="V3244">
        <v>2022</v>
      </c>
      <c r="X3244">
        <f t="shared" si="150"/>
        <v>7.9596755999999997</v>
      </c>
      <c r="Y3244">
        <f t="shared" si="151"/>
        <v>18.759675600000001</v>
      </c>
      <c r="Z3244">
        <f t="shared" si="152"/>
        <v>72.999675600000003</v>
      </c>
    </row>
    <row r="3245" spans="1:26" x14ac:dyDescent="0.3">
      <c r="A3245" t="s">
        <v>3335</v>
      </c>
      <c r="B3245" t="s">
        <v>82</v>
      </c>
      <c r="C3245" t="s">
        <v>89</v>
      </c>
      <c r="D3245" t="s">
        <v>57</v>
      </c>
      <c r="E3245">
        <v>20</v>
      </c>
      <c r="F3245" s="3">
        <v>6.83</v>
      </c>
      <c r="G3245" s="4">
        <v>80.3</v>
      </c>
      <c r="H3245">
        <v>2</v>
      </c>
      <c r="I3245">
        <v>0</v>
      </c>
      <c r="J3245">
        <v>3</v>
      </c>
      <c r="K3245" s="4">
        <v>63.8</v>
      </c>
      <c r="L3245" s="4">
        <v>100</v>
      </c>
      <c r="M3245" s="4">
        <v>69.900000000000006</v>
      </c>
      <c r="N3245">
        <v>0</v>
      </c>
      <c r="O3245" t="s">
        <v>58</v>
      </c>
      <c r="P3245" t="s">
        <v>79</v>
      </c>
      <c r="Q3245" t="s">
        <v>71</v>
      </c>
      <c r="R3245" t="s">
        <v>61</v>
      </c>
      <c r="S3245" s="3">
        <v>5.86</v>
      </c>
      <c r="T3245" s="5">
        <v>44794</v>
      </c>
      <c r="U3245">
        <v>3</v>
      </c>
      <c r="V3245">
        <v>2022</v>
      </c>
      <c r="X3245">
        <f t="shared" si="150"/>
        <v>6.8296755000000005</v>
      </c>
      <c r="Y3245">
        <f t="shared" si="151"/>
        <v>5.8596755000000007</v>
      </c>
      <c r="Z3245">
        <f t="shared" si="152"/>
        <v>99.999675499999995</v>
      </c>
    </row>
    <row r="3246" spans="1:26" x14ac:dyDescent="0.3">
      <c r="A3246" t="s">
        <v>3336</v>
      </c>
      <c r="B3246" t="s">
        <v>63</v>
      </c>
      <c r="C3246" t="s">
        <v>78</v>
      </c>
      <c r="D3246" t="s">
        <v>57</v>
      </c>
      <c r="E3246">
        <v>20</v>
      </c>
      <c r="F3246" s="3">
        <v>7.93</v>
      </c>
      <c r="G3246" s="4">
        <v>96</v>
      </c>
      <c r="H3246">
        <v>2</v>
      </c>
      <c r="I3246">
        <v>2</v>
      </c>
      <c r="J3246">
        <v>4</v>
      </c>
      <c r="K3246" s="4">
        <v>72.8</v>
      </c>
      <c r="L3246" s="4">
        <v>67.7</v>
      </c>
      <c r="M3246" s="4">
        <v>59.8</v>
      </c>
      <c r="N3246">
        <v>0</v>
      </c>
      <c r="O3246" t="s">
        <v>58</v>
      </c>
      <c r="P3246" t="s">
        <v>95</v>
      </c>
      <c r="Q3246" t="s">
        <v>93</v>
      </c>
      <c r="R3246" t="s">
        <v>130</v>
      </c>
      <c r="S3246" s="3">
        <v>7.79</v>
      </c>
      <c r="T3246" s="5">
        <v>45912</v>
      </c>
      <c r="U3246">
        <v>2</v>
      </c>
      <c r="V3246">
        <v>2025</v>
      </c>
      <c r="X3246">
        <f t="shared" si="150"/>
        <v>7.9296753999999998</v>
      </c>
      <c r="Y3246">
        <f t="shared" si="151"/>
        <v>7.7896754000000001</v>
      </c>
      <c r="Z3246">
        <f t="shared" si="152"/>
        <v>67.699675400000004</v>
      </c>
    </row>
    <row r="3247" spans="1:26" x14ac:dyDescent="0.3">
      <c r="A3247" t="s">
        <v>3337</v>
      </c>
      <c r="B3247" t="s">
        <v>55</v>
      </c>
      <c r="C3247" t="s">
        <v>89</v>
      </c>
      <c r="D3247" t="s">
        <v>57</v>
      </c>
      <c r="E3247">
        <v>23</v>
      </c>
      <c r="F3247" s="3">
        <v>7.64</v>
      </c>
      <c r="G3247" s="4">
        <v>82.8</v>
      </c>
      <c r="H3247">
        <v>1</v>
      </c>
      <c r="I3247">
        <v>4</v>
      </c>
      <c r="J3247">
        <v>4</v>
      </c>
      <c r="K3247" s="4">
        <v>81</v>
      </c>
      <c r="L3247" s="4">
        <v>99.5</v>
      </c>
      <c r="M3247" s="4">
        <v>76.599999999999994</v>
      </c>
      <c r="N3247">
        <v>0</v>
      </c>
      <c r="O3247" t="s">
        <v>58</v>
      </c>
      <c r="P3247" t="s">
        <v>87</v>
      </c>
      <c r="Q3247" t="s">
        <v>71</v>
      </c>
      <c r="R3247" t="s">
        <v>61</v>
      </c>
      <c r="S3247" s="3">
        <v>7.54</v>
      </c>
      <c r="T3247" s="5">
        <v>45549</v>
      </c>
      <c r="U3247">
        <v>1</v>
      </c>
      <c r="V3247">
        <v>2024</v>
      </c>
      <c r="X3247">
        <f t="shared" si="150"/>
        <v>7.6396752999999995</v>
      </c>
      <c r="Y3247">
        <f t="shared" si="151"/>
        <v>7.5396752999999999</v>
      </c>
      <c r="Z3247">
        <f t="shared" si="152"/>
        <v>99.499675300000007</v>
      </c>
    </row>
    <row r="3248" spans="1:26" x14ac:dyDescent="0.3">
      <c r="A3248" t="s">
        <v>3338</v>
      </c>
      <c r="B3248" t="s">
        <v>82</v>
      </c>
      <c r="C3248" t="s">
        <v>74</v>
      </c>
      <c r="D3248" t="s">
        <v>69</v>
      </c>
      <c r="E3248">
        <v>20</v>
      </c>
      <c r="F3248" s="3">
        <v>8.48</v>
      </c>
      <c r="G3248" s="4">
        <v>94.2</v>
      </c>
      <c r="H3248">
        <v>1</v>
      </c>
      <c r="I3248">
        <v>3</v>
      </c>
      <c r="J3248">
        <v>3</v>
      </c>
      <c r="K3248" s="4">
        <v>70.599999999999994</v>
      </c>
      <c r="L3248" s="4">
        <v>80.5</v>
      </c>
      <c r="M3248" s="4">
        <v>69.900000000000006</v>
      </c>
      <c r="N3248">
        <v>0</v>
      </c>
      <c r="O3248" t="s">
        <v>58</v>
      </c>
      <c r="P3248" t="s">
        <v>87</v>
      </c>
      <c r="Q3248" t="s">
        <v>71</v>
      </c>
      <c r="R3248" t="s">
        <v>109</v>
      </c>
      <c r="S3248" s="3">
        <v>6.28</v>
      </c>
      <c r="T3248" s="5">
        <v>44815</v>
      </c>
      <c r="U3248">
        <v>1</v>
      </c>
      <c r="V3248">
        <v>2022</v>
      </c>
      <c r="X3248">
        <f t="shared" si="150"/>
        <v>8.4796752000000009</v>
      </c>
      <c r="Y3248">
        <f t="shared" si="151"/>
        <v>6.2796752000000007</v>
      </c>
      <c r="Z3248">
        <f t="shared" si="152"/>
        <v>80.499675199999999</v>
      </c>
    </row>
    <row r="3249" spans="1:26" x14ac:dyDescent="0.3">
      <c r="A3249" t="s">
        <v>3339</v>
      </c>
      <c r="B3249" t="s">
        <v>67</v>
      </c>
      <c r="C3249" t="s">
        <v>56</v>
      </c>
      <c r="D3249" t="s">
        <v>57</v>
      </c>
      <c r="E3249">
        <v>23</v>
      </c>
      <c r="F3249" s="3">
        <v>8.8000000000000007</v>
      </c>
      <c r="G3249" s="4">
        <v>94.8</v>
      </c>
      <c r="H3249">
        <v>1</v>
      </c>
      <c r="I3249">
        <v>3</v>
      </c>
      <c r="J3249">
        <v>6</v>
      </c>
      <c r="K3249" s="4">
        <v>93</v>
      </c>
      <c r="L3249" s="4">
        <v>70.7</v>
      </c>
      <c r="M3249" s="4">
        <v>74.900000000000006</v>
      </c>
      <c r="N3249">
        <v>1</v>
      </c>
      <c r="O3249" t="s">
        <v>58</v>
      </c>
      <c r="P3249" t="s">
        <v>95</v>
      </c>
      <c r="Q3249" t="s">
        <v>93</v>
      </c>
      <c r="R3249" t="s">
        <v>76</v>
      </c>
      <c r="S3249" s="3">
        <v>8.3800000000000008</v>
      </c>
      <c r="T3249" s="5">
        <v>45164</v>
      </c>
      <c r="U3249">
        <v>2</v>
      </c>
      <c r="V3249">
        <v>2023</v>
      </c>
      <c r="X3249">
        <f t="shared" si="150"/>
        <v>8.7996751</v>
      </c>
      <c r="Y3249">
        <f t="shared" si="151"/>
        <v>8.3796751</v>
      </c>
      <c r="Z3249">
        <f t="shared" si="152"/>
        <v>70.699675100000007</v>
      </c>
    </row>
    <row r="3250" spans="1:26" x14ac:dyDescent="0.3">
      <c r="A3250" t="s">
        <v>3340</v>
      </c>
      <c r="B3250" t="s">
        <v>67</v>
      </c>
      <c r="C3250" t="s">
        <v>56</v>
      </c>
      <c r="D3250" t="s">
        <v>69</v>
      </c>
      <c r="E3250">
        <v>20</v>
      </c>
      <c r="F3250" s="3">
        <v>7.68</v>
      </c>
      <c r="G3250" s="4">
        <v>75</v>
      </c>
      <c r="H3250">
        <v>1</v>
      </c>
      <c r="I3250">
        <v>3</v>
      </c>
      <c r="J3250">
        <v>5</v>
      </c>
      <c r="K3250" s="4">
        <v>92.4</v>
      </c>
      <c r="L3250" s="4">
        <v>91</v>
      </c>
      <c r="M3250" s="4">
        <v>91</v>
      </c>
      <c r="N3250">
        <v>0</v>
      </c>
      <c r="O3250" t="s">
        <v>58</v>
      </c>
      <c r="P3250" t="s">
        <v>112</v>
      </c>
      <c r="Q3250" t="s">
        <v>93</v>
      </c>
      <c r="R3250" t="s">
        <v>85</v>
      </c>
      <c r="S3250" s="3">
        <v>8.3000000000000007</v>
      </c>
      <c r="T3250" s="5">
        <v>45169</v>
      </c>
      <c r="U3250">
        <v>2</v>
      </c>
      <c r="V3250">
        <v>2023</v>
      </c>
      <c r="X3250">
        <f t="shared" si="150"/>
        <v>7.6796749999999996</v>
      </c>
      <c r="Y3250">
        <f t="shared" si="151"/>
        <v>8.2996750000000006</v>
      </c>
      <c r="Z3250">
        <f t="shared" si="152"/>
        <v>90.999674999999996</v>
      </c>
    </row>
    <row r="3251" spans="1:26" x14ac:dyDescent="0.3">
      <c r="A3251" t="s">
        <v>3341</v>
      </c>
      <c r="B3251" t="s">
        <v>63</v>
      </c>
      <c r="C3251" t="s">
        <v>89</v>
      </c>
      <c r="D3251" t="s">
        <v>57</v>
      </c>
      <c r="E3251">
        <v>23</v>
      </c>
      <c r="F3251" s="3">
        <v>7.99</v>
      </c>
      <c r="G3251" s="4">
        <v>88.6</v>
      </c>
      <c r="H3251">
        <v>1</v>
      </c>
      <c r="I3251">
        <v>3</v>
      </c>
      <c r="J3251">
        <v>2</v>
      </c>
      <c r="K3251" s="4">
        <v>58.2</v>
      </c>
      <c r="L3251" s="4">
        <v>60.9</v>
      </c>
      <c r="M3251" s="4">
        <v>76.400000000000006</v>
      </c>
      <c r="N3251">
        <v>0</v>
      </c>
      <c r="O3251" t="s">
        <v>58</v>
      </c>
      <c r="P3251" t="s">
        <v>75</v>
      </c>
      <c r="Q3251" t="s">
        <v>71</v>
      </c>
      <c r="R3251" t="s">
        <v>109</v>
      </c>
      <c r="S3251" s="3">
        <v>5.67</v>
      </c>
      <c r="T3251" s="5">
        <v>45918</v>
      </c>
      <c r="U3251">
        <v>2</v>
      </c>
      <c r="V3251">
        <v>2025</v>
      </c>
      <c r="X3251">
        <f t="shared" si="150"/>
        <v>7.9896748999999998</v>
      </c>
      <c r="Y3251">
        <f t="shared" si="151"/>
        <v>5.6696748999999995</v>
      </c>
      <c r="Z3251">
        <f t="shared" si="152"/>
        <v>60.899674900000001</v>
      </c>
    </row>
    <row r="3252" spans="1:26" x14ac:dyDescent="0.3">
      <c r="A3252" t="s">
        <v>3342</v>
      </c>
      <c r="B3252" t="s">
        <v>63</v>
      </c>
      <c r="C3252" t="s">
        <v>84</v>
      </c>
      <c r="D3252" t="s">
        <v>57</v>
      </c>
      <c r="E3252">
        <v>21</v>
      </c>
      <c r="F3252" s="3">
        <v>5.95</v>
      </c>
      <c r="G3252" s="4">
        <v>72.3</v>
      </c>
      <c r="H3252">
        <v>3</v>
      </c>
      <c r="I3252">
        <v>0</v>
      </c>
      <c r="J3252">
        <v>4</v>
      </c>
      <c r="K3252" s="4">
        <v>52.4</v>
      </c>
      <c r="L3252" s="4">
        <v>51.5</v>
      </c>
      <c r="M3252" s="4">
        <v>96.1</v>
      </c>
      <c r="N3252">
        <v>0</v>
      </c>
      <c r="O3252" t="s">
        <v>64</v>
      </c>
      <c r="P3252" t="s">
        <v>65</v>
      </c>
      <c r="S3252" s="3">
        <v>0</v>
      </c>
      <c r="T3252" s="5"/>
      <c r="U3252">
        <v>0</v>
      </c>
      <c r="V3252">
        <v>2025</v>
      </c>
      <c r="X3252">
        <f t="shared" si="150"/>
        <v>5.9496748000000004</v>
      </c>
      <c r="Y3252">
        <f t="shared" si="151"/>
        <v>-3.2519999999999999E-4</v>
      </c>
      <c r="Z3252">
        <f t="shared" si="152"/>
        <v>51.499674800000001</v>
      </c>
    </row>
    <row r="3253" spans="1:26" x14ac:dyDescent="0.3">
      <c r="A3253" t="s">
        <v>3343</v>
      </c>
      <c r="B3253" t="s">
        <v>107</v>
      </c>
      <c r="C3253" t="s">
        <v>56</v>
      </c>
      <c r="D3253" t="s">
        <v>69</v>
      </c>
      <c r="E3253">
        <v>22</v>
      </c>
      <c r="F3253" s="3">
        <v>5.64</v>
      </c>
      <c r="G3253" s="4">
        <v>96.6</v>
      </c>
      <c r="H3253">
        <v>1</v>
      </c>
      <c r="I3253">
        <v>4</v>
      </c>
      <c r="J3253">
        <v>2</v>
      </c>
      <c r="K3253" s="4">
        <v>50.9</v>
      </c>
      <c r="L3253" s="4">
        <v>51.8</v>
      </c>
      <c r="M3253" s="4">
        <v>77.5</v>
      </c>
      <c r="N3253">
        <v>1</v>
      </c>
      <c r="O3253" t="s">
        <v>64</v>
      </c>
      <c r="P3253" t="s">
        <v>65</v>
      </c>
      <c r="S3253" s="3">
        <v>0</v>
      </c>
      <c r="T3253" s="5"/>
      <c r="U3253">
        <v>0</v>
      </c>
      <c r="V3253">
        <v>2021</v>
      </c>
      <c r="X3253">
        <f t="shared" si="150"/>
        <v>5.6396746999999996</v>
      </c>
      <c r="Y3253">
        <f t="shared" si="151"/>
        <v>-3.2529999999999999E-4</v>
      </c>
      <c r="Z3253">
        <f t="shared" si="152"/>
        <v>51.799674699999997</v>
      </c>
    </row>
    <row r="3254" spans="1:26" x14ac:dyDescent="0.3">
      <c r="A3254" t="s">
        <v>3344</v>
      </c>
      <c r="B3254" t="s">
        <v>107</v>
      </c>
      <c r="C3254" t="s">
        <v>78</v>
      </c>
      <c r="D3254" t="s">
        <v>57</v>
      </c>
      <c r="E3254">
        <v>22</v>
      </c>
      <c r="F3254" s="3">
        <v>8.6300000000000008</v>
      </c>
      <c r="G3254" s="4">
        <v>83.7</v>
      </c>
      <c r="H3254">
        <v>1</v>
      </c>
      <c r="I3254">
        <v>3</v>
      </c>
      <c r="J3254">
        <v>3</v>
      </c>
      <c r="K3254" s="4">
        <v>93.2</v>
      </c>
      <c r="L3254" s="4">
        <v>73.099999999999994</v>
      </c>
      <c r="M3254" s="4">
        <v>70.599999999999994</v>
      </c>
      <c r="N3254">
        <v>0</v>
      </c>
      <c r="O3254" t="s">
        <v>58</v>
      </c>
      <c r="P3254" t="s">
        <v>59</v>
      </c>
      <c r="Q3254" t="s">
        <v>60</v>
      </c>
      <c r="R3254" t="s">
        <v>76</v>
      </c>
      <c r="S3254" s="3">
        <v>21.39</v>
      </c>
      <c r="T3254" s="5">
        <v>44447</v>
      </c>
      <c r="U3254">
        <v>1</v>
      </c>
      <c r="V3254">
        <v>2021</v>
      </c>
      <c r="X3254">
        <f t="shared" si="150"/>
        <v>8.6296746000000013</v>
      </c>
      <c r="Y3254">
        <f t="shared" si="151"/>
        <v>21.389674599999999</v>
      </c>
      <c r="Z3254">
        <f t="shared" si="152"/>
        <v>73.0996746</v>
      </c>
    </row>
    <row r="3255" spans="1:26" x14ac:dyDescent="0.3">
      <c r="A3255" t="s">
        <v>3345</v>
      </c>
      <c r="B3255" t="s">
        <v>107</v>
      </c>
      <c r="C3255" t="s">
        <v>101</v>
      </c>
      <c r="D3255" t="s">
        <v>57</v>
      </c>
      <c r="E3255">
        <v>22</v>
      </c>
      <c r="F3255" s="3">
        <v>5.4</v>
      </c>
      <c r="G3255" s="4">
        <v>83.3</v>
      </c>
      <c r="H3255">
        <v>2</v>
      </c>
      <c r="I3255">
        <v>1</v>
      </c>
      <c r="J3255">
        <v>6</v>
      </c>
      <c r="K3255" s="4">
        <v>50.9</v>
      </c>
      <c r="L3255" s="4">
        <v>76.7</v>
      </c>
      <c r="M3255" s="4">
        <v>58.9</v>
      </c>
      <c r="N3255">
        <v>0</v>
      </c>
      <c r="O3255" t="s">
        <v>58</v>
      </c>
      <c r="P3255" t="s">
        <v>75</v>
      </c>
      <c r="Q3255" t="s">
        <v>71</v>
      </c>
      <c r="R3255" t="s">
        <v>72</v>
      </c>
      <c r="S3255" s="3">
        <v>5.9</v>
      </c>
      <c r="T3255" s="5">
        <v>44456</v>
      </c>
      <c r="U3255">
        <v>3</v>
      </c>
      <c r="V3255">
        <v>2021</v>
      </c>
      <c r="X3255">
        <f t="shared" si="150"/>
        <v>5.3996745000000006</v>
      </c>
      <c r="Y3255">
        <f t="shared" si="151"/>
        <v>5.8996745000000006</v>
      </c>
      <c r="Z3255">
        <f t="shared" si="152"/>
        <v>76.6996745</v>
      </c>
    </row>
    <row r="3256" spans="1:26" x14ac:dyDescent="0.3">
      <c r="A3256" t="s">
        <v>3346</v>
      </c>
      <c r="B3256" t="s">
        <v>63</v>
      </c>
      <c r="C3256" t="s">
        <v>68</v>
      </c>
      <c r="D3256" t="s">
        <v>69</v>
      </c>
      <c r="E3256">
        <v>21</v>
      </c>
      <c r="F3256" s="3">
        <v>7.94</v>
      </c>
      <c r="G3256" s="4">
        <v>74.2</v>
      </c>
      <c r="H3256">
        <v>2</v>
      </c>
      <c r="I3256">
        <v>2</v>
      </c>
      <c r="J3256">
        <v>3</v>
      </c>
      <c r="K3256" s="4">
        <v>62.6</v>
      </c>
      <c r="L3256" s="4">
        <v>59.8</v>
      </c>
      <c r="M3256" s="4">
        <v>76.7</v>
      </c>
      <c r="N3256">
        <v>1</v>
      </c>
      <c r="O3256" t="s">
        <v>58</v>
      </c>
      <c r="P3256" t="s">
        <v>87</v>
      </c>
      <c r="Q3256" t="s">
        <v>71</v>
      </c>
      <c r="R3256" t="s">
        <v>130</v>
      </c>
      <c r="S3256" s="3">
        <v>7.44</v>
      </c>
      <c r="T3256" s="5">
        <v>45890</v>
      </c>
      <c r="U3256">
        <v>2</v>
      </c>
      <c r="V3256">
        <v>2025</v>
      </c>
      <c r="X3256">
        <f t="shared" si="150"/>
        <v>7.9396744000000004</v>
      </c>
      <c r="Y3256">
        <f t="shared" si="151"/>
        <v>7.4396744000000004</v>
      </c>
      <c r="Z3256">
        <f t="shared" si="152"/>
        <v>59.799674400000001</v>
      </c>
    </row>
    <row r="3257" spans="1:26" x14ac:dyDescent="0.3">
      <c r="A3257" t="s">
        <v>3347</v>
      </c>
      <c r="B3257" t="s">
        <v>63</v>
      </c>
      <c r="C3257" t="s">
        <v>78</v>
      </c>
      <c r="D3257" t="s">
        <v>57</v>
      </c>
      <c r="E3257">
        <v>22</v>
      </c>
      <c r="F3257" s="3">
        <v>7.49</v>
      </c>
      <c r="G3257" s="4">
        <v>76.5</v>
      </c>
      <c r="H3257">
        <v>1</v>
      </c>
      <c r="I3257">
        <v>2</v>
      </c>
      <c r="J3257">
        <v>5</v>
      </c>
      <c r="K3257" s="4">
        <v>68.2</v>
      </c>
      <c r="L3257" s="4">
        <v>88.3</v>
      </c>
      <c r="M3257" s="4">
        <v>63</v>
      </c>
      <c r="N3257">
        <v>0</v>
      </c>
      <c r="O3257" t="s">
        <v>58</v>
      </c>
      <c r="P3257" t="s">
        <v>79</v>
      </c>
      <c r="Q3257" t="s">
        <v>71</v>
      </c>
      <c r="R3257" t="s">
        <v>109</v>
      </c>
      <c r="S3257" s="3">
        <v>6.54</v>
      </c>
      <c r="T3257" s="5">
        <v>45971</v>
      </c>
      <c r="U3257">
        <v>1</v>
      </c>
      <c r="V3257">
        <v>2025</v>
      </c>
      <c r="X3257">
        <f t="shared" si="150"/>
        <v>7.4896742999999999</v>
      </c>
      <c r="Y3257">
        <f t="shared" si="151"/>
        <v>6.5396742999999997</v>
      </c>
      <c r="Z3257">
        <f t="shared" si="152"/>
        <v>88.299674299999992</v>
      </c>
    </row>
    <row r="3258" spans="1:26" x14ac:dyDescent="0.3">
      <c r="A3258" t="s">
        <v>3348</v>
      </c>
      <c r="B3258" t="s">
        <v>63</v>
      </c>
      <c r="C3258" t="s">
        <v>101</v>
      </c>
      <c r="D3258" t="s">
        <v>57</v>
      </c>
      <c r="E3258">
        <v>20</v>
      </c>
      <c r="F3258" s="3">
        <v>8.76</v>
      </c>
      <c r="G3258" s="4">
        <v>84</v>
      </c>
      <c r="H3258">
        <v>1</v>
      </c>
      <c r="I3258">
        <v>0</v>
      </c>
      <c r="J3258">
        <v>2</v>
      </c>
      <c r="K3258" s="4">
        <v>92.8</v>
      </c>
      <c r="L3258" s="4">
        <v>71.3</v>
      </c>
      <c r="M3258" s="4">
        <v>80.400000000000006</v>
      </c>
      <c r="N3258">
        <v>0</v>
      </c>
      <c r="O3258" t="s">
        <v>58</v>
      </c>
      <c r="P3258" t="s">
        <v>95</v>
      </c>
      <c r="Q3258" t="s">
        <v>93</v>
      </c>
      <c r="R3258" t="s">
        <v>85</v>
      </c>
      <c r="S3258" s="3">
        <v>7.36</v>
      </c>
      <c r="T3258" s="5">
        <v>45887</v>
      </c>
      <c r="U3258">
        <v>1</v>
      </c>
      <c r="V3258">
        <v>2025</v>
      </c>
      <c r="X3258">
        <f t="shared" si="150"/>
        <v>8.7596741999999992</v>
      </c>
      <c r="Y3258">
        <f t="shared" si="151"/>
        <v>7.3596742000000006</v>
      </c>
      <c r="Z3258">
        <f t="shared" si="152"/>
        <v>71.299674199999998</v>
      </c>
    </row>
    <row r="3259" spans="1:26" x14ac:dyDescent="0.3">
      <c r="A3259" t="s">
        <v>3349</v>
      </c>
      <c r="B3259" t="s">
        <v>67</v>
      </c>
      <c r="C3259" t="s">
        <v>74</v>
      </c>
      <c r="D3259" t="s">
        <v>57</v>
      </c>
      <c r="E3259">
        <v>23</v>
      </c>
      <c r="F3259" s="3">
        <v>7.62</v>
      </c>
      <c r="G3259" s="4">
        <v>82.8</v>
      </c>
      <c r="H3259">
        <v>2</v>
      </c>
      <c r="I3259">
        <v>1</v>
      </c>
      <c r="J3259">
        <v>3</v>
      </c>
      <c r="K3259" s="4">
        <v>49.7</v>
      </c>
      <c r="L3259" s="4">
        <v>82.4</v>
      </c>
      <c r="M3259" s="4">
        <v>72.599999999999994</v>
      </c>
      <c r="N3259">
        <v>0</v>
      </c>
      <c r="O3259" t="s">
        <v>58</v>
      </c>
      <c r="P3259" t="s">
        <v>95</v>
      </c>
      <c r="Q3259" t="s">
        <v>93</v>
      </c>
      <c r="R3259" t="s">
        <v>130</v>
      </c>
      <c r="S3259" s="3">
        <v>8.41</v>
      </c>
      <c r="T3259" s="5">
        <v>45235</v>
      </c>
      <c r="U3259">
        <v>1</v>
      </c>
      <c r="V3259">
        <v>2023</v>
      </c>
      <c r="X3259">
        <f t="shared" si="150"/>
        <v>7.6196741000000001</v>
      </c>
      <c r="Y3259">
        <f t="shared" si="151"/>
        <v>8.4096741000000002</v>
      </c>
      <c r="Z3259">
        <f t="shared" si="152"/>
        <v>82.399674099999999</v>
      </c>
    </row>
    <row r="3260" spans="1:26" x14ac:dyDescent="0.3">
      <c r="A3260" t="s">
        <v>3350</v>
      </c>
      <c r="B3260" t="s">
        <v>63</v>
      </c>
      <c r="C3260" t="s">
        <v>74</v>
      </c>
      <c r="D3260" t="s">
        <v>57</v>
      </c>
      <c r="E3260">
        <v>21</v>
      </c>
      <c r="F3260" s="3">
        <v>9.27</v>
      </c>
      <c r="G3260" s="4">
        <v>78.5</v>
      </c>
      <c r="H3260">
        <v>0</v>
      </c>
      <c r="I3260">
        <v>0</v>
      </c>
      <c r="J3260">
        <v>3</v>
      </c>
      <c r="K3260" s="4">
        <v>83.2</v>
      </c>
      <c r="L3260" s="4">
        <v>59.8</v>
      </c>
      <c r="M3260" s="4">
        <v>72.2</v>
      </c>
      <c r="N3260">
        <v>1</v>
      </c>
      <c r="O3260" t="s">
        <v>58</v>
      </c>
      <c r="P3260" t="s">
        <v>87</v>
      </c>
      <c r="Q3260" t="s">
        <v>71</v>
      </c>
      <c r="R3260" t="s">
        <v>109</v>
      </c>
      <c r="S3260" s="3">
        <v>6.78</v>
      </c>
      <c r="T3260" s="5">
        <v>45984</v>
      </c>
      <c r="U3260">
        <v>1</v>
      </c>
      <c r="V3260">
        <v>2025</v>
      </c>
      <c r="X3260">
        <f t="shared" si="150"/>
        <v>9.2696740000000002</v>
      </c>
      <c r="Y3260">
        <f t="shared" si="151"/>
        <v>6.779674</v>
      </c>
      <c r="Z3260">
        <f t="shared" si="152"/>
        <v>59.799673999999996</v>
      </c>
    </row>
    <row r="3261" spans="1:26" x14ac:dyDescent="0.3">
      <c r="A3261" t="s">
        <v>3351</v>
      </c>
      <c r="B3261" t="s">
        <v>67</v>
      </c>
      <c r="C3261" t="s">
        <v>56</v>
      </c>
      <c r="D3261" t="s">
        <v>69</v>
      </c>
      <c r="E3261">
        <v>22</v>
      </c>
      <c r="F3261" s="3">
        <v>7.47</v>
      </c>
      <c r="G3261" s="4">
        <v>89.9</v>
      </c>
      <c r="H3261">
        <v>2</v>
      </c>
      <c r="I3261">
        <v>4</v>
      </c>
      <c r="J3261">
        <v>3</v>
      </c>
      <c r="K3261" s="4">
        <v>68.2</v>
      </c>
      <c r="L3261" s="4">
        <v>67.3</v>
      </c>
      <c r="M3261" s="4">
        <v>75</v>
      </c>
      <c r="N3261">
        <v>0</v>
      </c>
      <c r="O3261" t="s">
        <v>58</v>
      </c>
      <c r="P3261" t="s">
        <v>92</v>
      </c>
      <c r="Q3261" t="s">
        <v>93</v>
      </c>
      <c r="R3261" t="s">
        <v>76</v>
      </c>
      <c r="S3261" s="3">
        <v>8.32</v>
      </c>
      <c r="T3261" s="5">
        <v>45244</v>
      </c>
      <c r="U3261">
        <v>2</v>
      </c>
      <c r="V3261">
        <v>2023</v>
      </c>
      <c r="X3261">
        <f t="shared" si="150"/>
        <v>7.4696739000000001</v>
      </c>
      <c r="Y3261">
        <f t="shared" si="151"/>
        <v>8.3196738999999997</v>
      </c>
      <c r="Z3261">
        <f t="shared" si="152"/>
        <v>67.299673900000002</v>
      </c>
    </row>
    <row r="3262" spans="1:26" x14ac:dyDescent="0.3">
      <c r="A3262" t="s">
        <v>3352</v>
      </c>
      <c r="B3262" t="s">
        <v>107</v>
      </c>
      <c r="C3262" t="s">
        <v>84</v>
      </c>
      <c r="D3262" t="s">
        <v>69</v>
      </c>
      <c r="E3262">
        <v>20</v>
      </c>
      <c r="F3262" s="3">
        <v>8.68</v>
      </c>
      <c r="G3262" s="4">
        <v>82</v>
      </c>
      <c r="H3262">
        <v>2</v>
      </c>
      <c r="I3262">
        <v>0</v>
      </c>
      <c r="J3262">
        <v>5</v>
      </c>
      <c r="K3262" s="4">
        <v>66.2</v>
      </c>
      <c r="L3262" s="4">
        <v>43.5</v>
      </c>
      <c r="M3262" s="4">
        <v>76.8</v>
      </c>
      <c r="N3262">
        <v>0</v>
      </c>
      <c r="O3262" t="s">
        <v>58</v>
      </c>
      <c r="P3262" t="s">
        <v>59</v>
      </c>
      <c r="Q3262" t="s">
        <v>60</v>
      </c>
      <c r="R3262" t="s">
        <v>85</v>
      </c>
      <c r="S3262" s="3">
        <v>18.75</v>
      </c>
      <c r="T3262" s="5">
        <v>44443</v>
      </c>
      <c r="U3262">
        <v>1</v>
      </c>
      <c r="V3262">
        <v>2021</v>
      </c>
      <c r="X3262">
        <f t="shared" si="150"/>
        <v>8.6796737999999998</v>
      </c>
      <c r="Y3262">
        <f t="shared" si="151"/>
        <v>18.7496738</v>
      </c>
      <c r="Z3262">
        <f t="shared" si="152"/>
        <v>43.499673799999997</v>
      </c>
    </row>
    <row r="3263" spans="1:26" x14ac:dyDescent="0.3">
      <c r="A3263" t="s">
        <v>3353</v>
      </c>
      <c r="B3263" t="s">
        <v>107</v>
      </c>
      <c r="C3263" t="s">
        <v>84</v>
      </c>
      <c r="D3263" t="s">
        <v>57</v>
      </c>
      <c r="E3263">
        <v>20</v>
      </c>
      <c r="F3263" s="3">
        <v>6.3</v>
      </c>
      <c r="G3263" s="4">
        <v>72.900000000000006</v>
      </c>
      <c r="H3263">
        <v>3</v>
      </c>
      <c r="I3263">
        <v>1</v>
      </c>
      <c r="J3263">
        <v>4</v>
      </c>
      <c r="K3263" s="4">
        <v>67.599999999999994</v>
      </c>
      <c r="L3263" s="4">
        <v>65.8</v>
      </c>
      <c r="M3263" s="4">
        <v>73.599999999999994</v>
      </c>
      <c r="N3263">
        <v>1</v>
      </c>
      <c r="O3263" t="s">
        <v>58</v>
      </c>
      <c r="P3263" t="s">
        <v>112</v>
      </c>
      <c r="Q3263" t="s">
        <v>93</v>
      </c>
      <c r="R3263" t="s">
        <v>130</v>
      </c>
      <c r="S3263" s="3">
        <v>7.44</v>
      </c>
      <c r="T3263" s="5">
        <v>44440</v>
      </c>
      <c r="U3263">
        <v>3</v>
      </c>
      <c r="V3263">
        <v>2021</v>
      </c>
      <c r="X3263">
        <f t="shared" si="150"/>
        <v>6.2996736999999996</v>
      </c>
      <c r="Y3263">
        <f t="shared" si="151"/>
        <v>7.4396737000000002</v>
      </c>
      <c r="Z3263">
        <f t="shared" si="152"/>
        <v>65.7996737</v>
      </c>
    </row>
    <row r="3264" spans="1:26" x14ac:dyDescent="0.3">
      <c r="A3264" t="s">
        <v>3354</v>
      </c>
      <c r="B3264" t="s">
        <v>107</v>
      </c>
      <c r="C3264" t="s">
        <v>78</v>
      </c>
      <c r="D3264" t="s">
        <v>57</v>
      </c>
      <c r="E3264">
        <v>21</v>
      </c>
      <c r="F3264" s="3">
        <v>5.58</v>
      </c>
      <c r="G3264" s="4">
        <v>88.5</v>
      </c>
      <c r="H3264">
        <v>0</v>
      </c>
      <c r="I3264">
        <v>0</v>
      </c>
      <c r="J3264">
        <v>4</v>
      </c>
      <c r="K3264" s="4">
        <v>58.1</v>
      </c>
      <c r="L3264" s="4">
        <v>73.400000000000006</v>
      </c>
      <c r="M3264" s="4">
        <v>99.6</v>
      </c>
      <c r="N3264">
        <v>0</v>
      </c>
      <c r="O3264" t="s">
        <v>64</v>
      </c>
      <c r="P3264" t="s">
        <v>65</v>
      </c>
      <c r="S3264" s="3">
        <v>0</v>
      </c>
      <c r="T3264" s="5"/>
      <c r="U3264">
        <v>0</v>
      </c>
      <c r="V3264">
        <v>2021</v>
      </c>
      <c r="X3264">
        <f t="shared" si="150"/>
        <v>5.5796736000000005</v>
      </c>
      <c r="Y3264">
        <f t="shared" si="151"/>
        <v>-3.2639999999999996E-4</v>
      </c>
      <c r="Z3264">
        <f t="shared" si="152"/>
        <v>73.3996736</v>
      </c>
    </row>
    <row r="3265" spans="1:26" x14ac:dyDescent="0.3">
      <c r="A3265" t="s">
        <v>3355</v>
      </c>
      <c r="B3265" t="s">
        <v>82</v>
      </c>
      <c r="C3265" t="s">
        <v>56</v>
      </c>
      <c r="D3265" t="s">
        <v>57</v>
      </c>
      <c r="E3265">
        <v>21</v>
      </c>
      <c r="F3265" s="3">
        <v>7.62</v>
      </c>
      <c r="G3265" s="4">
        <v>71.599999999999994</v>
      </c>
      <c r="H3265">
        <v>1</v>
      </c>
      <c r="I3265">
        <v>3</v>
      </c>
      <c r="J3265">
        <v>4</v>
      </c>
      <c r="K3265" s="4">
        <v>62.2</v>
      </c>
      <c r="L3265" s="4">
        <v>61.6</v>
      </c>
      <c r="M3265" s="4">
        <v>64.7</v>
      </c>
      <c r="N3265">
        <v>0</v>
      </c>
      <c r="O3265" t="s">
        <v>64</v>
      </c>
      <c r="P3265" t="s">
        <v>65</v>
      </c>
      <c r="S3265" s="3">
        <v>0</v>
      </c>
      <c r="T3265" s="5"/>
      <c r="U3265">
        <v>0</v>
      </c>
      <c r="V3265">
        <v>2022</v>
      </c>
      <c r="X3265">
        <f t="shared" si="150"/>
        <v>7.6196735000000002</v>
      </c>
      <c r="Y3265">
        <f t="shared" si="151"/>
        <v>-3.2649999999999997E-4</v>
      </c>
      <c r="Z3265">
        <f t="shared" si="152"/>
        <v>61.599673500000002</v>
      </c>
    </row>
    <row r="3266" spans="1:26" x14ac:dyDescent="0.3">
      <c r="A3266" t="s">
        <v>3356</v>
      </c>
      <c r="B3266" t="s">
        <v>82</v>
      </c>
      <c r="C3266" t="s">
        <v>68</v>
      </c>
      <c r="D3266" t="s">
        <v>69</v>
      </c>
      <c r="E3266">
        <v>22</v>
      </c>
      <c r="F3266" s="3">
        <v>6.39</v>
      </c>
      <c r="G3266" s="4">
        <v>64.7</v>
      </c>
      <c r="H3266">
        <v>1</v>
      </c>
      <c r="I3266">
        <v>4</v>
      </c>
      <c r="J3266">
        <v>5</v>
      </c>
      <c r="K3266" s="4">
        <v>57.9</v>
      </c>
      <c r="L3266" s="4">
        <v>69.099999999999994</v>
      </c>
      <c r="M3266" s="4">
        <v>86.3</v>
      </c>
      <c r="N3266">
        <v>2</v>
      </c>
      <c r="O3266" t="s">
        <v>64</v>
      </c>
      <c r="P3266" t="s">
        <v>65</v>
      </c>
      <c r="S3266" s="3">
        <v>0</v>
      </c>
      <c r="T3266" s="5"/>
      <c r="U3266">
        <v>0</v>
      </c>
      <c r="V3266">
        <v>2022</v>
      </c>
      <c r="X3266">
        <f t="shared" ref="X3266:X3329" si="153">F3266-ROW()*0.0000001</f>
        <v>6.3896733999999995</v>
      </c>
      <c r="Y3266">
        <f t="shared" ref="Y3266:Y3329" si="154">S3266-ROW()*0.0000001</f>
        <v>-3.2659999999999997E-4</v>
      </c>
      <c r="Z3266">
        <f t="shared" ref="Z3266:Z3329" si="155">L3266-ROW()*0.0000001</f>
        <v>69.0996734</v>
      </c>
    </row>
    <row r="3267" spans="1:26" x14ac:dyDescent="0.3">
      <c r="A3267" t="s">
        <v>3357</v>
      </c>
      <c r="B3267" t="s">
        <v>55</v>
      </c>
      <c r="C3267" t="s">
        <v>56</v>
      </c>
      <c r="D3267" t="s">
        <v>57</v>
      </c>
      <c r="E3267">
        <v>23</v>
      </c>
      <c r="F3267" s="3">
        <v>7.6</v>
      </c>
      <c r="G3267" s="4">
        <v>82.9</v>
      </c>
      <c r="H3267">
        <v>1</v>
      </c>
      <c r="I3267">
        <v>2</v>
      </c>
      <c r="J3267">
        <v>5</v>
      </c>
      <c r="K3267" s="4">
        <v>49.6</v>
      </c>
      <c r="L3267" s="4">
        <v>73.599999999999994</v>
      </c>
      <c r="M3267" s="4">
        <v>89.1</v>
      </c>
      <c r="N3267">
        <v>0</v>
      </c>
      <c r="O3267" t="s">
        <v>58</v>
      </c>
      <c r="P3267" t="s">
        <v>79</v>
      </c>
      <c r="Q3267" t="s">
        <v>71</v>
      </c>
      <c r="R3267" t="s">
        <v>109</v>
      </c>
      <c r="S3267" s="3">
        <v>4.57</v>
      </c>
      <c r="T3267" s="5">
        <v>45562</v>
      </c>
      <c r="U3267">
        <v>3</v>
      </c>
      <c r="V3267">
        <v>2024</v>
      </c>
      <c r="X3267">
        <f t="shared" si="153"/>
        <v>7.5996733000000001</v>
      </c>
      <c r="Y3267">
        <f t="shared" si="154"/>
        <v>4.5696733000000007</v>
      </c>
      <c r="Z3267">
        <f t="shared" si="155"/>
        <v>73.599673299999992</v>
      </c>
    </row>
    <row r="3268" spans="1:26" x14ac:dyDescent="0.3">
      <c r="A3268" t="s">
        <v>3358</v>
      </c>
      <c r="B3268" t="s">
        <v>55</v>
      </c>
      <c r="C3268" t="s">
        <v>56</v>
      </c>
      <c r="D3268" t="s">
        <v>57</v>
      </c>
      <c r="E3268">
        <v>22</v>
      </c>
      <c r="F3268" s="3">
        <v>7.28</v>
      </c>
      <c r="G3268" s="4">
        <v>72.7</v>
      </c>
      <c r="H3268">
        <v>2</v>
      </c>
      <c r="I3268">
        <v>0</v>
      </c>
      <c r="J3268">
        <v>3</v>
      </c>
      <c r="K3268" s="4">
        <v>51.5</v>
      </c>
      <c r="L3268" s="4">
        <v>62</v>
      </c>
      <c r="M3268" s="4">
        <v>60.7</v>
      </c>
      <c r="N3268">
        <v>1</v>
      </c>
      <c r="O3268" t="s">
        <v>58</v>
      </c>
      <c r="P3268" t="s">
        <v>79</v>
      </c>
      <c r="Q3268" t="s">
        <v>71</v>
      </c>
      <c r="R3268" t="s">
        <v>61</v>
      </c>
      <c r="S3268" s="3">
        <v>4.97</v>
      </c>
      <c r="T3268" s="5">
        <v>45599</v>
      </c>
      <c r="U3268">
        <v>2</v>
      </c>
      <c r="V3268">
        <v>2024</v>
      </c>
      <c r="X3268">
        <f t="shared" si="153"/>
        <v>7.2796732000000004</v>
      </c>
      <c r="Y3268">
        <f t="shared" si="154"/>
        <v>4.9696731999999999</v>
      </c>
      <c r="Z3268">
        <f t="shared" si="155"/>
        <v>61.999673199999997</v>
      </c>
    </row>
    <row r="3269" spans="1:26" x14ac:dyDescent="0.3">
      <c r="A3269" t="s">
        <v>3359</v>
      </c>
      <c r="B3269" t="s">
        <v>55</v>
      </c>
      <c r="C3269" t="s">
        <v>89</v>
      </c>
      <c r="D3269" t="s">
        <v>69</v>
      </c>
      <c r="E3269">
        <v>22</v>
      </c>
      <c r="F3269" s="3">
        <v>8.19</v>
      </c>
      <c r="G3269" s="4">
        <v>83.6</v>
      </c>
      <c r="H3269">
        <v>3</v>
      </c>
      <c r="I3269">
        <v>2</v>
      </c>
      <c r="J3269">
        <v>5</v>
      </c>
      <c r="K3269" s="4">
        <v>84.6</v>
      </c>
      <c r="L3269" s="4">
        <v>66</v>
      </c>
      <c r="M3269" s="4">
        <v>74.7</v>
      </c>
      <c r="N3269">
        <v>2</v>
      </c>
      <c r="O3269" t="s">
        <v>58</v>
      </c>
      <c r="P3269" t="s">
        <v>112</v>
      </c>
      <c r="Q3269" t="s">
        <v>93</v>
      </c>
      <c r="R3269" t="s">
        <v>80</v>
      </c>
      <c r="S3269" s="3">
        <v>7.48</v>
      </c>
      <c r="T3269" s="5">
        <v>45598</v>
      </c>
      <c r="U3269">
        <v>2</v>
      </c>
      <c r="V3269">
        <v>2024</v>
      </c>
      <c r="X3269">
        <f t="shared" si="153"/>
        <v>8.1896731000000003</v>
      </c>
      <c r="Y3269">
        <f t="shared" si="154"/>
        <v>7.4796731000000003</v>
      </c>
      <c r="Z3269">
        <f t="shared" si="155"/>
        <v>65.999673099999995</v>
      </c>
    </row>
    <row r="3270" spans="1:26" x14ac:dyDescent="0.3">
      <c r="A3270" t="s">
        <v>3360</v>
      </c>
      <c r="B3270" t="s">
        <v>82</v>
      </c>
      <c r="C3270" t="s">
        <v>84</v>
      </c>
      <c r="D3270" t="s">
        <v>69</v>
      </c>
      <c r="E3270">
        <v>21</v>
      </c>
      <c r="F3270" s="3">
        <v>6.69</v>
      </c>
      <c r="G3270" s="4">
        <v>89.3</v>
      </c>
      <c r="H3270">
        <v>1</v>
      </c>
      <c r="I3270">
        <v>3</v>
      </c>
      <c r="J3270">
        <v>4</v>
      </c>
      <c r="K3270" s="4">
        <v>63.1</v>
      </c>
      <c r="L3270" s="4">
        <v>59</v>
      </c>
      <c r="M3270" s="4">
        <v>78.3</v>
      </c>
      <c r="N3270">
        <v>1</v>
      </c>
      <c r="O3270" t="s">
        <v>64</v>
      </c>
      <c r="P3270" t="s">
        <v>65</v>
      </c>
      <c r="S3270" s="3">
        <v>0</v>
      </c>
      <c r="T3270" s="5"/>
      <c r="U3270">
        <v>0</v>
      </c>
      <c r="V3270">
        <v>2022</v>
      </c>
      <c r="X3270">
        <f t="shared" si="153"/>
        <v>6.689673</v>
      </c>
      <c r="Y3270">
        <f t="shared" si="154"/>
        <v>-3.2699999999999998E-4</v>
      </c>
      <c r="Z3270">
        <f t="shared" si="155"/>
        <v>58.999673000000001</v>
      </c>
    </row>
    <row r="3271" spans="1:26" x14ac:dyDescent="0.3">
      <c r="A3271" t="s">
        <v>3361</v>
      </c>
      <c r="B3271" t="s">
        <v>82</v>
      </c>
      <c r="C3271" t="s">
        <v>84</v>
      </c>
      <c r="D3271" t="s">
        <v>57</v>
      </c>
      <c r="E3271">
        <v>22</v>
      </c>
      <c r="F3271" s="3">
        <v>8.0299999999999994</v>
      </c>
      <c r="G3271" s="4">
        <v>90.9</v>
      </c>
      <c r="H3271">
        <v>1</v>
      </c>
      <c r="I3271">
        <v>3</v>
      </c>
      <c r="J3271">
        <v>4</v>
      </c>
      <c r="K3271" s="4">
        <v>77.400000000000006</v>
      </c>
      <c r="L3271" s="4">
        <v>55.9</v>
      </c>
      <c r="M3271" s="4">
        <v>76.099999999999994</v>
      </c>
      <c r="N3271">
        <v>0</v>
      </c>
      <c r="O3271" t="s">
        <v>58</v>
      </c>
      <c r="P3271" t="s">
        <v>90</v>
      </c>
      <c r="Q3271" t="s">
        <v>60</v>
      </c>
      <c r="R3271" t="s">
        <v>76</v>
      </c>
      <c r="S3271" s="3">
        <v>7.85</v>
      </c>
      <c r="T3271" s="5">
        <v>44819</v>
      </c>
      <c r="U3271">
        <v>1</v>
      </c>
      <c r="V3271">
        <v>2022</v>
      </c>
      <c r="X3271">
        <f t="shared" si="153"/>
        <v>8.0296728999999996</v>
      </c>
      <c r="Y3271">
        <f t="shared" si="154"/>
        <v>7.8496728999999998</v>
      </c>
      <c r="Z3271">
        <f t="shared" si="155"/>
        <v>55.899672899999999</v>
      </c>
    </row>
    <row r="3272" spans="1:26" x14ac:dyDescent="0.3">
      <c r="A3272" t="s">
        <v>3362</v>
      </c>
      <c r="B3272" t="s">
        <v>55</v>
      </c>
      <c r="C3272" t="s">
        <v>78</v>
      </c>
      <c r="D3272" t="s">
        <v>57</v>
      </c>
      <c r="E3272">
        <v>22</v>
      </c>
      <c r="F3272" s="3">
        <v>8.43</v>
      </c>
      <c r="G3272" s="4">
        <v>86.5</v>
      </c>
      <c r="H3272">
        <v>1</v>
      </c>
      <c r="I3272">
        <v>3</v>
      </c>
      <c r="J3272">
        <v>5</v>
      </c>
      <c r="K3272" s="4">
        <v>65.5</v>
      </c>
      <c r="L3272" s="4">
        <v>88.4</v>
      </c>
      <c r="M3272" s="4">
        <v>75.599999999999994</v>
      </c>
      <c r="N3272">
        <v>0</v>
      </c>
      <c r="O3272" t="s">
        <v>58</v>
      </c>
      <c r="P3272" t="s">
        <v>90</v>
      </c>
      <c r="Q3272" t="s">
        <v>60</v>
      </c>
      <c r="R3272" t="s">
        <v>61</v>
      </c>
      <c r="S3272" s="3">
        <v>10.39</v>
      </c>
      <c r="T3272" s="5">
        <v>45524</v>
      </c>
      <c r="U3272">
        <v>1</v>
      </c>
      <c r="V3272">
        <v>2024</v>
      </c>
      <c r="X3272">
        <f t="shared" si="153"/>
        <v>8.4296728000000005</v>
      </c>
      <c r="Y3272">
        <f t="shared" si="154"/>
        <v>10.389672800000001</v>
      </c>
      <c r="Z3272">
        <f t="shared" si="155"/>
        <v>88.399672800000005</v>
      </c>
    </row>
    <row r="3273" spans="1:26" x14ac:dyDescent="0.3">
      <c r="A3273" t="s">
        <v>3363</v>
      </c>
      <c r="B3273" t="s">
        <v>55</v>
      </c>
      <c r="C3273" t="s">
        <v>56</v>
      </c>
      <c r="D3273" t="s">
        <v>57</v>
      </c>
      <c r="E3273">
        <v>23</v>
      </c>
      <c r="F3273" s="3">
        <v>7.46</v>
      </c>
      <c r="G3273" s="4">
        <v>70.099999999999994</v>
      </c>
      <c r="H3273">
        <v>0</v>
      </c>
      <c r="I3273">
        <v>1</v>
      </c>
      <c r="J3273">
        <v>1</v>
      </c>
      <c r="K3273" s="4">
        <v>65.3</v>
      </c>
      <c r="L3273" s="4">
        <v>48.5</v>
      </c>
      <c r="M3273" s="4">
        <v>81.5</v>
      </c>
      <c r="N3273">
        <v>0</v>
      </c>
      <c r="O3273" t="s">
        <v>58</v>
      </c>
      <c r="P3273" t="s">
        <v>79</v>
      </c>
      <c r="Q3273" t="s">
        <v>71</v>
      </c>
      <c r="R3273" t="s">
        <v>130</v>
      </c>
      <c r="S3273" s="3">
        <v>3.09</v>
      </c>
      <c r="T3273" s="5">
        <v>45608</v>
      </c>
      <c r="U3273">
        <v>3</v>
      </c>
      <c r="V3273">
        <v>2024</v>
      </c>
      <c r="X3273">
        <f t="shared" si="153"/>
        <v>7.4596726999999996</v>
      </c>
      <c r="Y3273">
        <f t="shared" si="154"/>
        <v>3.0896726999999999</v>
      </c>
      <c r="Z3273">
        <f t="shared" si="155"/>
        <v>48.499672699999998</v>
      </c>
    </row>
    <row r="3274" spans="1:26" x14ac:dyDescent="0.3">
      <c r="A3274" t="s">
        <v>3364</v>
      </c>
      <c r="B3274" t="s">
        <v>63</v>
      </c>
      <c r="C3274" t="s">
        <v>74</v>
      </c>
      <c r="D3274" t="s">
        <v>57</v>
      </c>
      <c r="E3274">
        <v>20</v>
      </c>
      <c r="F3274" s="3">
        <v>8.08</v>
      </c>
      <c r="G3274" s="4">
        <v>75.5</v>
      </c>
      <c r="H3274">
        <v>1</v>
      </c>
      <c r="I3274">
        <v>0</v>
      </c>
      <c r="J3274">
        <v>4</v>
      </c>
      <c r="K3274" s="4">
        <v>66.900000000000006</v>
      </c>
      <c r="L3274" s="4">
        <v>82.8</v>
      </c>
      <c r="M3274" s="4">
        <v>48.8</v>
      </c>
      <c r="N3274">
        <v>0</v>
      </c>
      <c r="O3274" t="s">
        <v>58</v>
      </c>
      <c r="P3274" t="s">
        <v>70</v>
      </c>
      <c r="Q3274" t="s">
        <v>71</v>
      </c>
      <c r="R3274" t="s">
        <v>130</v>
      </c>
      <c r="S3274" s="3">
        <v>7.24</v>
      </c>
      <c r="T3274" s="5">
        <v>45895</v>
      </c>
      <c r="U3274">
        <v>1</v>
      </c>
      <c r="V3274">
        <v>2025</v>
      </c>
      <c r="X3274">
        <f t="shared" si="153"/>
        <v>8.0796726000000003</v>
      </c>
      <c r="Y3274">
        <f t="shared" si="154"/>
        <v>7.2396726000000005</v>
      </c>
      <c r="Z3274">
        <f t="shared" si="155"/>
        <v>82.799672599999994</v>
      </c>
    </row>
    <row r="3275" spans="1:26" x14ac:dyDescent="0.3">
      <c r="A3275" t="s">
        <v>3365</v>
      </c>
      <c r="B3275" t="s">
        <v>55</v>
      </c>
      <c r="C3275" t="s">
        <v>74</v>
      </c>
      <c r="D3275" t="s">
        <v>69</v>
      </c>
      <c r="E3275">
        <v>20</v>
      </c>
      <c r="F3275" s="3">
        <v>6.77</v>
      </c>
      <c r="G3275" s="4">
        <v>82</v>
      </c>
      <c r="H3275">
        <v>1</v>
      </c>
      <c r="I3275">
        <v>0</v>
      </c>
      <c r="J3275">
        <v>6</v>
      </c>
      <c r="K3275" s="4">
        <v>78.2</v>
      </c>
      <c r="L3275" s="4">
        <v>49.5</v>
      </c>
      <c r="M3275" s="4">
        <v>72.8</v>
      </c>
      <c r="N3275">
        <v>0</v>
      </c>
      <c r="O3275" t="s">
        <v>64</v>
      </c>
      <c r="P3275" t="s">
        <v>65</v>
      </c>
      <c r="S3275" s="3">
        <v>0</v>
      </c>
      <c r="T3275" s="5"/>
      <c r="U3275">
        <v>0</v>
      </c>
      <c r="V3275">
        <v>2024</v>
      </c>
      <c r="X3275">
        <f t="shared" si="153"/>
        <v>6.7696724999999995</v>
      </c>
      <c r="Y3275">
        <f t="shared" si="154"/>
        <v>-3.2749999999999999E-4</v>
      </c>
      <c r="Z3275">
        <f t="shared" si="155"/>
        <v>49.499672500000003</v>
      </c>
    </row>
    <row r="3276" spans="1:26" x14ac:dyDescent="0.3">
      <c r="A3276" t="s">
        <v>3366</v>
      </c>
      <c r="B3276" t="s">
        <v>63</v>
      </c>
      <c r="C3276" t="s">
        <v>78</v>
      </c>
      <c r="D3276" t="s">
        <v>69</v>
      </c>
      <c r="E3276">
        <v>23</v>
      </c>
      <c r="F3276" s="3">
        <v>7.31</v>
      </c>
      <c r="G3276" s="4">
        <v>82.1</v>
      </c>
      <c r="H3276">
        <v>2</v>
      </c>
      <c r="I3276">
        <v>4</v>
      </c>
      <c r="J3276">
        <v>4</v>
      </c>
      <c r="K3276" s="4">
        <v>58.4</v>
      </c>
      <c r="L3276" s="4">
        <v>92.7</v>
      </c>
      <c r="M3276" s="4">
        <v>69</v>
      </c>
      <c r="N3276">
        <v>0</v>
      </c>
      <c r="O3276" t="s">
        <v>58</v>
      </c>
      <c r="P3276" t="s">
        <v>79</v>
      </c>
      <c r="Q3276" t="s">
        <v>71</v>
      </c>
      <c r="R3276" t="s">
        <v>109</v>
      </c>
      <c r="S3276" s="3">
        <v>6.41</v>
      </c>
      <c r="T3276" s="5">
        <v>45935</v>
      </c>
      <c r="U3276">
        <v>1</v>
      </c>
      <c r="V3276">
        <v>2025</v>
      </c>
      <c r="X3276">
        <f t="shared" si="153"/>
        <v>7.3096723999999993</v>
      </c>
      <c r="Y3276">
        <f t="shared" si="154"/>
        <v>6.4096723999999998</v>
      </c>
      <c r="Z3276">
        <f t="shared" si="155"/>
        <v>92.699672399999997</v>
      </c>
    </row>
    <row r="3277" spans="1:26" x14ac:dyDescent="0.3">
      <c r="A3277" t="s">
        <v>3367</v>
      </c>
      <c r="B3277" t="s">
        <v>67</v>
      </c>
      <c r="C3277" t="s">
        <v>101</v>
      </c>
      <c r="D3277" t="s">
        <v>69</v>
      </c>
      <c r="E3277">
        <v>20</v>
      </c>
      <c r="F3277" s="3">
        <v>6.44</v>
      </c>
      <c r="G3277" s="4">
        <v>73.5</v>
      </c>
      <c r="H3277">
        <v>1</v>
      </c>
      <c r="I3277">
        <v>2</v>
      </c>
      <c r="J3277">
        <v>5</v>
      </c>
      <c r="K3277" s="4">
        <v>65.8</v>
      </c>
      <c r="L3277" s="4">
        <v>78.599999999999994</v>
      </c>
      <c r="M3277" s="4">
        <v>65.400000000000006</v>
      </c>
      <c r="N3277">
        <v>0</v>
      </c>
      <c r="O3277" t="s">
        <v>64</v>
      </c>
      <c r="P3277" t="s">
        <v>65</v>
      </c>
      <c r="S3277" s="3">
        <v>0</v>
      </c>
      <c r="T3277" s="5"/>
      <c r="U3277">
        <v>0</v>
      </c>
      <c r="V3277">
        <v>2023</v>
      </c>
      <c r="X3277">
        <f t="shared" si="153"/>
        <v>6.4396723000000007</v>
      </c>
      <c r="Y3277">
        <f t="shared" si="154"/>
        <v>-3.277E-4</v>
      </c>
      <c r="Z3277">
        <f t="shared" si="155"/>
        <v>78.599672299999995</v>
      </c>
    </row>
    <row r="3278" spans="1:26" x14ac:dyDescent="0.3">
      <c r="A3278" t="s">
        <v>3368</v>
      </c>
      <c r="B3278" t="s">
        <v>82</v>
      </c>
      <c r="C3278" t="s">
        <v>74</v>
      </c>
      <c r="D3278" t="s">
        <v>57</v>
      </c>
      <c r="E3278">
        <v>22</v>
      </c>
      <c r="F3278" s="3">
        <v>9.75</v>
      </c>
      <c r="G3278" s="4">
        <v>77.8</v>
      </c>
      <c r="H3278">
        <v>1</v>
      </c>
      <c r="I3278">
        <v>3</v>
      </c>
      <c r="J3278">
        <v>2</v>
      </c>
      <c r="K3278" s="4">
        <v>80.7</v>
      </c>
      <c r="L3278" s="4">
        <v>64.400000000000006</v>
      </c>
      <c r="M3278" s="4">
        <v>84.5</v>
      </c>
      <c r="N3278">
        <v>0</v>
      </c>
      <c r="O3278" t="s">
        <v>58</v>
      </c>
      <c r="P3278" t="s">
        <v>92</v>
      </c>
      <c r="Q3278" t="s">
        <v>93</v>
      </c>
      <c r="R3278" t="s">
        <v>109</v>
      </c>
      <c r="S3278" s="3">
        <v>9.98</v>
      </c>
      <c r="T3278" s="5">
        <v>44854</v>
      </c>
      <c r="U3278">
        <v>1</v>
      </c>
      <c r="V3278">
        <v>2022</v>
      </c>
      <c r="X3278">
        <f t="shared" si="153"/>
        <v>9.7496721999999991</v>
      </c>
      <c r="Y3278">
        <f t="shared" si="154"/>
        <v>9.9796721999999995</v>
      </c>
      <c r="Z3278">
        <f t="shared" si="155"/>
        <v>64.399672200000012</v>
      </c>
    </row>
    <row r="3279" spans="1:26" x14ac:dyDescent="0.3">
      <c r="A3279" t="s">
        <v>3369</v>
      </c>
      <c r="B3279" t="s">
        <v>55</v>
      </c>
      <c r="C3279" t="s">
        <v>68</v>
      </c>
      <c r="D3279" t="s">
        <v>57</v>
      </c>
      <c r="E3279">
        <v>23</v>
      </c>
      <c r="F3279" s="3">
        <v>8.76</v>
      </c>
      <c r="G3279" s="4">
        <v>89.3</v>
      </c>
      <c r="H3279">
        <v>1</v>
      </c>
      <c r="I3279">
        <v>4</v>
      </c>
      <c r="J3279">
        <v>4</v>
      </c>
      <c r="K3279" s="4">
        <v>83.2</v>
      </c>
      <c r="L3279" s="4">
        <v>84.2</v>
      </c>
      <c r="M3279" s="4">
        <v>86.4</v>
      </c>
      <c r="N3279">
        <v>0</v>
      </c>
      <c r="O3279" t="s">
        <v>58</v>
      </c>
      <c r="P3279" t="s">
        <v>87</v>
      </c>
      <c r="Q3279" t="s">
        <v>71</v>
      </c>
      <c r="R3279" t="s">
        <v>85</v>
      </c>
      <c r="S3279" s="3">
        <v>8.34</v>
      </c>
      <c r="T3279" s="5">
        <v>45592</v>
      </c>
      <c r="U3279">
        <v>2</v>
      </c>
      <c r="V3279">
        <v>2024</v>
      </c>
      <c r="X3279">
        <f t="shared" si="153"/>
        <v>8.7596720999999995</v>
      </c>
      <c r="Y3279">
        <f t="shared" si="154"/>
        <v>8.3396720999999996</v>
      </c>
      <c r="Z3279">
        <f t="shared" si="155"/>
        <v>84.199672100000001</v>
      </c>
    </row>
    <row r="3280" spans="1:26" x14ac:dyDescent="0.3">
      <c r="A3280" t="s">
        <v>3370</v>
      </c>
      <c r="B3280" t="s">
        <v>82</v>
      </c>
      <c r="C3280" t="s">
        <v>56</v>
      </c>
      <c r="D3280" t="s">
        <v>57</v>
      </c>
      <c r="E3280">
        <v>23</v>
      </c>
      <c r="F3280" s="3">
        <v>9.14</v>
      </c>
      <c r="G3280" s="4">
        <v>86.5</v>
      </c>
      <c r="H3280">
        <v>1</v>
      </c>
      <c r="I3280">
        <v>3</v>
      </c>
      <c r="J3280">
        <v>5</v>
      </c>
      <c r="K3280" s="4">
        <v>88.8</v>
      </c>
      <c r="L3280" s="4">
        <v>86.3</v>
      </c>
      <c r="M3280" s="4">
        <v>87.6</v>
      </c>
      <c r="N3280">
        <v>1</v>
      </c>
      <c r="O3280" t="s">
        <v>58</v>
      </c>
      <c r="P3280" t="s">
        <v>75</v>
      </c>
      <c r="Q3280" t="s">
        <v>71</v>
      </c>
      <c r="R3280" t="s">
        <v>61</v>
      </c>
      <c r="S3280" s="3">
        <v>7.31</v>
      </c>
      <c r="T3280" s="5">
        <v>44867</v>
      </c>
      <c r="U3280">
        <v>1</v>
      </c>
      <c r="V3280">
        <v>2022</v>
      </c>
      <c r="X3280">
        <f t="shared" si="153"/>
        <v>9.1396720000000009</v>
      </c>
      <c r="Y3280">
        <f t="shared" si="154"/>
        <v>7.3096719999999999</v>
      </c>
      <c r="Z3280">
        <f t="shared" si="155"/>
        <v>86.299672000000001</v>
      </c>
    </row>
    <row r="3281" spans="1:26" x14ac:dyDescent="0.3">
      <c r="A3281" t="s">
        <v>3371</v>
      </c>
      <c r="B3281" t="s">
        <v>82</v>
      </c>
      <c r="C3281" t="s">
        <v>74</v>
      </c>
      <c r="D3281" t="s">
        <v>57</v>
      </c>
      <c r="E3281">
        <v>21</v>
      </c>
      <c r="F3281" s="3">
        <v>8.74</v>
      </c>
      <c r="G3281" s="4">
        <v>79.2</v>
      </c>
      <c r="H3281">
        <v>1</v>
      </c>
      <c r="I3281">
        <v>1</v>
      </c>
      <c r="J3281">
        <v>3</v>
      </c>
      <c r="K3281" s="4">
        <v>54.5</v>
      </c>
      <c r="L3281" s="4">
        <v>78.7</v>
      </c>
      <c r="M3281" s="4">
        <v>84.2</v>
      </c>
      <c r="N3281">
        <v>1</v>
      </c>
      <c r="O3281" t="s">
        <v>58</v>
      </c>
      <c r="P3281" t="s">
        <v>59</v>
      </c>
      <c r="Q3281" t="s">
        <v>60</v>
      </c>
      <c r="R3281" t="s">
        <v>130</v>
      </c>
      <c r="S3281" s="3">
        <v>20.88</v>
      </c>
      <c r="T3281" s="5">
        <v>44810</v>
      </c>
      <c r="U3281">
        <v>2</v>
      </c>
      <c r="V3281">
        <v>2022</v>
      </c>
      <c r="X3281">
        <f t="shared" si="153"/>
        <v>8.7396718999999994</v>
      </c>
      <c r="Y3281">
        <f t="shared" si="154"/>
        <v>20.879671899999998</v>
      </c>
      <c r="Z3281">
        <f t="shared" si="155"/>
        <v>78.699671899999998</v>
      </c>
    </row>
    <row r="3282" spans="1:26" x14ac:dyDescent="0.3">
      <c r="A3282" t="s">
        <v>3372</v>
      </c>
      <c r="B3282" t="s">
        <v>82</v>
      </c>
      <c r="C3282" t="s">
        <v>68</v>
      </c>
      <c r="D3282" t="s">
        <v>69</v>
      </c>
      <c r="E3282">
        <v>20</v>
      </c>
      <c r="F3282" s="3">
        <v>7.05</v>
      </c>
      <c r="G3282" s="4">
        <v>91.3</v>
      </c>
      <c r="H3282">
        <v>2</v>
      </c>
      <c r="I3282">
        <v>0</v>
      </c>
      <c r="J3282">
        <v>4</v>
      </c>
      <c r="K3282" s="4">
        <v>59</v>
      </c>
      <c r="L3282" s="4">
        <v>77.099999999999994</v>
      </c>
      <c r="M3282" s="4">
        <v>59.6</v>
      </c>
      <c r="N3282">
        <v>0</v>
      </c>
      <c r="O3282" t="s">
        <v>58</v>
      </c>
      <c r="P3282" t="s">
        <v>95</v>
      </c>
      <c r="Q3282" t="s">
        <v>93</v>
      </c>
      <c r="R3282" t="s">
        <v>85</v>
      </c>
      <c r="S3282" s="3">
        <v>7.58</v>
      </c>
      <c r="T3282" s="5">
        <v>44779</v>
      </c>
      <c r="U3282">
        <v>3</v>
      </c>
      <c r="V3282">
        <v>2022</v>
      </c>
      <c r="X3282">
        <f t="shared" si="153"/>
        <v>7.0496717999999996</v>
      </c>
      <c r="Y3282">
        <f t="shared" si="154"/>
        <v>7.5796717999999998</v>
      </c>
      <c r="Z3282">
        <f t="shared" si="155"/>
        <v>77.099671799999996</v>
      </c>
    </row>
    <row r="3283" spans="1:26" x14ac:dyDescent="0.3">
      <c r="A3283" t="s">
        <v>3373</v>
      </c>
      <c r="B3283" t="s">
        <v>67</v>
      </c>
      <c r="C3283" t="s">
        <v>56</v>
      </c>
      <c r="D3283" t="s">
        <v>57</v>
      </c>
      <c r="E3283">
        <v>21</v>
      </c>
      <c r="F3283" s="3">
        <v>6.27</v>
      </c>
      <c r="G3283" s="4">
        <v>70.099999999999994</v>
      </c>
      <c r="H3283">
        <v>3</v>
      </c>
      <c r="I3283">
        <v>4</v>
      </c>
      <c r="J3283">
        <v>2</v>
      </c>
      <c r="K3283" s="4">
        <v>65.2</v>
      </c>
      <c r="L3283" s="4">
        <v>73.400000000000006</v>
      </c>
      <c r="M3283" s="4">
        <v>75.7</v>
      </c>
      <c r="N3283">
        <v>0</v>
      </c>
      <c r="O3283" t="s">
        <v>58</v>
      </c>
      <c r="P3283" t="s">
        <v>92</v>
      </c>
      <c r="Q3283" t="s">
        <v>93</v>
      </c>
      <c r="R3283" t="s">
        <v>80</v>
      </c>
      <c r="S3283" s="3">
        <v>8.9</v>
      </c>
      <c r="T3283" s="5">
        <v>45192</v>
      </c>
      <c r="U3283">
        <v>3</v>
      </c>
      <c r="V3283">
        <v>2023</v>
      </c>
      <c r="X3283">
        <f t="shared" si="153"/>
        <v>6.2696717</v>
      </c>
      <c r="Y3283">
        <f t="shared" si="154"/>
        <v>8.8996717000000007</v>
      </c>
      <c r="Z3283">
        <f t="shared" si="155"/>
        <v>73.399671699999999</v>
      </c>
    </row>
    <row r="3284" spans="1:26" x14ac:dyDescent="0.3">
      <c r="A3284" t="s">
        <v>3374</v>
      </c>
      <c r="B3284" t="s">
        <v>107</v>
      </c>
      <c r="C3284" t="s">
        <v>68</v>
      </c>
      <c r="D3284" t="s">
        <v>57</v>
      </c>
      <c r="E3284">
        <v>22</v>
      </c>
      <c r="F3284" s="3">
        <v>7.27</v>
      </c>
      <c r="G3284" s="4">
        <v>89.4</v>
      </c>
      <c r="H3284">
        <v>0</v>
      </c>
      <c r="I3284">
        <v>5</v>
      </c>
      <c r="J3284">
        <v>1</v>
      </c>
      <c r="K3284" s="4">
        <v>49.6</v>
      </c>
      <c r="L3284" s="4">
        <v>91.3</v>
      </c>
      <c r="M3284" s="4">
        <v>87.3</v>
      </c>
      <c r="N3284">
        <v>0</v>
      </c>
      <c r="O3284" t="s">
        <v>58</v>
      </c>
      <c r="P3284" t="s">
        <v>90</v>
      </c>
      <c r="Q3284" t="s">
        <v>60</v>
      </c>
      <c r="R3284" t="s">
        <v>80</v>
      </c>
      <c r="S3284" s="3">
        <v>10.029999999999999</v>
      </c>
      <c r="T3284" s="5">
        <v>44521</v>
      </c>
      <c r="U3284">
        <v>1</v>
      </c>
      <c r="V3284">
        <v>2021</v>
      </c>
      <c r="X3284">
        <f t="shared" si="153"/>
        <v>7.2696715999999997</v>
      </c>
      <c r="Y3284">
        <f t="shared" si="154"/>
        <v>10.029671599999999</v>
      </c>
      <c r="Z3284">
        <f t="shared" si="155"/>
        <v>91.299671599999996</v>
      </c>
    </row>
    <row r="3285" spans="1:26" x14ac:dyDescent="0.3">
      <c r="A3285" t="s">
        <v>3375</v>
      </c>
      <c r="B3285" t="s">
        <v>55</v>
      </c>
      <c r="C3285" t="s">
        <v>101</v>
      </c>
      <c r="D3285" t="s">
        <v>57</v>
      </c>
      <c r="E3285">
        <v>23</v>
      </c>
      <c r="F3285" s="3">
        <v>8.08</v>
      </c>
      <c r="G3285" s="4">
        <v>88.2</v>
      </c>
      <c r="H3285">
        <v>2</v>
      </c>
      <c r="I3285">
        <v>2</v>
      </c>
      <c r="J3285">
        <v>3</v>
      </c>
      <c r="K3285" s="4">
        <v>80.2</v>
      </c>
      <c r="L3285" s="4">
        <v>69.599999999999994</v>
      </c>
      <c r="M3285" s="4">
        <v>43.8</v>
      </c>
      <c r="N3285">
        <v>0</v>
      </c>
      <c r="O3285" t="s">
        <v>58</v>
      </c>
      <c r="P3285" t="s">
        <v>95</v>
      </c>
      <c r="Q3285" t="s">
        <v>93</v>
      </c>
      <c r="R3285" t="s">
        <v>85</v>
      </c>
      <c r="S3285" s="3">
        <v>6.7</v>
      </c>
      <c r="T3285" s="5">
        <v>45591</v>
      </c>
      <c r="U3285">
        <v>1</v>
      </c>
      <c r="V3285">
        <v>2024</v>
      </c>
      <c r="X3285">
        <f t="shared" si="153"/>
        <v>8.0796714999999999</v>
      </c>
      <c r="Y3285">
        <f t="shared" si="154"/>
        <v>6.6996715</v>
      </c>
      <c r="Z3285">
        <f t="shared" si="155"/>
        <v>69.599671499999999</v>
      </c>
    </row>
    <row r="3286" spans="1:26" x14ac:dyDescent="0.3">
      <c r="A3286" t="s">
        <v>3376</v>
      </c>
      <c r="B3286" t="s">
        <v>107</v>
      </c>
      <c r="C3286" t="s">
        <v>89</v>
      </c>
      <c r="D3286" t="s">
        <v>57</v>
      </c>
      <c r="E3286">
        <v>22</v>
      </c>
      <c r="F3286" s="3">
        <v>7.39</v>
      </c>
      <c r="G3286" s="4">
        <v>88.7</v>
      </c>
      <c r="H3286">
        <v>1</v>
      </c>
      <c r="I3286">
        <v>4</v>
      </c>
      <c r="J3286">
        <v>5</v>
      </c>
      <c r="K3286" s="4">
        <v>72</v>
      </c>
      <c r="L3286" s="4">
        <v>71.8</v>
      </c>
      <c r="M3286" s="4">
        <v>93.5</v>
      </c>
      <c r="N3286">
        <v>0</v>
      </c>
      <c r="O3286" t="s">
        <v>58</v>
      </c>
      <c r="P3286" t="s">
        <v>75</v>
      </c>
      <c r="Q3286" t="s">
        <v>71</v>
      </c>
      <c r="R3286" t="s">
        <v>61</v>
      </c>
      <c r="S3286" s="3">
        <v>5.09</v>
      </c>
      <c r="T3286" s="5">
        <v>44455</v>
      </c>
      <c r="U3286">
        <v>1</v>
      </c>
      <c r="V3286">
        <v>2021</v>
      </c>
      <c r="X3286">
        <f t="shared" si="153"/>
        <v>7.3896714000000001</v>
      </c>
      <c r="Y3286">
        <f t="shared" si="154"/>
        <v>5.0896714000000003</v>
      </c>
      <c r="Z3286">
        <f t="shared" si="155"/>
        <v>71.799671399999994</v>
      </c>
    </row>
    <row r="3287" spans="1:26" x14ac:dyDescent="0.3">
      <c r="A3287" t="s">
        <v>3377</v>
      </c>
      <c r="B3287" t="s">
        <v>107</v>
      </c>
      <c r="C3287" t="s">
        <v>56</v>
      </c>
      <c r="D3287" t="s">
        <v>57</v>
      </c>
      <c r="E3287">
        <v>20</v>
      </c>
      <c r="F3287" s="3">
        <v>5.64</v>
      </c>
      <c r="G3287" s="4">
        <v>84.7</v>
      </c>
      <c r="H3287">
        <v>1</v>
      </c>
      <c r="I3287">
        <v>1</v>
      </c>
      <c r="J3287">
        <v>6</v>
      </c>
      <c r="K3287" s="4">
        <v>65.8</v>
      </c>
      <c r="L3287" s="4">
        <v>82.9</v>
      </c>
      <c r="M3287" s="4">
        <v>58.9</v>
      </c>
      <c r="N3287">
        <v>0</v>
      </c>
      <c r="O3287" t="s">
        <v>64</v>
      </c>
      <c r="P3287" t="s">
        <v>65</v>
      </c>
      <c r="S3287" s="3">
        <v>0</v>
      </c>
      <c r="T3287" s="5"/>
      <c r="U3287">
        <v>0</v>
      </c>
      <c r="V3287">
        <v>2021</v>
      </c>
      <c r="X3287">
        <f t="shared" si="153"/>
        <v>5.6396712999999998</v>
      </c>
      <c r="Y3287">
        <f t="shared" si="154"/>
        <v>-3.2869999999999997E-4</v>
      </c>
      <c r="Z3287">
        <f t="shared" si="155"/>
        <v>82.899671300000009</v>
      </c>
    </row>
    <row r="3288" spans="1:26" x14ac:dyDescent="0.3">
      <c r="A3288" t="s">
        <v>3378</v>
      </c>
      <c r="B3288" t="s">
        <v>107</v>
      </c>
      <c r="C3288" t="s">
        <v>56</v>
      </c>
      <c r="D3288" t="s">
        <v>69</v>
      </c>
      <c r="E3288">
        <v>21</v>
      </c>
      <c r="F3288" s="3">
        <v>8.32</v>
      </c>
      <c r="G3288" s="4">
        <v>76.099999999999994</v>
      </c>
      <c r="H3288">
        <v>2</v>
      </c>
      <c r="I3288">
        <v>0</v>
      </c>
      <c r="J3288">
        <v>4</v>
      </c>
      <c r="K3288" s="4">
        <v>82.4</v>
      </c>
      <c r="L3288" s="4">
        <v>65.2</v>
      </c>
      <c r="M3288" s="4">
        <v>63.3</v>
      </c>
      <c r="N3288">
        <v>1</v>
      </c>
      <c r="O3288" t="s">
        <v>58</v>
      </c>
      <c r="P3288" t="s">
        <v>70</v>
      </c>
      <c r="Q3288" t="s">
        <v>71</v>
      </c>
      <c r="R3288" t="s">
        <v>85</v>
      </c>
      <c r="S3288" s="3">
        <v>8.2899999999999991</v>
      </c>
      <c r="T3288" s="5">
        <v>44522</v>
      </c>
      <c r="U3288">
        <v>3</v>
      </c>
      <c r="V3288">
        <v>2021</v>
      </c>
      <c r="X3288">
        <f t="shared" si="153"/>
        <v>8.3196712000000002</v>
      </c>
      <c r="Y3288">
        <f t="shared" si="154"/>
        <v>8.289671199999999</v>
      </c>
      <c r="Z3288">
        <f t="shared" si="155"/>
        <v>65.199671199999997</v>
      </c>
    </row>
    <row r="3289" spans="1:26" x14ac:dyDescent="0.3">
      <c r="A3289" t="s">
        <v>3379</v>
      </c>
      <c r="B3289" t="s">
        <v>82</v>
      </c>
      <c r="C3289" t="s">
        <v>68</v>
      </c>
      <c r="D3289" t="s">
        <v>57</v>
      </c>
      <c r="E3289">
        <v>20</v>
      </c>
      <c r="F3289" s="3">
        <v>6.21</v>
      </c>
      <c r="G3289" s="4">
        <v>87.3</v>
      </c>
      <c r="H3289">
        <v>1</v>
      </c>
      <c r="I3289">
        <v>2</v>
      </c>
      <c r="J3289">
        <v>5</v>
      </c>
      <c r="K3289" s="4">
        <v>57.4</v>
      </c>
      <c r="L3289" s="4">
        <v>86.5</v>
      </c>
      <c r="M3289" s="4">
        <v>83.2</v>
      </c>
      <c r="N3289">
        <v>0</v>
      </c>
      <c r="O3289" t="s">
        <v>64</v>
      </c>
      <c r="P3289" t="s">
        <v>65</v>
      </c>
      <c r="S3289" s="3">
        <v>0</v>
      </c>
      <c r="T3289" s="5"/>
      <c r="U3289">
        <v>0</v>
      </c>
      <c r="V3289">
        <v>2022</v>
      </c>
      <c r="X3289">
        <f t="shared" si="153"/>
        <v>6.2096710999999996</v>
      </c>
      <c r="Y3289">
        <f t="shared" si="154"/>
        <v>-3.2889999999999997E-4</v>
      </c>
      <c r="Z3289">
        <f t="shared" si="155"/>
        <v>86.4996711</v>
      </c>
    </row>
    <row r="3290" spans="1:26" x14ac:dyDescent="0.3">
      <c r="A3290" t="s">
        <v>3380</v>
      </c>
      <c r="B3290" t="s">
        <v>63</v>
      </c>
      <c r="C3290" t="s">
        <v>74</v>
      </c>
      <c r="D3290" t="s">
        <v>69</v>
      </c>
      <c r="E3290">
        <v>22</v>
      </c>
      <c r="F3290" s="3">
        <v>7.27</v>
      </c>
      <c r="G3290" s="4">
        <v>78.3</v>
      </c>
      <c r="H3290">
        <v>0</v>
      </c>
      <c r="I3290">
        <v>3</v>
      </c>
      <c r="J3290">
        <v>5</v>
      </c>
      <c r="K3290" s="4">
        <v>83.8</v>
      </c>
      <c r="L3290" s="4">
        <v>83.4</v>
      </c>
      <c r="M3290" s="4">
        <v>97.4</v>
      </c>
      <c r="N3290">
        <v>1</v>
      </c>
      <c r="O3290" t="s">
        <v>58</v>
      </c>
      <c r="P3290" t="s">
        <v>70</v>
      </c>
      <c r="Q3290" t="s">
        <v>71</v>
      </c>
      <c r="R3290" t="s">
        <v>109</v>
      </c>
      <c r="S3290" s="3">
        <v>6.46</v>
      </c>
      <c r="T3290" s="5">
        <v>45988</v>
      </c>
      <c r="U3290">
        <v>1</v>
      </c>
      <c r="V3290">
        <v>2025</v>
      </c>
      <c r="X3290">
        <f t="shared" si="153"/>
        <v>7.2696709999999998</v>
      </c>
      <c r="Y3290">
        <f t="shared" si="154"/>
        <v>6.4596710000000002</v>
      </c>
      <c r="Z3290">
        <f t="shared" si="155"/>
        <v>83.399671000000012</v>
      </c>
    </row>
    <row r="3291" spans="1:26" x14ac:dyDescent="0.3">
      <c r="A3291" t="s">
        <v>3381</v>
      </c>
      <c r="B3291" t="s">
        <v>82</v>
      </c>
      <c r="C3291" t="s">
        <v>74</v>
      </c>
      <c r="D3291" t="s">
        <v>57</v>
      </c>
      <c r="E3291">
        <v>21</v>
      </c>
      <c r="F3291" s="3">
        <v>9.2200000000000006</v>
      </c>
      <c r="G3291" s="4">
        <v>83.8</v>
      </c>
      <c r="H3291">
        <v>1</v>
      </c>
      <c r="I3291">
        <v>2</v>
      </c>
      <c r="J3291">
        <v>4</v>
      </c>
      <c r="K3291" s="4">
        <v>92.4</v>
      </c>
      <c r="L3291" s="4">
        <v>100</v>
      </c>
      <c r="M3291" s="4">
        <v>62.8</v>
      </c>
      <c r="N3291">
        <v>0</v>
      </c>
      <c r="O3291" t="s">
        <v>58</v>
      </c>
      <c r="P3291" t="s">
        <v>70</v>
      </c>
      <c r="Q3291" t="s">
        <v>71</v>
      </c>
      <c r="R3291" t="s">
        <v>85</v>
      </c>
      <c r="S3291" s="3">
        <v>8.4600000000000009</v>
      </c>
      <c r="T3291" s="5">
        <v>44799</v>
      </c>
      <c r="U3291">
        <v>1</v>
      </c>
      <c r="V3291">
        <v>2022</v>
      </c>
      <c r="X3291">
        <f t="shared" si="153"/>
        <v>9.2196709000000006</v>
      </c>
      <c r="Y3291">
        <f t="shared" si="154"/>
        <v>8.4596709000000008</v>
      </c>
      <c r="Z3291">
        <f t="shared" si="155"/>
        <v>99.999670899999998</v>
      </c>
    </row>
    <row r="3292" spans="1:26" x14ac:dyDescent="0.3">
      <c r="A3292" t="s">
        <v>3382</v>
      </c>
      <c r="B3292" t="s">
        <v>82</v>
      </c>
      <c r="C3292" t="s">
        <v>68</v>
      </c>
      <c r="D3292" t="s">
        <v>57</v>
      </c>
      <c r="E3292">
        <v>20</v>
      </c>
      <c r="F3292" s="3">
        <v>7.69</v>
      </c>
      <c r="G3292" s="4">
        <v>75.400000000000006</v>
      </c>
      <c r="H3292">
        <v>1</v>
      </c>
      <c r="I3292">
        <v>2</v>
      </c>
      <c r="J3292">
        <v>5</v>
      </c>
      <c r="K3292" s="4">
        <v>72.3</v>
      </c>
      <c r="L3292" s="4">
        <v>68.2</v>
      </c>
      <c r="M3292" s="4">
        <v>64.599999999999994</v>
      </c>
      <c r="N3292">
        <v>0</v>
      </c>
      <c r="O3292" t="s">
        <v>58</v>
      </c>
      <c r="P3292" t="s">
        <v>95</v>
      </c>
      <c r="Q3292" t="s">
        <v>93</v>
      </c>
      <c r="R3292" t="s">
        <v>61</v>
      </c>
      <c r="S3292" s="3">
        <v>6.35</v>
      </c>
      <c r="T3292" s="5">
        <v>44798</v>
      </c>
      <c r="U3292">
        <v>1</v>
      </c>
      <c r="V3292">
        <v>2022</v>
      </c>
      <c r="X3292">
        <f t="shared" si="153"/>
        <v>7.6896708</v>
      </c>
      <c r="Y3292">
        <f t="shared" si="154"/>
        <v>6.3496707999999993</v>
      </c>
      <c r="Z3292">
        <f t="shared" si="155"/>
        <v>68.199670800000007</v>
      </c>
    </row>
    <row r="3293" spans="1:26" x14ac:dyDescent="0.3">
      <c r="A3293" t="s">
        <v>3383</v>
      </c>
      <c r="B3293" t="s">
        <v>107</v>
      </c>
      <c r="C3293" t="s">
        <v>89</v>
      </c>
      <c r="D3293" t="s">
        <v>69</v>
      </c>
      <c r="E3293">
        <v>22</v>
      </c>
      <c r="F3293" s="3">
        <v>8.6199999999999992</v>
      </c>
      <c r="G3293" s="4">
        <v>78.900000000000006</v>
      </c>
      <c r="H3293">
        <v>0</v>
      </c>
      <c r="I3293">
        <v>0</v>
      </c>
      <c r="J3293">
        <v>4</v>
      </c>
      <c r="K3293" s="4">
        <v>67.900000000000006</v>
      </c>
      <c r="L3293" s="4">
        <v>79</v>
      </c>
      <c r="M3293" s="4">
        <v>89.1</v>
      </c>
      <c r="N3293">
        <v>0</v>
      </c>
      <c r="O3293" t="s">
        <v>58</v>
      </c>
      <c r="P3293" t="s">
        <v>79</v>
      </c>
      <c r="Q3293" t="s">
        <v>71</v>
      </c>
      <c r="R3293" t="s">
        <v>80</v>
      </c>
      <c r="S3293" s="3">
        <v>6.72</v>
      </c>
      <c r="T3293" s="5">
        <v>44444</v>
      </c>
      <c r="U3293">
        <v>1</v>
      </c>
      <c r="V3293">
        <v>2021</v>
      </c>
      <c r="X3293">
        <f t="shared" si="153"/>
        <v>8.6196706999999986</v>
      </c>
      <c r="Y3293">
        <f t="shared" si="154"/>
        <v>6.7196707</v>
      </c>
      <c r="Z3293">
        <f t="shared" si="155"/>
        <v>78.999670699999996</v>
      </c>
    </row>
    <row r="3294" spans="1:26" x14ac:dyDescent="0.3">
      <c r="A3294" t="s">
        <v>3384</v>
      </c>
      <c r="B3294" t="s">
        <v>82</v>
      </c>
      <c r="C3294" t="s">
        <v>101</v>
      </c>
      <c r="D3294" t="s">
        <v>57</v>
      </c>
      <c r="E3294">
        <v>20</v>
      </c>
      <c r="F3294" s="3">
        <v>7.96</v>
      </c>
      <c r="G3294" s="4">
        <v>80.7</v>
      </c>
      <c r="H3294">
        <v>1</v>
      </c>
      <c r="I3294">
        <v>1</v>
      </c>
      <c r="J3294">
        <v>3</v>
      </c>
      <c r="K3294" s="4">
        <v>70.400000000000006</v>
      </c>
      <c r="L3294" s="4">
        <v>77</v>
      </c>
      <c r="M3294" s="4">
        <v>76</v>
      </c>
      <c r="N3294">
        <v>0</v>
      </c>
      <c r="O3294" t="s">
        <v>58</v>
      </c>
      <c r="P3294" t="s">
        <v>90</v>
      </c>
      <c r="Q3294" t="s">
        <v>60</v>
      </c>
      <c r="R3294" t="s">
        <v>130</v>
      </c>
      <c r="S3294" s="3">
        <v>7.92</v>
      </c>
      <c r="T3294" s="5">
        <v>44892</v>
      </c>
      <c r="U3294">
        <v>1</v>
      </c>
      <c r="V3294">
        <v>2022</v>
      </c>
      <c r="X3294">
        <f t="shared" si="153"/>
        <v>7.9596705999999999</v>
      </c>
      <c r="Y3294">
        <f t="shared" si="154"/>
        <v>7.9196705999999999</v>
      </c>
      <c r="Z3294">
        <f t="shared" si="155"/>
        <v>76.999670600000002</v>
      </c>
    </row>
    <row r="3295" spans="1:26" x14ac:dyDescent="0.3">
      <c r="A3295" t="s">
        <v>3385</v>
      </c>
      <c r="B3295" t="s">
        <v>107</v>
      </c>
      <c r="C3295" t="s">
        <v>74</v>
      </c>
      <c r="D3295" t="s">
        <v>69</v>
      </c>
      <c r="E3295">
        <v>23</v>
      </c>
      <c r="F3295" s="3">
        <v>6.74</v>
      </c>
      <c r="G3295" s="4">
        <v>85.6</v>
      </c>
      <c r="H3295">
        <v>1</v>
      </c>
      <c r="I3295">
        <v>4</v>
      </c>
      <c r="J3295">
        <v>2</v>
      </c>
      <c r="K3295" s="4">
        <v>48.6</v>
      </c>
      <c r="L3295" s="4">
        <v>82.2</v>
      </c>
      <c r="M3295" s="4">
        <v>71</v>
      </c>
      <c r="N3295">
        <v>0</v>
      </c>
      <c r="O3295" t="s">
        <v>64</v>
      </c>
      <c r="P3295" t="s">
        <v>65</v>
      </c>
      <c r="S3295" s="3">
        <v>0</v>
      </c>
      <c r="T3295" s="5"/>
      <c r="U3295">
        <v>0</v>
      </c>
      <c r="V3295">
        <v>2021</v>
      </c>
      <c r="X3295">
        <f t="shared" si="153"/>
        <v>6.7396704999999999</v>
      </c>
      <c r="Y3295">
        <f t="shared" si="154"/>
        <v>-3.2949999999999999E-4</v>
      </c>
      <c r="Z3295">
        <f t="shared" si="155"/>
        <v>82.199670499999996</v>
      </c>
    </row>
    <row r="3296" spans="1:26" x14ac:dyDescent="0.3">
      <c r="A3296" t="s">
        <v>3386</v>
      </c>
      <c r="B3296" t="s">
        <v>63</v>
      </c>
      <c r="C3296" t="s">
        <v>101</v>
      </c>
      <c r="D3296" t="s">
        <v>57</v>
      </c>
      <c r="E3296">
        <v>21</v>
      </c>
      <c r="F3296" s="3">
        <v>8.31</v>
      </c>
      <c r="G3296" s="4">
        <v>87.1</v>
      </c>
      <c r="H3296">
        <v>2</v>
      </c>
      <c r="I3296">
        <v>0</v>
      </c>
      <c r="J3296">
        <v>5</v>
      </c>
      <c r="K3296" s="4">
        <v>65.2</v>
      </c>
      <c r="L3296" s="4">
        <v>68.900000000000006</v>
      </c>
      <c r="M3296" s="4">
        <v>76.5</v>
      </c>
      <c r="N3296">
        <v>1</v>
      </c>
      <c r="O3296" t="s">
        <v>58</v>
      </c>
      <c r="P3296" t="s">
        <v>70</v>
      </c>
      <c r="Q3296" t="s">
        <v>71</v>
      </c>
      <c r="R3296" t="s">
        <v>80</v>
      </c>
      <c r="S3296" s="3">
        <v>6.55</v>
      </c>
      <c r="T3296" s="5">
        <v>45975</v>
      </c>
      <c r="U3296">
        <v>1</v>
      </c>
      <c r="V3296">
        <v>2025</v>
      </c>
      <c r="X3296">
        <f t="shared" si="153"/>
        <v>8.3096703999999999</v>
      </c>
      <c r="Y3296">
        <f t="shared" si="154"/>
        <v>6.5496704000000001</v>
      </c>
      <c r="Z3296">
        <f t="shared" si="155"/>
        <v>68.899670400000005</v>
      </c>
    </row>
    <row r="3297" spans="1:26" x14ac:dyDescent="0.3">
      <c r="A3297" t="s">
        <v>3387</v>
      </c>
      <c r="B3297" t="s">
        <v>55</v>
      </c>
      <c r="C3297" t="s">
        <v>74</v>
      </c>
      <c r="D3297" t="s">
        <v>57</v>
      </c>
      <c r="E3297">
        <v>21</v>
      </c>
      <c r="F3297" s="3">
        <v>7.59</v>
      </c>
      <c r="G3297" s="4">
        <v>97.3</v>
      </c>
      <c r="H3297">
        <v>1</v>
      </c>
      <c r="I3297">
        <v>3</v>
      </c>
      <c r="J3297">
        <v>1</v>
      </c>
      <c r="K3297" s="4">
        <v>96.8</v>
      </c>
      <c r="L3297" s="4">
        <v>77</v>
      </c>
      <c r="M3297" s="4">
        <v>100</v>
      </c>
      <c r="N3297">
        <v>0</v>
      </c>
      <c r="O3297" t="s">
        <v>64</v>
      </c>
      <c r="P3297" t="s">
        <v>65</v>
      </c>
      <c r="S3297" s="3">
        <v>0</v>
      </c>
      <c r="T3297" s="5"/>
      <c r="U3297">
        <v>0</v>
      </c>
      <c r="V3297">
        <v>2024</v>
      </c>
      <c r="X3297">
        <f t="shared" si="153"/>
        <v>7.5896702999999999</v>
      </c>
      <c r="Y3297">
        <f t="shared" si="154"/>
        <v>-3.2969999999999999E-4</v>
      </c>
      <c r="Z3297">
        <f t="shared" si="155"/>
        <v>76.999670300000005</v>
      </c>
    </row>
    <row r="3298" spans="1:26" x14ac:dyDescent="0.3">
      <c r="A3298" t="s">
        <v>3388</v>
      </c>
      <c r="B3298" t="s">
        <v>107</v>
      </c>
      <c r="C3298" t="s">
        <v>56</v>
      </c>
      <c r="D3298" t="s">
        <v>69</v>
      </c>
      <c r="E3298">
        <v>21</v>
      </c>
      <c r="F3298" s="3">
        <v>6.31</v>
      </c>
      <c r="G3298" s="4">
        <v>83.3</v>
      </c>
      <c r="H3298">
        <v>1</v>
      </c>
      <c r="I3298">
        <v>3</v>
      </c>
      <c r="J3298">
        <v>3</v>
      </c>
      <c r="K3298" s="4">
        <v>97.7</v>
      </c>
      <c r="L3298" s="4">
        <v>72.2</v>
      </c>
      <c r="M3298" s="4">
        <v>83.2</v>
      </c>
      <c r="N3298">
        <v>0</v>
      </c>
      <c r="O3298" t="s">
        <v>58</v>
      </c>
      <c r="P3298" t="s">
        <v>104</v>
      </c>
      <c r="Q3298" t="s">
        <v>105</v>
      </c>
      <c r="R3298" t="s">
        <v>109</v>
      </c>
      <c r="S3298" s="3">
        <v>13.22</v>
      </c>
      <c r="T3298" s="5">
        <v>44451</v>
      </c>
      <c r="U3298">
        <v>1</v>
      </c>
      <c r="V3298">
        <v>2021</v>
      </c>
      <c r="X3298">
        <f t="shared" si="153"/>
        <v>6.3096701999999993</v>
      </c>
      <c r="Y3298">
        <f t="shared" si="154"/>
        <v>13.219670200000001</v>
      </c>
      <c r="Z3298">
        <f t="shared" si="155"/>
        <v>72.1996702</v>
      </c>
    </row>
    <row r="3299" spans="1:26" x14ac:dyDescent="0.3">
      <c r="A3299" t="s">
        <v>3389</v>
      </c>
      <c r="B3299" t="s">
        <v>63</v>
      </c>
      <c r="C3299" t="s">
        <v>68</v>
      </c>
      <c r="D3299" t="s">
        <v>69</v>
      </c>
      <c r="E3299">
        <v>23</v>
      </c>
      <c r="F3299" s="3">
        <v>6.16</v>
      </c>
      <c r="G3299" s="4">
        <v>73.5</v>
      </c>
      <c r="H3299">
        <v>1</v>
      </c>
      <c r="I3299">
        <v>3</v>
      </c>
      <c r="J3299">
        <v>4</v>
      </c>
      <c r="K3299" s="4">
        <v>69.3</v>
      </c>
      <c r="L3299" s="4">
        <v>82.9</v>
      </c>
      <c r="M3299" s="4">
        <v>78.3</v>
      </c>
      <c r="N3299">
        <v>0</v>
      </c>
      <c r="O3299" t="s">
        <v>58</v>
      </c>
      <c r="P3299" t="s">
        <v>92</v>
      </c>
      <c r="Q3299" t="s">
        <v>93</v>
      </c>
      <c r="R3299" t="s">
        <v>61</v>
      </c>
      <c r="S3299" s="3">
        <v>9.5399999999999991</v>
      </c>
      <c r="T3299" s="5">
        <v>45892</v>
      </c>
      <c r="U3299">
        <v>2</v>
      </c>
      <c r="V3299">
        <v>2025</v>
      </c>
      <c r="X3299">
        <f t="shared" si="153"/>
        <v>6.1596701000000005</v>
      </c>
      <c r="Y3299">
        <f t="shared" si="154"/>
        <v>9.5396700999999986</v>
      </c>
      <c r="Z3299">
        <f t="shared" si="155"/>
        <v>82.899670100000009</v>
      </c>
    </row>
    <row r="3300" spans="1:26" x14ac:dyDescent="0.3">
      <c r="A3300" t="s">
        <v>3390</v>
      </c>
      <c r="B3300" t="s">
        <v>55</v>
      </c>
      <c r="C3300" t="s">
        <v>89</v>
      </c>
      <c r="D3300" t="s">
        <v>69</v>
      </c>
      <c r="E3300">
        <v>21</v>
      </c>
      <c r="F3300" s="3">
        <v>7.99</v>
      </c>
      <c r="G3300" s="4">
        <v>89.2</v>
      </c>
      <c r="H3300">
        <v>2</v>
      </c>
      <c r="I3300">
        <v>5</v>
      </c>
      <c r="J3300">
        <v>6</v>
      </c>
      <c r="K3300" s="4">
        <v>60.4</v>
      </c>
      <c r="L3300" s="4">
        <v>41.2</v>
      </c>
      <c r="M3300" s="4">
        <v>81</v>
      </c>
      <c r="N3300">
        <v>0</v>
      </c>
      <c r="O3300" t="s">
        <v>58</v>
      </c>
      <c r="P3300" t="s">
        <v>87</v>
      </c>
      <c r="Q3300" t="s">
        <v>71</v>
      </c>
      <c r="R3300" t="s">
        <v>72</v>
      </c>
      <c r="S3300" s="3">
        <v>6.77</v>
      </c>
      <c r="T3300" s="5">
        <v>45569</v>
      </c>
      <c r="U3300">
        <v>1</v>
      </c>
      <c r="V3300">
        <v>2024</v>
      </c>
      <c r="X3300">
        <f t="shared" si="153"/>
        <v>7.9896700000000003</v>
      </c>
      <c r="Y3300">
        <f t="shared" si="154"/>
        <v>6.7696699999999996</v>
      </c>
      <c r="Z3300">
        <f t="shared" si="155"/>
        <v>41.199670000000005</v>
      </c>
    </row>
    <row r="3301" spans="1:26" x14ac:dyDescent="0.3">
      <c r="A3301" t="s">
        <v>3391</v>
      </c>
      <c r="B3301" t="s">
        <v>67</v>
      </c>
      <c r="C3301" t="s">
        <v>84</v>
      </c>
      <c r="D3301" t="s">
        <v>69</v>
      </c>
      <c r="E3301">
        <v>23</v>
      </c>
      <c r="F3301" s="3">
        <v>9.58</v>
      </c>
      <c r="G3301" s="4">
        <v>85</v>
      </c>
      <c r="H3301">
        <v>1</v>
      </c>
      <c r="I3301">
        <v>2</v>
      </c>
      <c r="J3301">
        <v>5</v>
      </c>
      <c r="K3301" s="4">
        <v>82.4</v>
      </c>
      <c r="L3301" s="4">
        <v>66.400000000000006</v>
      </c>
      <c r="M3301" s="4">
        <v>79</v>
      </c>
      <c r="N3301">
        <v>0</v>
      </c>
      <c r="O3301" t="s">
        <v>58</v>
      </c>
      <c r="P3301" t="s">
        <v>59</v>
      </c>
      <c r="Q3301" t="s">
        <v>60</v>
      </c>
      <c r="R3301" t="s">
        <v>76</v>
      </c>
      <c r="S3301" s="3">
        <v>20.88</v>
      </c>
      <c r="T3301" s="5">
        <v>45197</v>
      </c>
      <c r="U3301">
        <v>1</v>
      </c>
      <c r="V3301">
        <v>2023</v>
      </c>
      <c r="X3301">
        <f t="shared" si="153"/>
        <v>9.5796699000000007</v>
      </c>
      <c r="Y3301">
        <f t="shared" si="154"/>
        <v>20.8796699</v>
      </c>
      <c r="Z3301">
        <f t="shared" si="155"/>
        <v>66.399669900000006</v>
      </c>
    </row>
    <row r="3302" spans="1:26" x14ac:dyDescent="0.3">
      <c r="A3302" t="s">
        <v>3392</v>
      </c>
      <c r="B3302" t="s">
        <v>107</v>
      </c>
      <c r="C3302" t="s">
        <v>78</v>
      </c>
      <c r="D3302" t="s">
        <v>57</v>
      </c>
      <c r="E3302">
        <v>21</v>
      </c>
      <c r="F3302" s="3">
        <v>6.68</v>
      </c>
      <c r="G3302" s="4">
        <v>80.3</v>
      </c>
      <c r="H3302">
        <v>2</v>
      </c>
      <c r="I3302">
        <v>3</v>
      </c>
      <c r="J3302">
        <v>3</v>
      </c>
      <c r="K3302" s="4">
        <v>67.5</v>
      </c>
      <c r="L3302" s="4">
        <v>100</v>
      </c>
      <c r="M3302" s="4">
        <v>85</v>
      </c>
      <c r="N3302">
        <v>0</v>
      </c>
      <c r="O3302" t="s">
        <v>58</v>
      </c>
      <c r="P3302" t="s">
        <v>75</v>
      </c>
      <c r="Q3302" t="s">
        <v>71</v>
      </c>
      <c r="R3302" t="s">
        <v>61</v>
      </c>
      <c r="S3302" s="3">
        <v>5.18</v>
      </c>
      <c r="T3302" s="5">
        <v>44469</v>
      </c>
      <c r="U3302">
        <v>2</v>
      </c>
      <c r="V3302">
        <v>2021</v>
      </c>
      <c r="X3302">
        <f t="shared" si="153"/>
        <v>6.6796698000000001</v>
      </c>
      <c r="Y3302">
        <f t="shared" si="154"/>
        <v>5.1796698000000001</v>
      </c>
      <c r="Z3302">
        <f t="shared" si="155"/>
        <v>99.999669800000007</v>
      </c>
    </row>
    <row r="3303" spans="1:26" x14ac:dyDescent="0.3">
      <c r="A3303" t="s">
        <v>3393</v>
      </c>
      <c r="B3303" t="s">
        <v>107</v>
      </c>
      <c r="C3303" t="s">
        <v>84</v>
      </c>
      <c r="D3303" t="s">
        <v>69</v>
      </c>
      <c r="E3303">
        <v>20</v>
      </c>
      <c r="F3303" s="3">
        <v>6.79</v>
      </c>
      <c r="G3303" s="4">
        <v>78.400000000000006</v>
      </c>
      <c r="H3303">
        <v>1</v>
      </c>
      <c r="I3303">
        <v>1</v>
      </c>
      <c r="J3303">
        <v>4</v>
      </c>
      <c r="K3303" s="4">
        <v>81.2</v>
      </c>
      <c r="L3303" s="4">
        <v>93.1</v>
      </c>
      <c r="M3303" s="4">
        <v>66.3</v>
      </c>
      <c r="N3303">
        <v>0</v>
      </c>
      <c r="O3303" t="s">
        <v>64</v>
      </c>
      <c r="P3303" t="s">
        <v>65</v>
      </c>
      <c r="S3303" s="3">
        <v>0</v>
      </c>
      <c r="T3303" s="5"/>
      <c r="U3303">
        <v>0</v>
      </c>
      <c r="V3303">
        <v>2021</v>
      </c>
      <c r="X3303">
        <f t="shared" si="153"/>
        <v>6.7896697000000001</v>
      </c>
      <c r="Y3303">
        <f t="shared" si="154"/>
        <v>-3.3030000000000001E-4</v>
      </c>
      <c r="Z3303">
        <f t="shared" si="155"/>
        <v>93.099669699999993</v>
      </c>
    </row>
    <row r="3304" spans="1:26" x14ac:dyDescent="0.3">
      <c r="A3304" t="s">
        <v>3394</v>
      </c>
      <c r="B3304" t="s">
        <v>67</v>
      </c>
      <c r="C3304" t="s">
        <v>84</v>
      </c>
      <c r="D3304" t="s">
        <v>69</v>
      </c>
      <c r="E3304">
        <v>20</v>
      </c>
      <c r="F3304" s="3">
        <v>8.01</v>
      </c>
      <c r="G3304" s="4">
        <v>76.400000000000006</v>
      </c>
      <c r="H3304">
        <v>3</v>
      </c>
      <c r="I3304">
        <v>1</v>
      </c>
      <c r="J3304">
        <v>6</v>
      </c>
      <c r="K3304" s="4">
        <v>57.6</v>
      </c>
      <c r="L3304" s="4">
        <v>74.599999999999994</v>
      </c>
      <c r="M3304" s="4">
        <v>73.2</v>
      </c>
      <c r="N3304">
        <v>0</v>
      </c>
      <c r="O3304" t="s">
        <v>58</v>
      </c>
      <c r="P3304" t="s">
        <v>79</v>
      </c>
      <c r="Q3304" t="s">
        <v>71</v>
      </c>
      <c r="R3304" t="s">
        <v>80</v>
      </c>
      <c r="S3304" s="3">
        <v>7.16</v>
      </c>
      <c r="T3304" s="5">
        <v>45227</v>
      </c>
      <c r="U3304">
        <v>1</v>
      </c>
      <c r="V3304">
        <v>2023</v>
      </c>
      <c r="X3304">
        <f t="shared" si="153"/>
        <v>8.0096696000000005</v>
      </c>
      <c r="Y3304">
        <f t="shared" si="154"/>
        <v>7.1596696</v>
      </c>
      <c r="Z3304">
        <f t="shared" si="155"/>
        <v>74.599669599999999</v>
      </c>
    </row>
    <row r="3305" spans="1:26" x14ac:dyDescent="0.3">
      <c r="A3305" t="s">
        <v>3395</v>
      </c>
      <c r="B3305" t="s">
        <v>67</v>
      </c>
      <c r="C3305" t="s">
        <v>89</v>
      </c>
      <c r="D3305" t="s">
        <v>57</v>
      </c>
      <c r="E3305">
        <v>20</v>
      </c>
      <c r="F3305" s="3">
        <v>6.47</v>
      </c>
      <c r="G3305" s="4">
        <v>76.099999999999994</v>
      </c>
      <c r="H3305">
        <v>1</v>
      </c>
      <c r="I3305">
        <v>2</v>
      </c>
      <c r="J3305">
        <v>4</v>
      </c>
      <c r="K3305" s="4">
        <v>72.3</v>
      </c>
      <c r="L3305" s="4">
        <v>78.900000000000006</v>
      </c>
      <c r="M3305" s="4">
        <v>73.8</v>
      </c>
      <c r="N3305">
        <v>0</v>
      </c>
      <c r="O3305" t="s">
        <v>58</v>
      </c>
      <c r="P3305" t="s">
        <v>92</v>
      </c>
      <c r="Q3305" t="s">
        <v>93</v>
      </c>
      <c r="R3305" t="s">
        <v>80</v>
      </c>
      <c r="S3305" s="3">
        <v>7.84</v>
      </c>
      <c r="T3305" s="5">
        <v>45224</v>
      </c>
      <c r="U3305">
        <v>1</v>
      </c>
      <c r="V3305">
        <v>2023</v>
      </c>
      <c r="X3305">
        <f t="shared" si="153"/>
        <v>6.4696695000000002</v>
      </c>
      <c r="Y3305">
        <f t="shared" si="154"/>
        <v>7.8396695000000003</v>
      </c>
      <c r="Z3305">
        <f t="shared" si="155"/>
        <v>78.899669500000002</v>
      </c>
    </row>
    <row r="3306" spans="1:26" x14ac:dyDescent="0.3">
      <c r="A3306" t="s">
        <v>3396</v>
      </c>
      <c r="B3306" t="s">
        <v>107</v>
      </c>
      <c r="C3306" t="s">
        <v>68</v>
      </c>
      <c r="D3306" t="s">
        <v>57</v>
      </c>
      <c r="E3306">
        <v>20</v>
      </c>
      <c r="F3306" s="3">
        <v>9.77</v>
      </c>
      <c r="G3306" s="4">
        <v>71</v>
      </c>
      <c r="H3306">
        <v>0</v>
      </c>
      <c r="I3306">
        <v>1</v>
      </c>
      <c r="J3306">
        <v>3</v>
      </c>
      <c r="K3306" s="4">
        <v>62.9</v>
      </c>
      <c r="L3306" s="4">
        <v>77.8</v>
      </c>
      <c r="M3306" s="4">
        <v>62.9</v>
      </c>
      <c r="N3306">
        <v>0</v>
      </c>
      <c r="O3306" t="s">
        <v>58</v>
      </c>
      <c r="P3306" t="s">
        <v>87</v>
      </c>
      <c r="Q3306" t="s">
        <v>71</v>
      </c>
      <c r="R3306" t="s">
        <v>72</v>
      </c>
      <c r="S3306" s="3">
        <v>8.68</v>
      </c>
      <c r="T3306" s="5">
        <v>44519</v>
      </c>
      <c r="U3306">
        <v>2</v>
      </c>
      <c r="V3306">
        <v>2021</v>
      </c>
      <c r="X3306">
        <f t="shared" si="153"/>
        <v>9.7696693999999997</v>
      </c>
      <c r="Y3306">
        <f t="shared" si="154"/>
        <v>8.6796693999999999</v>
      </c>
      <c r="Z3306">
        <f t="shared" si="155"/>
        <v>77.799669399999999</v>
      </c>
    </row>
    <row r="3307" spans="1:26" x14ac:dyDescent="0.3">
      <c r="A3307" t="s">
        <v>3397</v>
      </c>
      <c r="B3307" t="s">
        <v>67</v>
      </c>
      <c r="C3307" t="s">
        <v>68</v>
      </c>
      <c r="D3307" t="s">
        <v>69</v>
      </c>
      <c r="E3307">
        <v>23</v>
      </c>
      <c r="F3307" s="3">
        <v>6.87</v>
      </c>
      <c r="G3307" s="4">
        <v>90.7</v>
      </c>
      <c r="H3307">
        <v>1</v>
      </c>
      <c r="I3307">
        <v>4</v>
      </c>
      <c r="J3307">
        <v>4</v>
      </c>
      <c r="K3307" s="4">
        <v>67.900000000000006</v>
      </c>
      <c r="L3307" s="4">
        <v>79.5</v>
      </c>
      <c r="M3307" s="4">
        <v>60.8</v>
      </c>
      <c r="N3307">
        <v>1</v>
      </c>
      <c r="O3307" t="s">
        <v>64</v>
      </c>
      <c r="P3307" t="s">
        <v>65</v>
      </c>
      <c r="S3307" s="3">
        <v>0</v>
      </c>
      <c r="T3307" s="5"/>
      <c r="U3307">
        <v>0</v>
      </c>
      <c r="V3307">
        <v>2023</v>
      </c>
      <c r="X3307">
        <f t="shared" si="153"/>
        <v>6.8696693</v>
      </c>
      <c r="Y3307">
        <f t="shared" si="154"/>
        <v>-3.3069999999999996E-4</v>
      </c>
      <c r="Z3307">
        <f t="shared" si="155"/>
        <v>79.499669299999994</v>
      </c>
    </row>
    <row r="3308" spans="1:26" x14ac:dyDescent="0.3">
      <c r="A3308" t="s">
        <v>3398</v>
      </c>
      <c r="B3308" t="s">
        <v>82</v>
      </c>
      <c r="C3308" t="s">
        <v>84</v>
      </c>
      <c r="D3308" t="s">
        <v>57</v>
      </c>
      <c r="E3308">
        <v>22</v>
      </c>
      <c r="F3308" s="3">
        <v>7.2</v>
      </c>
      <c r="G3308" s="4">
        <v>85.9</v>
      </c>
      <c r="H3308">
        <v>1</v>
      </c>
      <c r="I3308">
        <v>3</v>
      </c>
      <c r="J3308">
        <v>3</v>
      </c>
      <c r="K3308" s="4">
        <v>60</v>
      </c>
      <c r="L3308" s="4">
        <v>56.9</v>
      </c>
      <c r="M3308" s="4">
        <v>90.8</v>
      </c>
      <c r="N3308">
        <v>0</v>
      </c>
      <c r="O3308" t="s">
        <v>58</v>
      </c>
      <c r="P3308" t="s">
        <v>70</v>
      </c>
      <c r="Q3308" t="s">
        <v>71</v>
      </c>
      <c r="R3308" t="s">
        <v>61</v>
      </c>
      <c r="S3308" s="3">
        <v>3.82</v>
      </c>
      <c r="T3308" s="5">
        <v>44878</v>
      </c>
      <c r="U3308">
        <v>1</v>
      </c>
      <c r="V3308">
        <v>2022</v>
      </c>
      <c r="X3308">
        <f t="shared" si="153"/>
        <v>7.1996691999999998</v>
      </c>
      <c r="Y3308">
        <f t="shared" si="154"/>
        <v>3.8196691999999999</v>
      </c>
      <c r="Z3308">
        <f t="shared" si="155"/>
        <v>56.899669199999998</v>
      </c>
    </row>
    <row r="3309" spans="1:26" x14ac:dyDescent="0.3">
      <c r="A3309" t="s">
        <v>3399</v>
      </c>
      <c r="B3309" t="s">
        <v>55</v>
      </c>
      <c r="C3309" t="s">
        <v>78</v>
      </c>
      <c r="D3309" t="s">
        <v>57</v>
      </c>
      <c r="E3309">
        <v>22</v>
      </c>
      <c r="F3309" s="3">
        <v>6.93</v>
      </c>
      <c r="G3309" s="4">
        <v>82.8</v>
      </c>
      <c r="H3309">
        <v>2</v>
      </c>
      <c r="I3309">
        <v>1</v>
      </c>
      <c r="J3309">
        <v>6</v>
      </c>
      <c r="K3309" s="4">
        <v>66</v>
      </c>
      <c r="L3309" s="4">
        <v>60</v>
      </c>
      <c r="M3309" s="4">
        <v>82.5</v>
      </c>
      <c r="N3309">
        <v>3</v>
      </c>
      <c r="O3309" t="s">
        <v>58</v>
      </c>
      <c r="P3309" t="s">
        <v>90</v>
      </c>
      <c r="Q3309" t="s">
        <v>60</v>
      </c>
      <c r="R3309" t="s">
        <v>61</v>
      </c>
      <c r="S3309" s="3">
        <v>6.52</v>
      </c>
      <c r="T3309" s="5">
        <v>45568</v>
      </c>
      <c r="U3309">
        <v>1</v>
      </c>
      <c r="V3309">
        <v>2024</v>
      </c>
      <c r="X3309">
        <f t="shared" si="153"/>
        <v>6.9296690999999999</v>
      </c>
      <c r="Y3309">
        <f t="shared" si="154"/>
        <v>6.5196690999999998</v>
      </c>
      <c r="Z3309">
        <f t="shared" si="155"/>
        <v>59.999669099999998</v>
      </c>
    </row>
    <row r="3310" spans="1:26" x14ac:dyDescent="0.3">
      <c r="A3310" t="s">
        <v>3400</v>
      </c>
      <c r="B3310" t="s">
        <v>55</v>
      </c>
      <c r="C3310" t="s">
        <v>56</v>
      </c>
      <c r="D3310" t="s">
        <v>69</v>
      </c>
      <c r="E3310">
        <v>20</v>
      </c>
      <c r="F3310" s="3">
        <v>8.49</v>
      </c>
      <c r="G3310" s="4">
        <v>76.400000000000006</v>
      </c>
      <c r="H3310">
        <v>1</v>
      </c>
      <c r="I3310">
        <v>0</v>
      </c>
      <c r="J3310">
        <v>5</v>
      </c>
      <c r="K3310" s="4">
        <v>72.2</v>
      </c>
      <c r="L3310" s="4">
        <v>60.2</v>
      </c>
      <c r="M3310" s="4">
        <v>95.2</v>
      </c>
      <c r="N3310">
        <v>0</v>
      </c>
      <c r="O3310" t="s">
        <v>58</v>
      </c>
      <c r="P3310" t="s">
        <v>75</v>
      </c>
      <c r="Q3310" t="s">
        <v>71</v>
      </c>
      <c r="R3310" t="s">
        <v>61</v>
      </c>
      <c r="S3310" s="3">
        <v>5.37</v>
      </c>
      <c r="T3310" s="5">
        <v>45537</v>
      </c>
      <c r="U3310">
        <v>1</v>
      </c>
      <c r="V3310">
        <v>2024</v>
      </c>
      <c r="X3310">
        <f t="shared" si="153"/>
        <v>8.489669000000001</v>
      </c>
      <c r="Y3310">
        <f t="shared" si="154"/>
        <v>5.369669</v>
      </c>
      <c r="Z3310">
        <f t="shared" si="155"/>
        <v>60.199669</v>
      </c>
    </row>
    <row r="3311" spans="1:26" x14ac:dyDescent="0.3">
      <c r="A3311" t="s">
        <v>3401</v>
      </c>
      <c r="B3311" t="s">
        <v>55</v>
      </c>
      <c r="C3311" t="s">
        <v>78</v>
      </c>
      <c r="D3311" t="s">
        <v>57</v>
      </c>
      <c r="E3311">
        <v>22</v>
      </c>
      <c r="F3311" s="3">
        <v>9.6</v>
      </c>
      <c r="G3311" s="4">
        <v>91.8</v>
      </c>
      <c r="H3311">
        <v>0</v>
      </c>
      <c r="I3311">
        <v>1</v>
      </c>
      <c r="J3311">
        <v>4</v>
      </c>
      <c r="K3311" s="4">
        <v>77.7</v>
      </c>
      <c r="L3311" s="4">
        <v>63.3</v>
      </c>
      <c r="M3311" s="4">
        <v>80.099999999999994</v>
      </c>
      <c r="N3311">
        <v>0</v>
      </c>
      <c r="O3311" t="s">
        <v>58</v>
      </c>
      <c r="P3311" t="s">
        <v>92</v>
      </c>
      <c r="Q3311" t="s">
        <v>93</v>
      </c>
      <c r="R3311" t="s">
        <v>80</v>
      </c>
      <c r="S3311" s="3">
        <v>8.32</v>
      </c>
      <c r="T3311" s="5">
        <v>45621</v>
      </c>
      <c r="U3311">
        <v>1</v>
      </c>
      <c r="V3311">
        <v>2024</v>
      </c>
      <c r="X3311">
        <f t="shared" si="153"/>
        <v>9.5996688999999993</v>
      </c>
      <c r="Y3311">
        <f t="shared" si="154"/>
        <v>8.3196688999999999</v>
      </c>
      <c r="Z3311">
        <f t="shared" si="155"/>
        <v>63.2996689</v>
      </c>
    </row>
    <row r="3312" spans="1:26" x14ac:dyDescent="0.3">
      <c r="A3312" t="s">
        <v>3402</v>
      </c>
      <c r="B3312" t="s">
        <v>82</v>
      </c>
      <c r="C3312" t="s">
        <v>56</v>
      </c>
      <c r="D3312" t="s">
        <v>57</v>
      </c>
      <c r="E3312">
        <v>22</v>
      </c>
      <c r="F3312" s="3">
        <v>7.02</v>
      </c>
      <c r="G3312" s="4">
        <v>69.2</v>
      </c>
      <c r="H3312">
        <v>2</v>
      </c>
      <c r="I3312">
        <v>2</v>
      </c>
      <c r="J3312">
        <v>4</v>
      </c>
      <c r="K3312" s="4">
        <v>65.8</v>
      </c>
      <c r="L3312" s="4">
        <v>93.6</v>
      </c>
      <c r="M3312" s="4">
        <v>77.8</v>
      </c>
      <c r="N3312">
        <v>0</v>
      </c>
      <c r="O3312" t="s">
        <v>58</v>
      </c>
      <c r="P3312" t="s">
        <v>90</v>
      </c>
      <c r="Q3312" t="s">
        <v>60</v>
      </c>
      <c r="R3312" t="s">
        <v>72</v>
      </c>
      <c r="S3312" s="3">
        <v>9.82</v>
      </c>
      <c r="T3312" s="5">
        <v>44849</v>
      </c>
      <c r="U3312">
        <v>2</v>
      </c>
      <c r="V3312">
        <v>2022</v>
      </c>
      <c r="X3312">
        <f t="shared" si="153"/>
        <v>7.0196687999999998</v>
      </c>
      <c r="Y3312">
        <f t="shared" si="154"/>
        <v>9.8196688000000005</v>
      </c>
      <c r="Z3312">
        <f t="shared" si="155"/>
        <v>93.599668799999989</v>
      </c>
    </row>
    <row r="3313" spans="1:26" x14ac:dyDescent="0.3">
      <c r="A3313" t="s">
        <v>3403</v>
      </c>
      <c r="B3313" t="s">
        <v>67</v>
      </c>
      <c r="C3313" t="s">
        <v>68</v>
      </c>
      <c r="D3313" t="s">
        <v>69</v>
      </c>
      <c r="E3313">
        <v>21</v>
      </c>
      <c r="F3313" s="3">
        <v>8.43</v>
      </c>
      <c r="G3313" s="4">
        <v>80.8</v>
      </c>
      <c r="H3313">
        <v>3</v>
      </c>
      <c r="I3313">
        <v>3</v>
      </c>
      <c r="J3313">
        <v>6</v>
      </c>
      <c r="K3313" s="4">
        <v>88.3</v>
      </c>
      <c r="L3313" s="4">
        <v>52.5</v>
      </c>
      <c r="M3313" s="4">
        <v>71.599999999999994</v>
      </c>
      <c r="N3313">
        <v>0</v>
      </c>
      <c r="O3313" t="s">
        <v>58</v>
      </c>
      <c r="P3313" t="s">
        <v>79</v>
      </c>
      <c r="Q3313" t="s">
        <v>71</v>
      </c>
      <c r="R3313" t="s">
        <v>109</v>
      </c>
      <c r="S3313" s="3">
        <v>6.16</v>
      </c>
      <c r="T3313" s="5">
        <v>45186</v>
      </c>
      <c r="U3313">
        <v>1</v>
      </c>
      <c r="V3313">
        <v>2023</v>
      </c>
      <c r="X3313">
        <f t="shared" si="153"/>
        <v>8.4296687000000006</v>
      </c>
      <c r="Y3313">
        <f t="shared" si="154"/>
        <v>6.1596687000000001</v>
      </c>
      <c r="Z3313">
        <f t="shared" si="155"/>
        <v>52.499668700000001</v>
      </c>
    </row>
    <row r="3314" spans="1:26" x14ac:dyDescent="0.3">
      <c r="A3314" t="s">
        <v>3404</v>
      </c>
      <c r="B3314" t="s">
        <v>63</v>
      </c>
      <c r="C3314" t="s">
        <v>56</v>
      </c>
      <c r="D3314" t="s">
        <v>57</v>
      </c>
      <c r="E3314">
        <v>23</v>
      </c>
      <c r="F3314" s="3">
        <v>6.47</v>
      </c>
      <c r="G3314" s="4">
        <v>90.8</v>
      </c>
      <c r="H3314">
        <v>3</v>
      </c>
      <c r="I3314">
        <v>2</v>
      </c>
      <c r="J3314">
        <v>3</v>
      </c>
      <c r="K3314" s="4">
        <v>50</v>
      </c>
      <c r="L3314" s="4">
        <v>99.5</v>
      </c>
      <c r="M3314" s="4">
        <v>86.1</v>
      </c>
      <c r="N3314">
        <v>3</v>
      </c>
      <c r="O3314" t="s">
        <v>58</v>
      </c>
      <c r="P3314" t="s">
        <v>90</v>
      </c>
      <c r="Q3314" t="s">
        <v>60</v>
      </c>
      <c r="R3314" t="s">
        <v>85</v>
      </c>
      <c r="S3314" s="3">
        <v>9.52</v>
      </c>
      <c r="T3314" s="5">
        <v>45908</v>
      </c>
      <c r="U3314">
        <v>2</v>
      </c>
      <c r="V3314">
        <v>2025</v>
      </c>
      <c r="X3314">
        <f t="shared" si="153"/>
        <v>6.4696685999999994</v>
      </c>
      <c r="Y3314">
        <f t="shared" si="154"/>
        <v>9.5196685999999993</v>
      </c>
      <c r="Z3314">
        <f t="shared" si="155"/>
        <v>99.499668600000007</v>
      </c>
    </row>
    <row r="3315" spans="1:26" x14ac:dyDescent="0.3">
      <c r="A3315" t="s">
        <v>3405</v>
      </c>
      <c r="B3315" t="s">
        <v>67</v>
      </c>
      <c r="C3315" t="s">
        <v>78</v>
      </c>
      <c r="D3315" t="s">
        <v>69</v>
      </c>
      <c r="E3315">
        <v>20</v>
      </c>
      <c r="F3315" s="3">
        <v>8.51</v>
      </c>
      <c r="G3315" s="4">
        <v>64.099999999999994</v>
      </c>
      <c r="H3315">
        <v>1</v>
      </c>
      <c r="I3315">
        <v>0</v>
      </c>
      <c r="J3315">
        <v>3</v>
      </c>
      <c r="K3315" s="4">
        <v>47.1</v>
      </c>
      <c r="L3315" s="4">
        <v>76.099999999999994</v>
      </c>
      <c r="M3315" s="4">
        <v>58.7</v>
      </c>
      <c r="N3315">
        <v>0</v>
      </c>
      <c r="O3315" t="s">
        <v>58</v>
      </c>
      <c r="P3315" t="s">
        <v>75</v>
      </c>
      <c r="Q3315" t="s">
        <v>71</v>
      </c>
      <c r="R3315" t="s">
        <v>76</v>
      </c>
      <c r="S3315" s="3">
        <v>6.16</v>
      </c>
      <c r="T3315" s="5">
        <v>45150</v>
      </c>
      <c r="U3315">
        <v>3</v>
      </c>
      <c r="V3315">
        <v>2023</v>
      </c>
      <c r="X3315">
        <f t="shared" si="153"/>
        <v>8.5096685000000001</v>
      </c>
      <c r="Y3315">
        <f t="shared" si="154"/>
        <v>6.1596685000000004</v>
      </c>
      <c r="Z3315">
        <f t="shared" si="155"/>
        <v>76.099668499999993</v>
      </c>
    </row>
    <row r="3316" spans="1:26" x14ac:dyDescent="0.3">
      <c r="A3316" t="s">
        <v>3406</v>
      </c>
      <c r="B3316" t="s">
        <v>107</v>
      </c>
      <c r="C3316" t="s">
        <v>101</v>
      </c>
      <c r="D3316" t="s">
        <v>57</v>
      </c>
      <c r="E3316">
        <v>22</v>
      </c>
      <c r="F3316" s="3">
        <v>9.23</v>
      </c>
      <c r="G3316" s="4">
        <v>83.6</v>
      </c>
      <c r="H3316">
        <v>0</v>
      </c>
      <c r="I3316">
        <v>1</v>
      </c>
      <c r="J3316">
        <v>3</v>
      </c>
      <c r="K3316" s="4">
        <v>59.7</v>
      </c>
      <c r="L3316" s="4">
        <v>52.5</v>
      </c>
      <c r="M3316" s="4">
        <v>77.7</v>
      </c>
      <c r="N3316">
        <v>0</v>
      </c>
      <c r="O3316" t="s">
        <v>58</v>
      </c>
      <c r="P3316" t="s">
        <v>95</v>
      </c>
      <c r="Q3316" t="s">
        <v>93</v>
      </c>
      <c r="R3316" t="s">
        <v>85</v>
      </c>
      <c r="S3316" s="3">
        <v>7.29</v>
      </c>
      <c r="T3316" s="5">
        <v>44484</v>
      </c>
      <c r="U3316">
        <v>2</v>
      </c>
      <c r="V3316">
        <v>2021</v>
      </c>
      <c r="X3316">
        <f t="shared" si="153"/>
        <v>9.2296683999999996</v>
      </c>
      <c r="Y3316">
        <f t="shared" si="154"/>
        <v>7.2896684</v>
      </c>
      <c r="Z3316">
        <f t="shared" si="155"/>
        <v>52.499668399999997</v>
      </c>
    </row>
    <row r="3317" spans="1:26" x14ac:dyDescent="0.3">
      <c r="A3317" t="s">
        <v>3407</v>
      </c>
      <c r="B3317" t="s">
        <v>55</v>
      </c>
      <c r="C3317" t="s">
        <v>74</v>
      </c>
      <c r="D3317" t="s">
        <v>57</v>
      </c>
      <c r="E3317">
        <v>22</v>
      </c>
      <c r="F3317" s="3">
        <v>8.9600000000000009</v>
      </c>
      <c r="G3317" s="4">
        <v>76.099999999999994</v>
      </c>
      <c r="H3317">
        <v>0</v>
      </c>
      <c r="I3317">
        <v>1</v>
      </c>
      <c r="J3317">
        <v>5</v>
      </c>
      <c r="K3317" s="4">
        <v>68.099999999999994</v>
      </c>
      <c r="L3317" s="4">
        <v>61.5</v>
      </c>
      <c r="M3317" s="4">
        <v>85.1</v>
      </c>
      <c r="N3317">
        <v>0</v>
      </c>
      <c r="O3317" t="s">
        <v>58</v>
      </c>
      <c r="P3317" t="s">
        <v>70</v>
      </c>
      <c r="Q3317" t="s">
        <v>71</v>
      </c>
      <c r="R3317" t="s">
        <v>109</v>
      </c>
      <c r="S3317" s="3">
        <v>6.5</v>
      </c>
      <c r="T3317" s="5">
        <v>45515</v>
      </c>
      <c r="U3317">
        <v>1</v>
      </c>
      <c r="V3317">
        <v>2024</v>
      </c>
      <c r="X3317">
        <f t="shared" si="153"/>
        <v>8.9596683000000006</v>
      </c>
      <c r="Y3317">
        <f t="shared" si="154"/>
        <v>6.4996682999999997</v>
      </c>
      <c r="Z3317">
        <f t="shared" si="155"/>
        <v>61.499668300000003</v>
      </c>
    </row>
    <row r="3318" spans="1:26" x14ac:dyDescent="0.3">
      <c r="A3318" t="s">
        <v>3408</v>
      </c>
      <c r="B3318" t="s">
        <v>67</v>
      </c>
      <c r="C3318" t="s">
        <v>56</v>
      </c>
      <c r="D3318" t="s">
        <v>57</v>
      </c>
      <c r="E3318">
        <v>20</v>
      </c>
      <c r="F3318" s="3">
        <v>7.77</v>
      </c>
      <c r="G3318" s="4">
        <v>83.1</v>
      </c>
      <c r="H3318">
        <v>2</v>
      </c>
      <c r="I3318">
        <v>2</v>
      </c>
      <c r="J3318">
        <v>5</v>
      </c>
      <c r="K3318" s="4">
        <v>90.7</v>
      </c>
      <c r="L3318" s="4">
        <v>76.599999999999994</v>
      </c>
      <c r="M3318" s="4">
        <v>73</v>
      </c>
      <c r="N3318">
        <v>1</v>
      </c>
      <c r="O3318" t="s">
        <v>58</v>
      </c>
      <c r="P3318" t="s">
        <v>70</v>
      </c>
      <c r="Q3318" t="s">
        <v>71</v>
      </c>
      <c r="R3318" t="s">
        <v>80</v>
      </c>
      <c r="S3318" s="3">
        <v>6.56</v>
      </c>
      <c r="T3318" s="5">
        <v>45186</v>
      </c>
      <c r="U3318">
        <v>2</v>
      </c>
      <c r="V3318">
        <v>2023</v>
      </c>
      <c r="X3318">
        <f t="shared" si="153"/>
        <v>7.7696681999999999</v>
      </c>
      <c r="Y3318">
        <f t="shared" si="154"/>
        <v>6.5596681999999999</v>
      </c>
      <c r="Z3318">
        <f t="shared" si="155"/>
        <v>76.599668199999996</v>
      </c>
    </row>
    <row r="3319" spans="1:26" x14ac:dyDescent="0.3">
      <c r="A3319" t="s">
        <v>3409</v>
      </c>
      <c r="B3319" t="s">
        <v>63</v>
      </c>
      <c r="C3319" t="s">
        <v>74</v>
      </c>
      <c r="D3319" t="s">
        <v>69</v>
      </c>
      <c r="E3319">
        <v>21</v>
      </c>
      <c r="F3319" s="3">
        <v>6.72</v>
      </c>
      <c r="G3319" s="4">
        <v>78.599999999999994</v>
      </c>
      <c r="H3319">
        <v>2</v>
      </c>
      <c r="I3319">
        <v>1</v>
      </c>
      <c r="J3319">
        <v>4</v>
      </c>
      <c r="K3319" s="4">
        <v>65.400000000000006</v>
      </c>
      <c r="L3319" s="4">
        <v>50.6</v>
      </c>
      <c r="M3319" s="4">
        <v>79.3</v>
      </c>
      <c r="N3319">
        <v>0</v>
      </c>
      <c r="O3319" t="s">
        <v>58</v>
      </c>
      <c r="P3319" t="s">
        <v>104</v>
      </c>
      <c r="Q3319" t="s">
        <v>105</v>
      </c>
      <c r="R3319" t="s">
        <v>85</v>
      </c>
      <c r="S3319" s="3">
        <v>15.66</v>
      </c>
      <c r="T3319" s="5">
        <v>45877</v>
      </c>
      <c r="U3319">
        <v>3</v>
      </c>
      <c r="V3319">
        <v>2025</v>
      </c>
      <c r="X3319">
        <f t="shared" si="153"/>
        <v>6.7196680999999998</v>
      </c>
      <c r="Y3319">
        <f t="shared" si="154"/>
        <v>15.659668099999999</v>
      </c>
      <c r="Z3319">
        <f t="shared" si="155"/>
        <v>50.599668100000002</v>
      </c>
    </row>
    <row r="3320" spans="1:26" x14ac:dyDescent="0.3">
      <c r="A3320" t="s">
        <v>3410</v>
      </c>
      <c r="B3320" t="s">
        <v>107</v>
      </c>
      <c r="C3320" t="s">
        <v>78</v>
      </c>
      <c r="D3320" t="s">
        <v>57</v>
      </c>
      <c r="E3320">
        <v>20</v>
      </c>
      <c r="F3320" s="3">
        <v>7.65</v>
      </c>
      <c r="G3320" s="4">
        <v>87.3</v>
      </c>
      <c r="H3320">
        <v>3</v>
      </c>
      <c r="I3320">
        <v>1</v>
      </c>
      <c r="J3320">
        <v>4</v>
      </c>
      <c r="K3320" s="4">
        <v>54.8</v>
      </c>
      <c r="L3320" s="4">
        <v>64.8</v>
      </c>
      <c r="M3320" s="4">
        <v>93</v>
      </c>
      <c r="N3320">
        <v>0</v>
      </c>
      <c r="O3320" t="s">
        <v>58</v>
      </c>
      <c r="P3320" t="s">
        <v>112</v>
      </c>
      <c r="Q3320" t="s">
        <v>93</v>
      </c>
      <c r="R3320" t="s">
        <v>61</v>
      </c>
      <c r="S3320" s="3">
        <v>7.02</v>
      </c>
      <c r="T3320" s="5">
        <v>44459</v>
      </c>
      <c r="U3320">
        <v>2</v>
      </c>
      <c r="V3320">
        <v>2021</v>
      </c>
      <c r="X3320">
        <f t="shared" si="153"/>
        <v>7.6496680000000001</v>
      </c>
      <c r="Y3320">
        <f t="shared" si="154"/>
        <v>7.0196679999999994</v>
      </c>
      <c r="Z3320">
        <f t="shared" si="155"/>
        <v>64.799667999999997</v>
      </c>
    </row>
    <row r="3321" spans="1:26" x14ac:dyDescent="0.3">
      <c r="A3321" t="s">
        <v>3411</v>
      </c>
      <c r="B3321" t="s">
        <v>82</v>
      </c>
      <c r="C3321" t="s">
        <v>74</v>
      </c>
      <c r="D3321" t="s">
        <v>57</v>
      </c>
      <c r="E3321">
        <v>21</v>
      </c>
      <c r="F3321" s="3">
        <v>7.37</v>
      </c>
      <c r="G3321" s="4">
        <v>93.1</v>
      </c>
      <c r="H3321">
        <v>1</v>
      </c>
      <c r="I3321">
        <v>1</v>
      </c>
      <c r="J3321">
        <v>3</v>
      </c>
      <c r="K3321" s="4">
        <v>59</v>
      </c>
      <c r="L3321" s="4">
        <v>52.9</v>
      </c>
      <c r="M3321" s="4">
        <v>71.2</v>
      </c>
      <c r="N3321">
        <v>0</v>
      </c>
      <c r="O3321" t="s">
        <v>64</v>
      </c>
      <c r="P3321" t="s">
        <v>65</v>
      </c>
      <c r="S3321" s="3">
        <v>0</v>
      </c>
      <c r="T3321" s="5"/>
      <c r="U3321">
        <v>0</v>
      </c>
      <c r="V3321">
        <v>2022</v>
      </c>
      <c r="X3321">
        <f t="shared" si="153"/>
        <v>7.3696679000000005</v>
      </c>
      <c r="Y3321">
        <f t="shared" si="154"/>
        <v>-3.321E-4</v>
      </c>
      <c r="Z3321">
        <f t="shared" si="155"/>
        <v>52.899667899999997</v>
      </c>
    </row>
    <row r="3322" spans="1:26" x14ac:dyDescent="0.3">
      <c r="A3322" t="s">
        <v>3412</v>
      </c>
      <c r="B3322" t="s">
        <v>82</v>
      </c>
      <c r="C3322" t="s">
        <v>74</v>
      </c>
      <c r="D3322" t="s">
        <v>57</v>
      </c>
      <c r="E3322">
        <v>22</v>
      </c>
      <c r="F3322" s="3">
        <v>7.25</v>
      </c>
      <c r="G3322" s="4">
        <v>100</v>
      </c>
      <c r="H3322">
        <v>2</v>
      </c>
      <c r="I3322">
        <v>2</v>
      </c>
      <c r="J3322">
        <v>1</v>
      </c>
      <c r="K3322" s="4">
        <v>69.099999999999994</v>
      </c>
      <c r="L3322" s="4">
        <v>79.5</v>
      </c>
      <c r="M3322" s="4">
        <v>79</v>
      </c>
      <c r="N3322">
        <v>0</v>
      </c>
      <c r="O3322" t="s">
        <v>58</v>
      </c>
      <c r="P3322" t="s">
        <v>95</v>
      </c>
      <c r="Q3322" t="s">
        <v>93</v>
      </c>
      <c r="R3322" t="s">
        <v>130</v>
      </c>
      <c r="S3322" s="3">
        <v>7.08</v>
      </c>
      <c r="T3322" s="5">
        <v>44874</v>
      </c>
      <c r="U3322">
        <v>1</v>
      </c>
      <c r="V3322">
        <v>2022</v>
      </c>
      <c r="X3322">
        <f t="shared" si="153"/>
        <v>7.2496678000000001</v>
      </c>
      <c r="Y3322">
        <f t="shared" si="154"/>
        <v>7.0796678000000002</v>
      </c>
      <c r="Z3322">
        <f t="shared" si="155"/>
        <v>79.499667799999997</v>
      </c>
    </row>
    <row r="3323" spans="1:26" x14ac:dyDescent="0.3">
      <c r="A3323" t="s">
        <v>3413</v>
      </c>
      <c r="B3323" t="s">
        <v>63</v>
      </c>
      <c r="C3323" t="s">
        <v>56</v>
      </c>
      <c r="D3323" t="s">
        <v>57</v>
      </c>
      <c r="E3323">
        <v>23</v>
      </c>
      <c r="F3323" s="3">
        <v>7.84</v>
      </c>
      <c r="G3323" s="4">
        <v>81</v>
      </c>
      <c r="H3323">
        <v>2</v>
      </c>
      <c r="I3323">
        <v>2</v>
      </c>
      <c r="J3323">
        <v>3</v>
      </c>
      <c r="K3323" s="4">
        <v>52.9</v>
      </c>
      <c r="L3323" s="4">
        <v>53.2</v>
      </c>
      <c r="M3323" s="4">
        <v>86.3</v>
      </c>
      <c r="N3323">
        <v>0</v>
      </c>
      <c r="O3323" t="s">
        <v>58</v>
      </c>
      <c r="P3323" t="s">
        <v>112</v>
      </c>
      <c r="Q3323" t="s">
        <v>93</v>
      </c>
      <c r="R3323" t="s">
        <v>61</v>
      </c>
      <c r="S3323" s="3">
        <v>7.26</v>
      </c>
      <c r="T3323" s="5">
        <v>45982</v>
      </c>
      <c r="U3323">
        <v>2</v>
      </c>
      <c r="V3323">
        <v>2025</v>
      </c>
      <c r="X3323">
        <f t="shared" si="153"/>
        <v>7.8396676999999997</v>
      </c>
      <c r="Y3323">
        <f t="shared" si="154"/>
        <v>7.2596676999999996</v>
      </c>
      <c r="Z3323">
        <f t="shared" si="155"/>
        <v>53.199667700000006</v>
      </c>
    </row>
    <row r="3324" spans="1:26" x14ac:dyDescent="0.3">
      <c r="A3324" t="s">
        <v>3414</v>
      </c>
      <c r="B3324" t="s">
        <v>107</v>
      </c>
      <c r="C3324" t="s">
        <v>68</v>
      </c>
      <c r="D3324" t="s">
        <v>57</v>
      </c>
      <c r="E3324">
        <v>21</v>
      </c>
      <c r="F3324" s="3">
        <v>7.59</v>
      </c>
      <c r="G3324" s="4">
        <v>88.6</v>
      </c>
      <c r="H3324">
        <v>1</v>
      </c>
      <c r="I3324">
        <v>3</v>
      </c>
      <c r="J3324">
        <v>4</v>
      </c>
      <c r="K3324" s="4">
        <v>95</v>
      </c>
      <c r="L3324" s="4">
        <v>47.4</v>
      </c>
      <c r="M3324" s="4">
        <v>70.2</v>
      </c>
      <c r="N3324">
        <v>0</v>
      </c>
      <c r="O3324" t="s">
        <v>64</v>
      </c>
      <c r="P3324" t="s">
        <v>65</v>
      </c>
      <c r="S3324" s="3">
        <v>0</v>
      </c>
      <c r="T3324" s="5"/>
      <c r="U3324">
        <v>0</v>
      </c>
      <c r="V3324">
        <v>2021</v>
      </c>
      <c r="X3324">
        <f t="shared" si="153"/>
        <v>7.5896676000000003</v>
      </c>
      <c r="Y3324">
        <f t="shared" si="154"/>
        <v>-3.324E-4</v>
      </c>
      <c r="Z3324">
        <f t="shared" si="155"/>
        <v>47.399667600000001</v>
      </c>
    </row>
    <row r="3325" spans="1:26" x14ac:dyDescent="0.3">
      <c r="A3325" t="s">
        <v>3415</v>
      </c>
      <c r="B3325" t="s">
        <v>55</v>
      </c>
      <c r="C3325" t="s">
        <v>74</v>
      </c>
      <c r="D3325" t="s">
        <v>57</v>
      </c>
      <c r="E3325">
        <v>21</v>
      </c>
      <c r="F3325" s="3">
        <v>8.2899999999999991</v>
      </c>
      <c r="G3325" s="4">
        <v>85.1</v>
      </c>
      <c r="H3325">
        <v>2</v>
      </c>
      <c r="I3325">
        <v>3</v>
      </c>
      <c r="J3325">
        <v>5</v>
      </c>
      <c r="K3325" s="4">
        <v>35.200000000000003</v>
      </c>
      <c r="L3325" s="4">
        <v>92</v>
      </c>
      <c r="M3325" s="4">
        <v>61.1</v>
      </c>
      <c r="N3325">
        <v>0</v>
      </c>
      <c r="O3325" t="s">
        <v>58</v>
      </c>
      <c r="P3325" t="s">
        <v>59</v>
      </c>
      <c r="Q3325" t="s">
        <v>60</v>
      </c>
      <c r="R3325" t="s">
        <v>76</v>
      </c>
      <c r="S3325" s="3">
        <v>21.84</v>
      </c>
      <c r="T3325" s="5">
        <v>45604</v>
      </c>
      <c r="U3325">
        <v>1</v>
      </c>
      <c r="V3325">
        <v>2024</v>
      </c>
      <c r="X3325">
        <f t="shared" si="153"/>
        <v>8.2896674999999984</v>
      </c>
      <c r="Y3325">
        <f t="shared" si="154"/>
        <v>21.839667500000001</v>
      </c>
      <c r="Z3325">
        <f t="shared" si="155"/>
        <v>91.999667500000001</v>
      </c>
    </row>
    <row r="3326" spans="1:26" x14ac:dyDescent="0.3">
      <c r="A3326" t="s">
        <v>3416</v>
      </c>
      <c r="B3326" t="s">
        <v>67</v>
      </c>
      <c r="C3326" t="s">
        <v>78</v>
      </c>
      <c r="D3326" t="s">
        <v>57</v>
      </c>
      <c r="E3326">
        <v>20</v>
      </c>
      <c r="F3326" s="3">
        <v>8.2899999999999991</v>
      </c>
      <c r="G3326" s="4">
        <v>85.7</v>
      </c>
      <c r="H3326">
        <v>0</v>
      </c>
      <c r="I3326">
        <v>2</v>
      </c>
      <c r="J3326">
        <v>5</v>
      </c>
      <c r="K3326" s="4">
        <v>57.3</v>
      </c>
      <c r="L3326" s="4">
        <v>65.400000000000006</v>
      </c>
      <c r="M3326" s="4">
        <v>82.8</v>
      </c>
      <c r="N3326">
        <v>0</v>
      </c>
      <c r="O3326" t="s">
        <v>58</v>
      </c>
      <c r="P3326" t="s">
        <v>92</v>
      </c>
      <c r="Q3326" t="s">
        <v>93</v>
      </c>
      <c r="R3326" t="s">
        <v>61</v>
      </c>
      <c r="S3326" s="3">
        <v>8.1</v>
      </c>
      <c r="T3326" s="5">
        <v>45220</v>
      </c>
      <c r="U3326">
        <v>3</v>
      </c>
      <c r="V3326">
        <v>2023</v>
      </c>
      <c r="X3326">
        <f t="shared" si="153"/>
        <v>8.289667399999999</v>
      </c>
      <c r="Y3326">
        <f t="shared" si="154"/>
        <v>8.0996673999999995</v>
      </c>
      <c r="Z3326">
        <f t="shared" si="155"/>
        <v>65.399667400000013</v>
      </c>
    </row>
    <row r="3327" spans="1:26" x14ac:dyDescent="0.3">
      <c r="A3327" t="s">
        <v>3417</v>
      </c>
      <c r="B3327" t="s">
        <v>107</v>
      </c>
      <c r="C3327" t="s">
        <v>56</v>
      </c>
      <c r="D3327" t="s">
        <v>57</v>
      </c>
      <c r="E3327">
        <v>22</v>
      </c>
      <c r="F3327" s="3">
        <v>7.59</v>
      </c>
      <c r="G3327" s="4">
        <v>95.3</v>
      </c>
      <c r="H3327">
        <v>2</v>
      </c>
      <c r="I3327">
        <v>1</v>
      </c>
      <c r="J3327">
        <v>2</v>
      </c>
      <c r="K3327" s="4">
        <v>60.1</v>
      </c>
      <c r="L3327" s="4">
        <v>64.099999999999994</v>
      </c>
      <c r="M3327" s="4">
        <v>75.400000000000006</v>
      </c>
      <c r="N3327">
        <v>2</v>
      </c>
      <c r="O3327" t="s">
        <v>58</v>
      </c>
      <c r="P3327" t="s">
        <v>87</v>
      </c>
      <c r="Q3327" t="s">
        <v>71</v>
      </c>
      <c r="R3327" t="s">
        <v>130</v>
      </c>
      <c r="S3327" s="3">
        <v>6.98</v>
      </c>
      <c r="T3327" s="5">
        <v>44516</v>
      </c>
      <c r="U3327">
        <v>1</v>
      </c>
      <c r="V3327">
        <v>2021</v>
      </c>
      <c r="X3327">
        <f t="shared" si="153"/>
        <v>7.5896672999999995</v>
      </c>
      <c r="Y3327">
        <f t="shared" si="154"/>
        <v>6.9796673</v>
      </c>
      <c r="Z3327">
        <f t="shared" si="155"/>
        <v>64.099667299999993</v>
      </c>
    </row>
    <row r="3328" spans="1:26" x14ac:dyDescent="0.3">
      <c r="A3328" t="s">
        <v>3418</v>
      </c>
      <c r="B3328" t="s">
        <v>82</v>
      </c>
      <c r="C3328" t="s">
        <v>78</v>
      </c>
      <c r="D3328" t="s">
        <v>69</v>
      </c>
      <c r="E3328">
        <v>23</v>
      </c>
      <c r="F3328" s="3">
        <v>8.0399999999999991</v>
      </c>
      <c r="G3328" s="4">
        <v>75.8</v>
      </c>
      <c r="H3328">
        <v>3</v>
      </c>
      <c r="I3328">
        <v>0</v>
      </c>
      <c r="J3328">
        <v>2</v>
      </c>
      <c r="K3328" s="4">
        <v>54.4</v>
      </c>
      <c r="L3328" s="4">
        <v>77.099999999999994</v>
      </c>
      <c r="M3328" s="4">
        <v>73.7</v>
      </c>
      <c r="N3328">
        <v>2</v>
      </c>
      <c r="O3328" t="s">
        <v>58</v>
      </c>
      <c r="P3328" t="s">
        <v>70</v>
      </c>
      <c r="Q3328" t="s">
        <v>71</v>
      </c>
      <c r="R3328" t="s">
        <v>80</v>
      </c>
      <c r="S3328" s="3">
        <v>6.56</v>
      </c>
      <c r="T3328" s="5">
        <v>44858</v>
      </c>
      <c r="U3328">
        <v>2</v>
      </c>
      <c r="V3328">
        <v>2022</v>
      </c>
      <c r="X3328">
        <f t="shared" si="153"/>
        <v>8.0396671999999985</v>
      </c>
      <c r="Y3328">
        <f t="shared" si="154"/>
        <v>6.5596671999999998</v>
      </c>
      <c r="Z3328">
        <f t="shared" si="155"/>
        <v>77.099667199999999</v>
      </c>
    </row>
    <row r="3329" spans="1:26" x14ac:dyDescent="0.3">
      <c r="A3329" t="s">
        <v>3419</v>
      </c>
      <c r="B3329" t="s">
        <v>63</v>
      </c>
      <c r="C3329" t="s">
        <v>56</v>
      </c>
      <c r="D3329" t="s">
        <v>69</v>
      </c>
      <c r="E3329">
        <v>20</v>
      </c>
      <c r="F3329" s="3">
        <v>8.84</v>
      </c>
      <c r="G3329" s="4">
        <v>78.8</v>
      </c>
      <c r="H3329">
        <v>0</v>
      </c>
      <c r="I3329">
        <v>2</v>
      </c>
      <c r="J3329">
        <v>5</v>
      </c>
      <c r="K3329" s="4">
        <v>77.400000000000006</v>
      </c>
      <c r="L3329" s="4">
        <v>69.599999999999994</v>
      </c>
      <c r="M3329" s="4">
        <v>76</v>
      </c>
      <c r="N3329">
        <v>0</v>
      </c>
      <c r="O3329" t="s">
        <v>58</v>
      </c>
      <c r="P3329" t="s">
        <v>75</v>
      </c>
      <c r="Q3329" t="s">
        <v>71</v>
      </c>
      <c r="R3329" t="s">
        <v>85</v>
      </c>
      <c r="S3329" s="3">
        <v>7.3</v>
      </c>
      <c r="T3329" s="5">
        <v>45937</v>
      </c>
      <c r="U3329">
        <v>1</v>
      </c>
      <c r="V3329">
        <v>2025</v>
      </c>
      <c r="X3329">
        <f t="shared" si="153"/>
        <v>8.8396670999999998</v>
      </c>
      <c r="Y3329">
        <f t="shared" si="154"/>
        <v>7.2996670999999997</v>
      </c>
      <c r="Z3329">
        <f t="shared" si="155"/>
        <v>69.599667099999991</v>
      </c>
    </row>
    <row r="3330" spans="1:26" x14ac:dyDescent="0.3">
      <c r="A3330" t="s">
        <v>3420</v>
      </c>
      <c r="B3330" t="s">
        <v>63</v>
      </c>
      <c r="C3330" t="s">
        <v>68</v>
      </c>
      <c r="D3330" t="s">
        <v>57</v>
      </c>
      <c r="E3330">
        <v>20</v>
      </c>
      <c r="F3330" s="3">
        <v>7.17</v>
      </c>
      <c r="G3330" s="4">
        <v>80.400000000000006</v>
      </c>
      <c r="H3330">
        <v>2</v>
      </c>
      <c r="I3330">
        <v>0</v>
      </c>
      <c r="J3330">
        <v>2</v>
      </c>
      <c r="K3330" s="4">
        <v>58.8</v>
      </c>
      <c r="L3330" s="4">
        <v>57.7</v>
      </c>
      <c r="M3330" s="4">
        <v>59.8</v>
      </c>
      <c r="N3330">
        <v>0</v>
      </c>
      <c r="O3330" t="s">
        <v>58</v>
      </c>
      <c r="P3330" t="s">
        <v>92</v>
      </c>
      <c r="Q3330" t="s">
        <v>93</v>
      </c>
      <c r="R3330" t="s">
        <v>61</v>
      </c>
      <c r="S3330" s="3">
        <v>9.26</v>
      </c>
      <c r="T3330" s="5">
        <v>45983</v>
      </c>
      <c r="U3330">
        <v>2</v>
      </c>
      <c r="V3330">
        <v>2025</v>
      </c>
      <c r="X3330">
        <f t="shared" ref="X3330:X3393" si="156">F3330-ROW()*0.0000001</f>
        <v>7.1696669999999996</v>
      </c>
      <c r="Y3330">
        <f t="shared" ref="Y3330:Y3393" si="157">S3330-ROW()*0.0000001</f>
        <v>9.2596670000000003</v>
      </c>
      <c r="Z3330">
        <f t="shared" ref="Z3330:Z3393" si="158">L3330-ROW()*0.0000001</f>
        <v>57.699667000000005</v>
      </c>
    </row>
    <row r="3331" spans="1:26" x14ac:dyDescent="0.3">
      <c r="A3331" t="s">
        <v>3421</v>
      </c>
      <c r="B3331" t="s">
        <v>67</v>
      </c>
      <c r="C3331" t="s">
        <v>74</v>
      </c>
      <c r="D3331" t="s">
        <v>57</v>
      </c>
      <c r="E3331">
        <v>23</v>
      </c>
      <c r="F3331" s="3">
        <v>7.66</v>
      </c>
      <c r="G3331" s="4">
        <v>73.099999999999994</v>
      </c>
      <c r="H3331">
        <v>1</v>
      </c>
      <c r="I3331">
        <v>1</v>
      </c>
      <c r="J3331">
        <v>3</v>
      </c>
      <c r="K3331" s="4">
        <v>76.7</v>
      </c>
      <c r="L3331" s="4">
        <v>60.8</v>
      </c>
      <c r="M3331" s="4">
        <v>71</v>
      </c>
      <c r="N3331">
        <v>0</v>
      </c>
      <c r="O3331" t="s">
        <v>58</v>
      </c>
      <c r="P3331" t="s">
        <v>95</v>
      </c>
      <c r="Q3331" t="s">
        <v>93</v>
      </c>
      <c r="R3331" t="s">
        <v>109</v>
      </c>
      <c r="S3331" s="3">
        <v>6.97</v>
      </c>
      <c r="T3331" s="5">
        <v>45209</v>
      </c>
      <c r="U3331">
        <v>2</v>
      </c>
      <c r="V3331">
        <v>2023</v>
      </c>
      <c r="X3331">
        <f t="shared" si="156"/>
        <v>7.6596669000000004</v>
      </c>
      <c r="Y3331">
        <f t="shared" si="157"/>
        <v>6.9696669</v>
      </c>
      <c r="Z3331">
        <f t="shared" si="158"/>
        <v>60.799666899999998</v>
      </c>
    </row>
    <row r="3332" spans="1:26" x14ac:dyDescent="0.3">
      <c r="A3332" t="s">
        <v>3422</v>
      </c>
      <c r="B3332" t="s">
        <v>63</v>
      </c>
      <c r="C3332" t="s">
        <v>78</v>
      </c>
      <c r="D3332" t="s">
        <v>69</v>
      </c>
      <c r="E3332">
        <v>22</v>
      </c>
      <c r="F3332" s="3">
        <v>6.72</v>
      </c>
      <c r="G3332" s="4">
        <v>82</v>
      </c>
      <c r="H3332">
        <v>2</v>
      </c>
      <c r="I3332">
        <v>0</v>
      </c>
      <c r="J3332">
        <v>2</v>
      </c>
      <c r="K3332" s="4">
        <v>90.1</v>
      </c>
      <c r="L3332" s="4">
        <v>80.8</v>
      </c>
      <c r="M3332" s="4">
        <v>82.6</v>
      </c>
      <c r="N3332">
        <v>0</v>
      </c>
      <c r="O3332" t="s">
        <v>58</v>
      </c>
      <c r="P3332" t="s">
        <v>92</v>
      </c>
      <c r="Q3332" t="s">
        <v>93</v>
      </c>
      <c r="R3332" t="s">
        <v>85</v>
      </c>
      <c r="S3332" s="3">
        <v>9.2899999999999991</v>
      </c>
      <c r="T3332" s="5">
        <v>45967</v>
      </c>
      <c r="U3332">
        <v>1</v>
      </c>
      <c r="V3332">
        <v>2025</v>
      </c>
      <c r="X3332">
        <f t="shared" si="156"/>
        <v>6.7196667999999997</v>
      </c>
      <c r="Y3332">
        <f t="shared" si="157"/>
        <v>9.2896667999999991</v>
      </c>
      <c r="Z3332">
        <f t="shared" si="158"/>
        <v>80.799666799999997</v>
      </c>
    </row>
    <row r="3333" spans="1:26" x14ac:dyDescent="0.3">
      <c r="A3333" t="s">
        <v>3423</v>
      </c>
      <c r="B3333" t="s">
        <v>63</v>
      </c>
      <c r="C3333" t="s">
        <v>84</v>
      </c>
      <c r="D3333" t="s">
        <v>69</v>
      </c>
      <c r="E3333">
        <v>23</v>
      </c>
      <c r="F3333" s="3">
        <v>8.08</v>
      </c>
      <c r="G3333" s="4">
        <v>87.9</v>
      </c>
      <c r="H3333">
        <v>2</v>
      </c>
      <c r="I3333">
        <v>1</v>
      </c>
      <c r="J3333">
        <v>4</v>
      </c>
      <c r="K3333" s="4">
        <v>85.3</v>
      </c>
      <c r="L3333" s="4">
        <v>55.5</v>
      </c>
      <c r="M3333" s="4">
        <v>74</v>
      </c>
      <c r="N3333">
        <v>0</v>
      </c>
      <c r="O3333" t="s">
        <v>58</v>
      </c>
      <c r="P3333" t="s">
        <v>70</v>
      </c>
      <c r="Q3333" t="s">
        <v>71</v>
      </c>
      <c r="R3333" t="s">
        <v>76</v>
      </c>
      <c r="S3333" s="3">
        <v>5.85</v>
      </c>
      <c r="T3333" s="5">
        <v>45967</v>
      </c>
      <c r="U3333">
        <v>1</v>
      </c>
      <c r="V3333">
        <v>2025</v>
      </c>
      <c r="X3333">
        <f t="shared" si="156"/>
        <v>8.0796667000000006</v>
      </c>
      <c r="Y3333">
        <f t="shared" si="157"/>
        <v>5.8496666999999993</v>
      </c>
      <c r="Z3333">
        <f t="shared" si="158"/>
        <v>55.499666699999999</v>
      </c>
    </row>
    <row r="3334" spans="1:26" x14ac:dyDescent="0.3">
      <c r="A3334" t="s">
        <v>3424</v>
      </c>
      <c r="B3334" t="s">
        <v>107</v>
      </c>
      <c r="C3334" t="s">
        <v>84</v>
      </c>
      <c r="D3334" t="s">
        <v>57</v>
      </c>
      <c r="E3334">
        <v>20</v>
      </c>
      <c r="F3334" s="3">
        <v>7.83</v>
      </c>
      <c r="G3334" s="4">
        <v>89.5</v>
      </c>
      <c r="H3334">
        <v>3</v>
      </c>
      <c r="I3334">
        <v>0</v>
      </c>
      <c r="J3334">
        <v>3</v>
      </c>
      <c r="K3334" s="4">
        <v>70.2</v>
      </c>
      <c r="L3334" s="4">
        <v>69.5</v>
      </c>
      <c r="M3334" s="4">
        <v>67.8</v>
      </c>
      <c r="N3334">
        <v>0</v>
      </c>
      <c r="O3334" t="s">
        <v>64</v>
      </c>
      <c r="P3334" t="s">
        <v>65</v>
      </c>
      <c r="S3334" s="3">
        <v>0</v>
      </c>
      <c r="T3334" s="5"/>
      <c r="U3334">
        <v>0</v>
      </c>
      <c r="V3334">
        <v>2021</v>
      </c>
      <c r="X3334">
        <f t="shared" si="156"/>
        <v>7.8296666000000004</v>
      </c>
      <c r="Y3334">
        <f t="shared" si="157"/>
        <v>-3.3339999999999997E-4</v>
      </c>
      <c r="Z3334">
        <f t="shared" si="158"/>
        <v>69.499666599999998</v>
      </c>
    </row>
    <row r="3335" spans="1:26" x14ac:dyDescent="0.3">
      <c r="A3335" t="s">
        <v>3425</v>
      </c>
      <c r="B3335" t="s">
        <v>55</v>
      </c>
      <c r="C3335" t="s">
        <v>89</v>
      </c>
      <c r="D3335" t="s">
        <v>69</v>
      </c>
      <c r="E3335">
        <v>20</v>
      </c>
      <c r="F3335" s="3">
        <v>8.06</v>
      </c>
      <c r="G3335" s="4">
        <v>80.3</v>
      </c>
      <c r="H3335">
        <v>2</v>
      </c>
      <c r="I3335">
        <v>3</v>
      </c>
      <c r="J3335">
        <v>3</v>
      </c>
      <c r="K3335" s="4">
        <v>68</v>
      </c>
      <c r="L3335" s="4">
        <v>95</v>
      </c>
      <c r="M3335" s="4">
        <v>65.099999999999994</v>
      </c>
      <c r="N3335">
        <v>0</v>
      </c>
      <c r="O3335" t="s">
        <v>58</v>
      </c>
      <c r="P3335" t="s">
        <v>79</v>
      </c>
      <c r="Q3335" t="s">
        <v>71</v>
      </c>
      <c r="R3335" t="s">
        <v>72</v>
      </c>
      <c r="S3335" s="3">
        <v>7.71</v>
      </c>
      <c r="T3335" s="5">
        <v>45540</v>
      </c>
      <c r="U3335">
        <v>3</v>
      </c>
      <c r="V3335">
        <v>2024</v>
      </c>
      <c r="X3335">
        <f t="shared" si="156"/>
        <v>8.0596665000000005</v>
      </c>
      <c r="Y3335">
        <f t="shared" si="157"/>
        <v>7.7096665</v>
      </c>
      <c r="Z3335">
        <f t="shared" si="158"/>
        <v>94.999666500000004</v>
      </c>
    </row>
    <row r="3336" spans="1:26" x14ac:dyDescent="0.3">
      <c r="A3336" t="s">
        <v>3426</v>
      </c>
      <c r="B3336" t="s">
        <v>67</v>
      </c>
      <c r="C3336" t="s">
        <v>68</v>
      </c>
      <c r="D3336" t="s">
        <v>57</v>
      </c>
      <c r="E3336">
        <v>21</v>
      </c>
      <c r="F3336" s="3">
        <v>6.76</v>
      </c>
      <c r="G3336" s="4">
        <v>92.3</v>
      </c>
      <c r="H3336">
        <v>1</v>
      </c>
      <c r="I3336">
        <v>1</v>
      </c>
      <c r="J3336">
        <v>4</v>
      </c>
      <c r="K3336" s="4">
        <v>80.400000000000006</v>
      </c>
      <c r="L3336" s="4">
        <v>65.5</v>
      </c>
      <c r="M3336" s="4">
        <v>77.3</v>
      </c>
      <c r="N3336">
        <v>0</v>
      </c>
      <c r="O3336" t="s">
        <v>58</v>
      </c>
      <c r="P3336" t="s">
        <v>104</v>
      </c>
      <c r="Q3336" t="s">
        <v>105</v>
      </c>
      <c r="R3336" t="s">
        <v>109</v>
      </c>
      <c r="S3336" s="3">
        <v>15.4</v>
      </c>
      <c r="T3336" s="5">
        <v>45239</v>
      </c>
      <c r="U3336">
        <v>1</v>
      </c>
      <c r="V3336">
        <v>2023</v>
      </c>
      <c r="X3336">
        <f t="shared" si="156"/>
        <v>6.7596663999999995</v>
      </c>
      <c r="Y3336">
        <f t="shared" si="157"/>
        <v>15.399666400000001</v>
      </c>
      <c r="Z3336">
        <f t="shared" si="158"/>
        <v>65.499666399999995</v>
      </c>
    </row>
    <row r="3337" spans="1:26" x14ac:dyDescent="0.3">
      <c r="A3337" t="s">
        <v>3427</v>
      </c>
      <c r="B3337" t="s">
        <v>107</v>
      </c>
      <c r="C3337" t="s">
        <v>101</v>
      </c>
      <c r="D3337" t="s">
        <v>57</v>
      </c>
      <c r="E3337">
        <v>23</v>
      </c>
      <c r="F3337" s="3">
        <v>8.34</v>
      </c>
      <c r="G3337" s="4">
        <v>63.3</v>
      </c>
      <c r="H3337">
        <v>0</v>
      </c>
      <c r="I3337">
        <v>0</v>
      </c>
      <c r="J3337">
        <v>3</v>
      </c>
      <c r="K3337" s="4">
        <v>64</v>
      </c>
      <c r="L3337" s="4">
        <v>88.5</v>
      </c>
      <c r="M3337" s="4">
        <v>84.1</v>
      </c>
      <c r="N3337">
        <v>0</v>
      </c>
      <c r="O3337" t="s">
        <v>58</v>
      </c>
      <c r="P3337" t="s">
        <v>95</v>
      </c>
      <c r="Q3337" t="s">
        <v>93</v>
      </c>
      <c r="R3337" t="s">
        <v>109</v>
      </c>
      <c r="S3337" s="3">
        <v>7.78</v>
      </c>
      <c r="T3337" s="5">
        <v>44438</v>
      </c>
      <c r="U3337">
        <v>1</v>
      </c>
      <c r="V3337">
        <v>2021</v>
      </c>
      <c r="X3337">
        <f t="shared" si="156"/>
        <v>8.3396662999999993</v>
      </c>
      <c r="Y3337">
        <f t="shared" si="157"/>
        <v>7.7796663000000006</v>
      </c>
      <c r="Z3337">
        <f t="shared" si="158"/>
        <v>88.499666300000001</v>
      </c>
    </row>
    <row r="3338" spans="1:26" x14ac:dyDescent="0.3">
      <c r="A3338" t="s">
        <v>3428</v>
      </c>
      <c r="B3338" t="s">
        <v>55</v>
      </c>
      <c r="C3338" t="s">
        <v>78</v>
      </c>
      <c r="D3338" t="s">
        <v>57</v>
      </c>
      <c r="E3338">
        <v>23</v>
      </c>
      <c r="F3338" s="3">
        <v>7.74</v>
      </c>
      <c r="G3338" s="4">
        <v>100</v>
      </c>
      <c r="H3338">
        <v>2</v>
      </c>
      <c r="I3338">
        <v>1</v>
      </c>
      <c r="J3338">
        <v>2</v>
      </c>
      <c r="K3338" s="4">
        <v>61.2</v>
      </c>
      <c r="L3338" s="4">
        <v>54.9</v>
      </c>
      <c r="M3338" s="4">
        <v>86.3</v>
      </c>
      <c r="N3338">
        <v>1</v>
      </c>
      <c r="O3338" t="s">
        <v>64</v>
      </c>
      <c r="P3338" t="s">
        <v>65</v>
      </c>
      <c r="S3338" s="3">
        <v>0</v>
      </c>
      <c r="T3338" s="5"/>
      <c r="U3338">
        <v>0</v>
      </c>
      <c r="V3338">
        <v>2024</v>
      </c>
      <c r="X3338">
        <f t="shared" si="156"/>
        <v>7.7396662000000003</v>
      </c>
      <c r="Y3338">
        <f t="shared" si="157"/>
        <v>-3.3379999999999998E-4</v>
      </c>
      <c r="Z3338">
        <f t="shared" si="158"/>
        <v>54.899666199999999</v>
      </c>
    </row>
    <row r="3339" spans="1:26" x14ac:dyDescent="0.3">
      <c r="A3339" t="s">
        <v>3429</v>
      </c>
      <c r="B3339" t="s">
        <v>107</v>
      </c>
      <c r="C3339" t="s">
        <v>56</v>
      </c>
      <c r="D3339" t="s">
        <v>69</v>
      </c>
      <c r="E3339">
        <v>23</v>
      </c>
      <c r="F3339" s="3">
        <v>8.58</v>
      </c>
      <c r="G3339" s="4">
        <v>87.1</v>
      </c>
      <c r="H3339">
        <v>1</v>
      </c>
      <c r="I3339">
        <v>3</v>
      </c>
      <c r="J3339">
        <v>4</v>
      </c>
      <c r="K3339" s="4">
        <v>54.1</v>
      </c>
      <c r="L3339" s="4">
        <v>72.8</v>
      </c>
      <c r="M3339" s="4">
        <v>67.3</v>
      </c>
      <c r="N3339">
        <v>0</v>
      </c>
      <c r="O3339" t="s">
        <v>58</v>
      </c>
      <c r="P3339" t="s">
        <v>87</v>
      </c>
      <c r="Q3339" t="s">
        <v>71</v>
      </c>
      <c r="R3339" t="s">
        <v>85</v>
      </c>
      <c r="S3339" s="3">
        <v>9.4600000000000009</v>
      </c>
      <c r="T3339" s="5">
        <v>44420</v>
      </c>
      <c r="U3339">
        <v>1</v>
      </c>
      <c r="V3339">
        <v>2021</v>
      </c>
      <c r="X3339">
        <f t="shared" si="156"/>
        <v>8.5796661000000007</v>
      </c>
      <c r="Y3339">
        <f t="shared" si="157"/>
        <v>9.4596661000000015</v>
      </c>
      <c r="Z3339">
        <f t="shared" si="158"/>
        <v>72.799666099999996</v>
      </c>
    </row>
    <row r="3340" spans="1:26" x14ac:dyDescent="0.3">
      <c r="A3340" t="s">
        <v>3430</v>
      </c>
      <c r="B3340" t="s">
        <v>107</v>
      </c>
      <c r="C3340" t="s">
        <v>101</v>
      </c>
      <c r="D3340" t="s">
        <v>57</v>
      </c>
      <c r="E3340">
        <v>20</v>
      </c>
      <c r="F3340" s="3">
        <v>7.26</v>
      </c>
      <c r="G3340" s="4">
        <v>78.099999999999994</v>
      </c>
      <c r="H3340">
        <v>2</v>
      </c>
      <c r="I3340">
        <v>3</v>
      </c>
      <c r="J3340">
        <v>5</v>
      </c>
      <c r="K3340" s="4">
        <v>72.3</v>
      </c>
      <c r="L3340" s="4">
        <v>88.7</v>
      </c>
      <c r="M3340" s="4">
        <v>93.5</v>
      </c>
      <c r="N3340">
        <v>0</v>
      </c>
      <c r="O3340" t="s">
        <v>58</v>
      </c>
      <c r="P3340" t="s">
        <v>87</v>
      </c>
      <c r="Q3340" t="s">
        <v>71</v>
      </c>
      <c r="R3340" t="s">
        <v>76</v>
      </c>
      <c r="S3340" s="3">
        <v>7.93</v>
      </c>
      <c r="T3340" s="5">
        <v>44483</v>
      </c>
      <c r="U3340">
        <v>1</v>
      </c>
      <c r="V3340">
        <v>2021</v>
      </c>
      <c r="X3340">
        <f t="shared" si="156"/>
        <v>7.2596660000000002</v>
      </c>
      <c r="Y3340">
        <f t="shared" si="157"/>
        <v>7.9296660000000001</v>
      </c>
      <c r="Z3340">
        <f t="shared" si="158"/>
        <v>88.699666000000008</v>
      </c>
    </row>
    <row r="3341" spans="1:26" x14ac:dyDescent="0.3">
      <c r="A3341" t="s">
        <v>3431</v>
      </c>
      <c r="B3341" t="s">
        <v>63</v>
      </c>
      <c r="C3341" t="s">
        <v>68</v>
      </c>
      <c r="D3341" t="s">
        <v>69</v>
      </c>
      <c r="E3341">
        <v>22</v>
      </c>
      <c r="F3341" s="3">
        <v>8.26</v>
      </c>
      <c r="G3341" s="4">
        <v>86.2</v>
      </c>
      <c r="H3341">
        <v>0</v>
      </c>
      <c r="I3341">
        <v>0</v>
      </c>
      <c r="J3341">
        <v>3</v>
      </c>
      <c r="K3341" s="4">
        <v>53.2</v>
      </c>
      <c r="L3341" s="4">
        <v>61.4</v>
      </c>
      <c r="M3341" s="4">
        <v>75.400000000000006</v>
      </c>
      <c r="N3341">
        <v>0</v>
      </c>
      <c r="O3341" t="s">
        <v>58</v>
      </c>
      <c r="P3341" t="s">
        <v>104</v>
      </c>
      <c r="Q3341" t="s">
        <v>105</v>
      </c>
      <c r="R3341" t="s">
        <v>76</v>
      </c>
      <c r="S3341" s="3">
        <v>14.33</v>
      </c>
      <c r="T3341" s="5">
        <v>45898</v>
      </c>
      <c r="U3341">
        <v>2</v>
      </c>
      <c r="V3341">
        <v>2025</v>
      </c>
      <c r="X3341">
        <f t="shared" si="156"/>
        <v>8.2596658999999999</v>
      </c>
      <c r="Y3341">
        <f t="shared" si="157"/>
        <v>14.3296659</v>
      </c>
      <c r="Z3341">
        <f t="shared" si="158"/>
        <v>61.399665899999995</v>
      </c>
    </row>
    <row r="3342" spans="1:26" x14ac:dyDescent="0.3">
      <c r="A3342" t="s">
        <v>3432</v>
      </c>
      <c r="B3342" t="s">
        <v>55</v>
      </c>
      <c r="C3342" t="s">
        <v>56</v>
      </c>
      <c r="D3342" t="s">
        <v>57</v>
      </c>
      <c r="E3342">
        <v>20</v>
      </c>
      <c r="F3342" s="3">
        <v>8.0500000000000007</v>
      </c>
      <c r="G3342" s="4">
        <v>80.599999999999994</v>
      </c>
      <c r="H3342">
        <v>2</v>
      </c>
      <c r="I3342">
        <v>3</v>
      </c>
      <c r="J3342">
        <v>2</v>
      </c>
      <c r="K3342" s="4">
        <v>58.1</v>
      </c>
      <c r="L3342" s="4">
        <v>98.8</v>
      </c>
      <c r="M3342" s="4">
        <v>54.3</v>
      </c>
      <c r="N3342">
        <v>0</v>
      </c>
      <c r="O3342" t="s">
        <v>64</v>
      </c>
      <c r="P3342" t="s">
        <v>65</v>
      </c>
      <c r="S3342" s="3">
        <v>0</v>
      </c>
      <c r="T3342" s="5"/>
      <c r="U3342">
        <v>0</v>
      </c>
      <c r="V3342">
        <v>2024</v>
      </c>
      <c r="X3342">
        <f t="shared" si="156"/>
        <v>8.0496658000000014</v>
      </c>
      <c r="Y3342">
        <f t="shared" si="157"/>
        <v>-3.3419999999999999E-4</v>
      </c>
      <c r="Z3342">
        <f t="shared" si="158"/>
        <v>98.7996658</v>
      </c>
    </row>
    <row r="3343" spans="1:26" x14ac:dyDescent="0.3">
      <c r="A3343" t="s">
        <v>3433</v>
      </c>
      <c r="B3343" t="s">
        <v>67</v>
      </c>
      <c r="C3343" t="s">
        <v>74</v>
      </c>
      <c r="D3343" t="s">
        <v>57</v>
      </c>
      <c r="E3343">
        <v>21</v>
      </c>
      <c r="F3343" s="3">
        <v>9.02</v>
      </c>
      <c r="G3343" s="4">
        <v>63.2</v>
      </c>
      <c r="H3343">
        <v>1</v>
      </c>
      <c r="I3343">
        <v>1</v>
      </c>
      <c r="J3343">
        <v>2</v>
      </c>
      <c r="K3343" s="4">
        <v>97.5</v>
      </c>
      <c r="L3343" s="4">
        <v>69.2</v>
      </c>
      <c r="M3343" s="4">
        <v>75.400000000000006</v>
      </c>
      <c r="N3343">
        <v>1</v>
      </c>
      <c r="O3343" t="s">
        <v>64</v>
      </c>
      <c r="P3343" t="s">
        <v>65</v>
      </c>
      <c r="S3343" s="3">
        <v>0</v>
      </c>
      <c r="T3343" s="5"/>
      <c r="U3343">
        <v>0</v>
      </c>
      <c r="V3343">
        <v>2023</v>
      </c>
      <c r="X3343">
        <f t="shared" si="156"/>
        <v>9.0196656999999991</v>
      </c>
      <c r="Y3343">
        <f t="shared" si="157"/>
        <v>-3.3429999999999999E-4</v>
      </c>
      <c r="Z3343">
        <f t="shared" si="158"/>
        <v>69.199665699999997</v>
      </c>
    </row>
    <row r="3344" spans="1:26" x14ac:dyDescent="0.3">
      <c r="A3344" t="s">
        <v>3434</v>
      </c>
      <c r="B3344" t="s">
        <v>67</v>
      </c>
      <c r="C3344" t="s">
        <v>74</v>
      </c>
      <c r="D3344" t="s">
        <v>57</v>
      </c>
      <c r="E3344">
        <v>20</v>
      </c>
      <c r="F3344" s="3">
        <v>7.55</v>
      </c>
      <c r="G3344" s="4">
        <v>82.4</v>
      </c>
      <c r="H3344">
        <v>3</v>
      </c>
      <c r="I3344">
        <v>2</v>
      </c>
      <c r="J3344">
        <v>4</v>
      </c>
      <c r="K3344" s="4">
        <v>77.400000000000006</v>
      </c>
      <c r="L3344" s="4">
        <v>52.6</v>
      </c>
      <c r="M3344" s="4">
        <v>62</v>
      </c>
      <c r="N3344">
        <v>0</v>
      </c>
      <c r="O3344" t="s">
        <v>58</v>
      </c>
      <c r="P3344" t="s">
        <v>59</v>
      </c>
      <c r="Q3344" t="s">
        <v>60</v>
      </c>
      <c r="R3344" t="s">
        <v>109</v>
      </c>
      <c r="S3344" s="3">
        <v>19.37</v>
      </c>
      <c r="T3344" s="5">
        <v>45149</v>
      </c>
      <c r="U3344">
        <v>1</v>
      </c>
      <c r="V3344">
        <v>2023</v>
      </c>
      <c r="X3344">
        <f t="shared" si="156"/>
        <v>7.5496656</v>
      </c>
      <c r="Y3344">
        <f t="shared" si="157"/>
        <v>19.369665600000001</v>
      </c>
      <c r="Z3344">
        <f t="shared" si="158"/>
        <v>52.599665600000002</v>
      </c>
    </row>
    <row r="3345" spans="1:26" x14ac:dyDescent="0.3">
      <c r="A3345" t="s">
        <v>3435</v>
      </c>
      <c r="B3345" t="s">
        <v>55</v>
      </c>
      <c r="C3345" t="s">
        <v>68</v>
      </c>
      <c r="D3345" t="s">
        <v>69</v>
      </c>
      <c r="E3345">
        <v>20</v>
      </c>
      <c r="F3345" s="3">
        <v>7.15</v>
      </c>
      <c r="G3345" s="4">
        <v>90.2</v>
      </c>
      <c r="H3345">
        <v>2</v>
      </c>
      <c r="I3345">
        <v>2</v>
      </c>
      <c r="J3345">
        <v>5</v>
      </c>
      <c r="K3345" s="4">
        <v>73.599999999999994</v>
      </c>
      <c r="L3345" s="4">
        <v>85.1</v>
      </c>
      <c r="M3345" s="4">
        <v>78.900000000000006</v>
      </c>
      <c r="N3345">
        <v>0</v>
      </c>
      <c r="O3345" t="s">
        <v>58</v>
      </c>
      <c r="P3345" t="s">
        <v>70</v>
      </c>
      <c r="Q3345" t="s">
        <v>71</v>
      </c>
      <c r="R3345" t="s">
        <v>61</v>
      </c>
      <c r="S3345" s="3">
        <v>7.65</v>
      </c>
      <c r="T3345" s="5">
        <v>45577</v>
      </c>
      <c r="U3345">
        <v>1</v>
      </c>
      <c r="V3345">
        <v>2024</v>
      </c>
      <c r="X3345">
        <f t="shared" si="156"/>
        <v>7.1496655000000002</v>
      </c>
      <c r="Y3345">
        <f t="shared" si="157"/>
        <v>7.6496655000000002</v>
      </c>
      <c r="Z3345">
        <f t="shared" si="158"/>
        <v>85.0996655</v>
      </c>
    </row>
    <row r="3346" spans="1:26" x14ac:dyDescent="0.3">
      <c r="A3346" t="s">
        <v>3436</v>
      </c>
      <c r="B3346" t="s">
        <v>63</v>
      </c>
      <c r="C3346" t="s">
        <v>56</v>
      </c>
      <c r="D3346" t="s">
        <v>57</v>
      </c>
      <c r="E3346">
        <v>20</v>
      </c>
      <c r="F3346" s="3">
        <v>7.21</v>
      </c>
      <c r="G3346" s="4">
        <v>90.7</v>
      </c>
      <c r="H3346">
        <v>0</v>
      </c>
      <c r="I3346">
        <v>3</v>
      </c>
      <c r="J3346">
        <v>3</v>
      </c>
      <c r="K3346" s="4">
        <v>57.9</v>
      </c>
      <c r="L3346" s="4">
        <v>93.8</v>
      </c>
      <c r="M3346" s="4">
        <v>77.3</v>
      </c>
      <c r="N3346">
        <v>1</v>
      </c>
      <c r="O3346" t="s">
        <v>58</v>
      </c>
      <c r="P3346" t="s">
        <v>87</v>
      </c>
      <c r="Q3346" t="s">
        <v>71</v>
      </c>
      <c r="R3346" t="s">
        <v>109</v>
      </c>
      <c r="S3346" s="3">
        <v>6.69</v>
      </c>
      <c r="T3346" s="5">
        <v>45959</v>
      </c>
      <c r="U3346">
        <v>1</v>
      </c>
      <c r="V3346">
        <v>2025</v>
      </c>
      <c r="X3346">
        <f t="shared" si="156"/>
        <v>7.2096653999999996</v>
      </c>
      <c r="Y3346">
        <f t="shared" si="157"/>
        <v>6.6896654</v>
      </c>
      <c r="Z3346">
        <f t="shared" si="158"/>
        <v>93.799665399999995</v>
      </c>
    </row>
    <row r="3347" spans="1:26" x14ac:dyDescent="0.3">
      <c r="A3347" t="s">
        <v>3437</v>
      </c>
      <c r="B3347" t="s">
        <v>82</v>
      </c>
      <c r="C3347" t="s">
        <v>56</v>
      </c>
      <c r="D3347" t="s">
        <v>57</v>
      </c>
      <c r="E3347">
        <v>21</v>
      </c>
      <c r="F3347" s="3">
        <v>6.65</v>
      </c>
      <c r="G3347" s="4">
        <v>84.3</v>
      </c>
      <c r="H3347">
        <v>1</v>
      </c>
      <c r="I3347">
        <v>3</v>
      </c>
      <c r="J3347">
        <v>3</v>
      </c>
      <c r="K3347" s="4">
        <v>78.8</v>
      </c>
      <c r="L3347" s="4">
        <v>51.3</v>
      </c>
      <c r="M3347" s="4">
        <v>55.7</v>
      </c>
      <c r="N3347">
        <v>1</v>
      </c>
      <c r="O3347" t="s">
        <v>64</v>
      </c>
      <c r="P3347" t="s">
        <v>65</v>
      </c>
      <c r="S3347" s="3">
        <v>0</v>
      </c>
      <c r="T3347" s="5"/>
      <c r="U3347">
        <v>0</v>
      </c>
      <c r="V3347">
        <v>2022</v>
      </c>
      <c r="X3347">
        <f t="shared" si="156"/>
        <v>6.6496653000000006</v>
      </c>
      <c r="Y3347">
        <f t="shared" si="157"/>
        <v>-3.347E-4</v>
      </c>
      <c r="Z3347">
        <f t="shared" si="158"/>
        <v>51.299665299999994</v>
      </c>
    </row>
    <row r="3348" spans="1:26" x14ac:dyDescent="0.3">
      <c r="A3348" t="s">
        <v>3438</v>
      </c>
      <c r="B3348" t="s">
        <v>107</v>
      </c>
      <c r="C3348" t="s">
        <v>56</v>
      </c>
      <c r="D3348" t="s">
        <v>57</v>
      </c>
      <c r="E3348">
        <v>23</v>
      </c>
      <c r="F3348" s="3">
        <v>7.2</v>
      </c>
      <c r="G3348" s="4">
        <v>90.6</v>
      </c>
      <c r="H3348">
        <v>3</v>
      </c>
      <c r="I3348">
        <v>0</v>
      </c>
      <c r="J3348">
        <v>2</v>
      </c>
      <c r="K3348" s="4">
        <v>53.8</v>
      </c>
      <c r="L3348" s="4">
        <v>76.599999999999994</v>
      </c>
      <c r="M3348" s="4">
        <v>91.3</v>
      </c>
      <c r="N3348">
        <v>0</v>
      </c>
      <c r="O3348" t="s">
        <v>58</v>
      </c>
      <c r="P3348" t="s">
        <v>95</v>
      </c>
      <c r="Q3348" t="s">
        <v>93</v>
      </c>
      <c r="R3348" t="s">
        <v>109</v>
      </c>
      <c r="S3348" s="3">
        <v>8.5399999999999991</v>
      </c>
      <c r="T3348" s="5">
        <v>44467</v>
      </c>
      <c r="U3348">
        <v>2</v>
      </c>
      <c r="V3348">
        <v>2021</v>
      </c>
      <c r="X3348">
        <f t="shared" si="156"/>
        <v>7.1996652000000001</v>
      </c>
      <c r="Y3348">
        <f t="shared" si="157"/>
        <v>8.5396652</v>
      </c>
      <c r="Z3348">
        <f t="shared" si="158"/>
        <v>76.59966519999999</v>
      </c>
    </row>
    <row r="3349" spans="1:26" x14ac:dyDescent="0.3">
      <c r="A3349" t="s">
        <v>3439</v>
      </c>
      <c r="B3349" t="s">
        <v>63</v>
      </c>
      <c r="C3349" t="s">
        <v>89</v>
      </c>
      <c r="D3349" t="s">
        <v>69</v>
      </c>
      <c r="E3349">
        <v>22</v>
      </c>
      <c r="F3349" s="3">
        <v>5.54</v>
      </c>
      <c r="G3349" s="4">
        <v>85.9</v>
      </c>
      <c r="H3349">
        <v>2</v>
      </c>
      <c r="I3349">
        <v>2</v>
      </c>
      <c r="J3349">
        <v>3</v>
      </c>
      <c r="K3349" s="4">
        <v>46.6</v>
      </c>
      <c r="L3349" s="4">
        <v>59.9</v>
      </c>
      <c r="M3349" s="4">
        <v>66.3</v>
      </c>
      <c r="N3349">
        <v>0</v>
      </c>
      <c r="O3349" t="s">
        <v>64</v>
      </c>
      <c r="P3349" t="s">
        <v>65</v>
      </c>
      <c r="S3349" s="3">
        <v>0</v>
      </c>
      <c r="T3349" s="5"/>
      <c r="U3349">
        <v>0</v>
      </c>
      <c r="V3349">
        <v>2025</v>
      </c>
      <c r="X3349">
        <f t="shared" si="156"/>
        <v>5.5396650999999997</v>
      </c>
      <c r="Y3349">
        <f t="shared" si="157"/>
        <v>-3.3490000000000001E-4</v>
      </c>
      <c r="Z3349">
        <f t="shared" si="158"/>
        <v>59.8996651</v>
      </c>
    </row>
    <row r="3350" spans="1:26" x14ac:dyDescent="0.3">
      <c r="A3350" t="s">
        <v>3440</v>
      </c>
      <c r="B3350" t="s">
        <v>55</v>
      </c>
      <c r="C3350" t="s">
        <v>78</v>
      </c>
      <c r="D3350" t="s">
        <v>57</v>
      </c>
      <c r="E3350">
        <v>22</v>
      </c>
      <c r="F3350" s="3">
        <v>8.8800000000000008</v>
      </c>
      <c r="G3350" s="4">
        <v>84</v>
      </c>
      <c r="H3350">
        <v>1</v>
      </c>
      <c r="I3350">
        <v>1</v>
      </c>
      <c r="J3350">
        <v>1</v>
      </c>
      <c r="K3350" s="4">
        <v>60.3</v>
      </c>
      <c r="L3350" s="4">
        <v>54.7</v>
      </c>
      <c r="M3350" s="4">
        <v>52.2</v>
      </c>
      <c r="N3350">
        <v>0</v>
      </c>
      <c r="O3350" t="s">
        <v>58</v>
      </c>
      <c r="P3350" t="s">
        <v>87</v>
      </c>
      <c r="Q3350" t="s">
        <v>71</v>
      </c>
      <c r="R3350" t="s">
        <v>109</v>
      </c>
      <c r="S3350" s="3">
        <v>7.93</v>
      </c>
      <c r="T3350" s="5">
        <v>45589</v>
      </c>
      <c r="U3350">
        <v>1</v>
      </c>
      <c r="V3350">
        <v>2024</v>
      </c>
      <c r="X3350">
        <f t="shared" si="156"/>
        <v>8.879665000000001</v>
      </c>
      <c r="Y3350">
        <f t="shared" si="157"/>
        <v>7.929665</v>
      </c>
      <c r="Z3350">
        <f t="shared" si="158"/>
        <v>54.699665000000003</v>
      </c>
    </row>
    <row r="3351" spans="1:26" x14ac:dyDescent="0.3">
      <c r="A3351" t="s">
        <v>3441</v>
      </c>
      <c r="B3351" t="s">
        <v>107</v>
      </c>
      <c r="C3351" t="s">
        <v>74</v>
      </c>
      <c r="D3351" t="s">
        <v>57</v>
      </c>
      <c r="E3351">
        <v>21</v>
      </c>
      <c r="F3351" s="3">
        <v>9.39</v>
      </c>
      <c r="G3351" s="4">
        <v>75.8</v>
      </c>
      <c r="H3351">
        <v>3</v>
      </c>
      <c r="I3351">
        <v>5</v>
      </c>
      <c r="J3351">
        <v>6</v>
      </c>
      <c r="K3351" s="4">
        <v>51.5</v>
      </c>
      <c r="L3351" s="4">
        <v>56.8</v>
      </c>
      <c r="M3351" s="4">
        <v>89.4</v>
      </c>
      <c r="N3351">
        <v>0</v>
      </c>
      <c r="O3351" t="s">
        <v>58</v>
      </c>
      <c r="P3351" t="s">
        <v>104</v>
      </c>
      <c r="Q3351" t="s">
        <v>105</v>
      </c>
      <c r="R3351" t="s">
        <v>130</v>
      </c>
      <c r="S3351" s="3">
        <v>16.91</v>
      </c>
      <c r="T3351" s="5">
        <v>44480</v>
      </c>
      <c r="U3351">
        <v>2</v>
      </c>
      <c r="V3351">
        <v>2021</v>
      </c>
      <c r="X3351">
        <f t="shared" si="156"/>
        <v>9.3896649000000014</v>
      </c>
      <c r="Y3351">
        <f t="shared" si="157"/>
        <v>16.909664899999999</v>
      </c>
      <c r="Z3351">
        <f t="shared" si="158"/>
        <v>56.799664899999996</v>
      </c>
    </row>
    <row r="3352" spans="1:26" x14ac:dyDescent="0.3">
      <c r="A3352" t="s">
        <v>3442</v>
      </c>
      <c r="B3352" t="s">
        <v>67</v>
      </c>
      <c r="C3352" t="s">
        <v>56</v>
      </c>
      <c r="D3352" t="s">
        <v>57</v>
      </c>
      <c r="E3352">
        <v>23</v>
      </c>
      <c r="F3352" s="3">
        <v>7.52</v>
      </c>
      <c r="G3352" s="4">
        <v>78.900000000000006</v>
      </c>
      <c r="H3352">
        <v>1</v>
      </c>
      <c r="I3352">
        <v>1</v>
      </c>
      <c r="J3352">
        <v>4</v>
      </c>
      <c r="K3352" s="4">
        <v>74.5</v>
      </c>
      <c r="L3352" s="4">
        <v>73.2</v>
      </c>
      <c r="M3352" s="4">
        <v>81.3</v>
      </c>
      <c r="N3352">
        <v>0</v>
      </c>
      <c r="O3352" t="s">
        <v>58</v>
      </c>
      <c r="P3352" t="s">
        <v>95</v>
      </c>
      <c r="Q3352" t="s">
        <v>93</v>
      </c>
      <c r="R3352" t="s">
        <v>85</v>
      </c>
      <c r="S3352" s="3">
        <v>6.61</v>
      </c>
      <c r="T3352" s="5">
        <v>45180</v>
      </c>
      <c r="U3352">
        <v>1</v>
      </c>
      <c r="V3352">
        <v>2023</v>
      </c>
      <c r="X3352">
        <f t="shared" si="156"/>
        <v>7.5196647999999993</v>
      </c>
      <c r="Y3352">
        <f t="shared" si="157"/>
        <v>6.6096648</v>
      </c>
      <c r="Z3352">
        <f t="shared" si="158"/>
        <v>73.199664800000008</v>
      </c>
    </row>
    <row r="3353" spans="1:26" x14ac:dyDescent="0.3">
      <c r="A3353" t="s">
        <v>3443</v>
      </c>
      <c r="B3353" t="s">
        <v>82</v>
      </c>
      <c r="C3353" t="s">
        <v>56</v>
      </c>
      <c r="D3353" t="s">
        <v>69</v>
      </c>
      <c r="E3353">
        <v>23</v>
      </c>
      <c r="F3353" s="3">
        <v>8.0399999999999991</v>
      </c>
      <c r="G3353" s="4">
        <v>79.7</v>
      </c>
      <c r="H3353">
        <v>1</v>
      </c>
      <c r="I3353">
        <v>2</v>
      </c>
      <c r="J3353">
        <v>3</v>
      </c>
      <c r="K3353" s="4">
        <v>73.099999999999994</v>
      </c>
      <c r="L3353" s="4">
        <v>89.4</v>
      </c>
      <c r="M3353" s="4">
        <v>70.900000000000006</v>
      </c>
      <c r="N3353">
        <v>0</v>
      </c>
      <c r="O3353" t="s">
        <v>58</v>
      </c>
      <c r="P3353" t="s">
        <v>70</v>
      </c>
      <c r="Q3353" t="s">
        <v>71</v>
      </c>
      <c r="R3353" t="s">
        <v>76</v>
      </c>
      <c r="S3353" s="3">
        <v>5.6</v>
      </c>
      <c r="T3353" s="5">
        <v>44779</v>
      </c>
      <c r="U3353">
        <v>2</v>
      </c>
      <c r="V3353">
        <v>2022</v>
      </c>
      <c r="X3353">
        <f t="shared" si="156"/>
        <v>8.0396646999999994</v>
      </c>
      <c r="Y3353">
        <f t="shared" si="157"/>
        <v>5.5996646999999999</v>
      </c>
      <c r="Z3353">
        <f t="shared" si="158"/>
        <v>89.399664700000002</v>
      </c>
    </row>
    <row r="3354" spans="1:26" x14ac:dyDescent="0.3">
      <c r="A3354" t="s">
        <v>3444</v>
      </c>
      <c r="B3354" t="s">
        <v>67</v>
      </c>
      <c r="C3354" t="s">
        <v>84</v>
      </c>
      <c r="D3354" t="s">
        <v>69</v>
      </c>
      <c r="E3354">
        <v>21</v>
      </c>
      <c r="F3354" s="3">
        <v>7.8</v>
      </c>
      <c r="G3354" s="4">
        <v>84.6</v>
      </c>
      <c r="H3354">
        <v>2</v>
      </c>
      <c r="I3354">
        <v>1</v>
      </c>
      <c r="J3354">
        <v>5</v>
      </c>
      <c r="K3354" s="4">
        <v>71.2</v>
      </c>
      <c r="L3354" s="4">
        <v>69.099999999999994</v>
      </c>
      <c r="M3354" s="4">
        <v>74.599999999999994</v>
      </c>
      <c r="N3354">
        <v>0</v>
      </c>
      <c r="O3354" t="s">
        <v>58</v>
      </c>
      <c r="P3354" t="s">
        <v>87</v>
      </c>
      <c r="Q3354" t="s">
        <v>71</v>
      </c>
      <c r="R3354" t="s">
        <v>76</v>
      </c>
      <c r="S3354" s="3">
        <v>7.25</v>
      </c>
      <c r="T3354" s="5">
        <v>45193</v>
      </c>
      <c r="U3354">
        <v>1</v>
      </c>
      <c r="V3354">
        <v>2023</v>
      </c>
      <c r="X3354">
        <f t="shared" si="156"/>
        <v>7.7996645999999998</v>
      </c>
      <c r="Y3354">
        <f t="shared" si="157"/>
        <v>7.2496646</v>
      </c>
      <c r="Z3354">
        <f t="shared" si="158"/>
        <v>69.099664599999997</v>
      </c>
    </row>
    <row r="3355" spans="1:26" x14ac:dyDescent="0.3">
      <c r="A3355" t="s">
        <v>3445</v>
      </c>
      <c r="B3355" t="s">
        <v>55</v>
      </c>
      <c r="C3355" t="s">
        <v>68</v>
      </c>
      <c r="D3355" t="s">
        <v>69</v>
      </c>
      <c r="E3355">
        <v>20</v>
      </c>
      <c r="F3355" s="3">
        <v>6.47</v>
      </c>
      <c r="G3355" s="4">
        <v>89.2</v>
      </c>
      <c r="H3355">
        <v>1</v>
      </c>
      <c r="I3355">
        <v>0</v>
      </c>
      <c r="J3355">
        <v>2</v>
      </c>
      <c r="K3355" s="4">
        <v>76.2</v>
      </c>
      <c r="L3355" s="4">
        <v>76.3</v>
      </c>
      <c r="M3355" s="4">
        <v>72.599999999999994</v>
      </c>
      <c r="N3355">
        <v>0</v>
      </c>
      <c r="O3355" t="s">
        <v>58</v>
      </c>
      <c r="P3355" t="s">
        <v>90</v>
      </c>
      <c r="Q3355" t="s">
        <v>60</v>
      </c>
      <c r="R3355" t="s">
        <v>76</v>
      </c>
      <c r="S3355" s="3">
        <v>7.84</v>
      </c>
      <c r="T3355" s="5">
        <v>45586</v>
      </c>
      <c r="U3355">
        <v>1</v>
      </c>
      <c r="V3355">
        <v>2024</v>
      </c>
      <c r="X3355">
        <f t="shared" si="156"/>
        <v>6.4696644999999995</v>
      </c>
      <c r="Y3355">
        <f t="shared" si="157"/>
        <v>7.8396644999999996</v>
      </c>
      <c r="Z3355">
        <f t="shared" si="158"/>
        <v>76.299664499999992</v>
      </c>
    </row>
    <row r="3356" spans="1:26" x14ac:dyDescent="0.3">
      <c r="A3356" t="s">
        <v>3446</v>
      </c>
      <c r="B3356" t="s">
        <v>107</v>
      </c>
      <c r="C3356" t="s">
        <v>68</v>
      </c>
      <c r="D3356" t="s">
        <v>57</v>
      </c>
      <c r="E3356">
        <v>23</v>
      </c>
      <c r="F3356" s="3">
        <v>8.57</v>
      </c>
      <c r="G3356" s="4">
        <v>76.5</v>
      </c>
      <c r="H3356">
        <v>1</v>
      </c>
      <c r="I3356">
        <v>2</v>
      </c>
      <c r="J3356">
        <v>2</v>
      </c>
      <c r="K3356" s="4">
        <v>75.599999999999994</v>
      </c>
      <c r="L3356" s="4">
        <v>61.7</v>
      </c>
      <c r="M3356" s="4">
        <v>55</v>
      </c>
      <c r="N3356">
        <v>0</v>
      </c>
      <c r="O3356" t="s">
        <v>58</v>
      </c>
      <c r="P3356" t="s">
        <v>90</v>
      </c>
      <c r="Q3356" t="s">
        <v>60</v>
      </c>
      <c r="R3356" t="s">
        <v>80</v>
      </c>
      <c r="S3356" s="3">
        <v>10.210000000000001</v>
      </c>
      <c r="T3356" s="5">
        <v>44414</v>
      </c>
      <c r="U3356">
        <v>1</v>
      </c>
      <c r="V3356">
        <v>2021</v>
      </c>
      <c r="X3356">
        <f t="shared" si="156"/>
        <v>8.5696644000000006</v>
      </c>
      <c r="Y3356">
        <f t="shared" si="157"/>
        <v>10.209664400000001</v>
      </c>
      <c r="Z3356">
        <f t="shared" si="158"/>
        <v>61.699664400000003</v>
      </c>
    </row>
    <row r="3357" spans="1:26" x14ac:dyDescent="0.3">
      <c r="A3357" t="s">
        <v>3447</v>
      </c>
      <c r="B3357" t="s">
        <v>55</v>
      </c>
      <c r="C3357" t="s">
        <v>56</v>
      </c>
      <c r="D3357" t="s">
        <v>57</v>
      </c>
      <c r="E3357">
        <v>22</v>
      </c>
      <c r="F3357" s="3">
        <v>8.7100000000000009</v>
      </c>
      <c r="G3357" s="4">
        <v>69.5</v>
      </c>
      <c r="H3357">
        <v>2</v>
      </c>
      <c r="I3357">
        <v>2</v>
      </c>
      <c r="J3357">
        <v>6</v>
      </c>
      <c r="K3357" s="4">
        <v>58.5</v>
      </c>
      <c r="L3357" s="4">
        <v>68.099999999999994</v>
      </c>
      <c r="M3357" s="4">
        <v>57.2</v>
      </c>
      <c r="N3357">
        <v>1</v>
      </c>
      <c r="O3357" t="s">
        <v>58</v>
      </c>
      <c r="P3357" t="s">
        <v>112</v>
      </c>
      <c r="Q3357" t="s">
        <v>93</v>
      </c>
      <c r="R3357" t="s">
        <v>109</v>
      </c>
      <c r="S3357" s="3">
        <v>7.6</v>
      </c>
      <c r="T3357" s="5">
        <v>45525</v>
      </c>
      <c r="U3357">
        <v>1</v>
      </c>
      <c r="V3357">
        <v>2024</v>
      </c>
      <c r="X3357">
        <f t="shared" si="156"/>
        <v>8.7096643</v>
      </c>
      <c r="Y3357">
        <f t="shared" si="157"/>
        <v>7.5996642999999997</v>
      </c>
      <c r="Z3357">
        <f t="shared" si="158"/>
        <v>68.099664300000001</v>
      </c>
    </row>
    <row r="3358" spans="1:26" x14ac:dyDescent="0.3">
      <c r="A3358" t="s">
        <v>3448</v>
      </c>
      <c r="B3358" t="s">
        <v>107</v>
      </c>
      <c r="C3358" t="s">
        <v>78</v>
      </c>
      <c r="D3358" t="s">
        <v>69</v>
      </c>
      <c r="E3358">
        <v>21</v>
      </c>
      <c r="F3358" s="3">
        <v>6.71</v>
      </c>
      <c r="G3358" s="4">
        <v>95</v>
      </c>
      <c r="H3358">
        <v>2</v>
      </c>
      <c r="I3358">
        <v>1</v>
      </c>
      <c r="J3358">
        <v>3</v>
      </c>
      <c r="K3358" s="4">
        <v>74.7</v>
      </c>
      <c r="L3358" s="4">
        <v>57</v>
      </c>
      <c r="M3358" s="4">
        <v>85.4</v>
      </c>
      <c r="N3358">
        <v>0</v>
      </c>
      <c r="O3358" t="s">
        <v>64</v>
      </c>
      <c r="P3358" t="s">
        <v>65</v>
      </c>
      <c r="S3358" s="3">
        <v>0</v>
      </c>
      <c r="T3358" s="5"/>
      <c r="U3358">
        <v>0</v>
      </c>
      <c r="V3358">
        <v>2021</v>
      </c>
      <c r="X3358">
        <f t="shared" si="156"/>
        <v>6.7096641999999997</v>
      </c>
      <c r="Y3358">
        <f t="shared" si="157"/>
        <v>-3.3579999999999998E-4</v>
      </c>
      <c r="Z3358">
        <f t="shared" si="158"/>
        <v>56.999664199999998</v>
      </c>
    </row>
    <row r="3359" spans="1:26" x14ac:dyDescent="0.3">
      <c r="A3359" t="s">
        <v>3449</v>
      </c>
      <c r="B3359" t="s">
        <v>63</v>
      </c>
      <c r="C3359" t="s">
        <v>68</v>
      </c>
      <c r="D3359" t="s">
        <v>57</v>
      </c>
      <c r="E3359">
        <v>22</v>
      </c>
      <c r="F3359" s="3">
        <v>7.95</v>
      </c>
      <c r="G3359" s="4">
        <v>73.3</v>
      </c>
      <c r="H3359">
        <v>0</v>
      </c>
      <c r="I3359">
        <v>0</v>
      </c>
      <c r="J3359">
        <v>6</v>
      </c>
      <c r="K3359" s="4">
        <v>72.400000000000006</v>
      </c>
      <c r="L3359" s="4">
        <v>42.8</v>
      </c>
      <c r="M3359" s="4">
        <v>79</v>
      </c>
      <c r="N3359">
        <v>0</v>
      </c>
      <c r="O3359" t="s">
        <v>58</v>
      </c>
      <c r="P3359" t="s">
        <v>87</v>
      </c>
      <c r="Q3359" t="s">
        <v>71</v>
      </c>
      <c r="R3359" t="s">
        <v>85</v>
      </c>
      <c r="S3359" s="3">
        <v>3.9</v>
      </c>
      <c r="T3359" s="5">
        <v>45981</v>
      </c>
      <c r="U3359">
        <v>1</v>
      </c>
      <c r="V3359">
        <v>2025</v>
      </c>
      <c r="X3359">
        <f t="shared" si="156"/>
        <v>7.9496641000000006</v>
      </c>
      <c r="Y3359">
        <f t="shared" si="157"/>
        <v>3.8996640999999999</v>
      </c>
      <c r="Z3359">
        <f t="shared" si="158"/>
        <v>42.799664099999994</v>
      </c>
    </row>
    <row r="3360" spans="1:26" x14ac:dyDescent="0.3">
      <c r="A3360" t="s">
        <v>3450</v>
      </c>
      <c r="B3360" t="s">
        <v>82</v>
      </c>
      <c r="C3360" t="s">
        <v>56</v>
      </c>
      <c r="D3360" t="s">
        <v>57</v>
      </c>
      <c r="E3360">
        <v>20</v>
      </c>
      <c r="F3360" s="3">
        <v>7.41</v>
      </c>
      <c r="G3360" s="4">
        <v>86.4</v>
      </c>
      <c r="H3360">
        <v>2</v>
      </c>
      <c r="I3360">
        <v>3</v>
      </c>
      <c r="J3360">
        <v>4</v>
      </c>
      <c r="K3360" s="4">
        <v>59.4</v>
      </c>
      <c r="L3360" s="4">
        <v>62.3</v>
      </c>
      <c r="M3360" s="4">
        <v>85</v>
      </c>
      <c r="N3360">
        <v>0</v>
      </c>
      <c r="O3360" t="s">
        <v>58</v>
      </c>
      <c r="P3360" t="s">
        <v>92</v>
      </c>
      <c r="Q3360" t="s">
        <v>93</v>
      </c>
      <c r="R3360" t="s">
        <v>85</v>
      </c>
      <c r="S3360" s="3">
        <v>9.8800000000000008</v>
      </c>
      <c r="T3360" s="5">
        <v>44893</v>
      </c>
      <c r="U3360">
        <v>1</v>
      </c>
      <c r="V3360">
        <v>2022</v>
      </c>
      <c r="X3360">
        <f t="shared" si="156"/>
        <v>7.4096640000000003</v>
      </c>
      <c r="Y3360">
        <f t="shared" si="157"/>
        <v>9.879664</v>
      </c>
      <c r="Z3360">
        <f t="shared" si="158"/>
        <v>62.299664</v>
      </c>
    </row>
    <row r="3361" spans="1:26" x14ac:dyDescent="0.3">
      <c r="A3361" t="s">
        <v>3451</v>
      </c>
      <c r="B3361" t="s">
        <v>63</v>
      </c>
      <c r="C3361" t="s">
        <v>56</v>
      </c>
      <c r="D3361" t="s">
        <v>57</v>
      </c>
      <c r="E3361">
        <v>21</v>
      </c>
      <c r="F3361" s="3">
        <v>8.7200000000000006</v>
      </c>
      <c r="G3361" s="4">
        <v>84.3</v>
      </c>
      <c r="H3361">
        <v>1</v>
      </c>
      <c r="I3361">
        <v>0</v>
      </c>
      <c r="J3361">
        <v>6</v>
      </c>
      <c r="K3361" s="4">
        <v>63</v>
      </c>
      <c r="L3361" s="4">
        <v>86.9</v>
      </c>
      <c r="M3361" s="4">
        <v>88.5</v>
      </c>
      <c r="N3361">
        <v>3</v>
      </c>
      <c r="O3361" t="s">
        <v>64</v>
      </c>
      <c r="P3361" t="s">
        <v>65</v>
      </c>
      <c r="S3361" s="3">
        <v>0</v>
      </c>
      <c r="T3361" s="5"/>
      <c r="U3361">
        <v>0</v>
      </c>
      <c r="V3361">
        <v>2025</v>
      </c>
      <c r="X3361">
        <f t="shared" si="156"/>
        <v>8.7196639000000005</v>
      </c>
      <c r="Y3361">
        <f t="shared" si="157"/>
        <v>-3.3609999999999998E-4</v>
      </c>
      <c r="Z3361">
        <f t="shared" si="158"/>
        <v>86.899663900000007</v>
      </c>
    </row>
    <row r="3362" spans="1:26" x14ac:dyDescent="0.3">
      <c r="A3362" t="s">
        <v>3452</v>
      </c>
      <c r="B3362" t="s">
        <v>63</v>
      </c>
      <c r="C3362" t="s">
        <v>74</v>
      </c>
      <c r="D3362" t="s">
        <v>69</v>
      </c>
      <c r="E3362">
        <v>22</v>
      </c>
      <c r="F3362" s="3">
        <v>7.58</v>
      </c>
      <c r="G3362" s="4">
        <v>78.900000000000006</v>
      </c>
      <c r="H3362">
        <v>1</v>
      </c>
      <c r="I3362">
        <v>2</v>
      </c>
      <c r="J3362">
        <v>5</v>
      </c>
      <c r="K3362" s="4">
        <v>79.900000000000006</v>
      </c>
      <c r="L3362" s="4">
        <v>32.6</v>
      </c>
      <c r="M3362" s="4">
        <v>34.299999999999997</v>
      </c>
      <c r="N3362">
        <v>0</v>
      </c>
      <c r="O3362" t="s">
        <v>58</v>
      </c>
      <c r="P3362" t="s">
        <v>90</v>
      </c>
      <c r="Q3362" t="s">
        <v>60</v>
      </c>
      <c r="R3362" t="s">
        <v>76</v>
      </c>
      <c r="S3362" s="3">
        <v>6.66</v>
      </c>
      <c r="T3362" s="5">
        <v>45917</v>
      </c>
      <c r="U3362">
        <v>3</v>
      </c>
      <c r="V3362">
        <v>2025</v>
      </c>
      <c r="X3362">
        <f t="shared" si="156"/>
        <v>7.5796638000000005</v>
      </c>
      <c r="Y3362">
        <f t="shared" si="157"/>
        <v>6.6596638000000006</v>
      </c>
      <c r="Z3362">
        <f t="shared" si="158"/>
        <v>32.599663800000002</v>
      </c>
    </row>
    <row r="3363" spans="1:26" x14ac:dyDescent="0.3">
      <c r="A3363" t="s">
        <v>3453</v>
      </c>
      <c r="B3363" t="s">
        <v>55</v>
      </c>
      <c r="C3363" t="s">
        <v>101</v>
      </c>
      <c r="D3363" t="s">
        <v>57</v>
      </c>
      <c r="E3363">
        <v>22</v>
      </c>
      <c r="F3363" s="3">
        <v>7.6</v>
      </c>
      <c r="G3363" s="4">
        <v>87.5</v>
      </c>
      <c r="H3363">
        <v>2</v>
      </c>
      <c r="I3363">
        <v>2</v>
      </c>
      <c r="J3363">
        <v>2</v>
      </c>
      <c r="K3363" s="4">
        <v>49.6</v>
      </c>
      <c r="L3363" s="4">
        <v>86.5</v>
      </c>
      <c r="M3363" s="4">
        <v>69.099999999999994</v>
      </c>
      <c r="N3363">
        <v>0</v>
      </c>
      <c r="O3363" t="s">
        <v>64</v>
      </c>
      <c r="P3363" t="s">
        <v>65</v>
      </c>
      <c r="S3363" s="3">
        <v>0</v>
      </c>
      <c r="T3363" s="5"/>
      <c r="U3363">
        <v>0</v>
      </c>
      <c r="V3363">
        <v>2024</v>
      </c>
      <c r="X3363">
        <f t="shared" si="156"/>
        <v>7.5996636999999998</v>
      </c>
      <c r="Y3363">
        <f t="shared" si="157"/>
        <v>-3.3629999999999999E-4</v>
      </c>
      <c r="Z3363">
        <f t="shared" si="158"/>
        <v>86.499663699999999</v>
      </c>
    </row>
    <row r="3364" spans="1:26" x14ac:dyDescent="0.3">
      <c r="A3364" t="s">
        <v>3454</v>
      </c>
      <c r="B3364" t="s">
        <v>82</v>
      </c>
      <c r="C3364" t="s">
        <v>101</v>
      </c>
      <c r="D3364" t="s">
        <v>57</v>
      </c>
      <c r="E3364">
        <v>20</v>
      </c>
      <c r="F3364" s="3">
        <v>9.2899999999999991</v>
      </c>
      <c r="G3364" s="4">
        <v>71.099999999999994</v>
      </c>
      <c r="H3364">
        <v>1</v>
      </c>
      <c r="I3364">
        <v>2</v>
      </c>
      <c r="J3364">
        <v>5</v>
      </c>
      <c r="K3364" s="4">
        <v>72.7</v>
      </c>
      <c r="L3364" s="4">
        <v>74.900000000000006</v>
      </c>
      <c r="M3364" s="4">
        <v>60.1</v>
      </c>
      <c r="N3364">
        <v>3</v>
      </c>
      <c r="O3364" t="s">
        <v>58</v>
      </c>
      <c r="P3364" t="s">
        <v>70</v>
      </c>
      <c r="Q3364" t="s">
        <v>71</v>
      </c>
      <c r="R3364" t="s">
        <v>85</v>
      </c>
      <c r="S3364" s="3">
        <v>6.06</v>
      </c>
      <c r="T3364" s="5">
        <v>44809</v>
      </c>
      <c r="U3364">
        <v>1</v>
      </c>
      <c r="V3364">
        <v>2022</v>
      </c>
      <c r="X3364">
        <f t="shared" si="156"/>
        <v>9.289663599999999</v>
      </c>
      <c r="Y3364">
        <f t="shared" si="157"/>
        <v>6.0596635999999995</v>
      </c>
      <c r="Z3364">
        <f t="shared" si="158"/>
        <v>74.899663600000011</v>
      </c>
    </row>
    <row r="3365" spans="1:26" x14ac:dyDescent="0.3">
      <c r="A3365" t="s">
        <v>3455</v>
      </c>
      <c r="B3365" t="s">
        <v>107</v>
      </c>
      <c r="C3365" t="s">
        <v>89</v>
      </c>
      <c r="D3365" t="s">
        <v>69</v>
      </c>
      <c r="E3365">
        <v>21</v>
      </c>
      <c r="F3365" s="3">
        <v>6.49</v>
      </c>
      <c r="G3365" s="4">
        <v>96.7</v>
      </c>
      <c r="H3365">
        <v>2</v>
      </c>
      <c r="I3365">
        <v>0</v>
      </c>
      <c r="J3365">
        <v>2</v>
      </c>
      <c r="K3365" s="4">
        <v>66.5</v>
      </c>
      <c r="L3365" s="4">
        <v>67.900000000000006</v>
      </c>
      <c r="M3365" s="4">
        <v>72.5</v>
      </c>
      <c r="N3365">
        <v>0</v>
      </c>
      <c r="O3365" t="s">
        <v>64</v>
      </c>
      <c r="P3365" t="s">
        <v>65</v>
      </c>
      <c r="S3365" s="3">
        <v>0</v>
      </c>
      <c r="T3365" s="5"/>
      <c r="U3365">
        <v>0</v>
      </c>
      <c r="V3365">
        <v>2021</v>
      </c>
      <c r="X3365">
        <f t="shared" si="156"/>
        <v>6.4896634999999998</v>
      </c>
      <c r="Y3365">
        <f t="shared" si="157"/>
        <v>-3.3649999999999999E-4</v>
      </c>
      <c r="Z3365">
        <f t="shared" si="158"/>
        <v>67.899663500000003</v>
      </c>
    </row>
    <row r="3366" spans="1:26" x14ac:dyDescent="0.3">
      <c r="A3366" t="s">
        <v>3456</v>
      </c>
      <c r="B3366" t="s">
        <v>107</v>
      </c>
      <c r="C3366" t="s">
        <v>78</v>
      </c>
      <c r="D3366" t="s">
        <v>57</v>
      </c>
      <c r="E3366">
        <v>23</v>
      </c>
      <c r="F3366" s="3">
        <v>7.87</v>
      </c>
      <c r="G3366" s="4">
        <v>100</v>
      </c>
      <c r="H3366">
        <v>2</v>
      </c>
      <c r="I3366">
        <v>3</v>
      </c>
      <c r="J3366">
        <v>4</v>
      </c>
      <c r="K3366" s="4">
        <v>67.599999999999994</v>
      </c>
      <c r="L3366" s="4">
        <v>62.1</v>
      </c>
      <c r="M3366" s="4">
        <v>51.8</v>
      </c>
      <c r="N3366">
        <v>1</v>
      </c>
      <c r="O3366" t="s">
        <v>58</v>
      </c>
      <c r="P3366" t="s">
        <v>87</v>
      </c>
      <c r="Q3366" t="s">
        <v>71</v>
      </c>
      <c r="R3366" t="s">
        <v>85</v>
      </c>
      <c r="S3366" s="3">
        <v>7.97</v>
      </c>
      <c r="T3366" s="5">
        <v>44499</v>
      </c>
      <c r="U3366">
        <v>2</v>
      </c>
      <c r="V3366">
        <v>2021</v>
      </c>
      <c r="X3366">
        <f t="shared" si="156"/>
        <v>7.8696634000000003</v>
      </c>
      <c r="Y3366">
        <f t="shared" si="157"/>
        <v>7.9696634</v>
      </c>
      <c r="Z3366">
        <f t="shared" si="158"/>
        <v>62.099663400000004</v>
      </c>
    </row>
    <row r="3367" spans="1:26" x14ac:dyDescent="0.3">
      <c r="A3367" t="s">
        <v>3457</v>
      </c>
      <c r="B3367" t="s">
        <v>67</v>
      </c>
      <c r="C3367" t="s">
        <v>56</v>
      </c>
      <c r="D3367" t="s">
        <v>57</v>
      </c>
      <c r="E3367">
        <v>23</v>
      </c>
      <c r="F3367" s="3">
        <v>7.73</v>
      </c>
      <c r="G3367" s="4">
        <v>93.1</v>
      </c>
      <c r="H3367">
        <v>2</v>
      </c>
      <c r="I3367">
        <v>1</v>
      </c>
      <c r="J3367">
        <v>4</v>
      </c>
      <c r="K3367" s="4">
        <v>64</v>
      </c>
      <c r="L3367" s="4">
        <v>77.2</v>
      </c>
      <c r="M3367" s="4">
        <v>81.2</v>
      </c>
      <c r="N3367">
        <v>0</v>
      </c>
      <c r="O3367" t="s">
        <v>58</v>
      </c>
      <c r="P3367" t="s">
        <v>95</v>
      </c>
      <c r="Q3367" t="s">
        <v>93</v>
      </c>
      <c r="R3367" t="s">
        <v>80</v>
      </c>
      <c r="S3367" s="3">
        <v>7.37</v>
      </c>
      <c r="T3367" s="5">
        <v>45183</v>
      </c>
      <c r="U3367">
        <v>1</v>
      </c>
      <c r="V3367">
        <v>2023</v>
      </c>
      <c r="X3367">
        <f t="shared" si="156"/>
        <v>7.7296633000000003</v>
      </c>
      <c r="Y3367">
        <f t="shared" si="157"/>
        <v>7.3696633</v>
      </c>
      <c r="Z3367">
        <f t="shared" si="158"/>
        <v>77.199663299999997</v>
      </c>
    </row>
    <row r="3368" spans="1:26" x14ac:dyDescent="0.3">
      <c r="A3368" t="s">
        <v>3458</v>
      </c>
      <c r="B3368" t="s">
        <v>107</v>
      </c>
      <c r="C3368" t="s">
        <v>89</v>
      </c>
      <c r="D3368" t="s">
        <v>69</v>
      </c>
      <c r="E3368">
        <v>22</v>
      </c>
      <c r="F3368" s="3">
        <v>7.11</v>
      </c>
      <c r="G3368" s="4">
        <v>74.7</v>
      </c>
      <c r="H3368">
        <v>1</v>
      </c>
      <c r="I3368">
        <v>0</v>
      </c>
      <c r="J3368">
        <v>4</v>
      </c>
      <c r="K3368" s="4">
        <v>73.900000000000006</v>
      </c>
      <c r="L3368" s="4">
        <v>91</v>
      </c>
      <c r="M3368" s="4">
        <v>81.900000000000006</v>
      </c>
      <c r="N3368">
        <v>0</v>
      </c>
      <c r="O3368" t="s">
        <v>58</v>
      </c>
      <c r="P3368" t="s">
        <v>92</v>
      </c>
      <c r="Q3368" t="s">
        <v>93</v>
      </c>
      <c r="R3368" t="s">
        <v>76</v>
      </c>
      <c r="S3368" s="3">
        <v>9.44</v>
      </c>
      <c r="T3368" s="5">
        <v>44411</v>
      </c>
      <c r="U3368">
        <v>3</v>
      </c>
      <c r="V3368">
        <v>2021</v>
      </c>
      <c r="X3368">
        <f t="shared" si="156"/>
        <v>7.1096632</v>
      </c>
      <c r="Y3368">
        <f t="shared" si="157"/>
        <v>9.4396632</v>
      </c>
      <c r="Z3368">
        <f t="shared" si="158"/>
        <v>90.999663200000001</v>
      </c>
    </row>
    <row r="3369" spans="1:26" x14ac:dyDescent="0.3">
      <c r="A3369" t="s">
        <v>3459</v>
      </c>
      <c r="B3369" t="s">
        <v>55</v>
      </c>
      <c r="C3369" t="s">
        <v>78</v>
      </c>
      <c r="D3369" t="s">
        <v>69</v>
      </c>
      <c r="E3369">
        <v>20</v>
      </c>
      <c r="F3369" s="3">
        <v>9.49</v>
      </c>
      <c r="G3369" s="4">
        <v>61.1</v>
      </c>
      <c r="H3369">
        <v>1</v>
      </c>
      <c r="I3369">
        <v>2</v>
      </c>
      <c r="J3369">
        <v>5</v>
      </c>
      <c r="K3369" s="4">
        <v>45.9</v>
      </c>
      <c r="L3369" s="4">
        <v>73.900000000000006</v>
      </c>
      <c r="M3369" s="4">
        <v>100</v>
      </c>
      <c r="N3369">
        <v>0</v>
      </c>
      <c r="O3369" t="s">
        <v>58</v>
      </c>
      <c r="P3369" t="s">
        <v>112</v>
      </c>
      <c r="Q3369" t="s">
        <v>93</v>
      </c>
      <c r="R3369" t="s">
        <v>85</v>
      </c>
      <c r="S3369" s="3">
        <v>8.19</v>
      </c>
      <c r="T3369" s="5">
        <v>45563</v>
      </c>
      <c r="U3369">
        <v>1</v>
      </c>
      <c r="V3369">
        <v>2024</v>
      </c>
      <c r="X3369">
        <f t="shared" si="156"/>
        <v>9.4896630999999996</v>
      </c>
      <c r="Y3369">
        <f t="shared" si="157"/>
        <v>8.1896630999999989</v>
      </c>
      <c r="Z3369">
        <f t="shared" si="158"/>
        <v>73.899663100000012</v>
      </c>
    </row>
    <row r="3370" spans="1:26" x14ac:dyDescent="0.3">
      <c r="A3370" t="s">
        <v>3460</v>
      </c>
      <c r="B3370" t="s">
        <v>63</v>
      </c>
      <c r="C3370" t="s">
        <v>56</v>
      </c>
      <c r="D3370" t="s">
        <v>69</v>
      </c>
      <c r="E3370">
        <v>22</v>
      </c>
      <c r="F3370" s="3">
        <v>7.95</v>
      </c>
      <c r="G3370" s="4">
        <v>86.3</v>
      </c>
      <c r="H3370">
        <v>1</v>
      </c>
      <c r="I3370">
        <v>0</v>
      </c>
      <c r="J3370">
        <v>5</v>
      </c>
      <c r="K3370" s="4">
        <v>71.5</v>
      </c>
      <c r="L3370" s="4">
        <v>66.8</v>
      </c>
      <c r="M3370" s="4">
        <v>72.8</v>
      </c>
      <c r="N3370">
        <v>2</v>
      </c>
      <c r="O3370" t="s">
        <v>64</v>
      </c>
      <c r="P3370" t="s">
        <v>65</v>
      </c>
      <c r="S3370" s="3">
        <v>0</v>
      </c>
      <c r="T3370" s="5"/>
      <c r="U3370">
        <v>0</v>
      </c>
      <c r="V3370">
        <v>2025</v>
      </c>
      <c r="X3370">
        <f t="shared" si="156"/>
        <v>7.9496630000000001</v>
      </c>
      <c r="Y3370">
        <f t="shared" si="157"/>
        <v>-3.3700000000000001E-4</v>
      </c>
      <c r="Z3370">
        <f t="shared" si="158"/>
        <v>66.799662999999995</v>
      </c>
    </row>
    <row r="3371" spans="1:26" x14ac:dyDescent="0.3">
      <c r="A3371" t="s">
        <v>3461</v>
      </c>
      <c r="B3371" t="s">
        <v>63</v>
      </c>
      <c r="C3371" t="s">
        <v>84</v>
      </c>
      <c r="D3371" t="s">
        <v>69</v>
      </c>
      <c r="E3371">
        <v>20</v>
      </c>
      <c r="F3371" s="3">
        <v>8.25</v>
      </c>
      <c r="G3371" s="4">
        <v>70.400000000000006</v>
      </c>
      <c r="H3371">
        <v>2</v>
      </c>
      <c r="I3371">
        <v>1</v>
      </c>
      <c r="J3371">
        <v>5</v>
      </c>
      <c r="K3371" s="4">
        <v>53.3</v>
      </c>
      <c r="L3371" s="4">
        <v>100</v>
      </c>
      <c r="M3371" s="4">
        <v>82.1</v>
      </c>
      <c r="N3371">
        <v>0</v>
      </c>
      <c r="O3371" t="s">
        <v>58</v>
      </c>
      <c r="P3371" t="s">
        <v>79</v>
      </c>
      <c r="Q3371" t="s">
        <v>71</v>
      </c>
      <c r="R3371" t="s">
        <v>130</v>
      </c>
      <c r="S3371" s="3">
        <v>7.47</v>
      </c>
      <c r="T3371" s="5">
        <v>45953</v>
      </c>
      <c r="U3371">
        <v>3</v>
      </c>
      <c r="V3371">
        <v>2025</v>
      </c>
      <c r="X3371">
        <f t="shared" si="156"/>
        <v>8.2496629000000006</v>
      </c>
      <c r="Y3371">
        <f t="shared" si="157"/>
        <v>7.4696628999999994</v>
      </c>
      <c r="Z3371">
        <f t="shared" si="158"/>
        <v>99.999662900000004</v>
      </c>
    </row>
    <row r="3372" spans="1:26" x14ac:dyDescent="0.3">
      <c r="A3372" t="s">
        <v>3462</v>
      </c>
      <c r="B3372" t="s">
        <v>63</v>
      </c>
      <c r="C3372" t="s">
        <v>56</v>
      </c>
      <c r="D3372" t="s">
        <v>57</v>
      </c>
      <c r="E3372">
        <v>23</v>
      </c>
      <c r="F3372" s="3">
        <v>8.3800000000000008</v>
      </c>
      <c r="G3372" s="4">
        <v>78.3</v>
      </c>
      <c r="H3372">
        <v>1</v>
      </c>
      <c r="I3372">
        <v>3</v>
      </c>
      <c r="J3372">
        <v>5</v>
      </c>
      <c r="K3372" s="4">
        <v>82.4</v>
      </c>
      <c r="L3372" s="4">
        <v>71.3</v>
      </c>
      <c r="M3372" s="4">
        <v>85.6</v>
      </c>
      <c r="N3372">
        <v>0</v>
      </c>
      <c r="O3372" t="s">
        <v>58</v>
      </c>
      <c r="P3372" t="s">
        <v>112</v>
      </c>
      <c r="Q3372" t="s">
        <v>93</v>
      </c>
      <c r="R3372" t="s">
        <v>76</v>
      </c>
      <c r="S3372" s="3">
        <v>6.48</v>
      </c>
      <c r="T3372" s="5">
        <v>45888</v>
      </c>
      <c r="U3372">
        <v>2</v>
      </c>
      <c r="V3372">
        <v>2025</v>
      </c>
      <c r="X3372">
        <f t="shared" si="156"/>
        <v>8.3796628000000002</v>
      </c>
      <c r="Y3372">
        <f t="shared" si="157"/>
        <v>6.4796628000000007</v>
      </c>
      <c r="Z3372">
        <f t="shared" si="158"/>
        <v>71.299662799999993</v>
      </c>
    </row>
    <row r="3373" spans="1:26" x14ac:dyDescent="0.3">
      <c r="A3373" t="s">
        <v>3463</v>
      </c>
      <c r="B3373" t="s">
        <v>82</v>
      </c>
      <c r="C3373" t="s">
        <v>74</v>
      </c>
      <c r="D3373" t="s">
        <v>69</v>
      </c>
      <c r="E3373">
        <v>22</v>
      </c>
      <c r="F3373" s="3">
        <v>7.36</v>
      </c>
      <c r="G3373" s="4">
        <v>95.7</v>
      </c>
      <c r="H3373">
        <v>1</v>
      </c>
      <c r="I3373">
        <v>4</v>
      </c>
      <c r="J3373">
        <v>3</v>
      </c>
      <c r="K3373" s="4">
        <v>49.9</v>
      </c>
      <c r="L3373" s="4">
        <v>45.4</v>
      </c>
      <c r="M3373" s="4">
        <v>94.6</v>
      </c>
      <c r="N3373">
        <v>2</v>
      </c>
      <c r="O3373" t="s">
        <v>58</v>
      </c>
      <c r="P3373" t="s">
        <v>90</v>
      </c>
      <c r="Q3373" t="s">
        <v>60</v>
      </c>
      <c r="R3373" t="s">
        <v>85</v>
      </c>
      <c r="S3373" s="3">
        <v>8.1</v>
      </c>
      <c r="T3373" s="5">
        <v>44796</v>
      </c>
      <c r="U3373">
        <v>3</v>
      </c>
      <c r="V3373">
        <v>2022</v>
      </c>
      <c r="X3373">
        <f t="shared" si="156"/>
        <v>7.3596627000000003</v>
      </c>
      <c r="Y3373">
        <f t="shared" si="157"/>
        <v>8.0996626999999997</v>
      </c>
      <c r="Z3373">
        <f t="shared" si="158"/>
        <v>45.3996627</v>
      </c>
    </row>
    <row r="3374" spans="1:26" x14ac:dyDescent="0.3">
      <c r="A3374" t="s">
        <v>3464</v>
      </c>
      <c r="B3374" t="s">
        <v>107</v>
      </c>
      <c r="C3374" t="s">
        <v>89</v>
      </c>
      <c r="D3374" t="s">
        <v>57</v>
      </c>
      <c r="E3374">
        <v>22</v>
      </c>
      <c r="F3374" s="3">
        <v>8.77</v>
      </c>
      <c r="G3374" s="4">
        <v>96.6</v>
      </c>
      <c r="H3374">
        <v>2</v>
      </c>
      <c r="I3374">
        <v>2</v>
      </c>
      <c r="J3374">
        <v>5</v>
      </c>
      <c r="K3374" s="4">
        <v>34.5</v>
      </c>
      <c r="L3374" s="4">
        <v>74.900000000000006</v>
      </c>
      <c r="M3374" s="4">
        <v>60.4</v>
      </c>
      <c r="N3374">
        <v>0</v>
      </c>
      <c r="O3374" t="s">
        <v>58</v>
      </c>
      <c r="P3374" t="s">
        <v>90</v>
      </c>
      <c r="Q3374" t="s">
        <v>60</v>
      </c>
      <c r="R3374" t="s">
        <v>80</v>
      </c>
      <c r="S3374" s="3">
        <v>10.039999999999999</v>
      </c>
      <c r="T3374" s="5">
        <v>44413</v>
      </c>
      <c r="U3374">
        <v>3</v>
      </c>
      <c r="V3374">
        <v>2021</v>
      </c>
      <c r="X3374">
        <f t="shared" si="156"/>
        <v>8.7696626000000002</v>
      </c>
      <c r="Y3374">
        <f t="shared" si="157"/>
        <v>10.0396626</v>
      </c>
      <c r="Z3374">
        <f t="shared" si="158"/>
        <v>74.899662599999999</v>
      </c>
    </row>
    <row r="3375" spans="1:26" x14ac:dyDescent="0.3">
      <c r="A3375" t="s">
        <v>3465</v>
      </c>
      <c r="B3375" t="s">
        <v>55</v>
      </c>
      <c r="C3375" t="s">
        <v>89</v>
      </c>
      <c r="D3375" t="s">
        <v>69</v>
      </c>
      <c r="E3375">
        <v>20</v>
      </c>
      <c r="F3375" s="3">
        <v>8.59</v>
      </c>
      <c r="G3375" s="4">
        <v>97.6</v>
      </c>
      <c r="H3375">
        <v>2</v>
      </c>
      <c r="I3375">
        <v>1</v>
      </c>
      <c r="J3375">
        <v>4</v>
      </c>
      <c r="K3375" s="4">
        <v>44.2</v>
      </c>
      <c r="L3375" s="4">
        <v>61.2</v>
      </c>
      <c r="M3375" s="4">
        <v>84.7</v>
      </c>
      <c r="N3375">
        <v>0</v>
      </c>
      <c r="O3375" t="s">
        <v>58</v>
      </c>
      <c r="P3375" t="s">
        <v>90</v>
      </c>
      <c r="Q3375" t="s">
        <v>60</v>
      </c>
      <c r="R3375" t="s">
        <v>109</v>
      </c>
      <c r="S3375" s="3">
        <v>8.6300000000000008</v>
      </c>
      <c r="T3375" s="5">
        <v>45555</v>
      </c>
      <c r="U3375">
        <v>1</v>
      </c>
      <c r="V3375">
        <v>2024</v>
      </c>
      <c r="X3375">
        <f t="shared" si="156"/>
        <v>8.5896624999999993</v>
      </c>
      <c r="Y3375">
        <f t="shared" si="157"/>
        <v>8.6296625000000002</v>
      </c>
      <c r="Z3375">
        <f t="shared" si="158"/>
        <v>61.199662500000002</v>
      </c>
    </row>
    <row r="3376" spans="1:26" x14ac:dyDescent="0.3">
      <c r="A3376" t="s">
        <v>3466</v>
      </c>
      <c r="B3376" t="s">
        <v>82</v>
      </c>
      <c r="C3376" t="s">
        <v>78</v>
      </c>
      <c r="D3376" t="s">
        <v>69</v>
      </c>
      <c r="E3376">
        <v>21</v>
      </c>
      <c r="F3376" s="3">
        <v>7.54</v>
      </c>
      <c r="G3376" s="4">
        <v>82.9</v>
      </c>
      <c r="H3376">
        <v>0</v>
      </c>
      <c r="I3376">
        <v>1</v>
      </c>
      <c r="J3376">
        <v>5</v>
      </c>
      <c r="K3376" s="4">
        <v>67.2</v>
      </c>
      <c r="L3376" s="4">
        <v>64.7</v>
      </c>
      <c r="M3376" s="4">
        <v>78.8</v>
      </c>
      <c r="N3376">
        <v>0</v>
      </c>
      <c r="O3376" t="s">
        <v>58</v>
      </c>
      <c r="P3376" t="s">
        <v>70</v>
      </c>
      <c r="Q3376" t="s">
        <v>71</v>
      </c>
      <c r="R3376" t="s">
        <v>130</v>
      </c>
      <c r="S3376" s="3">
        <v>5.63</v>
      </c>
      <c r="T3376" s="5">
        <v>44792</v>
      </c>
      <c r="U3376">
        <v>2</v>
      </c>
      <c r="V3376">
        <v>2022</v>
      </c>
      <c r="X3376">
        <f t="shared" si="156"/>
        <v>7.5396624000000001</v>
      </c>
      <c r="Y3376">
        <f t="shared" si="157"/>
        <v>5.6296624</v>
      </c>
      <c r="Z3376">
        <f t="shared" si="158"/>
        <v>64.699662400000008</v>
      </c>
    </row>
    <row r="3377" spans="1:26" x14ac:dyDescent="0.3">
      <c r="A3377" t="s">
        <v>3467</v>
      </c>
      <c r="B3377" t="s">
        <v>67</v>
      </c>
      <c r="C3377" t="s">
        <v>56</v>
      </c>
      <c r="D3377" t="s">
        <v>69</v>
      </c>
      <c r="E3377">
        <v>20</v>
      </c>
      <c r="F3377" s="3">
        <v>8.49</v>
      </c>
      <c r="G3377" s="4">
        <v>90.1</v>
      </c>
      <c r="H3377">
        <v>3</v>
      </c>
      <c r="I3377">
        <v>2</v>
      </c>
      <c r="J3377">
        <v>6</v>
      </c>
      <c r="K3377" s="4">
        <v>46.3</v>
      </c>
      <c r="L3377" s="4">
        <v>89.2</v>
      </c>
      <c r="M3377" s="4">
        <v>54.6</v>
      </c>
      <c r="N3377">
        <v>0</v>
      </c>
      <c r="O3377" t="s">
        <v>58</v>
      </c>
      <c r="P3377" t="s">
        <v>95</v>
      </c>
      <c r="Q3377" t="s">
        <v>93</v>
      </c>
      <c r="R3377" t="s">
        <v>61</v>
      </c>
      <c r="S3377" s="3">
        <v>7.97</v>
      </c>
      <c r="T3377" s="5">
        <v>45150</v>
      </c>
      <c r="U3377">
        <v>2</v>
      </c>
      <c r="V3377">
        <v>2023</v>
      </c>
      <c r="X3377">
        <f t="shared" si="156"/>
        <v>8.4896623000000009</v>
      </c>
      <c r="Y3377">
        <f t="shared" si="157"/>
        <v>7.9696622999999995</v>
      </c>
      <c r="Z3377">
        <f t="shared" si="158"/>
        <v>89.1996623</v>
      </c>
    </row>
    <row r="3378" spans="1:26" x14ac:dyDescent="0.3">
      <c r="A3378" t="s">
        <v>3468</v>
      </c>
      <c r="B3378" t="s">
        <v>55</v>
      </c>
      <c r="C3378" t="s">
        <v>101</v>
      </c>
      <c r="D3378" t="s">
        <v>69</v>
      </c>
      <c r="E3378">
        <v>21</v>
      </c>
      <c r="F3378" s="3">
        <v>8.77</v>
      </c>
      <c r="G3378" s="4">
        <v>64.099999999999994</v>
      </c>
      <c r="H3378">
        <v>0</v>
      </c>
      <c r="I3378">
        <v>2</v>
      </c>
      <c r="J3378">
        <v>2</v>
      </c>
      <c r="K3378" s="4">
        <v>49.7</v>
      </c>
      <c r="L3378" s="4">
        <v>83.2</v>
      </c>
      <c r="M3378" s="4">
        <v>79.599999999999994</v>
      </c>
      <c r="N3378">
        <v>1</v>
      </c>
      <c r="O3378" t="s">
        <v>58</v>
      </c>
      <c r="P3378" t="s">
        <v>95</v>
      </c>
      <c r="Q3378" t="s">
        <v>93</v>
      </c>
      <c r="R3378" t="s">
        <v>61</v>
      </c>
      <c r="S3378" s="3">
        <v>8.07</v>
      </c>
      <c r="T3378" s="5">
        <v>45596</v>
      </c>
      <c r="U3378">
        <v>1</v>
      </c>
      <c r="V3378">
        <v>2024</v>
      </c>
      <c r="X3378">
        <f t="shared" si="156"/>
        <v>8.7696621999999991</v>
      </c>
      <c r="Y3378">
        <f t="shared" si="157"/>
        <v>8.0696621999999998</v>
      </c>
      <c r="Z3378">
        <f t="shared" si="158"/>
        <v>83.199662200000006</v>
      </c>
    </row>
    <row r="3379" spans="1:26" x14ac:dyDescent="0.3">
      <c r="A3379" t="s">
        <v>3469</v>
      </c>
      <c r="B3379" t="s">
        <v>55</v>
      </c>
      <c r="C3379" t="s">
        <v>68</v>
      </c>
      <c r="D3379" t="s">
        <v>69</v>
      </c>
      <c r="E3379">
        <v>23</v>
      </c>
      <c r="F3379" s="3">
        <v>8.3699999999999992</v>
      </c>
      <c r="G3379" s="4">
        <v>68.5</v>
      </c>
      <c r="H3379">
        <v>1</v>
      </c>
      <c r="I3379">
        <v>1</v>
      </c>
      <c r="J3379">
        <v>3</v>
      </c>
      <c r="K3379" s="4">
        <v>58.2</v>
      </c>
      <c r="L3379" s="4">
        <v>43.6</v>
      </c>
      <c r="M3379" s="4">
        <v>82.9</v>
      </c>
      <c r="N3379">
        <v>1</v>
      </c>
      <c r="O3379" t="s">
        <v>58</v>
      </c>
      <c r="P3379" t="s">
        <v>87</v>
      </c>
      <c r="Q3379" t="s">
        <v>71</v>
      </c>
      <c r="R3379" t="s">
        <v>109</v>
      </c>
      <c r="S3379" s="3">
        <v>5.16</v>
      </c>
      <c r="T3379" s="5">
        <v>45561</v>
      </c>
      <c r="U3379">
        <v>2</v>
      </c>
      <c r="V3379">
        <v>2024</v>
      </c>
      <c r="X3379">
        <f t="shared" si="156"/>
        <v>8.3696620999999993</v>
      </c>
      <c r="Y3379">
        <f t="shared" si="157"/>
        <v>5.1596621000000003</v>
      </c>
      <c r="Z3379">
        <f t="shared" si="158"/>
        <v>43.599662100000003</v>
      </c>
    </row>
    <row r="3380" spans="1:26" x14ac:dyDescent="0.3">
      <c r="A3380" t="s">
        <v>3470</v>
      </c>
      <c r="B3380" t="s">
        <v>55</v>
      </c>
      <c r="C3380" t="s">
        <v>68</v>
      </c>
      <c r="D3380" t="s">
        <v>57</v>
      </c>
      <c r="E3380">
        <v>22</v>
      </c>
      <c r="F3380" s="3">
        <v>6.9</v>
      </c>
      <c r="G3380" s="4">
        <v>79.400000000000006</v>
      </c>
      <c r="H3380">
        <v>1</v>
      </c>
      <c r="I3380">
        <v>3</v>
      </c>
      <c r="J3380">
        <v>5</v>
      </c>
      <c r="K3380" s="4">
        <v>75.400000000000006</v>
      </c>
      <c r="L3380" s="4">
        <v>44.1</v>
      </c>
      <c r="M3380" s="4">
        <v>53.8</v>
      </c>
      <c r="N3380">
        <v>0</v>
      </c>
      <c r="O3380" t="s">
        <v>58</v>
      </c>
      <c r="P3380" t="s">
        <v>112</v>
      </c>
      <c r="Q3380" t="s">
        <v>93</v>
      </c>
      <c r="R3380" t="s">
        <v>130</v>
      </c>
      <c r="S3380" s="3">
        <v>5.45</v>
      </c>
      <c r="T3380" s="5">
        <v>45541</v>
      </c>
      <c r="U3380">
        <v>1</v>
      </c>
      <c r="V3380">
        <v>2024</v>
      </c>
      <c r="X3380">
        <f t="shared" si="156"/>
        <v>6.8996620000000002</v>
      </c>
      <c r="Y3380">
        <f t="shared" si="157"/>
        <v>5.449662</v>
      </c>
      <c r="Z3380">
        <f t="shared" si="158"/>
        <v>44.099662000000002</v>
      </c>
    </row>
    <row r="3381" spans="1:26" x14ac:dyDescent="0.3">
      <c r="A3381" t="s">
        <v>3471</v>
      </c>
      <c r="B3381" t="s">
        <v>63</v>
      </c>
      <c r="C3381" t="s">
        <v>84</v>
      </c>
      <c r="D3381" t="s">
        <v>69</v>
      </c>
      <c r="E3381">
        <v>22</v>
      </c>
      <c r="F3381" s="3">
        <v>7.57</v>
      </c>
      <c r="G3381" s="4">
        <v>89.6</v>
      </c>
      <c r="H3381">
        <v>0</v>
      </c>
      <c r="I3381">
        <v>1</v>
      </c>
      <c r="J3381">
        <v>2</v>
      </c>
      <c r="K3381" s="4">
        <v>57.3</v>
      </c>
      <c r="L3381" s="4">
        <v>72.099999999999994</v>
      </c>
      <c r="M3381" s="4">
        <v>73.099999999999994</v>
      </c>
      <c r="N3381">
        <v>0</v>
      </c>
      <c r="O3381" t="s">
        <v>58</v>
      </c>
      <c r="P3381" t="s">
        <v>75</v>
      </c>
      <c r="Q3381" t="s">
        <v>71</v>
      </c>
      <c r="R3381" t="s">
        <v>61</v>
      </c>
      <c r="S3381" s="3">
        <v>4.88</v>
      </c>
      <c r="T3381" s="5">
        <v>45903</v>
      </c>
      <c r="U3381">
        <v>1</v>
      </c>
      <c r="V3381">
        <v>2025</v>
      </c>
      <c r="X3381">
        <f t="shared" si="156"/>
        <v>7.5696619000000007</v>
      </c>
      <c r="Y3381">
        <f t="shared" si="157"/>
        <v>4.8796619000000003</v>
      </c>
      <c r="Z3381">
        <f t="shared" si="158"/>
        <v>72.099661900000001</v>
      </c>
    </row>
    <row r="3382" spans="1:26" x14ac:dyDescent="0.3">
      <c r="A3382" t="s">
        <v>3472</v>
      </c>
      <c r="B3382" t="s">
        <v>55</v>
      </c>
      <c r="C3382" t="s">
        <v>78</v>
      </c>
      <c r="D3382" t="s">
        <v>57</v>
      </c>
      <c r="E3382">
        <v>20</v>
      </c>
      <c r="F3382" s="3">
        <v>8.08</v>
      </c>
      <c r="G3382" s="4">
        <v>78.2</v>
      </c>
      <c r="H3382">
        <v>3</v>
      </c>
      <c r="I3382">
        <v>1</v>
      </c>
      <c r="J3382">
        <v>4</v>
      </c>
      <c r="K3382" s="4">
        <v>65.099999999999994</v>
      </c>
      <c r="L3382" s="4">
        <v>84.6</v>
      </c>
      <c r="M3382" s="4">
        <v>74.900000000000006</v>
      </c>
      <c r="N3382">
        <v>1</v>
      </c>
      <c r="O3382" t="s">
        <v>58</v>
      </c>
      <c r="P3382" t="s">
        <v>92</v>
      </c>
      <c r="Q3382" t="s">
        <v>93</v>
      </c>
      <c r="R3382" t="s">
        <v>72</v>
      </c>
      <c r="S3382" s="3">
        <v>11.65</v>
      </c>
      <c r="T3382" s="5">
        <v>45584</v>
      </c>
      <c r="U3382">
        <v>1</v>
      </c>
      <c r="V3382">
        <v>2024</v>
      </c>
      <c r="X3382">
        <f t="shared" si="156"/>
        <v>8.0796618000000002</v>
      </c>
      <c r="Y3382">
        <f t="shared" si="157"/>
        <v>11.649661800000001</v>
      </c>
      <c r="Z3382">
        <f t="shared" si="158"/>
        <v>84.599661799999993</v>
      </c>
    </row>
    <row r="3383" spans="1:26" x14ac:dyDescent="0.3">
      <c r="A3383" t="s">
        <v>3473</v>
      </c>
      <c r="B3383" t="s">
        <v>107</v>
      </c>
      <c r="C3383" t="s">
        <v>56</v>
      </c>
      <c r="D3383" t="s">
        <v>57</v>
      </c>
      <c r="E3383">
        <v>20</v>
      </c>
      <c r="F3383" s="3">
        <v>7.88</v>
      </c>
      <c r="G3383" s="4">
        <v>89.2</v>
      </c>
      <c r="H3383">
        <v>1</v>
      </c>
      <c r="I3383">
        <v>0</v>
      </c>
      <c r="J3383">
        <v>5</v>
      </c>
      <c r="K3383" s="4">
        <v>64.8</v>
      </c>
      <c r="L3383" s="4">
        <v>36.299999999999997</v>
      </c>
      <c r="M3383" s="4">
        <v>74.599999999999994</v>
      </c>
      <c r="N3383">
        <v>0</v>
      </c>
      <c r="O3383" t="s">
        <v>58</v>
      </c>
      <c r="P3383" t="s">
        <v>92</v>
      </c>
      <c r="Q3383" t="s">
        <v>93</v>
      </c>
      <c r="R3383" t="s">
        <v>130</v>
      </c>
      <c r="S3383" s="3">
        <v>8.89</v>
      </c>
      <c r="T3383" s="5">
        <v>44471</v>
      </c>
      <c r="U3383">
        <v>1</v>
      </c>
      <c r="V3383">
        <v>2021</v>
      </c>
      <c r="X3383">
        <f t="shared" si="156"/>
        <v>7.8796616999999998</v>
      </c>
      <c r="Y3383">
        <f t="shared" si="157"/>
        <v>8.8896617000000013</v>
      </c>
      <c r="Z3383">
        <f t="shared" si="158"/>
        <v>36.299661699999994</v>
      </c>
    </row>
    <row r="3384" spans="1:26" x14ac:dyDescent="0.3">
      <c r="A3384" t="s">
        <v>3474</v>
      </c>
      <c r="B3384" t="s">
        <v>55</v>
      </c>
      <c r="C3384" t="s">
        <v>78</v>
      </c>
      <c r="D3384" t="s">
        <v>57</v>
      </c>
      <c r="E3384">
        <v>23</v>
      </c>
      <c r="F3384" s="3">
        <v>6.98</v>
      </c>
      <c r="G3384" s="4">
        <v>71.599999999999994</v>
      </c>
      <c r="H3384">
        <v>0</v>
      </c>
      <c r="I3384">
        <v>3</v>
      </c>
      <c r="J3384">
        <v>1</v>
      </c>
      <c r="K3384" s="4">
        <v>47.8</v>
      </c>
      <c r="L3384" s="4">
        <v>84.7</v>
      </c>
      <c r="M3384" s="4">
        <v>81.5</v>
      </c>
      <c r="N3384">
        <v>0</v>
      </c>
      <c r="O3384" t="s">
        <v>64</v>
      </c>
      <c r="P3384" t="s">
        <v>65</v>
      </c>
      <c r="S3384" s="3">
        <v>0</v>
      </c>
      <c r="T3384" s="5"/>
      <c r="U3384">
        <v>0</v>
      </c>
      <c r="V3384">
        <v>2024</v>
      </c>
      <c r="X3384">
        <f t="shared" si="156"/>
        <v>6.9796616</v>
      </c>
      <c r="Y3384">
        <f t="shared" si="157"/>
        <v>-3.3839999999999999E-4</v>
      </c>
      <c r="Z3384">
        <f t="shared" si="158"/>
        <v>84.699661599999999</v>
      </c>
    </row>
    <row r="3385" spans="1:26" x14ac:dyDescent="0.3">
      <c r="A3385" t="s">
        <v>3475</v>
      </c>
      <c r="B3385" t="s">
        <v>63</v>
      </c>
      <c r="C3385" t="s">
        <v>56</v>
      </c>
      <c r="D3385" t="s">
        <v>57</v>
      </c>
      <c r="E3385">
        <v>23</v>
      </c>
      <c r="F3385" s="3">
        <v>7.39</v>
      </c>
      <c r="G3385" s="4">
        <v>82.9</v>
      </c>
      <c r="H3385">
        <v>2</v>
      </c>
      <c r="I3385">
        <v>1</v>
      </c>
      <c r="J3385">
        <v>6</v>
      </c>
      <c r="K3385" s="4">
        <v>73.7</v>
      </c>
      <c r="L3385" s="4">
        <v>100</v>
      </c>
      <c r="M3385" s="4">
        <v>66.8</v>
      </c>
      <c r="N3385">
        <v>0</v>
      </c>
      <c r="O3385" t="s">
        <v>58</v>
      </c>
      <c r="P3385" t="s">
        <v>75</v>
      </c>
      <c r="Q3385" t="s">
        <v>71</v>
      </c>
      <c r="R3385" t="s">
        <v>72</v>
      </c>
      <c r="S3385" s="3">
        <v>7.11</v>
      </c>
      <c r="T3385" s="5">
        <v>45873</v>
      </c>
      <c r="U3385">
        <v>1</v>
      </c>
      <c r="V3385">
        <v>2025</v>
      </c>
      <c r="X3385">
        <f t="shared" si="156"/>
        <v>7.3896614999999999</v>
      </c>
      <c r="Y3385">
        <f t="shared" si="157"/>
        <v>7.1096615000000005</v>
      </c>
      <c r="Z3385">
        <f t="shared" si="158"/>
        <v>99.999661500000002</v>
      </c>
    </row>
    <row r="3386" spans="1:26" x14ac:dyDescent="0.3">
      <c r="A3386" t="s">
        <v>3476</v>
      </c>
      <c r="B3386" t="s">
        <v>55</v>
      </c>
      <c r="C3386" t="s">
        <v>56</v>
      </c>
      <c r="D3386" t="s">
        <v>69</v>
      </c>
      <c r="E3386">
        <v>21</v>
      </c>
      <c r="F3386" s="3">
        <v>7.97</v>
      </c>
      <c r="G3386" s="4">
        <v>86.9</v>
      </c>
      <c r="H3386">
        <v>2</v>
      </c>
      <c r="I3386">
        <v>1</v>
      </c>
      <c r="J3386">
        <v>6</v>
      </c>
      <c r="K3386" s="4">
        <v>99.5</v>
      </c>
      <c r="L3386" s="4">
        <v>87.8</v>
      </c>
      <c r="M3386" s="4">
        <v>60.9</v>
      </c>
      <c r="N3386">
        <v>1</v>
      </c>
      <c r="O3386" t="s">
        <v>58</v>
      </c>
      <c r="P3386" t="s">
        <v>87</v>
      </c>
      <c r="Q3386" t="s">
        <v>71</v>
      </c>
      <c r="R3386" t="s">
        <v>109</v>
      </c>
      <c r="S3386" s="3">
        <v>7.17</v>
      </c>
      <c r="T3386" s="5">
        <v>45558</v>
      </c>
      <c r="U3386">
        <v>1</v>
      </c>
      <c r="V3386">
        <v>2024</v>
      </c>
      <c r="X3386">
        <f t="shared" si="156"/>
        <v>7.9696613999999997</v>
      </c>
      <c r="Y3386">
        <f t="shared" si="157"/>
        <v>7.1696613999999999</v>
      </c>
      <c r="Z3386">
        <f t="shared" si="158"/>
        <v>87.799661399999991</v>
      </c>
    </row>
    <row r="3387" spans="1:26" x14ac:dyDescent="0.3">
      <c r="A3387" t="s">
        <v>3477</v>
      </c>
      <c r="B3387" t="s">
        <v>67</v>
      </c>
      <c r="C3387" t="s">
        <v>74</v>
      </c>
      <c r="D3387" t="s">
        <v>69</v>
      </c>
      <c r="E3387">
        <v>23</v>
      </c>
      <c r="F3387" s="3">
        <v>6.29</v>
      </c>
      <c r="G3387" s="4">
        <v>88.8</v>
      </c>
      <c r="H3387">
        <v>3</v>
      </c>
      <c r="I3387">
        <v>1</v>
      </c>
      <c r="J3387">
        <v>3</v>
      </c>
      <c r="K3387" s="4">
        <v>43.8</v>
      </c>
      <c r="L3387" s="4">
        <v>58.1</v>
      </c>
      <c r="M3387" s="4">
        <v>79.8</v>
      </c>
      <c r="N3387">
        <v>0</v>
      </c>
      <c r="O3387" t="s">
        <v>58</v>
      </c>
      <c r="P3387" t="s">
        <v>92</v>
      </c>
      <c r="Q3387" t="s">
        <v>93</v>
      </c>
      <c r="R3387" t="s">
        <v>72</v>
      </c>
      <c r="S3387" s="3">
        <v>8.4600000000000009</v>
      </c>
      <c r="T3387" s="5">
        <v>45249</v>
      </c>
      <c r="U3387">
        <v>1</v>
      </c>
      <c r="V3387">
        <v>2023</v>
      </c>
      <c r="X3387">
        <f t="shared" si="156"/>
        <v>6.2896612999999997</v>
      </c>
      <c r="Y3387">
        <f t="shared" si="157"/>
        <v>8.4596613000000005</v>
      </c>
      <c r="Z3387">
        <f t="shared" si="158"/>
        <v>58.099661300000001</v>
      </c>
    </row>
    <row r="3388" spans="1:26" x14ac:dyDescent="0.3">
      <c r="A3388" t="s">
        <v>3478</v>
      </c>
      <c r="B3388" t="s">
        <v>67</v>
      </c>
      <c r="C3388" t="s">
        <v>84</v>
      </c>
      <c r="D3388" t="s">
        <v>57</v>
      </c>
      <c r="E3388">
        <v>23</v>
      </c>
      <c r="F3388" s="3">
        <v>7.67</v>
      </c>
      <c r="G3388" s="4">
        <v>77.900000000000006</v>
      </c>
      <c r="H3388">
        <v>1</v>
      </c>
      <c r="I3388">
        <v>4</v>
      </c>
      <c r="J3388">
        <v>5</v>
      </c>
      <c r="K3388" s="4">
        <v>55.6</v>
      </c>
      <c r="L3388" s="4">
        <v>79.599999999999994</v>
      </c>
      <c r="M3388" s="4">
        <v>92.9</v>
      </c>
      <c r="N3388">
        <v>1</v>
      </c>
      <c r="O3388" t="s">
        <v>58</v>
      </c>
      <c r="P3388" t="s">
        <v>104</v>
      </c>
      <c r="Q3388" t="s">
        <v>105</v>
      </c>
      <c r="R3388" t="s">
        <v>109</v>
      </c>
      <c r="S3388" s="3">
        <v>15.04</v>
      </c>
      <c r="T3388" s="5">
        <v>45244</v>
      </c>
      <c r="U3388">
        <v>2</v>
      </c>
      <c r="V3388">
        <v>2023</v>
      </c>
      <c r="X3388">
        <f t="shared" si="156"/>
        <v>7.6696612000000002</v>
      </c>
      <c r="Y3388">
        <f t="shared" si="157"/>
        <v>15.039661199999999</v>
      </c>
      <c r="Z3388">
        <f t="shared" si="158"/>
        <v>79.5996612</v>
      </c>
    </row>
    <row r="3389" spans="1:26" x14ac:dyDescent="0.3">
      <c r="A3389" t="s">
        <v>3479</v>
      </c>
      <c r="B3389" t="s">
        <v>63</v>
      </c>
      <c r="C3389" t="s">
        <v>56</v>
      </c>
      <c r="D3389" t="s">
        <v>57</v>
      </c>
      <c r="E3389">
        <v>23</v>
      </c>
      <c r="F3389" s="3">
        <v>8.2799999999999994</v>
      </c>
      <c r="G3389" s="4">
        <v>82.3</v>
      </c>
      <c r="H3389">
        <v>1</v>
      </c>
      <c r="I3389">
        <v>2</v>
      </c>
      <c r="J3389">
        <v>2</v>
      </c>
      <c r="K3389" s="4">
        <v>50.2</v>
      </c>
      <c r="L3389" s="4">
        <v>73.5</v>
      </c>
      <c r="M3389" s="4">
        <v>92</v>
      </c>
      <c r="N3389">
        <v>0</v>
      </c>
      <c r="O3389" t="s">
        <v>58</v>
      </c>
      <c r="P3389" t="s">
        <v>104</v>
      </c>
      <c r="Q3389" t="s">
        <v>105</v>
      </c>
      <c r="R3389" t="s">
        <v>85</v>
      </c>
      <c r="S3389" s="3">
        <v>16.53</v>
      </c>
      <c r="T3389" s="5">
        <v>45923</v>
      </c>
      <c r="U3389">
        <v>1</v>
      </c>
      <c r="V3389">
        <v>2025</v>
      </c>
      <c r="X3389">
        <f t="shared" si="156"/>
        <v>8.2796611000000002</v>
      </c>
      <c r="Y3389">
        <f t="shared" si="157"/>
        <v>16.529661100000002</v>
      </c>
      <c r="Z3389">
        <f t="shared" si="158"/>
        <v>73.499661099999997</v>
      </c>
    </row>
    <row r="3390" spans="1:26" x14ac:dyDescent="0.3">
      <c r="A3390" t="s">
        <v>3480</v>
      </c>
      <c r="B3390" t="s">
        <v>107</v>
      </c>
      <c r="C3390" t="s">
        <v>78</v>
      </c>
      <c r="D3390" t="s">
        <v>57</v>
      </c>
      <c r="E3390">
        <v>23</v>
      </c>
      <c r="F3390" s="3">
        <v>7.9</v>
      </c>
      <c r="G3390" s="4">
        <v>68.099999999999994</v>
      </c>
      <c r="H3390">
        <v>0</v>
      </c>
      <c r="I3390">
        <v>1</v>
      </c>
      <c r="J3390">
        <v>5</v>
      </c>
      <c r="K3390" s="4">
        <v>65.2</v>
      </c>
      <c r="L3390" s="4">
        <v>96.7</v>
      </c>
      <c r="M3390" s="4">
        <v>100</v>
      </c>
      <c r="N3390">
        <v>0</v>
      </c>
      <c r="O3390" t="s">
        <v>58</v>
      </c>
      <c r="P3390" t="s">
        <v>90</v>
      </c>
      <c r="Q3390" t="s">
        <v>60</v>
      </c>
      <c r="R3390" t="s">
        <v>61</v>
      </c>
      <c r="S3390" s="3">
        <v>8.76</v>
      </c>
      <c r="T3390" s="5">
        <v>44414</v>
      </c>
      <c r="U3390">
        <v>1</v>
      </c>
      <c r="V3390">
        <v>2021</v>
      </c>
      <c r="X3390">
        <f t="shared" si="156"/>
        <v>7.899661</v>
      </c>
      <c r="Y3390">
        <f t="shared" si="157"/>
        <v>8.7596609999999995</v>
      </c>
      <c r="Z3390">
        <f t="shared" si="158"/>
        <v>96.699661000000006</v>
      </c>
    </row>
    <row r="3391" spans="1:26" x14ac:dyDescent="0.3">
      <c r="A3391" t="s">
        <v>3481</v>
      </c>
      <c r="B3391" t="s">
        <v>107</v>
      </c>
      <c r="C3391" t="s">
        <v>56</v>
      </c>
      <c r="D3391" t="s">
        <v>69</v>
      </c>
      <c r="E3391">
        <v>21</v>
      </c>
      <c r="F3391" s="3">
        <v>6.88</v>
      </c>
      <c r="G3391" s="4">
        <v>81.099999999999994</v>
      </c>
      <c r="H3391">
        <v>2</v>
      </c>
      <c r="I3391">
        <v>3</v>
      </c>
      <c r="J3391">
        <v>4</v>
      </c>
      <c r="K3391" s="4">
        <v>47.7</v>
      </c>
      <c r="L3391" s="4">
        <v>87</v>
      </c>
      <c r="M3391" s="4">
        <v>69.599999999999994</v>
      </c>
      <c r="N3391">
        <v>0</v>
      </c>
      <c r="O3391" t="s">
        <v>58</v>
      </c>
      <c r="P3391" t="s">
        <v>79</v>
      </c>
      <c r="Q3391" t="s">
        <v>71</v>
      </c>
      <c r="R3391" t="s">
        <v>61</v>
      </c>
      <c r="S3391" s="3">
        <v>6.64</v>
      </c>
      <c r="T3391" s="5">
        <v>44415</v>
      </c>
      <c r="U3391">
        <v>3</v>
      </c>
      <c r="V3391">
        <v>2021</v>
      </c>
      <c r="X3391">
        <f t="shared" si="156"/>
        <v>6.8796609000000002</v>
      </c>
      <c r="Y3391">
        <f t="shared" si="157"/>
        <v>6.6396609</v>
      </c>
      <c r="Z3391">
        <f t="shared" si="158"/>
        <v>86.999660899999995</v>
      </c>
    </row>
    <row r="3392" spans="1:26" x14ac:dyDescent="0.3">
      <c r="A3392" t="s">
        <v>3482</v>
      </c>
      <c r="B3392" t="s">
        <v>82</v>
      </c>
      <c r="C3392" t="s">
        <v>78</v>
      </c>
      <c r="D3392" t="s">
        <v>57</v>
      </c>
      <c r="E3392">
        <v>23</v>
      </c>
      <c r="F3392" s="3">
        <v>7.04</v>
      </c>
      <c r="G3392" s="4">
        <v>91.7</v>
      </c>
      <c r="H3392">
        <v>2</v>
      </c>
      <c r="I3392">
        <v>1</v>
      </c>
      <c r="J3392">
        <v>5</v>
      </c>
      <c r="K3392" s="4">
        <v>85.5</v>
      </c>
      <c r="L3392" s="4">
        <v>56.5</v>
      </c>
      <c r="M3392" s="4">
        <v>72</v>
      </c>
      <c r="N3392">
        <v>0</v>
      </c>
      <c r="O3392" t="s">
        <v>58</v>
      </c>
      <c r="P3392" t="s">
        <v>70</v>
      </c>
      <c r="Q3392" t="s">
        <v>71</v>
      </c>
      <c r="R3392" t="s">
        <v>130</v>
      </c>
      <c r="S3392" s="3">
        <v>5.5</v>
      </c>
      <c r="T3392" s="5">
        <v>44807</v>
      </c>
      <c r="U3392">
        <v>1</v>
      </c>
      <c r="V3392">
        <v>2022</v>
      </c>
      <c r="X3392">
        <f t="shared" si="156"/>
        <v>7.0396608000000001</v>
      </c>
      <c r="Y3392">
        <f t="shared" si="157"/>
        <v>5.4996608</v>
      </c>
      <c r="Z3392">
        <f t="shared" si="158"/>
        <v>56.499660800000001</v>
      </c>
    </row>
    <row r="3393" spans="1:26" x14ac:dyDescent="0.3">
      <c r="A3393" t="s">
        <v>3483</v>
      </c>
      <c r="B3393" t="s">
        <v>63</v>
      </c>
      <c r="C3393" t="s">
        <v>68</v>
      </c>
      <c r="D3393" t="s">
        <v>69</v>
      </c>
      <c r="E3393">
        <v>21</v>
      </c>
      <c r="F3393" s="3">
        <v>8.99</v>
      </c>
      <c r="G3393" s="4">
        <v>79.599999999999994</v>
      </c>
      <c r="H3393">
        <v>3</v>
      </c>
      <c r="I3393">
        <v>2</v>
      </c>
      <c r="J3393">
        <v>3</v>
      </c>
      <c r="K3393" s="4">
        <v>87.8</v>
      </c>
      <c r="L3393" s="4">
        <v>78.8</v>
      </c>
      <c r="M3393" s="4">
        <v>48.2</v>
      </c>
      <c r="N3393">
        <v>0</v>
      </c>
      <c r="O3393" t="s">
        <v>58</v>
      </c>
      <c r="P3393" t="s">
        <v>95</v>
      </c>
      <c r="Q3393" t="s">
        <v>93</v>
      </c>
      <c r="R3393" t="s">
        <v>85</v>
      </c>
      <c r="S3393" s="3">
        <v>9.84</v>
      </c>
      <c r="T3393" s="5">
        <v>45937</v>
      </c>
      <c r="U3393">
        <v>1</v>
      </c>
      <c r="V3393">
        <v>2025</v>
      </c>
      <c r="X3393">
        <f t="shared" si="156"/>
        <v>8.9896606999999999</v>
      </c>
      <c r="Y3393">
        <f t="shared" si="157"/>
        <v>9.8396606999999996</v>
      </c>
      <c r="Z3393">
        <f t="shared" si="158"/>
        <v>78.799660700000004</v>
      </c>
    </row>
    <row r="3394" spans="1:26" x14ac:dyDescent="0.3">
      <c r="A3394" t="s">
        <v>3484</v>
      </c>
      <c r="B3394" t="s">
        <v>55</v>
      </c>
      <c r="C3394" t="s">
        <v>78</v>
      </c>
      <c r="D3394" t="s">
        <v>69</v>
      </c>
      <c r="E3394">
        <v>20</v>
      </c>
      <c r="F3394" s="3">
        <v>6.81</v>
      </c>
      <c r="G3394" s="4">
        <v>75.3</v>
      </c>
      <c r="H3394">
        <v>2</v>
      </c>
      <c r="I3394">
        <v>2</v>
      </c>
      <c r="J3394">
        <v>4</v>
      </c>
      <c r="K3394" s="4">
        <v>77.7</v>
      </c>
      <c r="L3394" s="4">
        <v>57.7</v>
      </c>
      <c r="M3394" s="4">
        <v>66.599999999999994</v>
      </c>
      <c r="N3394">
        <v>0</v>
      </c>
      <c r="O3394" t="s">
        <v>58</v>
      </c>
      <c r="P3394" t="s">
        <v>79</v>
      </c>
      <c r="Q3394" t="s">
        <v>71</v>
      </c>
      <c r="R3394" t="s">
        <v>85</v>
      </c>
      <c r="S3394" s="3">
        <v>5.45</v>
      </c>
      <c r="T3394" s="5">
        <v>45519</v>
      </c>
      <c r="U3394">
        <v>1</v>
      </c>
      <c r="V3394">
        <v>2024</v>
      </c>
      <c r="X3394">
        <f t="shared" ref="X3394:X3457" si="159">F3394-ROW()*0.0000001</f>
        <v>6.8096606</v>
      </c>
      <c r="Y3394">
        <f t="shared" ref="Y3394:Y3457" si="160">S3394-ROW()*0.0000001</f>
        <v>5.4496606000000005</v>
      </c>
      <c r="Z3394">
        <f t="shared" ref="Z3394:Z3457" si="161">L3394-ROW()*0.0000001</f>
        <v>57.699660600000001</v>
      </c>
    </row>
    <row r="3395" spans="1:26" x14ac:dyDescent="0.3">
      <c r="A3395" t="s">
        <v>3485</v>
      </c>
      <c r="B3395" t="s">
        <v>63</v>
      </c>
      <c r="C3395" t="s">
        <v>56</v>
      </c>
      <c r="D3395" t="s">
        <v>57</v>
      </c>
      <c r="E3395">
        <v>22</v>
      </c>
      <c r="F3395" s="3">
        <v>8.7200000000000006</v>
      </c>
      <c r="G3395" s="4">
        <v>89</v>
      </c>
      <c r="H3395">
        <v>3</v>
      </c>
      <c r="I3395">
        <v>2</v>
      </c>
      <c r="J3395">
        <v>5</v>
      </c>
      <c r="K3395" s="4">
        <v>81.099999999999994</v>
      </c>
      <c r="L3395" s="4">
        <v>85.6</v>
      </c>
      <c r="M3395" s="4">
        <v>55</v>
      </c>
      <c r="N3395">
        <v>0</v>
      </c>
      <c r="O3395" t="s">
        <v>58</v>
      </c>
      <c r="P3395" t="s">
        <v>104</v>
      </c>
      <c r="Q3395" t="s">
        <v>105</v>
      </c>
      <c r="R3395" t="s">
        <v>76</v>
      </c>
      <c r="S3395" s="3">
        <v>18.899999999999999</v>
      </c>
      <c r="T3395" s="5">
        <v>45882</v>
      </c>
      <c r="U3395">
        <v>1</v>
      </c>
      <c r="V3395">
        <v>2025</v>
      </c>
      <c r="X3395">
        <f t="shared" si="159"/>
        <v>8.7196604999999998</v>
      </c>
      <c r="Y3395">
        <f t="shared" si="160"/>
        <v>18.8996605</v>
      </c>
      <c r="Z3395">
        <f t="shared" si="161"/>
        <v>85.599660499999999</v>
      </c>
    </row>
    <row r="3396" spans="1:26" x14ac:dyDescent="0.3">
      <c r="A3396" t="s">
        <v>3486</v>
      </c>
      <c r="B3396" t="s">
        <v>82</v>
      </c>
      <c r="C3396" t="s">
        <v>78</v>
      </c>
      <c r="D3396" t="s">
        <v>69</v>
      </c>
      <c r="E3396">
        <v>20</v>
      </c>
      <c r="F3396" s="3">
        <v>7.09</v>
      </c>
      <c r="G3396" s="4">
        <v>100</v>
      </c>
      <c r="H3396">
        <v>3</v>
      </c>
      <c r="I3396">
        <v>0</v>
      </c>
      <c r="J3396">
        <v>3</v>
      </c>
      <c r="K3396" s="4">
        <v>69.599999999999994</v>
      </c>
      <c r="L3396" s="4">
        <v>66.2</v>
      </c>
      <c r="M3396" s="4">
        <v>69.900000000000006</v>
      </c>
      <c r="N3396">
        <v>0</v>
      </c>
      <c r="O3396" t="s">
        <v>58</v>
      </c>
      <c r="P3396" t="s">
        <v>104</v>
      </c>
      <c r="Q3396" t="s">
        <v>105</v>
      </c>
      <c r="R3396" t="s">
        <v>76</v>
      </c>
      <c r="S3396" s="3">
        <v>16.32</v>
      </c>
      <c r="T3396" s="5">
        <v>44846</v>
      </c>
      <c r="U3396">
        <v>1</v>
      </c>
      <c r="V3396">
        <v>2022</v>
      </c>
      <c r="X3396">
        <f t="shared" si="159"/>
        <v>7.0896603999999996</v>
      </c>
      <c r="Y3396">
        <f t="shared" si="160"/>
        <v>16.3196604</v>
      </c>
      <c r="Z3396">
        <f t="shared" si="161"/>
        <v>66.199660399999999</v>
      </c>
    </row>
    <row r="3397" spans="1:26" x14ac:dyDescent="0.3">
      <c r="A3397" t="s">
        <v>3487</v>
      </c>
      <c r="B3397" t="s">
        <v>63</v>
      </c>
      <c r="C3397" t="s">
        <v>84</v>
      </c>
      <c r="D3397" t="s">
        <v>69</v>
      </c>
      <c r="E3397">
        <v>23</v>
      </c>
      <c r="F3397" s="3">
        <v>8.67</v>
      </c>
      <c r="G3397" s="4">
        <v>100</v>
      </c>
      <c r="H3397">
        <v>1</v>
      </c>
      <c r="I3397">
        <v>3</v>
      </c>
      <c r="J3397">
        <v>5</v>
      </c>
      <c r="K3397" s="4">
        <v>83.1</v>
      </c>
      <c r="L3397" s="4">
        <v>69.400000000000006</v>
      </c>
      <c r="M3397" s="4">
        <v>90.3</v>
      </c>
      <c r="N3397">
        <v>2</v>
      </c>
      <c r="O3397" t="s">
        <v>58</v>
      </c>
      <c r="P3397" t="s">
        <v>112</v>
      </c>
      <c r="Q3397" t="s">
        <v>93</v>
      </c>
      <c r="R3397" t="s">
        <v>85</v>
      </c>
      <c r="S3397" s="3">
        <v>8.14</v>
      </c>
      <c r="T3397" s="5">
        <v>45906</v>
      </c>
      <c r="U3397">
        <v>2</v>
      </c>
      <c r="V3397">
        <v>2025</v>
      </c>
      <c r="X3397">
        <f t="shared" si="159"/>
        <v>8.6696603000000003</v>
      </c>
      <c r="Y3397">
        <f t="shared" si="160"/>
        <v>8.139660300000001</v>
      </c>
      <c r="Z3397">
        <f t="shared" si="161"/>
        <v>69.399660300000008</v>
      </c>
    </row>
    <row r="3398" spans="1:26" x14ac:dyDescent="0.3">
      <c r="A3398" t="s">
        <v>3488</v>
      </c>
      <c r="B3398" t="s">
        <v>63</v>
      </c>
      <c r="C3398" t="s">
        <v>78</v>
      </c>
      <c r="D3398" t="s">
        <v>69</v>
      </c>
      <c r="E3398">
        <v>22</v>
      </c>
      <c r="F3398" s="3">
        <v>8.14</v>
      </c>
      <c r="G3398" s="4">
        <v>84.4</v>
      </c>
      <c r="H3398">
        <v>0</v>
      </c>
      <c r="I3398">
        <v>2</v>
      </c>
      <c r="J3398">
        <v>6</v>
      </c>
      <c r="K3398" s="4">
        <v>63.8</v>
      </c>
      <c r="L3398" s="4">
        <v>72.5</v>
      </c>
      <c r="M3398" s="4">
        <v>86.8</v>
      </c>
      <c r="N3398">
        <v>1</v>
      </c>
      <c r="O3398" t="s">
        <v>58</v>
      </c>
      <c r="P3398" t="s">
        <v>90</v>
      </c>
      <c r="Q3398" t="s">
        <v>60</v>
      </c>
      <c r="R3398" t="s">
        <v>109</v>
      </c>
      <c r="S3398" s="3">
        <v>7.74</v>
      </c>
      <c r="T3398" s="5">
        <v>45950</v>
      </c>
      <c r="U3398">
        <v>2</v>
      </c>
      <c r="V3398">
        <v>2025</v>
      </c>
      <c r="X3398">
        <f t="shared" si="159"/>
        <v>8.1396601999999998</v>
      </c>
      <c r="Y3398">
        <f t="shared" si="160"/>
        <v>7.7396602000000003</v>
      </c>
      <c r="Z3398">
        <f t="shared" si="161"/>
        <v>72.499660199999994</v>
      </c>
    </row>
    <row r="3399" spans="1:26" x14ac:dyDescent="0.3">
      <c r="A3399" t="s">
        <v>3489</v>
      </c>
      <c r="B3399" t="s">
        <v>82</v>
      </c>
      <c r="C3399" t="s">
        <v>68</v>
      </c>
      <c r="D3399" t="s">
        <v>57</v>
      </c>
      <c r="E3399">
        <v>23</v>
      </c>
      <c r="F3399" s="3">
        <v>7.34</v>
      </c>
      <c r="G3399" s="4">
        <v>88.9</v>
      </c>
      <c r="H3399">
        <v>1</v>
      </c>
      <c r="I3399">
        <v>5</v>
      </c>
      <c r="J3399">
        <v>4</v>
      </c>
      <c r="K3399" s="4">
        <v>60.5</v>
      </c>
      <c r="L3399" s="4">
        <v>61.7</v>
      </c>
      <c r="M3399" s="4">
        <v>70</v>
      </c>
      <c r="N3399">
        <v>0</v>
      </c>
      <c r="O3399" t="s">
        <v>58</v>
      </c>
      <c r="P3399" t="s">
        <v>95</v>
      </c>
      <c r="Q3399" t="s">
        <v>93</v>
      </c>
      <c r="R3399" t="s">
        <v>109</v>
      </c>
      <c r="S3399" s="3">
        <v>4.99</v>
      </c>
      <c r="T3399" s="5">
        <v>44811</v>
      </c>
      <c r="U3399">
        <v>1</v>
      </c>
      <c r="V3399">
        <v>2022</v>
      </c>
      <c r="X3399">
        <f t="shared" si="159"/>
        <v>7.3396600999999997</v>
      </c>
      <c r="Y3399">
        <f t="shared" si="160"/>
        <v>4.9896601</v>
      </c>
      <c r="Z3399">
        <f t="shared" si="161"/>
        <v>61.699660100000003</v>
      </c>
    </row>
    <row r="3400" spans="1:26" x14ac:dyDescent="0.3">
      <c r="A3400" t="s">
        <v>3490</v>
      </c>
      <c r="B3400" t="s">
        <v>107</v>
      </c>
      <c r="C3400" t="s">
        <v>84</v>
      </c>
      <c r="D3400" t="s">
        <v>57</v>
      </c>
      <c r="E3400">
        <v>23</v>
      </c>
      <c r="F3400" s="3">
        <v>6.06</v>
      </c>
      <c r="G3400" s="4">
        <v>96.7</v>
      </c>
      <c r="H3400">
        <v>1</v>
      </c>
      <c r="I3400">
        <v>3</v>
      </c>
      <c r="J3400">
        <v>5</v>
      </c>
      <c r="K3400" s="4">
        <v>77.3</v>
      </c>
      <c r="L3400" s="4">
        <v>71.599999999999994</v>
      </c>
      <c r="M3400" s="4">
        <v>67.099999999999994</v>
      </c>
      <c r="N3400">
        <v>0</v>
      </c>
      <c r="O3400" t="s">
        <v>58</v>
      </c>
      <c r="P3400" t="s">
        <v>95</v>
      </c>
      <c r="Q3400" t="s">
        <v>93</v>
      </c>
      <c r="R3400" t="s">
        <v>109</v>
      </c>
      <c r="S3400" s="3">
        <v>5.47</v>
      </c>
      <c r="T3400" s="5">
        <v>44486</v>
      </c>
      <c r="U3400">
        <v>1</v>
      </c>
      <c r="V3400">
        <v>2021</v>
      </c>
      <c r="X3400">
        <f t="shared" si="159"/>
        <v>6.05966</v>
      </c>
      <c r="Y3400">
        <f t="shared" si="160"/>
        <v>5.4696600000000002</v>
      </c>
      <c r="Z3400">
        <f t="shared" si="161"/>
        <v>71.59966</v>
      </c>
    </row>
    <row r="3401" spans="1:26" x14ac:dyDescent="0.3">
      <c r="A3401" t="s">
        <v>3491</v>
      </c>
      <c r="B3401" t="s">
        <v>55</v>
      </c>
      <c r="C3401" t="s">
        <v>56</v>
      </c>
      <c r="D3401" t="s">
        <v>69</v>
      </c>
      <c r="E3401">
        <v>20</v>
      </c>
      <c r="F3401" s="3">
        <v>8.01</v>
      </c>
      <c r="G3401" s="4">
        <v>84.2</v>
      </c>
      <c r="H3401">
        <v>1</v>
      </c>
      <c r="I3401">
        <v>5</v>
      </c>
      <c r="J3401">
        <v>4</v>
      </c>
      <c r="K3401" s="4">
        <v>62.6</v>
      </c>
      <c r="L3401" s="4">
        <v>76.900000000000006</v>
      </c>
      <c r="M3401" s="4">
        <v>64.3</v>
      </c>
      <c r="N3401">
        <v>0</v>
      </c>
      <c r="O3401" t="s">
        <v>58</v>
      </c>
      <c r="P3401" t="s">
        <v>95</v>
      </c>
      <c r="Q3401" t="s">
        <v>93</v>
      </c>
      <c r="R3401" t="s">
        <v>130</v>
      </c>
      <c r="S3401" s="3">
        <v>6.1</v>
      </c>
      <c r="T3401" s="5">
        <v>45605</v>
      </c>
      <c r="U3401">
        <v>1</v>
      </c>
      <c r="V3401">
        <v>2024</v>
      </c>
      <c r="X3401">
        <f t="shared" si="159"/>
        <v>8.0096598999999991</v>
      </c>
      <c r="Y3401">
        <f t="shared" si="160"/>
        <v>6.0996598999999998</v>
      </c>
      <c r="Z3401">
        <f t="shared" si="161"/>
        <v>76.899659900000003</v>
      </c>
    </row>
    <row r="3402" spans="1:26" x14ac:dyDescent="0.3">
      <c r="A3402" t="s">
        <v>3492</v>
      </c>
      <c r="B3402" t="s">
        <v>82</v>
      </c>
      <c r="C3402" t="s">
        <v>78</v>
      </c>
      <c r="D3402" t="s">
        <v>57</v>
      </c>
      <c r="E3402">
        <v>23</v>
      </c>
      <c r="F3402" s="3">
        <v>7.81</v>
      </c>
      <c r="G3402" s="4">
        <v>86.2</v>
      </c>
      <c r="H3402">
        <v>0</v>
      </c>
      <c r="I3402">
        <v>2</v>
      </c>
      <c r="J3402">
        <v>4</v>
      </c>
      <c r="K3402" s="4">
        <v>97.9</v>
      </c>
      <c r="L3402" s="4">
        <v>65.8</v>
      </c>
      <c r="M3402" s="4">
        <v>84.4</v>
      </c>
      <c r="N3402">
        <v>1</v>
      </c>
      <c r="O3402" t="s">
        <v>64</v>
      </c>
      <c r="P3402" t="s">
        <v>65</v>
      </c>
      <c r="S3402" s="3">
        <v>0</v>
      </c>
      <c r="T3402" s="5"/>
      <c r="U3402">
        <v>0</v>
      </c>
      <c r="V3402">
        <v>2022</v>
      </c>
      <c r="X3402">
        <f t="shared" si="159"/>
        <v>7.8096597999999995</v>
      </c>
      <c r="Y3402">
        <f t="shared" si="160"/>
        <v>-3.4019999999999998E-4</v>
      </c>
      <c r="Z3402">
        <f t="shared" si="161"/>
        <v>65.799659800000001</v>
      </c>
    </row>
    <row r="3403" spans="1:26" x14ac:dyDescent="0.3">
      <c r="A3403" t="s">
        <v>3493</v>
      </c>
      <c r="B3403" t="s">
        <v>67</v>
      </c>
      <c r="C3403" t="s">
        <v>84</v>
      </c>
      <c r="D3403" t="s">
        <v>69</v>
      </c>
      <c r="E3403">
        <v>20</v>
      </c>
      <c r="F3403" s="3">
        <v>8.02</v>
      </c>
      <c r="G3403" s="4">
        <v>79.099999999999994</v>
      </c>
      <c r="H3403">
        <v>1</v>
      </c>
      <c r="I3403">
        <v>0</v>
      </c>
      <c r="J3403">
        <v>1</v>
      </c>
      <c r="K3403" s="4">
        <v>82.8</v>
      </c>
      <c r="L3403" s="4">
        <v>73.3</v>
      </c>
      <c r="M3403" s="4">
        <v>70.2</v>
      </c>
      <c r="N3403">
        <v>0</v>
      </c>
      <c r="O3403" t="s">
        <v>58</v>
      </c>
      <c r="P3403" t="s">
        <v>112</v>
      </c>
      <c r="Q3403" t="s">
        <v>93</v>
      </c>
      <c r="R3403" t="s">
        <v>80</v>
      </c>
      <c r="S3403" s="3">
        <v>6.76</v>
      </c>
      <c r="T3403" s="5">
        <v>45204</v>
      </c>
      <c r="U3403">
        <v>1</v>
      </c>
      <c r="V3403">
        <v>2023</v>
      </c>
      <c r="X3403">
        <f t="shared" si="159"/>
        <v>8.0196597000000001</v>
      </c>
      <c r="Y3403">
        <f t="shared" si="160"/>
        <v>6.7596596999999994</v>
      </c>
      <c r="Z3403">
        <f t="shared" si="161"/>
        <v>73.299659699999992</v>
      </c>
    </row>
    <row r="3404" spans="1:26" x14ac:dyDescent="0.3">
      <c r="A3404" t="s">
        <v>3494</v>
      </c>
      <c r="B3404" t="s">
        <v>107</v>
      </c>
      <c r="C3404" t="s">
        <v>56</v>
      </c>
      <c r="D3404" t="s">
        <v>57</v>
      </c>
      <c r="E3404">
        <v>23</v>
      </c>
      <c r="F3404" s="3">
        <v>8.14</v>
      </c>
      <c r="G3404" s="4">
        <v>100</v>
      </c>
      <c r="H3404">
        <v>1</v>
      </c>
      <c r="I3404">
        <v>3</v>
      </c>
      <c r="J3404">
        <v>4</v>
      </c>
      <c r="K3404" s="4">
        <v>60.2</v>
      </c>
      <c r="L3404" s="4">
        <v>58.8</v>
      </c>
      <c r="M3404" s="4">
        <v>77.2</v>
      </c>
      <c r="N3404">
        <v>0</v>
      </c>
      <c r="O3404" t="s">
        <v>58</v>
      </c>
      <c r="P3404" t="s">
        <v>104</v>
      </c>
      <c r="Q3404" t="s">
        <v>105</v>
      </c>
      <c r="R3404" t="s">
        <v>80</v>
      </c>
      <c r="S3404" s="3">
        <v>13.91</v>
      </c>
      <c r="T3404" s="5">
        <v>44518</v>
      </c>
      <c r="U3404">
        <v>3</v>
      </c>
      <c r="V3404">
        <v>2021</v>
      </c>
      <c r="X3404">
        <f t="shared" si="159"/>
        <v>8.1396595999999999</v>
      </c>
      <c r="Y3404">
        <f t="shared" si="160"/>
        <v>13.909659599999999</v>
      </c>
      <c r="Z3404">
        <f t="shared" si="161"/>
        <v>58.799659599999998</v>
      </c>
    </row>
    <row r="3405" spans="1:26" x14ac:dyDescent="0.3">
      <c r="A3405" t="s">
        <v>3495</v>
      </c>
      <c r="B3405" t="s">
        <v>67</v>
      </c>
      <c r="C3405" t="s">
        <v>68</v>
      </c>
      <c r="D3405" t="s">
        <v>57</v>
      </c>
      <c r="E3405">
        <v>21</v>
      </c>
      <c r="F3405" s="3">
        <v>6.47</v>
      </c>
      <c r="G3405" s="4">
        <v>88.5</v>
      </c>
      <c r="H3405">
        <v>0</v>
      </c>
      <c r="I3405">
        <v>3</v>
      </c>
      <c r="J3405">
        <v>4</v>
      </c>
      <c r="K3405" s="4">
        <v>65.599999999999994</v>
      </c>
      <c r="L3405" s="4">
        <v>51.5</v>
      </c>
      <c r="M3405" s="4">
        <v>82</v>
      </c>
      <c r="N3405">
        <v>0</v>
      </c>
      <c r="O3405" t="s">
        <v>58</v>
      </c>
      <c r="P3405" t="s">
        <v>104</v>
      </c>
      <c r="Q3405" t="s">
        <v>105</v>
      </c>
      <c r="R3405" t="s">
        <v>76</v>
      </c>
      <c r="S3405" s="3">
        <v>14.11</v>
      </c>
      <c r="T3405" s="5">
        <v>45221</v>
      </c>
      <c r="U3405">
        <v>1</v>
      </c>
      <c r="V3405">
        <v>2023</v>
      </c>
      <c r="X3405">
        <f t="shared" si="159"/>
        <v>6.4696594999999997</v>
      </c>
      <c r="Y3405">
        <f t="shared" si="160"/>
        <v>14.109659499999999</v>
      </c>
      <c r="Z3405">
        <f t="shared" si="161"/>
        <v>51.4996595</v>
      </c>
    </row>
    <row r="3406" spans="1:26" x14ac:dyDescent="0.3">
      <c r="A3406" t="s">
        <v>3496</v>
      </c>
      <c r="B3406" t="s">
        <v>107</v>
      </c>
      <c r="C3406" t="s">
        <v>56</v>
      </c>
      <c r="D3406" t="s">
        <v>57</v>
      </c>
      <c r="E3406">
        <v>22</v>
      </c>
      <c r="F3406" s="3">
        <v>8</v>
      </c>
      <c r="G3406" s="4">
        <v>79.599999999999994</v>
      </c>
      <c r="H3406">
        <v>1</v>
      </c>
      <c r="I3406">
        <v>3</v>
      </c>
      <c r="J3406">
        <v>4</v>
      </c>
      <c r="K3406" s="4">
        <v>66</v>
      </c>
      <c r="L3406" s="4">
        <v>69.5</v>
      </c>
      <c r="M3406" s="4">
        <v>82.9</v>
      </c>
      <c r="N3406">
        <v>0</v>
      </c>
      <c r="O3406" t="s">
        <v>58</v>
      </c>
      <c r="P3406" t="s">
        <v>90</v>
      </c>
      <c r="Q3406" t="s">
        <v>60</v>
      </c>
      <c r="R3406" t="s">
        <v>61</v>
      </c>
      <c r="S3406" s="3">
        <v>7.58</v>
      </c>
      <c r="T3406" s="5">
        <v>44491</v>
      </c>
      <c r="U3406">
        <v>2</v>
      </c>
      <c r="V3406">
        <v>2021</v>
      </c>
      <c r="X3406">
        <f t="shared" si="159"/>
        <v>7.9996593999999996</v>
      </c>
      <c r="Y3406">
        <f t="shared" si="160"/>
        <v>7.5796593999999997</v>
      </c>
      <c r="Z3406">
        <f t="shared" si="161"/>
        <v>69.499659399999999</v>
      </c>
    </row>
    <row r="3407" spans="1:26" x14ac:dyDescent="0.3">
      <c r="A3407" t="s">
        <v>3497</v>
      </c>
      <c r="B3407" t="s">
        <v>55</v>
      </c>
      <c r="C3407" t="s">
        <v>89</v>
      </c>
      <c r="D3407" t="s">
        <v>57</v>
      </c>
      <c r="E3407">
        <v>20</v>
      </c>
      <c r="F3407" s="3">
        <v>8.32</v>
      </c>
      <c r="G3407" s="4">
        <v>76.8</v>
      </c>
      <c r="H3407">
        <v>0</v>
      </c>
      <c r="I3407">
        <v>1</v>
      </c>
      <c r="J3407">
        <v>2</v>
      </c>
      <c r="K3407" s="4">
        <v>57.5</v>
      </c>
      <c r="L3407" s="4">
        <v>85.3</v>
      </c>
      <c r="M3407" s="4">
        <v>40.6</v>
      </c>
      <c r="N3407">
        <v>0</v>
      </c>
      <c r="O3407" t="s">
        <v>58</v>
      </c>
      <c r="P3407" t="s">
        <v>75</v>
      </c>
      <c r="Q3407" t="s">
        <v>71</v>
      </c>
      <c r="R3407" t="s">
        <v>80</v>
      </c>
      <c r="S3407" s="3">
        <v>5.09</v>
      </c>
      <c r="T3407" s="5">
        <v>45564</v>
      </c>
      <c r="U3407">
        <v>1</v>
      </c>
      <c r="V3407">
        <v>2024</v>
      </c>
      <c r="X3407">
        <f t="shared" si="159"/>
        <v>8.3196592999999996</v>
      </c>
      <c r="Y3407">
        <f t="shared" si="160"/>
        <v>5.0896593000000001</v>
      </c>
      <c r="Z3407">
        <f t="shared" si="161"/>
        <v>85.299659300000002</v>
      </c>
    </row>
    <row r="3408" spans="1:26" x14ac:dyDescent="0.3">
      <c r="A3408" t="s">
        <v>3498</v>
      </c>
      <c r="B3408" t="s">
        <v>55</v>
      </c>
      <c r="C3408" t="s">
        <v>89</v>
      </c>
      <c r="D3408" t="s">
        <v>57</v>
      </c>
      <c r="E3408">
        <v>20</v>
      </c>
      <c r="F3408" s="3">
        <v>8.31</v>
      </c>
      <c r="G3408" s="4">
        <v>65.3</v>
      </c>
      <c r="H3408">
        <v>1</v>
      </c>
      <c r="I3408">
        <v>2</v>
      </c>
      <c r="J3408">
        <v>3</v>
      </c>
      <c r="K3408" s="4">
        <v>80.400000000000006</v>
      </c>
      <c r="L3408" s="4">
        <v>84.8</v>
      </c>
      <c r="M3408" s="4">
        <v>80.7</v>
      </c>
      <c r="N3408">
        <v>0</v>
      </c>
      <c r="O3408" t="s">
        <v>58</v>
      </c>
      <c r="P3408" t="s">
        <v>92</v>
      </c>
      <c r="Q3408" t="s">
        <v>93</v>
      </c>
      <c r="R3408" t="s">
        <v>61</v>
      </c>
      <c r="S3408" s="3">
        <v>9.3000000000000007</v>
      </c>
      <c r="T3408" s="5">
        <v>45623</v>
      </c>
      <c r="U3408">
        <v>1</v>
      </c>
      <c r="V3408">
        <v>2024</v>
      </c>
      <c r="X3408">
        <f t="shared" si="159"/>
        <v>8.3096592000000005</v>
      </c>
      <c r="Y3408">
        <f t="shared" si="160"/>
        <v>9.2996592000000007</v>
      </c>
      <c r="Z3408">
        <f t="shared" si="161"/>
        <v>84.799659199999994</v>
      </c>
    </row>
    <row r="3409" spans="1:26" x14ac:dyDescent="0.3">
      <c r="A3409" t="s">
        <v>3499</v>
      </c>
      <c r="B3409" t="s">
        <v>63</v>
      </c>
      <c r="C3409" t="s">
        <v>74</v>
      </c>
      <c r="D3409" t="s">
        <v>57</v>
      </c>
      <c r="E3409">
        <v>22</v>
      </c>
      <c r="F3409" s="3">
        <v>6.52</v>
      </c>
      <c r="G3409" s="4">
        <v>67.8</v>
      </c>
      <c r="H3409">
        <v>1</v>
      </c>
      <c r="I3409">
        <v>3</v>
      </c>
      <c r="J3409">
        <v>5</v>
      </c>
      <c r="K3409" s="4">
        <v>55.8</v>
      </c>
      <c r="L3409" s="4">
        <v>83.8</v>
      </c>
      <c r="M3409" s="4">
        <v>75.2</v>
      </c>
      <c r="N3409">
        <v>0</v>
      </c>
      <c r="O3409" t="s">
        <v>58</v>
      </c>
      <c r="P3409" t="s">
        <v>70</v>
      </c>
      <c r="Q3409" t="s">
        <v>71</v>
      </c>
      <c r="R3409" t="s">
        <v>61</v>
      </c>
      <c r="S3409" s="3">
        <v>5.92</v>
      </c>
      <c r="T3409" s="5">
        <v>45882</v>
      </c>
      <c r="U3409">
        <v>2</v>
      </c>
      <c r="V3409">
        <v>2025</v>
      </c>
      <c r="X3409">
        <f t="shared" si="159"/>
        <v>6.5196590999999993</v>
      </c>
      <c r="Y3409">
        <f t="shared" si="160"/>
        <v>5.9196590999999996</v>
      </c>
      <c r="Z3409">
        <f t="shared" si="161"/>
        <v>83.7996591</v>
      </c>
    </row>
    <row r="3410" spans="1:26" x14ac:dyDescent="0.3">
      <c r="A3410" t="s">
        <v>3500</v>
      </c>
      <c r="B3410" t="s">
        <v>67</v>
      </c>
      <c r="C3410" t="s">
        <v>68</v>
      </c>
      <c r="D3410" t="s">
        <v>57</v>
      </c>
      <c r="E3410">
        <v>20</v>
      </c>
      <c r="F3410" s="3">
        <v>8.69</v>
      </c>
      <c r="G3410" s="4">
        <v>75.5</v>
      </c>
      <c r="H3410">
        <v>2</v>
      </c>
      <c r="I3410">
        <v>4</v>
      </c>
      <c r="J3410">
        <v>2</v>
      </c>
      <c r="K3410" s="4">
        <v>66.7</v>
      </c>
      <c r="L3410" s="4">
        <v>85.1</v>
      </c>
      <c r="M3410" s="4">
        <v>52.4</v>
      </c>
      <c r="N3410">
        <v>0</v>
      </c>
      <c r="O3410" t="s">
        <v>58</v>
      </c>
      <c r="P3410" t="s">
        <v>92</v>
      </c>
      <c r="Q3410" t="s">
        <v>93</v>
      </c>
      <c r="R3410" t="s">
        <v>72</v>
      </c>
      <c r="S3410" s="3">
        <v>10.11</v>
      </c>
      <c r="T3410" s="5">
        <v>45159</v>
      </c>
      <c r="U3410">
        <v>2</v>
      </c>
      <c r="V3410">
        <v>2023</v>
      </c>
      <c r="X3410">
        <f t="shared" si="159"/>
        <v>8.6896589999999989</v>
      </c>
      <c r="Y3410">
        <f t="shared" si="160"/>
        <v>10.109658999999999</v>
      </c>
      <c r="Z3410">
        <f t="shared" si="161"/>
        <v>85.099658999999988</v>
      </c>
    </row>
    <row r="3411" spans="1:26" x14ac:dyDescent="0.3">
      <c r="A3411" t="s">
        <v>3501</v>
      </c>
      <c r="B3411" t="s">
        <v>107</v>
      </c>
      <c r="C3411" t="s">
        <v>74</v>
      </c>
      <c r="D3411" t="s">
        <v>69</v>
      </c>
      <c r="E3411">
        <v>22</v>
      </c>
      <c r="F3411" s="3">
        <v>8.0399999999999991</v>
      </c>
      <c r="G3411" s="4">
        <v>90.4</v>
      </c>
      <c r="H3411">
        <v>0</v>
      </c>
      <c r="I3411">
        <v>0</v>
      </c>
      <c r="J3411">
        <v>3</v>
      </c>
      <c r="K3411" s="4">
        <v>57.2</v>
      </c>
      <c r="L3411" s="4">
        <v>72.8</v>
      </c>
      <c r="M3411" s="4">
        <v>90.6</v>
      </c>
      <c r="N3411">
        <v>0</v>
      </c>
      <c r="O3411" t="s">
        <v>58</v>
      </c>
      <c r="P3411" t="s">
        <v>87</v>
      </c>
      <c r="Q3411" t="s">
        <v>71</v>
      </c>
      <c r="R3411" t="s">
        <v>109</v>
      </c>
      <c r="S3411" s="3">
        <v>6.83</v>
      </c>
      <c r="T3411" s="5">
        <v>44503</v>
      </c>
      <c r="U3411">
        <v>2</v>
      </c>
      <c r="V3411">
        <v>2021</v>
      </c>
      <c r="X3411">
        <f t="shared" si="159"/>
        <v>8.0396588999999992</v>
      </c>
      <c r="Y3411">
        <f t="shared" si="160"/>
        <v>6.8296589000000001</v>
      </c>
      <c r="Z3411">
        <f t="shared" si="161"/>
        <v>72.799658899999997</v>
      </c>
    </row>
    <row r="3412" spans="1:26" x14ac:dyDescent="0.3">
      <c r="A3412" t="s">
        <v>3502</v>
      </c>
      <c r="B3412" t="s">
        <v>55</v>
      </c>
      <c r="C3412" t="s">
        <v>74</v>
      </c>
      <c r="D3412" t="s">
        <v>69</v>
      </c>
      <c r="E3412">
        <v>21</v>
      </c>
      <c r="F3412" s="3">
        <v>8.15</v>
      </c>
      <c r="G3412" s="4">
        <v>84.9</v>
      </c>
      <c r="H3412">
        <v>2</v>
      </c>
      <c r="I3412">
        <v>2</v>
      </c>
      <c r="J3412">
        <v>3</v>
      </c>
      <c r="K3412" s="4">
        <v>60.3</v>
      </c>
      <c r="L3412" s="4">
        <v>61.8</v>
      </c>
      <c r="M3412" s="4">
        <v>76.400000000000006</v>
      </c>
      <c r="N3412">
        <v>0</v>
      </c>
      <c r="O3412" t="s">
        <v>58</v>
      </c>
      <c r="P3412" t="s">
        <v>92</v>
      </c>
      <c r="Q3412" t="s">
        <v>93</v>
      </c>
      <c r="R3412" t="s">
        <v>109</v>
      </c>
      <c r="S3412" s="3">
        <v>9.7799999999999994</v>
      </c>
      <c r="T3412" s="5">
        <v>45548</v>
      </c>
      <c r="U3412">
        <v>2</v>
      </c>
      <c r="V3412">
        <v>2024</v>
      </c>
      <c r="X3412">
        <f t="shared" si="159"/>
        <v>8.149658800000001</v>
      </c>
      <c r="Y3412">
        <f t="shared" si="160"/>
        <v>9.7796588</v>
      </c>
      <c r="Z3412">
        <f t="shared" si="161"/>
        <v>61.799658799999996</v>
      </c>
    </row>
    <row r="3413" spans="1:26" x14ac:dyDescent="0.3">
      <c r="A3413" t="s">
        <v>3503</v>
      </c>
      <c r="B3413" t="s">
        <v>82</v>
      </c>
      <c r="C3413" t="s">
        <v>56</v>
      </c>
      <c r="D3413" t="s">
        <v>57</v>
      </c>
      <c r="E3413">
        <v>23</v>
      </c>
      <c r="F3413" s="3">
        <v>6.84</v>
      </c>
      <c r="G3413" s="4">
        <v>70.7</v>
      </c>
      <c r="H3413">
        <v>1</v>
      </c>
      <c r="I3413">
        <v>2</v>
      </c>
      <c r="J3413">
        <v>4</v>
      </c>
      <c r="K3413" s="4">
        <v>78.8</v>
      </c>
      <c r="L3413" s="4">
        <v>66.099999999999994</v>
      </c>
      <c r="M3413" s="4">
        <v>55.4</v>
      </c>
      <c r="N3413">
        <v>0</v>
      </c>
      <c r="O3413" t="s">
        <v>64</v>
      </c>
      <c r="P3413" t="s">
        <v>65</v>
      </c>
      <c r="S3413" s="3">
        <v>0</v>
      </c>
      <c r="T3413" s="5"/>
      <c r="U3413">
        <v>0</v>
      </c>
      <c r="V3413">
        <v>2022</v>
      </c>
      <c r="X3413">
        <f t="shared" si="159"/>
        <v>6.8396587000000002</v>
      </c>
      <c r="Y3413">
        <f t="shared" si="160"/>
        <v>-3.413E-4</v>
      </c>
      <c r="Z3413">
        <f t="shared" si="161"/>
        <v>66.099658699999992</v>
      </c>
    </row>
    <row r="3414" spans="1:26" x14ac:dyDescent="0.3">
      <c r="A3414" t="s">
        <v>3504</v>
      </c>
      <c r="B3414" t="s">
        <v>55</v>
      </c>
      <c r="C3414" t="s">
        <v>84</v>
      </c>
      <c r="D3414" t="s">
        <v>57</v>
      </c>
      <c r="E3414">
        <v>21</v>
      </c>
      <c r="F3414" s="3">
        <v>8.33</v>
      </c>
      <c r="G3414" s="4">
        <v>73.7</v>
      </c>
      <c r="H3414">
        <v>1</v>
      </c>
      <c r="I3414">
        <v>0</v>
      </c>
      <c r="J3414">
        <v>6</v>
      </c>
      <c r="K3414" s="4">
        <v>77.5</v>
      </c>
      <c r="L3414" s="4">
        <v>68.2</v>
      </c>
      <c r="M3414" s="4">
        <v>67</v>
      </c>
      <c r="N3414">
        <v>0</v>
      </c>
      <c r="O3414" t="s">
        <v>58</v>
      </c>
      <c r="P3414" t="s">
        <v>112</v>
      </c>
      <c r="Q3414" t="s">
        <v>93</v>
      </c>
      <c r="R3414" t="s">
        <v>109</v>
      </c>
      <c r="S3414" s="3">
        <v>6.67</v>
      </c>
      <c r="T3414" s="5">
        <v>45561</v>
      </c>
      <c r="U3414">
        <v>3</v>
      </c>
      <c r="V3414">
        <v>2024</v>
      </c>
      <c r="X3414">
        <f t="shared" si="159"/>
        <v>8.3296586000000001</v>
      </c>
      <c r="Y3414">
        <f t="shared" si="160"/>
        <v>6.6696586</v>
      </c>
      <c r="Z3414">
        <f t="shared" si="161"/>
        <v>68.199658600000006</v>
      </c>
    </row>
    <row r="3415" spans="1:26" x14ac:dyDescent="0.3">
      <c r="A3415" t="s">
        <v>3505</v>
      </c>
      <c r="B3415" t="s">
        <v>82</v>
      </c>
      <c r="C3415" t="s">
        <v>56</v>
      </c>
      <c r="D3415" t="s">
        <v>57</v>
      </c>
      <c r="E3415">
        <v>23</v>
      </c>
      <c r="F3415" s="3">
        <v>6.1</v>
      </c>
      <c r="G3415" s="4">
        <v>84.5</v>
      </c>
      <c r="H3415">
        <v>1</v>
      </c>
      <c r="I3415">
        <v>4</v>
      </c>
      <c r="J3415">
        <v>5</v>
      </c>
      <c r="K3415" s="4">
        <v>63.1</v>
      </c>
      <c r="L3415" s="4">
        <v>60.1</v>
      </c>
      <c r="M3415" s="4">
        <v>71.5</v>
      </c>
      <c r="N3415">
        <v>0</v>
      </c>
      <c r="O3415" t="s">
        <v>64</v>
      </c>
      <c r="P3415" t="s">
        <v>65</v>
      </c>
      <c r="S3415" s="3">
        <v>0</v>
      </c>
      <c r="T3415" s="5"/>
      <c r="U3415">
        <v>0</v>
      </c>
      <c r="V3415">
        <v>2022</v>
      </c>
      <c r="X3415">
        <f t="shared" si="159"/>
        <v>6.0996584999999994</v>
      </c>
      <c r="Y3415">
        <f t="shared" si="160"/>
        <v>-3.4150000000000001E-4</v>
      </c>
      <c r="Z3415">
        <f t="shared" si="161"/>
        <v>60.099658500000004</v>
      </c>
    </row>
    <row r="3416" spans="1:26" x14ac:dyDescent="0.3">
      <c r="A3416" t="s">
        <v>3506</v>
      </c>
      <c r="B3416" t="s">
        <v>107</v>
      </c>
      <c r="C3416" t="s">
        <v>84</v>
      </c>
      <c r="D3416" t="s">
        <v>57</v>
      </c>
      <c r="E3416">
        <v>22</v>
      </c>
      <c r="F3416" s="3">
        <v>6.89</v>
      </c>
      <c r="G3416" s="4">
        <v>97.1</v>
      </c>
      <c r="H3416">
        <v>1</v>
      </c>
      <c r="I3416">
        <v>2</v>
      </c>
      <c r="J3416">
        <v>3</v>
      </c>
      <c r="K3416" s="4">
        <v>83.9</v>
      </c>
      <c r="L3416" s="4">
        <v>78.900000000000006</v>
      </c>
      <c r="M3416" s="4">
        <v>100</v>
      </c>
      <c r="N3416">
        <v>0</v>
      </c>
      <c r="O3416" t="s">
        <v>58</v>
      </c>
      <c r="P3416" t="s">
        <v>79</v>
      </c>
      <c r="Q3416" t="s">
        <v>71</v>
      </c>
      <c r="R3416" t="s">
        <v>85</v>
      </c>
      <c r="S3416" s="3">
        <v>3.91</v>
      </c>
      <c r="T3416" s="5">
        <v>44507</v>
      </c>
      <c r="U3416">
        <v>2</v>
      </c>
      <c r="V3416">
        <v>2021</v>
      </c>
      <c r="X3416">
        <f t="shared" si="159"/>
        <v>6.8896584000000001</v>
      </c>
      <c r="Y3416">
        <f t="shared" si="160"/>
        <v>3.9096584000000001</v>
      </c>
      <c r="Z3416">
        <f t="shared" si="161"/>
        <v>78.899658400000007</v>
      </c>
    </row>
    <row r="3417" spans="1:26" x14ac:dyDescent="0.3">
      <c r="A3417" t="s">
        <v>3507</v>
      </c>
      <c r="B3417" t="s">
        <v>55</v>
      </c>
      <c r="C3417" t="s">
        <v>89</v>
      </c>
      <c r="D3417" t="s">
        <v>69</v>
      </c>
      <c r="E3417">
        <v>21</v>
      </c>
      <c r="F3417" s="3">
        <v>8.7899999999999991</v>
      </c>
      <c r="G3417" s="4">
        <v>72.099999999999994</v>
      </c>
      <c r="H3417">
        <v>0</v>
      </c>
      <c r="I3417">
        <v>2</v>
      </c>
      <c r="J3417">
        <v>3</v>
      </c>
      <c r="K3417" s="4">
        <v>76</v>
      </c>
      <c r="L3417" s="4">
        <v>60.8</v>
      </c>
      <c r="M3417" s="4">
        <v>63.5</v>
      </c>
      <c r="N3417">
        <v>0</v>
      </c>
      <c r="O3417" t="s">
        <v>58</v>
      </c>
      <c r="P3417" t="s">
        <v>112</v>
      </c>
      <c r="Q3417" t="s">
        <v>93</v>
      </c>
      <c r="R3417" t="s">
        <v>80</v>
      </c>
      <c r="S3417" s="3">
        <v>6.69</v>
      </c>
      <c r="T3417" s="5">
        <v>45514</v>
      </c>
      <c r="U3417">
        <v>2</v>
      </c>
      <c r="V3417">
        <v>2024</v>
      </c>
      <c r="X3417">
        <f t="shared" si="159"/>
        <v>8.7896582999999993</v>
      </c>
      <c r="Y3417">
        <f t="shared" si="160"/>
        <v>6.6896583000000005</v>
      </c>
      <c r="Z3417">
        <f t="shared" si="161"/>
        <v>60.799658299999997</v>
      </c>
    </row>
    <row r="3418" spans="1:26" x14ac:dyDescent="0.3">
      <c r="A3418" t="s">
        <v>3508</v>
      </c>
      <c r="B3418" t="s">
        <v>55</v>
      </c>
      <c r="C3418" t="s">
        <v>74</v>
      </c>
      <c r="D3418" t="s">
        <v>57</v>
      </c>
      <c r="E3418">
        <v>23</v>
      </c>
      <c r="F3418" s="3">
        <v>8.2899999999999991</v>
      </c>
      <c r="G3418" s="4">
        <v>86.1</v>
      </c>
      <c r="H3418">
        <v>2</v>
      </c>
      <c r="I3418">
        <v>4</v>
      </c>
      <c r="J3418">
        <v>6</v>
      </c>
      <c r="K3418" s="4">
        <v>69.599999999999994</v>
      </c>
      <c r="L3418" s="4">
        <v>42.3</v>
      </c>
      <c r="M3418" s="4">
        <v>65.7</v>
      </c>
      <c r="N3418">
        <v>1</v>
      </c>
      <c r="O3418" t="s">
        <v>58</v>
      </c>
      <c r="P3418" t="s">
        <v>92</v>
      </c>
      <c r="Q3418" t="s">
        <v>93</v>
      </c>
      <c r="R3418" t="s">
        <v>80</v>
      </c>
      <c r="S3418" s="3">
        <v>9.6199999999999992</v>
      </c>
      <c r="T3418" s="5">
        <v>45512</v>
      </c>
      <c r="U3418">
        <v>1</v>
      </c>
      <c r="V3418">
        <v>2024</v>
      </c>
      <c r="X3418">
        <f t="shared" si="159"/>
        <v>8.2896581999999999</v>
      </c>
      <c r="Y3418">
        <f t="shared" si="160"/>
        <v>9.6196581999999999</v>
      </c>
      <c r="Z3418">
        <f t="shared" si="161"/>
        <v>42.299658199999996</v>
      </c>
    </row>
    <row r="3419" spans="1:26" x14ac:dyDescent="0.3">
      <c r="A3419" t="s">
        <v>3509</v>
      </c>
      <c r="B3419" t="s">
        <v>107</v>
      </c>
      <c r="C3419" t="s">
        <v>78</v>
      </c>
      <c r="D3419" t="s">
        <v>57</v>
      </c>
      <c r="E3419">
        <v>22</v>
      </c>
      <c r="F3419" s="3">
        <v>7.91</v>
      </c>
      <c r="G3419" s="4">
        <v>78</v>
      </c>
      <c r="H3419">
        <v>3</v>
      </c>
      <c r="I3419">
        <v>0</v>
      </c>
      <c r="J3419">
        <v>5</v>
      </c>
      <c r="K3419" s="4">
        <v>80.7</v>
      </c>
      <c r="L3419" s="4">
        <v>85.9</v>
      </c>
      <c r="M3419" s="4">
        <v>76.2</v>
      </c>
      <c r="N3419">
        <v>0</v>
      </c>
      <c r="O3419" t="s">
        <v>58</v>
      </c>
      <c r="P3419" t="s">
        <v>104</v>
      </c>
      <c r="Q3419" t="s">
        <v>105</v>
      </c>
      <c r="R3419" t="s">
        <v>61</v>
      </c>
      <c r="S3419" s="3">
        <v>16.39</v>
      </c>
      <c r="T3419" s="5">
        <v>44485</v>
      </c>
      <c r="U3419">
        <v>1</v>
      </c>
      <c r="V3419">
        <v>2021</v>
      </c>
      <c r="X3419">
        <f t="shared" si="159"/>
        <v>7.9096581000000006</v>
      </c>
      <c r="Y3419">
        <f t="shared" si="160"/>
        <v>16.389658100000002</v>
      </c>
      <c r="Z3419">
        <f t="shared" si="161"/>
        <v>85.899658100000011</v>
      </c>
    </row>
    <row r="3420" spans="1:26" x14ac:dyDescent="0.3">
      <c r="A3420" t="s">
        <v>3510</v>
      </c>
      <c r="B3420" t="s">
        <v>55</v>
      </c>
      <c r="C3420" t="s">
        <v>68</v>
      </c>
      <c r="D3420" t="s">
        <v>69</v>
      </c>
      <c r="E3420">
        <v>23</v>
      </c>
      <c r="F3420" s="3">
        <v>8.5</v>
      </c>
      <c r="G3420" s="4">
        <v>78.3</v>
      </c>
      <c r="H3420">
        <v>3</v>
      </c>
      <c r="I3420">
        <v>3</v>
      </c>
      <c r="J3420">
        <v>2</v>
      </c>
      <c r="K3420" s="4">
        <v>87.9</v>
      </c>
      <c r="L3420" s="4">
        <v>77.7</v>
      </c>
      <c r="M3420" s="4">
        <v>99.7</v>
      </c>
      <c r="N3420">
        <v>0</v>
      </c>
      <c r="O3420" t="s">
        <v>58</v>
      </c>
      <c r="P3420" t="s">
        <v>70</v>
      </c>
      <c r="Q3420" t="s">
        <v>71</v>
      </c>
      <c r="R3420" t="s">
        <v>61</v>
      </c>
      <c r="S3420" s="3">
        <v>7.78</v>
      </c>
      <c r="T3420" s="5">
        <v>45567</v>
      </c>
      <c r="U3420">
        <v>1</v>
      </c>
      <c r="V3420">
        <v>2024</v>
      </c>
      <c r="X3420">
        <f t="shared" si="159"/>
        <v>8.4996580000000002</v>
      </c>
      <c r="Y3420">
        <f t="shared" si="160"/>
        <v>7.7796580000000004</v>
      </c>
      <c r="Z3420">
        <f t="shared" si="161"/>
        <v>77.699657999999999</v>
      </c>
    </row>
    <row r="3421" spans="1:26" x14ac:dyDescent="0.3">
      <c r="A3421" t="s">
        <v>3511</v>
      </c>
      <c r="B3421" t="s">
        <v>82</v>
      </c>
      <c r="C3421" t="s">
        <v>68</v>
      </c>
      <c r="D3421" t="s">
        <v>57</v>
      </c>
      <c r="E3421">
        <v>20</v>
      </c>
      <c r="F3421" s="3">
        <v>8.56</v>
      </c>
      <c r="G3421" s="4">
        <v>71.400000000000006</v>
      </c>
      <c r="H3421">
        <v>2</v>
      </c>
      <c r="I3421">
        <v>3</v>
      </c>
      <c r="J3421">
        <v>5</v>
      </c>
      <c r="K3421" s="4">
        <v>74.2</v>
      </c>
      <c r="L3421" s="4">
        <v>44.1</v>
      </c>
      <c r="M3421" s="4">
        <v>71.2</v>
      </c>
      <c r="N3421">
        <v>0</v>
      </c>
      <c r="O3421" t="s">
        <v>58</v>
      </c>
      <c r="P3421" t="s">
        <v>87</v>
      </c>
      <c r="Q3421" t="s">
        <v>71</v>
      </c>
      <c r="R3421" t="s">
        <v>109</v>
      </c>
      <c r="S3421" s="3">
        <v>4.9800000000000004</v>
      </c>
      <c r="T3421" s="5">
        <v>44856</v>
      </c>
      <c r="U3421">
        <v>1</v>
      </c>
      <c r="V3421">
        <v>2022</v>
      </c>
      <c r="X3421">
        <f t="shared" si="159"/>
        <v>8.5596579000000013</v>
      </c>
      <c r="Y3421">
        <f t="shared" si="160"/>
        <v>4.9796579000000003</v>
      </c>
      <c r="Z3421">
        <f t="shared" si="161"/>
        <v>44.099657900000004</v>
      </c>
    </row>
    <row r="3422" spans="1:26" x14ac:dyDescent="0.3">
      <c r="A3422" t="s">
        <v>3512</v>
      </c>
      <c r="B3422" t="s">
        <v>55</v>
      </c>
      <c r="C3422" t="s">
        <v>56</v>
      </c>
      <c r="D3422" t="s">
        <v>69</v>
      </c>
      <c r="E3422">
        <v>20</v>
      </c>
      <c r="F3422" s="3">
        <v>8.33</v>
      </c>
      <c r="G3422" s="4">
        <v>87.6</v>
      </c>
      <c r="H3422">
        <v>1</v>
      </c>
      <c r="I3422">
        <v>3</v>
      </c>
      <c r="J3422">
        <v>3</v>
      </c>
      <c r="K3422" s="4">
        <v>71.8</v>
      </c>
      <c r="L3422" s="4">
        <v>60.3</v>
      </c>
      <c r="M3422" s="4">
        <v>68.599999999999994</v>
      </c>
      <c r="N3422">
        <v>0</v>
      </c>
      <c r="O3422" t="s">
        <v>58</v>
      </c>
      <c r="P3422" t="s">
        <v>90</v>
      </c>
      <c r="Q3422" t="s">
        <v>60</v>
      </c>
      <c r="R3422" t="s">
        <v>85</v>
      </c>
      <c r="S3422" s="3">
        <v>8.98</v>
      </c>
      <c r="T3422" s="5">
        <v>45571</v>
      </c>
      <c r="U3422">
        <v>2</v>
      </c>
      <c r="V3422">
        <v>2024</v>
      </c>
      <c r="X3422">
        <f t="shared" si="159"/>
        <v>8.3296577999999997</v>
      </c>
      <c r="Y3422">
        <f t="shared" si="160"/>
        <v>8.9796578</v>
      </c>
      <c r="Z3422">
        <f t="shared" si="161"/>
        <v>60.299657799999999</v>
      </c>
    </row>
    <row r="3423" spans="1:26" x14ac:dyDescent="0.3">
      <c r="A3423" t="s">
        <v>3513</v>
      </c>
      <c r="B3423" t="s">
        <v>67</v>
      </c>
      <c r="C3423" t="s">
        <v>74</v>
      </c>
      <c r="D3423" t="s">
        <v>57</v>
      </c>
      <c r="E3423">
        <v>22</v>
      </c>
      <c r="F3423" s="3">
        <v>7.45</v>
      </c>
      <c r="G3423" s="4">
        <v>77.599999999999994</v>
      </c>
      <c r="H3423">
        <v>1</v>
      </c>
      <c r="I3423">
        <v>2</v>
      </c>
      <c r="J3423">
        <v>4</v>
      </c>
      <c r="K3423" s="4">
        <v>41.1</v>
      </c>
      <c r="L3423" s="4">
        <v>68.599999999999994</v>
      </c>
      <c r="M3423" s="4">
        <v>76.2</v>
      </c>
      <c r="N3423">
        <v>0</v>
      </c>
      <c r="O3423" t="s">
        <v>58</v>
      </c>
      <c r="P3423" t="s">
        <v>112</v>
      </c>
      <c r="Q3423" t="s">
        <v>93</v>
      </c>
      <c r="R3423" t="s">
        <v>109</v>
      </c>
      <c r="S3423" s="3">
        <v>6.32</v>
      </c>
      <c r="T3423" s="5">
        <v>45258</v>
      </c>
      <c r="U3423">
        <v>1</v>
      </c>
      <c r="V3423">
        <v>2023</v>
      </c>
      <c r="X3423">
        <f t="shared" si="159"/>
        <v>7.4496577000000004</v>
      </c>
      <c r="Y3423">
        <f t="shared" si="160"/>
        <v>6.3196577000000005</v>
      </c>
      <c r="Z3423">
        <f t="shared" si="161"/>
        <v>68.599657699999995</v>
      </c>
    </row>
    <row r="3424" spans="1:26" x14ac:dyDescent="0.3">
      <c r="A3424" t="s">
        <v>3514</v>
      </c>
      <c r="B3424" t="s">
        <v>63</v>
      </c>
      <c r="C3424" t="s">
        <v>56</v>
      </c>
      <c r="D3424" t="s">
        <v>69</v>
      </c>
      <c r="E3424">
        <v>23</v>
      </c>
      <c r="F3424" s="3">
        <v>6.86</v>
      </c>
      <c r="G3424" s="4">
        <v>78.8</v>
      </c>
      <c r="H3424">
        <v>2</v>
      </c>
      <c r="I3424">
        <v>0</v>
      </c>
      <c r="J3424">
        <v>1</v>
      </c>
      <c r="K3424" s="4">
        <v>71.7</v>
      </c>
      <c r="L3424" s="4">
        <v>70</v>
      </c>
      <c r="M3424" s="4">
        <v>70</v>
      </c>
      <c r="N3424">
        <v>1</v>
      </c>
      <c r="O3424" t="s">
        <v>64</v>
      </c>
      <c r="P3424" t="s">
        <v>65</v>
      </c>
      <c r="S3424" s="3">
        <v>0</v>
      </c>
      <c r="T3424" s="5"/>
      <c r="U3424">
        <v>0</v>
      </c>
      <c r="V3424">
        <v>2025</v>
      </c>
      <c r="X3424">
        <f t="shared" si="159"/>
        <v>6.8596576000000002</v>
      </c>
      <c r="Y3424">
        <f t="shared" si="160"/>
        <v>-3.4239999999999997E-4</v>
      </c>
      <c r="Z3424">
        <f t="shared" si="161"/>
        <v>69.999657600000006</v>
      </c>
    </row>
    <row r="3425" spans="1:26" x14ac:dyDescent="0.3">
      <c r="A3425" t="s">
        <v>3515</v>
      </c>
      <c r="B3425" t="s">
        <v>82</v>
      </c>
      <c r="C3425" t="s">
        <v>56</v>
      </c>
      <c r="D3425" t="s">
        <v>57</v>
      </c>
      <c r="E3425">
        <v>20</v>
      </c>
      <c r="F3425" s="3">
        <v>7.05</v>
      </c>
      <c r="G3425" s="4">
        <v>90.9</v>
      </c>
      <c r="H3425">
        <v>2</v>
      </c>
      <c r="I3425">
        <v>2</v>
      </c>
      <c r="J3425">
        <v>6</v>
      </c>
      <c r="K3425" s="4">
        <v>74.5</v>
      </c>
      <c r="L3425" s="4">
        <v>100</v>
      </c>
      <c r="M3425" s="4">
        <v>69.900000000000006</v>
      </c>
      <c r="N3425">
        <v>0</v>
      </c>
      <c r="O3425" t="s">
        <v>58</v>
      </c>
      <c r="P3425" t="s">
        <v>112</v>
      </c>
      <c r="Q3425" t="s">
        <v>93</v>
      </c>
      <c r="R3425" t="s">
        <v>130</v>
      </c>
      <c r="S3425" s="3">
        <v>7.56</v>
      </c>
      <c r="T3425" s="5">
        <v>44800</v>
      </c>
      <c r="U3425">
        <v>3</v>
      </c>
      <c r="V3425">
        <v>2022</v>
      </c>
      <c r="X3425">
        <f t="shared" si="159"/>
        <v>7.0496574999999995</v>
      </c>
      <c r="Y3425">
        <f t="shared" si="160"/>
        <v>7.5596574999999993</v>
      </c>
      <c r="Z3425">
        <f t="shared" si="161"/>
        <v>99.999657499999998</v>
      </c>
    </row>
    <row r="3426" spans="1:26" x14ac:dyDescent="0.3">
      <c r="A3426" t="s">
        <v>3516</v>
      </c>
      <c r="B3426" t="s">
        <v>67</v>
      </c>
      <c r="C3426" t="s">
        <v>74</v>
      </c>
      <c r="D3426" t="s">
        <v>57</v>
      </c>
      <c r="E3426">
        <v>21</v>
      </c>
      <c r="F3426" s="3">
        <v>8.92</v>
      </c>
      <c r="G3426" s="4">
        <v>91.3</v>
      </c>
      <c r="H3426">
        <v>1</v>
      </c>
      <c r="I3426">
        <v>1</v>
      </c>
      <c r="J3426">
        <v>5</v>
      </c>
      <c r="K3426" s="4">
        <v>72.400000000000006</v>
      </c>
      <c r="L3426" s="4">
        <v>55.6</v>
      </c>
      <c r="M3426" s="4">
        <v>85.5</v>
      </c>
      <c r="N3426">
        <v>0</v>
      </c>
      <c r="O3426" t="s">
        <v>58</v>
      </c>
      <c r="P3426" t="s">
        <v>112</v>
      </c>
      <c r="Q3426" t="s">
        <v>93</v>
      </c>
      <c r="R3426" t="s">
        <v>80</v>
      </c>
      <c r="S3426" s="3">
        <v>7.37</v>
      </c>
      <c r="T3426" s="5">
        <v>45156</v>
      </c>
      <c r="U3426">
        <v>1</v>
      </c>
      <c r="V3426">
        <v>2023</v>
      </c>
      <c r="X3426">
        <f t="shared" si="159"/>
        <v>8.9196574000000002</v>
      </c>
      <c r="Y3426">
        <f t="shared" si="160"/>
        <v>7.3696574000000004</v>
      </c>
      <c r="Z3426">
        <f t="shared" si="161"/>
        <v>55.599657399999998</v>
      </c>
    </row>
    <row r="3427" spans="1:26" x14ac:dyDescent="0.3">
      <c r="A3427" t="s">
        <v>3517</v>
      </c>
      <c r="B3427" t="s">
        <v>107</v>
      </c>
      <c r="C3427" t="s">
        <v>56</v>
      </c>
      <c r="D3427" t="s">
        <v>57</v>
      </c>
      <c r="E3427">
        <v>23</v>
      </c>
      <c r="F3427" s="3">
        <v>6.5</v>
      </c>
      <c r="G3427" s="4">
        <v>75.400000000000006</v>
      </c>
      <c r="H3427">
        <v>3</v>
      </c>
      <c r="I3427">
        <v>2</v>
      </c>
      <c r="J3427">
        <v>3</v>
      </c>
      <c r="K3427" s="4">
        <v>55.4</v>
      </c>
      <c r="L3427" s="4">
        <v>54.7</v>
      </c>
      <c r="M3427" s="4">
        <v>68</v>
      </c>
      <c r="N3427">
        <v>0</v>
      </c>
      <c r="O3427" t="s">
        <v>64</v>
      </c>
      <c r="P3427" t="s">
        <v>65</v>
      </c>
      <c r="S3427" s="3">
        <v>0</v>
      </c>
      <c r="T3427" s="5"/>
      <c r="U3427">
        <v>0</v>
      </c>
      <c r="V3427">
        <v>2021</v>
      </c>
      <c r="X3427">
        <f t="shared" si="159"/>
        <v>6.4996573</v>
      </c>
      <c r="Y3427">
        <f t="shared" si="160"/>
        <v>-3.4269999999999998E-4</v>
      </c>
      <c r="Z3427">
        <f t="shared" si="161"/>
        <v>54.699657300000005</v>
      </c>
    </row>
    <row r="3428" spans="1:26" x14ac:dyDescent="0.3">
      <c r="A3428" t="s">
        <v>3518</v>
      </c>
      <c r="B3428" t="s">
        <v>82</v>
      </c>
      <c r="C3428" t="s">
        <v>74</v>
      </c>
      <c r="D3428" t="s">
        <v>57</v>
      </c>
      <c r="E3428">
        <v>23</v>
      </c>
      <c r="F3428" s="3">
        <v>8.09</v>
      </c>
      <c r="G3428" s="4">
        <v>84.7</v>
      </c>
      <c r="H3428">
        <v>1</v>
      </c>
      <c r="I3428">
        <v>2</v>
      </c>
      <c r="J3428">
        <v>4</v>
      </c>
      <c r="K3428" s="4">
        <v>58.4</v>
      </c>
      <c r="L3428" s="4">
        <v>89.1</v>
      </c>
      <c r="M3428" s="4">
        <v>69.8</v>
      </c>
      <c r="N3428">
        <v>0</v>
      </c>
      <c r="O3428" t="s">
        <v>58</v>
      </c>
      <c r="P3428" t="s">
        <v>75</v>
      </c>
      <c r="Q3428" t="s">
        <v>71</v>
      </c>
      <c r="R3428" t="s">
        <v>109</v>
      </c>
      <c r="S3428" s="3">
        <v>6.93</v>
      </c>
      <c r="T3428" s="5">
        <v>44817</v>
      </c>
      <c r="U3428">
        <v>1</v>
      </c>
      <c r="V3428">
        <v>2022</v>
      </c>
      <c r="X3428">
        <f t="shared" si="159"/>
        <v>8.0896571999999995</v>
      </c>
      <c r="Y3428">
        <f t="shared" si="160"/>
        <v>6.9296571999999994</v>
      </c>
      <c r="Z3428">
        <f t="shared" si="161"/>
        <v>89.099657199999996</v>
      </c>
    </row>
    <row r="3429" spans="1:26" x14ac:dyDescent="0.3">
      <c r="A3429" t="s">
        <v>3519</v>
      </c>
      <c r="B3429" t="s">
        <v>63</v>
      </c>
      <c r="C3429" t="s">
        <v>56</v>
      </c>
      <c r="D3429" t="s">
        <v>57</v>
      </c>
      <c r="E3429">
        <v>20</v>
      </c>
      <c r="F3429" s="3">
        <v>8.09</v>
      </c>
      <c r="G3429" s="4">
        <v>90.2</v>
      </c>
      <c r="H3429">
        <v>1</v>
      </c>
      <c r="I3429">
        <v>2</v>
      </c>
      <c r="J3429">
        <v>3</v>
      </c>
      <c r="K3429" s="4">
        <v>78.099999999999994</v>
      </c>
      <c r="L3429" s="4">
        <v>67.3</v>
      </c>
      <c r="M3429" s="4">
        <v>86</v>
      </c>
      <c r="N3429">
        <v>2</v>
      </c>
      <c r="O3429" t="s">
        <v>58</v>
      </c>
      <c r="P3429" t="s">
        <v>104</v>
      </c>
      <c r="Q3429" t="s">
        <v>105</v>
      </c>
      <c r="R3429" t="s">
        <v>109</v>
      </c>
      <c r="S3429" s="3">
        <v>14.48</v>
      </c>
      <c r="T3429" s="5">
        <v>45967</v>
      </c>
      <c r="U3429">
        <v>1</v>
      </c>
      <c r="V3429">
        <v>2025</v>
      </c>
      <c r="X3429">
        <f t="shared" si="159"/>
        <v>8.0896571000000002</v>
      </c>
      <c r="Y3429">
        <f t="shared" si="160"/>
        <v>14.479657100000001</v>
      </c>
      <c r="Z3429">
        <f t="shared" si="161"/>
        <v>67.29965709999999</v>
      </c>
    </row>
    <row r="3430" spans="1:26" x14ac:dyDescent="0.3">
      <c r="A3430" t="s">
        <v>3520</v>
      </c>
      <c r="B3430" t="s">
        <v>63</v>
      </c>
      <c r="C3430" t="s">
        <v>56</v>
      </c>
      <c r="D3430" t="s">
        <v>57</v>
      </c>
      <c r="E3430">
        <v>20</v>
      </c>
      <c r="F3430" s="3">
        <v>8.9700000000000006</v>
      </c>
      <c r="G3430" s="4">
        <v>80.3</v>
      </c>
      <c r="H3430">
        <v>3</v>
      </c>
      <c r="I3430">
        <v>2</v>
      </c>
      <c r="J3430">
        <v>2</v>
      </c>
      <c r="K3430" s="4">
        <v>62.6</v>
      </c>
      <c r="L3430" s="4">
        <v>87.6</v>
      </c>
      <c r="M3430" s="4">
        <v>56.9</v>
      </c>
      <c r="N3430">
        <v>1</v>
      </c>
      <c r="O3430" t="s">
        <v>58</v>
      </c>
      <c r="P3430" t="s">
        <v>87</v>
      </c>
      <c r="Q3430" t="s">
        <v>71</v>
      </c>
      <c r="R3430" t="s">
        <v>80</v>
      </c>
      <c r="S3430" s="3">
        <v>8.36</v>
      </c>
      <c r="T3430" s="5">
        <v>45963</v>
      </c>
      <c r="U3430">
        <v>2</v>
      </c>
      <c r="V3430">
        <v>2025</v>
      </c>
      <c r="X3430">
        <f t="shared" si="159"/>
        <v>8.9696569999999998</v>
      </c>
      <c r="Y3430">
        <f t="shared" si="160"/>
        <v>8.3596569999999986</v>
      </c>
      <c r="Z3430">
        <f t="shared" si="161"/>
        <v>87.599656999999993</v>
      </c>
    </row>
    <row r="3431" spans="1:26" x14ac:dyDescent="0.3">
      <c r="A3431" t="s">
        <v>3521</v>
      </c>
      <c r="B3431" t="s">
        <v>107</v>
      </c>
      <c r="C3431" t="s">
        <v>56</v>
      </c>
      <c r="D3431" t="s">
        <v>69</v>
      </c>
      <c r="E3431">
        <v>22</v>
      </c>
      <c r="F3431" s="3">
        <v>8.09</v>
      </c>
      <c r="G3431" s="4">
        <v>88</v>
      </c>
      <c r="H3431">
        <v>3</v>
      </c>
      <c r="I3431">
        <v>3</v>
      </c>
      <c r="J3431">
        <v>3</v>
      </c>
      <c r="K3431" s="4">
        <v>70.5</v>
      </c>
      <c r="L3431" s="4">
        <v>66</v>
      </c>
      <c r="M3431" s="4">
        <v>69.8</v>
      </c>
      <c r="N3431">
        <v>1</v>
      </c>
      <c r="O3431" t="s">
        <v>58</v>
      </c>
      <c r="P3431" t="s">
        <v>90</v>
      </c>
      <c r="Q3431" t="s">
        <v>60</v>
      </c>
      <c r="R3431" t="s">
        <v>85</v>
      </c>
      <c r="S3431" s="3">
        <v>9.56</v>
      </c>
      <c r="T3431" s="5">
        <v>44416</v>
      </c>
      <c r="U3431">
        <v>1</v>
      </c>
      <c r="V3431">
        <v>2021</v>
      </c>
      <c r="X3431">
        <f t="shared" si="159"/>
        <v>8.0896568999999996</v>
      </c>
      <c r="Y3431">
        <f t="shared" si="160"/>
        <v>9.5596569000000002</v>
      </c>
      <c r="Z3431">
        <f t="shared" si="161"/>
        <v>65.999656900000005</v>
      </c>
    </row>
    <row r="3432" spans="1:26" x14ac:dyDescent="0.3">
      <c r="A3432" t="s">
        <v>3522</v>
      </c>
      <c r="B3432" t="s">
        <v>107</v>
      </c>
      <c r="C3432" t="s">
        <v>84</v>
      </c>
      <c r="D3432" t="s">
        <v>57</v>
      </c>
      <c r="E3432">
        <v>23</v>
      </c>
      <c r="F3432" s="3">
        <v>7.27</v>
      </c>
      <c r="G3432" s="4">
        <v>79.099999999999994</v>
      </c>
      <c r="H3432">
        <v>2</v>
      </c>
      <c r="I3432">
        <v>3</v>
      </c>
      <c r="J3432">
        <v>4</v>
      </c>
      <c r="K3432" s="4">
        <v>38.6</v>
      </c>
      <c r="L3432" s="4">
        <v>88.3</v>
      </c>
      <c r="M3432" s="4">
        <v>54</v>
      </c>
      <c r="N3432">
        <v>0</v>
      </c>
      <c r="O3432" t="s">
        <v>64</v>
      </c>
      <c r="P3432" t="s">
        <v>65</v>
      </c>
      <c r="S3432" s="3">
        <v>0</v>
      </c>
      <c r="T3432" s="5"/>
      <c r="U3432">
        <v>0</v>
      </c>
      <c r="V3432">
        <v>2021</v>
      </c>
      <c r="X3432">
        <f t="shared" si="159"/>
        <v>7.2696567999999999</v>
      </c>
      <c r="Y3432">
        <f t="shared" si="160"/>
        <v>-3.4319999999999999E-4</v>
      </c>
      <c r="Z3432">
        <f t="shared" si="161"/>
        <v>88.299656799999994</v>
      </c>
    </row>
    <row r="3433" spans="1:26" x14ac:dyDescent="0.3">
      <c r="A3433" t="s">
        <v>3523</v>
      </c>
      <c r="B3433" t="s">
        <v>82</v>
      </c>
      <c r="C3433" t="s">
        <v>56</v>
      </c>
      <c r="D3433" t="s">
        <v>69</v>
      </c>
      <c r="E3433">
        <v>21</v>
      </c>
      <c r="F3433" s="3">
        <v>7.28</v>
      </c>
      <c r="G3433" s="4">
        <v>78.900000000000006</v>
      </c>
      <c r="H3433">
        <v>1</v>
      </c>
      <c r="I3433">
        <v>2</v>
      </c>
      <c r="J3433">
        <v>2</v>
      </c>
      <c r="K3433" s="4">
        <v>67.8</v>
      </c>
      <c r="L3433" s="4">
        <v>65.8</v>
      </c>
      <c r="M3433" s="4">
        <v>68</v>
      </c>
      <c r="N3433">
        <v>0</v>
      </c>
      <c r="O3433" t="s">
        <v>58</v>
      </c>
      <c r="P3433" t="s">
        <v>75</v>
      </c>
      <c r="Q3433" t="s">
        <v>71</v>
      </c>
      <c r="R3433" t="s">
        <v>85</v>
      </c>
      <c r="S3433" s="3">
        <v>5.73</v>
      </c>
      <c r="T3433" s="5">
        <v>44819</v>
      </c>
      <c r="U3433">
        <v>1</v>
      </c>
      <c r="V3433">
        <v>2022</v>
      </c>
      <c r="X3433">
        <f t="shared" si="159"/>
        <v>7.2796567000000003</v>
      </c>
      <c r="Y3433">
        <f t="shared" si="160"/>
        <v>5.7296567000000005</v>
      </c>
      <c r="Z3433">
        <f t="shared" si="161"/>
        <v>65.7996567</v>
      </c>
    </row>
    <row r="3434" spans="1:26" x14ac:dyDescent="0.3">
      <c r="A3434" t="s">
        <v>3524</v>
      </c>
      <c r="B3434" t="s">
        <v>55</v>
      </c>
      <c r="C3434" t="s">
        <v>89</v>
      </c>
      <c r="D3434" t="s">
        <v>57</v>
      </c>
      <c r="E3434">
        <v>20</v>
      </c>
      <c r="F3434" s="3">
        <v>7.64</v>
      </c>
      <c r="G3434" s="4">
        <v>73.599999999999994</v>
      </c>
      <c r="H3434">
        <v>1</v>
      </c>
      <c r="I3434">
        <v>3</v>
      </c>
      <c r="J3434">
        <v>4</v>
      </c>
      <c r="K3434" s="4">
        <v>79.3</v>
      </c>
      <c r="L3434" s="4">
        <v>68.099999999999994</v>
      </c>
      <c r="M3434" s="4">
        <v>69.8</v>
      </c>
      <c r="N3434">
        <v>0</v>
      </c>
      <c r="O3434" t="s">
        <v>58</v>
      </c>
      <c r="P3434" t="s">
        <v>75</v>
      </c>
      <c r="Q3434" t="s">
        <v>71</v>
      </c>
      <c r="R3434" t="s">
        <v>72</v>
      </c>
      <c r="S3434" s="3">
        <v>6.27</v>
      </c>
      <c r="T3434" s="5">
        <v>45587</v>
      </c>
      <c r="U3434">
        <v>2</v>
      </c>
      <c r="V3434">
        <v>2024</v>
      </c>
      <c r="X3434">
        <f t="shared" si="159"/>
        <v>7.6396565999999995</v>
      </c>
      <c r="Y3434">
        <f t="shared" si="160"/>
        <v>6.2696565999999994</v>
      </c>
      <c r="Z3434">
        <f t="shared" si="161"/>
        <v>68.099656599999989</v>
      </c>
    </row>
    <row r="3435" spans="1:26" x14ac:dyDescent="0.3">
      <c r="A3435" t="s">
        <v>3525</v>
      </c>
      <c r="B3435" t="s">
        <v>107</v>
      </c>
      <c r="C3435" t="s">
        <v>56</v>
      </c>
      <c r="D3435" t="s">
        <v>69</v>
      </c>
      <c r="E3435">
        <v>23</v>
      </c>
      <c r="F3435" s="3">
        <v>8.67</v>
      </c>
      <c r="G3435" s="4">
        <v>97.4</v>
      </c>
      <c r="H3435">
        <v>0</v>
      </c>
      <c r="I3435">
        <v>0</v>
      </c>
      <c r="J3435">
        <v>4</v>
      </c>
      <c r="K3435" s="4">
        <v>72.2</v>
      </c>
      <c r="L3435" s="4">
        <v>54.4</v>
      </c>
      <c r="M3435" s="4">
        <v>70</v>
      </c>
      <c r="N3435">
        <v>2</v>
      </c>
      <c r="O3435" t="s">
        <v>58</v>
      </c>
      <c r="P3435" t="s">
        <v>59</v>
      </c>
      <c r="Q3435" t="s">
        <v>60</v>
      </c>
      <c r="R3435" t="s">
        <v>130</v>
      </c>
      <c r="S3435" s="3">
        <v>19.46</v>
      </c>
      <c r="T3435" s="5">
        <v>44451</v>
      </c>
      <c r="U3435">
        <v>1</v>
      </c>
      <c r="V3435">
        <v>2021</v>
      </c>
      <c r="X3435">
        <f t="shared" si="159"/>
        <v>8.6696565000000003</v>
      </c>
      <c r="Y3435">
        <f t="shared" si="160"/>
        <v>19.459656500000001</v>
      </c>
      <c r="Z3435">
        <f t="shared" si="161"/>
        <v>54.399656499999999</v>
      </c>
    </row>
    <row r="3436" spans="1:26" x14ac:dyDescent="0.3">
      <c r="A3436" t="s">
        <v>3526</v>
      </c>
      <c r="B3436" t="s">
        <v>55</v>
      </c>
      <c r="C3436" t="s">
        <v>84</v>
      </c>
      <c r="D3436" t="s">
        <v>57</v>
      </c>
      <c r="E3436">
        <v>20</v>
      </c>
      <c r="F3436" s="3">
        <v>8.3800000000000008</v>
      </c>
      <c r="G3436" s="4">
        <v>77.599999999999994</v>
      </c>
      <c r="H3436">
        <v>2</v>
      </c>
      <c r="I3436">
        <v>3</v>
      </c>
      <c r="J3436">
        <v>4</v>
      </c>
      <c r="K3436" s="4">
        <v>66.099999999999994</v>
      </c>
      <c r="L3436" s="4">
        <v>95.9</v>
      </c>
      <c r="M3436" s="4">
        <v>69.3</v>
      </c>
      <c r="N3436">
        <v>0</v>
      </c>
      <c r="O3436" t="s">
        <v>58</v>
      </c>
      <c r="P3436" t="s">
        <v>79</v>
      </c>
      <c r="Q3436" t="s">
        <v>71</v>
      </c>
      <c r="R3436" t="s">
        <v>61</v>
      </c>
      <c r="S3436" s="3">
        <v>8.4600000000000009</v>
      </c>
      <c r="T3436" s="5">
        <v>45616</v>
      </c>
      <c r="U3436">
        <v>1</v>
      </c>
      <c r="V3436">
        <v>2024</v>
      </c>
      <c r="X3436">
        <f t="shared" si="159"/>
        <v>8.3796564</v>
      </c>
      <c r="Y3436">
        <f t="shared" si="160"/>
        <v>8.4596564000000001</v>
      </c>
      <c r="Z3436">
        <f t="shared" si="161"/>
        <v>95.899656400000012</v>
      </c>
    </row>
    <row r="3437" spans="1:26" x14ac:dyDescent="0.3">
      <c r="A3437" t="s">
        <v>3527</v>
      </c>
      <c r="B3437" t="s">
        <v>67</v>
      </c>
      <c r="C3437" t="s">
        <v>56</v>
      </c>
      <c r="D3437" t="s">
        <v>57</v>
      </c>
      <c r="E3437">
        <v>22</v>
      </c>
      <c r="F3437" s="3">
        <v>6.67</v>
      </c>
      <c r="G3437" s="4">
        <v>74.8</v>
      </c>
      <c r="H3437">
        <v>1</v>
      </c>
      <c r="I3437">
        <v>1</v>
      </c>
      <c r="J3437">
        <v>3</v>
      </c>
      <c r="K3437" s="4">
        <v>53.3</v>
      </c>
      <c r="L3437" s="4">
        <v>58.7</v>
      </c>
      <c r="M3437" s="4">
        <v>77.400000000000006</v>
      </c>
      <c r="N3437">
        <v>2</v>
      </c>
      <c r="O3437" t="s">
        <v>64</v>
      </c>
      <c r="P3437" t="s">
        <v>65</v>
      </c>
      <c r="S3437" s="3">
        <v>0</v>
      </c>
      <c r="T3437" s="5"/>
      <c r="U3437">
        <v>0</v>
      </c>
      <c r="V3437">
        <v>2023</v>
      </c>
      <c r="X3437">
        <f t="shared" si="159"/>
        <v>6.6696562999999998</v>
      </c>
      <c r="Y3437">
        <f t="shared" si="160"/>
        <v>-3.4370000000000001E-4</v>
      </c>
      <c r="Z3437">
        <f t="shared" si="161"/>
        <v>58.699656300000001</v>
      </c>
    </row>
    <row r="3438" spans="1:26" x14ac:dyDescent="0.3">
      <c r="A3438" t="s">
        <v>3528</v>
      </c>
      <c r="B3438" t="s">
        <v>63</v>
      </c>
      <c r="C3438" t="s">
        <v>84</v>
      </c>
      <c r="D3438" t="s">
        <v>57</v>
      </c>
      <c r="E3438">
        <v>23</v>
      </c>
      <c r="F3438" s="3">
        <v>7.9</v>
      </c>
      <c r="G3438" s="4">
        <v>72.599999999999994</v>
      </c>
      <c r="H3438">
        <v>1</v>
      </c>
      <c r="I3438">
        <v>2</v>
      </c>
      <c r="J3438">
        <v>1</v>
      </c>
      <c r="K3438" s="4">
        <v>42.9</v>
      </c>
      <c r="L3438" s="4">
        <v>50.8</v>
      </c>
      <c r="M3438" s="4">
        <v>60.6</v>
      </c>
      <c r="N3438">
        <v>0</v>
      </c>
      <c r="O3438" t="s">
        <v>58</v>
      </c>
      <c r="P3438" t="s">
        <v>90</v>
      </c>
      <c r="Q3438" t="s">
        <v>60</v>
      </c>
      <c r="R3438" t="s">
        <v>80</v>
      </c>
      <c r="S3438" s="3">
        <v>6.82</v>
      </c>
      <c r="T3438" s="5">
        <v>45909</v>
      </c>
      <c r="U3438">
        <v>1</v>
      </c>
      <c r="V3438">
        <v>2025</v>
      </c>
      <c r="X3438">
        <f t="shared" si="159"/>
        <v>7.8996562000000008</v>
      </c>
      <c r="Y3438">
        <f t="shared" si="160"/>
        <v>6.8196562000000007</v>
      </c>
      <c r="Z3438">
        <f t="shared" si="161"/>
        <v>50.799656199999994</v>
      </c>
    </row>
    <row r="3439" spans="1:26" x14ac:dyDescent="0.3">
      <c r="A3439" t="s">
        <v>3529</v>
      </c>
      <c r="B3439" t="s">
        <v>55</v>
      </c>
      <c r="C3439" t="s">
        <v>89</v>
      </c>
      <c r="D3439" t="s">
        <v>57</v>
      </c>
      <c r="E3439">
        <v>23</v>
      </c>
      <c r="F3439" s="3">
        <v>8.39</v>
      </c>
      <c r="G3439" s="4">
        <v>82.8</v>
      </c>
      <c r="H3439">
        <v>1</v>
      </c>
      <c r="I3439">
        <v>2</v>
      </c>
      <c r="J3439">
        <v>3</v>
      </c>
      <c r="K3439" s="4">
        <v>57.1</v>
      </c>
      <c r="L3439" s="4">
        <v>94.3</v>
      </c>
      <c r="M3439" s="4">
        <v>78.7</v>
      </c>
      <c r="N3439">
        <v>0</v>
      </c>
      <c r="O3439" t="s">
        <v>58</v>
      </c>
      <c r="P3439" t="s">
        <v>92</v>
      </c>
      <c r="Q3439" t="s">
        <v>93</v>
      </c>
      <c r="R3439" t="s">
        <v>61</v>
      </c>
      <c r="S3439" s="3">
        <v>11.58</v>
      </c>
      <c r="T3439" s="5">
        <v>45598</v>
      </c>
      <c r="U3439">
        <v>2</v>
      </c>
      <c r="V3439">
        <v>2024</v>
      </c>
      <c r="X3439">
        <f t="shared" si="159"/>
        <v>8.3896560999999998</v>
      </c>
      <c r="Y3439">
        <f t="shared" si="160"/>
        <v>11.579656099999999</v>
      </c>
      <c r="Z3439">
        <f t="shared" si="161"/>
        <v>94.299656099999993</v>
      </c>
    </row>
    <row r="3440" spans="1:26" x14ac:dyDescent="0.3">
      <c r="A3440" t="s">
        <v>3530</v>
      </c>
      <c r="B3440" t="s">
        <v>63</v>
      </c>
      <c r="C3440" t="s">
        <v>56</v>
      </c>
      <c r="D3440" t="s">
        <v>57</v>
      </c>
      <c r="E3440">
        <v>22</v>
      </c>
      <c r="F3440" s="3">
        <v>7.44</v>
      </c>
      <c r="G3440" s="4">
        <v>72.8</v>
      </c>
      <c r="H3440">
        <v>1</v>
      </c>
      <c r="I3440">
        <v>2</v>
      </c>
      <c r="J3440">
        <v>3</v>
      </c>
      <c r="K3440" s="4">
        <v>82.6</v>
      </c>
      <c r="L3440" s="4">
        <v>79.900000000000006</v>
      </c>
      <c r="M3440" s="4">
        <v>67.900000000000006</v>
      </c>
      <c r="N3440">
        <v>0</v>
      </c>
      <c r="O3440" t="s">
        <v>64</v>
      </c>
      <c r="P3440" t="s">
        <v>65</v>
      </c>
      <c r="S3440" s="3">
        <v>0</v>
      </c>
      <c r="T3440" s="5"/>
      <c r="U3440">
        <v>0</v>
      </c>
      <c r="V3440">
        <v>2025</v>
      </c>
      <c r="X3440">
        <f t="shared" si="159"/>
        <v>7.4396560000000003</v>
      </c>
      <c r="Y3440">
        <f t="shared" si="160"/>
        <v>-3.4399999999999996E-4</v>
      </c>
      <c r="Z3440">
        <f t="shared" si="161"/>
        <v>79.899656000000007</v>
      </c>
    </row>
    <row r="3441" spans="1:26" x14ac:dyDescent="0.3">
      <c r="A3441" t="s">
        <v>3531</v>
      </c>
      <c r="B3441" t="s">
        <v>55</v>
      </c>
      <c r="C3441" t="s">
        <v>84</v>
      </c>
      <c r="D3441" t="s">
        <v>57</v>
      </c>
      <c r="E3441">
        <v>21</v>
      </c>
      <c r="F3441" s="3">
        <v>5.71</v>
      </c>
      <c r="G3441" s="4">
        <v>75.599999999999994</v>
      </c>
      <c r="H3441">
        <v>1</v>
      </c>
      <c r="I3441">
        <v>1</v>
      </c>
      <c r="J3441">
        <v>4</v>
      </c>
      <c r="K3441" s="4">
        <v>67.2</v>
      </c>
      <c r="L3441" s="4">
        <v>93.8</v>
      </c>
      <c r="M3441" s="4">
        <v>83.1</v>
      </c>
      <c r="N3441">
        <v>1</v>
      </c>
      <c r="O3441" t="s">
        <v>64</v>
      </c>
      <c r="P3441" t="s">
        <v>65</v>
      </c>
      <c r="S3441" s="3">
        <v>0</v>
      </c>
      <c r="T3441" s="5"/>
      <c r="U3441">
        <v>0</v>
      </c>
      <c r="V3441">
        <v>2024</v>
      </c>
      <c r="X3441">
        <f t="shared" si="159"/>
        <v>5.7096558999999996</v>
      </c>
      <c r="Y3441">
        <f t="shared" si="160"/>
        <v>-3.4409999999999996E-4</v>
      </c>
      <c r="Z3441">
        <f t="shared" si="161"/>
        <v>93.799655899999991</v>
      </c>
    </row>
    <row r="3442" spans="1:26" x14ac:dyDescent="0.3">
      <c r="A3442" t="s">
        <v>3532</v>
      </c>
      <c r="B3442" t="s">
        <v>67</v>
      </c>
      <c r="C3442" t="s">
        <v>68</v>
      </c>
      <c r="D3442" t="s">
        <v>69</v>
      </c>
      <c r="E3442">
        <v>20</v>
      </c>
      <c r="F3442" s="3">
        <v>7.47</v>
      </c>
      <c r="G3442" s="4">
        <v>89.2</v>
      </c>
      <c r="H3442">
        <v>3</v>
      </c>
      <c r="I3442">
        <v>1</v>
      </c>
      <c r="J3442">
        <v>6</v>
      </c>
      <c r="K3442" s="4">
        <v>77.7</v>
      </c>
      <c r="L3442" s="4">
        <v>59.3</v>
      </c>
      <c r="M3442" s="4">
        <v>73.3</v>
      </c>
      <c r="N3442">
        <v>1</v>
      </c>
      <c r="O3442" t="s">
        <v>58</v>
      </c>
      <c r="P3442" t="s">
        <v>92</v>
      </c>
      <c r="Q3442" t="s">
        <v>93</v>
      </c>
      <c r="R3442" t="s">
        <v>80</v>
      </c>
      <c r="S3442" s="3">
        <v>9.6300000000000008</v>
      </c>
      <c r="T3442" s="5">
        <v>45158</v>
      </c>
      <c r="U3442">
        <v>1</v>
      </c>
      <c r="V3442">
        <v>2023</v>
      </c>
      <c r="X3442">
        <f t="shared" si="159"/>
        <v>7.4696558</v>
      </c>
      <c r="Y3442">
        <f t="shared" si="160"/>
        <v>9.6296558000000001</v>
      </c>
      <c r="Z3442">
        <f t="shared" si="161"/>
        <v>59.299655799999996</v>
      </c>
    </row>
    <row r="3443" spans="1:26" x14ac:dyDescent="0.3">
      <c r="A3443" t="s">
        <v>3533</v>
      </c>
      <c r="B3443" t="s">
        <v>107</v>
      </c>
      <c r="C3443" t="s">
        <v>74</v>
      </c>
      <c r="D3443" t="s">
        <v>69</v>
      </c>
      <c r="E3443">
        <v>22</v>
      </c>
      <c r="F3443" s="3">
        <v>6.31</v>
      </c>
      <c r="G3443" s="4">
        <v>86</v>
      </c>
      <c r="H3443">
        <v>0</v>
      </c>
      <c r="I3443">
        <v>0</v>
      </c>
      <c r="J3443">
        <v>3</v>
      </c>
      <c r="K3443" s="4">
        <v>88.1</v>
      </c>
      <c r="L3443" s="4">
        <v>79.099999999999994</v>
      </c>
      <c r="M3443" s="4">
        <v>66.900000000000006</v>
      </c>
      <c r="N3443">
        <v>0</v>
      </c>
      <c r="O3443" t="s">
        <v>64</v>
      </c>
      <c r="P3443" t="s">
        <v>65</v>
      </c>
      <c r="S3443" s="3">
        <v>0</v>
      </c>
      <c r="T3443" s="5"/>
      <c r="U3443">
        <v>0</v>
      </c>
      <c r="V3443">
        <v>2021</v>
      </c>
      <c r="X3443">
        <f t="shared" si="159"/>
        <v>6.3096556999999995</v>
      </c>
      <c r="Y3443">
        <f t="shared" si="160"/>
        <v>-3.4429999999999997E-4</v>
      </c>
      <c r="Z3443">
        <f t="shared" si="161"/>
        <v>79.0996557</v>
      </c>
    </row>
    <row r="3444" spans="1:26" x14ac:dyDescent="0.3">
      <c r="A3444" t="s">
        <v>3534</v>
      </c>
      <c r="B3444" t="s">
        <v>67</v>
      </c>
      <c r="C3444" t="s">
        <v>78</v>
      </c>
      <c r="D3444" t="s">
        <v>57</v>
      </c>
      <c r="E3444">
        <v>23</v>
      </c>
      <c r="F3444" s="3">
        <v>6.17</v>
      </c>
      <c r="G3444" s="4">
        <v>69.900000000000006</v>
      </c>
      <c r="H3444">
        <v>2</v>
      </c>
      <c r="I3444">
        <v>2</v>
      </c>
      <c r="J3444">
        <v>4</v>
      </c>
      <c r="K3444" s="4">
        <v>69.7</v>
      </c>
      <c r="L3444" s="4">
        <v>91</v>
      </c>
      <c r="M3444" s="4">
        <v>58.3</v>
      </c>
      <c r="N3444">
        <v>0</v>
      </c>
      <c r="O3444" t="s">
        <v>64</v>
      </c>
      <c r="P3444" t="s">
        <v>65</v>
      </c>
      <c r="S3444" s="3">
        <v>0</v>
      </c>
      <c r="T3444" s="5"/>
      <c r="U3444">
        <v>0</v>
      </c>
      <c r="V3444">
        <v>2023</v>
      </c>
      <c r="X3444">
        <f t="shared" si="159"/>
        <v>6.1696555999999996</v>
      </c>
      <c r="Y3444">
        <f t="shared" si="160"/>
        <v>-3.4439999999999997E-4</v>
      </c>
      <c r="Z3444">
        <f t="shared" si="161"/>
        <v>90.999655599999997</v>
      </c>
    </row>
    <row r="3445" spans="1:26" x14ac:dyDescent="0.3">
      <c r="A3445" t="s">
        <v>3535</v>
      </c>
      <c r="B3445" t="s">
        <v>107</v>
      </c>
      <c r="C3445" t="s">
        <v>84</v>
      </c>
      <c r="D3445" t="s">
        <v>69</v>
      </c>
      <c r="E3445">
        <v>22</v>
      </c>
      <c r="F3445" s="3">
        <v>8.61</v>
      </c>
      <c r="G3445" s="4">
        <v>88.5</v>
      </c>
      <c r="H3445">
        <v>1</v>
      </c>
      <c r="I3445">
        <v>0</v>
      </c>
      <c r="J3445">
        <v>2</v>
      </c>
      <c r="K3445" s="4">
        <v>79.8</v>
      </c>
      <c r="L3445" s="4">
        <v>52.9</v>
      </c>
      <c r="M3445" s="4">
        <v>77.599999999999994</v>
      </c>
      <c r="N3445">
        <v>0</v>
      </c>
      <c r="O3445" t="s">
        <v>64</v>
      </c>
      <c r="P3445" t="s">
        <v>65</v>
      </c>
      <c r="S3445" s="3">
        <v>0</v>
      </c>
      <c r="T3445" s="5"/>
      <c r="U3445">
        <v>0</v>
      </c>
      <c r="V3445">
        <v>2021</v>
      </c>
      <c r="X3445">
        <f t="shared" si="159"/>
        <v>8.6096554999999988</v>
      </c>
      <c r="Y3445">
        <f t="shared" si="160"/>
        <v>-3.4449999999999997E-4</v>
      </c>
      <c r="Z3445">
        <f t="shared" si="161"/>
        <v>52.899655500000001</v>
      </c>
    </row>
    <row r="3446" spans="1:26" x14ac:dyDescent="0.3">
      <c r="A3446" t="s">
        <v>3536</v>
      </c>
      <c r="B3446" t="s">
        <v>107</v>
      </c>
      <c r="C3446" t="s">
        <v>68</v>
      </c>
      <c r="D3446" t="s">
        <v>69</v>
      </c>
      <c r="E3446">
        <v>23</v>
      </c>
      <c r="F3446" s="3">
        <v>9.92</v>
      </c>
      <c r="G3446" s="4">
        <v>82.3</v>
      </c>
      <c r="H3446">
        <v>2</v>
      </c>
      <c r="I3446">
        <v>1</v>
      </c>
      <c r="J3446">
        <v>2</v>
      </c>
      <c r="K3446" s="4">
        <v>83.9</v>
      </c>
      <c r="L3446" s="4">
        <v>74.900000000000006</v>
      </c>
      <c r="M3446" s="4">
        <v>71.7</v>
      </c>
      <c r="N3446">
        <v>0</v>
      </c>
      <c r="O3446" t="s">
        <v>58</v>
      </c>
      <c r="P3446" t="s">
        <v>70</v>
      </c>
      <c r="Q3446" t="s">
        <v>71</v>
      </c>
      <c r="R3446" t="s">
        <v>72</v>
      </c>
      <c r="S3446" s="3">
        <v>8.27</v>
      </c>
      <c r="T3446" s="5">
        <v>44521</v>
      </c>
      <c r="U3446">
        <v>1</v>
      </c>
      <c r="V3446">
        <v>2021</v>
      </c>
      <c r="X3446">
        <f t="shared" si="159"/>
        <v>9.9196553999999999</v>
      </c>
      <c r="Y3446">
        <f t="shared" si="160"/>
        <v>8.2696553999999995</v>
      </c>
      <c r="Z3446">
        <f t="shared" si="161"/>
        <v>74.8996554</v>
      </c>
    </row>
    <row r="3447" spans="1:26" x14ac:dyDescent="0.3">
      <c r="A3447" t="s">
        <v>3537</v>
      </c>
      <c r="B3447" t="s">
        <v>63</v>
      </c>
      <c r="C3447" t="s">
        <v>74</v>
      </c>
      <c r="D3447" t="s">
        <v>69</v>
      </c>
      <c r="E3447">
        <v>22</v>
      </c>
      <c r="F3447" s="3">
        <v>8.8800000000000008</v>
      </c>
      <c r="G3447" s="4">
        <v>92.2</v>
      </c>
      <c r="H3447">
        <v>3</v>
      </c>
      <c r="I3447">
        <v>0</v>
      </c>
      <c r="J3447">
        <v>4</v>
      </c>
      <c r="K3447" s="4">
        <v>48.4</v>
      </c>
      <c r="L3447" s="4">
        <v>63.2</v>
      </c>
      <c r="M3447" s="4">
        <v>91.6</v>
      </c>
      <c r="N3447">
        <v>1</v>
      </c>
      <c r="O3447" t="s">
        <v>58</v>
      </c>
      <c r="P3447" t="s">
        <v>70</v>
      </c>
      <c r="Q3447" t="s">
        <v>71</v>
      </c>
      <c r="R3447" t="s">
        <v>85</v>
      </c>
      <c r="S3447" s="3">
        <v>7.12</v>
      </c>
      <c r="T3447" s="5">
        <v>45892</v>
      </c>
      <c r="U3447">
        <v>1</v>
      </c>
      <c r="V3447">
        <v>2025</v>
      </c>
      <c r="X3447">
        <f t="shared" si="159"/>
        <v>8.8796553000000014</v>
      </c>
      <c r="Y3447">
        <f t="shared" si="160"/>
        <v>7.1196552999999998</v>
      </c>
      <c r="Z3447">
        <f t="shared" si="161"/>
        <v>63.199655300000003</v>
      </c>
    </row>
    <row r="3448" spans="1:26" x14ac:dyDescent="0.3">
      <c r="A3448" t="s">
        <v>3538</v>
      </c>
      <c r="B3448" t="s">
        <v>67</v>
      </c>
      <c r="C3448" t="s">
        <v>101</v>
      </c>
      <c r="D3448" t="s">
        <v>57</v>
      </c>
      <c r="E3448">
        <v>21</v>
      </c>
      <c r="F3448" s="3">
        <v>5.3</v>
      </c>
      <c r="G3448" s="4">
        <v>94.8</v>
      </c>
      <c r="H3448">
        <v>1</v>
      </c>
      <c r="I3448">
        <v>0</v>
      </c>
      <c r="J3448">
        <v>4</v>
      </c>
      <c r="K3448" s="4">
        <v>57.3</v>
      </c>
      <c r="L3448" s="4">
        <v>64.099999999999994</v>
      </c>
      <c r="M3448" s="4">
        <v>92.5</v>
      </c>
      <c r="N3448">
        <v>3</v>
      </c>
      <c r="O3448" t="s">
        <v>64</v>
      </c>
      <c r="P3448" t="s">
        <v>65</v>
      </c>
      <c r="S3448" s="3">
        <v>0</v>
      </c>
      <c r="T3448" s="5"/>
      <c r="U3448">
        <v>0</v>
      </c>
      <c r="V3448">
        <v>2023</v>
      </c>
      <c r="X3448">
        <f t="shared" si="159"/>
        <v>5.2996552000000001</v>
      </c>
      <c r="Y3448">
        <f t="shared" si="160"/>
        <v>-3.4479999999999998E-4</v>
      </c>
      <c r="Z3448">
        <f t="shared" si="161"/>
        <v>64.099655200000001</v>
      </c>
    </row>
    <row r="3449" spans="1:26" x14ac:dyDescent="0.3">
      <c r="A3449" t="s">
        <v>3539</v>
      </c>
      <c r="B3449" t="s">
        <v>55</v>
      </c>
      <c r="C3449" t="s">
        <v>78</v>
      </c>
      <c r="D3449" t="s">
        <v>57</v>
      </c>
      <c r="E3449">
        <v>23</v>
      </c>
      <c r="F3449" s="3">
        <v>7.49</v>
      </c>
      <c r="G3449" s="4">
        <v>67.5</v>
      </c>
      <c r="H3449">
        <v>0</v>
      </c>
      <c r="I3449">
        <v>4</v>
      </c>
      <c r="J3449">
        <v>5</v>
      </c>
      <c r="K3449" s="4">
        <v>44.4</v>
      </c>
      <c r="L3449" s="4">
        <v>57.7</v>
      </c>
      <c r="M3449" s="4">
        <v>68.2</v>
      </c>
      <c r="N3449">
        <v>0</v>
      </c>
      <c r="O3449" t="s">
        <v>58</v>
      </c>
      <c r="P3449" t="s">
        <v>92</v>
      </c>
      <c r="Q3449" t="s">
        <v>93</v>
      </c>
      <c r="R3449" t="s">
        <v>109</v>
      </c>
      <c r="S3449" s="3">
        <v>9.64</v>
      </c>
      <c r="T3449" s="5">
        <v>45621</v>
      </c>
      <c r="U3449">
        <v>2</v>
      </c>
      <c r="V3449">
        <v>2024</v>
      </c>
      <c r="X3449">
        <f t="shared" si="159"/>
        <v>7.4896551000000002</v>
      </c>
      <c r="Y3449">
        <f t="shared" si="160"/>
        <v>9.6396551000000006</v>
      </c>
      <c r="Z3449">
        <f t="shared" si="161"/>
        <v>57.699655100000001</v>
      </c>
    </row>
    <row r="3450" spans="1:26" x14ac:dyDescent="0.3">
      <c r="A3450" t="s">
        <v>3540</v>
      </c>
      <c r="B3450" t="s">
        <v>67</v>
      </c>
      <c r="C3450" t="s">
        <v>84</v>
      </c>
      <c r="D3450" t="s">
        <v>57</v>
      </c>
      <c r="E3450">
        <v>22</v>
      </c>
      <c r="F3450" s="3">
        <v>7.12</v>
      </c>
      <c r="G3450" s="4">
        <v>88.9</v>
      </c>
      <c r="H3450">
        <v>1</v>
      </c>
      <c r="I3450">
        <v>2</v>
      </c>
      <c r="J3450">
        <v>5</v>
      </c>
      <c r="K3450" s="4">
        <v>42.5</v>
      </c>
      <c r="L3450" s="4">
        <v>76.400000000000006</v>
      </c>
      <c r="M3450" s="4">
        <v>45.7</v>
      </c>
      <c r="N3450">
        <v>1</v>
      </c>
      <c r="O3450" t="s">
        <v>64</v>
      </c>
      <c r="P3450" t="s">
        <v>65</v>
      </c>
      <c r="S3450" s="3">
        <v>0</v>
      </c>
      <c r="T3450" s="5"/>
      <c r="U3450">
        <v>0</v>
      </c>
      <c r="V3450">
        <v>2023</v>
      </c>
      <c r="X3450">
        <f t="shared" si="159"/>
        <v>7.1196549999999998</v>
      </c>
      <c r="Y3450">
        <f t="shared" si="160"/>
        <v>-3.4499999999999998E-4</v>
      </c>
      <c r="Z3450">
        <f t="shared" si="161"/>
        <v>76.39965500000001</v>
      </c>
    </row>
    <row r="3451" spans="1:26" x14ac:dyDescent="0.3">
      <c r="A3451" t="s">
        <v>3541</v>
      </c>
      <c r="B3451" t="s">
        <v>63</v>
      </c>
      <c r="C3451" t="s">
        <v>78</v>
      </c>
      <c r="D3451" t="s">
        <v>69</v>
      </c>
      <c r="E3451">
        <v>21</v>
      </c>
      <c r="F3451" s="3">
        <v>6.33</v>
      </c>
      <c r="G3451" s="4">
        <v>96.7</v>
      </c>
      <c r="H3451">
        <v>1</v>
      </c>
      <c r="I3451">
        <v>4</v>
      </c>
      <c r="J3451">
        <v>1</v>
      </c>
      <c r="K3451" s="4">
        <v>61</v>
      </c>
      <c r="L3451" s="4">
        <v>66.400000000000006</v>
      </c>
      <c r="M3451" s="4">
        <v>84.6</v>
      </c>
      <c r="N3451">
        <v>0</v>
      </c>
      <c r="O3451" t="s">
        <v>58</v>
      </c>
      <c r="P3451" t="s">
        <v>70</v>
      </c>
      <c r="Q3451" t="s">
        <v>71</v>
      </c>
      <c r="R3451" t="s">
        <v>72</v>
      </c>
      <c r="S3451" s="3">
        <v>3.2</v>
      </c>
      <c r="T3451" s="5">
        <v>45913</v>
      </c>
      <c r="U3451">
        <v>1</v>
      </c>
      <c r="V3451">
        <v>2025</v>
      </c>
      <c r="X3451">
        <f t="shared" si="159"/>
        <v>6.3296549000000004</v>
      </c>
      <c r="Y3451">
        <f t="shared" si="160"/>
        <v>3.1996549000000001</v>
      </c>
      <c r="Z3451">
        <f t="shared" si="161"/>
        <v>66.399654900000002</v>
      </c>
    </row>
    <row r="3452" spans="1:26" x14ac:dyDescent="0.3">
      <c r="A3452" t="s">
        <v>3542</v>
      </c>
      <c r="B3452" t="s">
        <v>107</v>
      </c>
      <c r="C3452" t="s">
        <v>56</v>
      </c>
      <c r="D3452" t="s">
        <v>57</v>
      </c>
      <c r="E3452">
        <v>21</v>
      </c>
      <c r="F3452" s="3">
        <v>8.07</v>
      </c>
      <c r="G3452" s="4">
        <v>83.9</v>
      </c>
      <c r="H3452">
        <v>2</v>
      </c>
      <c r="I3452">
        <v>2</v>
      </c>
      <c r="J3452">
        <v>4</v>
      </c>
      <c r="K3452" s="4">
        <v>64.400000000000006</v>
      </c>
      <c r="L3452" s="4">
        <v>56.1</v>
      </c>
      <c r="M3452" s="4">
        <v>67.599999999999994</v>
      </c>
      <c r="N3452">
        <v>0</v>
      </c>
      <c r="O3452" t="s">
        <v>58</v>
      </c>
      <c r="P3452" t="s">
        <v>75</v>
      </c>
      <c r="Q3452" t="s">
        <v>71</v>
      </c>
      <c r="R3452" t="s">
        <v>85</v>
      </c>
      <c r="S3452" s="3">
        <v>6.28</v>
      </c>
      <c r="T3452" s="5">
        <v>44447</v>
      </c>
      <c r="U3452">
        <v>1</v>
      </c>
      <c r="V3452">
        <v>2021</v>
      </c>
      <c r="X3452">
        <f t="shared" si="159"/>
        <v>8.0696548000000003</v>
      </c>
      <c r="Y3452">
        <f t="shared" si="160"/>
        <v>6.2796548000000003</v>
      </c>
      <c r="Z3452">
        <f t="shared" si="161"/>
        <v>56.099654800000003</v>
      </c>
    </row>
    <row r="3453" spans="1:26" x14ac:dyDescent="0.3">
      <c r="A3453" t="s">
        <v>3543</v>
      </c>
      <c r="B3453" t="s">
        <v>63</v>
      </c>
      <c r="C3453" t="s">
        <v>84</v>
      </c>
      <c r="D3453" t="s">
        <v>57</v>
      </c>
      <c r="E3453">
        <v>20</v>
      </c>
      <c r="F3453" s="3">
        <v>7.48</v>
      </c>
      <c r="G3453" s="4">
        <v>88.2</v>
      </c>
      <c r="H3453">
        <v>0</v>
      </c>
      <c r="I3453">
        <v>3</v>
      </c>
      <c r="J3453">
        <v>5</v>
      </c>
      <c r="K3453" s="4">
        <v>41.8</v>
      </c>
      <c r="L3453" s="4">
        <v>91.3</v>
      </c>
      <c r="M3453" s="4">
        <v>69.8</v>
      </c>
      <c r="N3453">
        <v>0</v>
      </c>
      <c r="O3453" t="s">
        <v>58</v>
      </c>
      <c r="P3453" t="s">
        <v>59</v>
      </c>
      <c r="Q3453" t="s">
        <v>60</v>
      </c>
      <c r="R3453" t="s">
        <v>72</v>
      </c>
      <c r="S3453" s="3">
        <v>19.36</v>
      </c>
      <c r="T3453" s="5">
        <v>45911</v>
      </c>
      <c r="U3453">
        <v>2</v>
      </c>
      <c r="V3453">
        <v>2025</v>
      </c>
      <c r="X3453">
        <f t="shared" si="159"/>
        <v>7.4796547000000002</v>
      </c>
      <c r="Y3453">
        <f t="shared" si="160"/>
        <v>19.3596547</v>
      </c>
      <c r="Z3453">
        <f t="shared" si="161"/>
        <v>91.299654699999991</v>
      </c>
    </row>
    <row r="3454" spans="1:26" x14ac:dyDescent="0.3">
      <c r="A3454" t="s">
        <v>3544</v>
      </c>
      <c r="B3454" t="s">
        <v>82</v>
      </c>
      <c r="C3454" t="s">
        <v>56</v>
      </c>
      <c r="D3454" t="s">
        <v>57</v>
      </c>
      <c r="E3454">
        <v>23</v>
      </c>
      <c r="F3454" s="3">
        <v>6.6</v>
      </c>
      <c r="G3454" s="4">
        <v>84</v>
      </c>
      <c r="H3454">
        <v>0</v>
      </c>
      <c r="I3454">
        <v>2</v>
      </c>
      <c r="J3454">
        <v>4</v>
      </c>
      <c r="K3454" s="4">
        <v>74.400000000000006</v>
      </c>
      <c r="L3454" s="4">
        <v>70.8</v>
      </c>
      <c r="M3454" s="4">
        <v>88.3</v>
      </c>
      <c r="N3454">
        <v>1</v>
      </c>
      <c r="O3454" t="s">
        <v>58</v>
      </c>
      <c r="P3454" t="s">
        <v>75</v>
      </c>
      <c r="Q3454" t="s">
        <v>71</v>
      </c>
      <c r="R3454" t="s">
        <v>85</v>
      </c>
      <c r="S3454" s="3">
        <v>3</v>
      </c>
      <c r="T3454" s="5">
        <v>44867</v>
      </c>
      <c r="U3454">
        <v>1</v>
      </c>
      <c r="V3454">
        <v>2022</v>
      </c>
      <c r="X3454">
        <f t="shared" si="159"/>
        <v>6.5996546</v>
      </c>
      <c r="Y3454">
        <f t="shared" si="160"/>
        <v>2.9996545999999999</v>
      </c>
      <c r="Z3454">
        <f t="shared" si="161"/>
        <v>70.799654599999997</v>
      </c>
    </row>
    <row r="3455" spans="1:26" x14ac:dyDescent="0.3">
      <c r="A3455" t="s">
        <v>3545</v>
      </c>
      <c r="B3455" t="s">
        <v>82</v>
      </c>
      <c r="C3455" t="s">
        <v>74</v>
      </c>
      <c r="D3455" t="s">
        <v>57</v>
      </c>
      <c r="E3455">
        <v>20</v>
      </c>
      <c r="F3455" s="3">
        <v>5.8</v>
      </c>
      <c r="G3455" s="4">
        <v>90.8</v>
      </c>
      <c r="H3455">
        <v>2</v>
      </c>
      <c r="I3455">
        <v>2</v>
      </c>
      <c r="J3455">
        <v>6</v>
      </c>
      <c r="K3455" s="4">
        <v>61.2</v>
      </c>
      <c r="L3455" s="4">
        <v>46.5</v>
      </c>
      <c r="M3455" s="4">
        <v>78.2</v>
      </c>
      <c r="N3455">
        <v>0</v>
      </c>
      <c r="O3455" t="s">
        <v>58</v>
      </c>
      <c r="P3455" t="s">
        <v>79</v>
      </c>
      <c r="Q3455" t="s">
        <v>71</v>
      </c>
      <c r="R3455" t="s">
        <v>72</v>
      </c>
      <c r="S3455" s="3">
        <v>3.77</v>
      </c>
      <c r="T3455" s="5">
        <v>44821</v>
      </c>
      <c r="U3455">
        <v>1</v>
      </c>
      <c r="V3455">
        <v>2022</v>
      </c>
      <c r="X3455">
        <f t="shared" si="159"/>
        <v>5.7996544999999999</v>
      </c>
      <c r="Y3455">
        <f t="shared" si="160"/>
        <v>3.7696545000000001</v>
      </c>
      <c r="Z3455">
        <f t="shared" si="161"/>
        <v>46.499654499999998</v>
      </c>
    </row>
    <row r="3456" spans="1:26" x14ac:dyDescent="0.3">
      <c r="A3456" t="s">
        <v>3546</v>
      </c>
      <c r="B3456" t="s">
        <v>55</v>
      </c>
      <c r="C3456" t="s">
        <v>68</v>
      </c>
      <c r="D3456" t="s">
        <v>69</v>
      </c>
      <c r="E3456">
        <v>21</v>
      </c>
      <c r="F3456" s="3">
        <v>7.1</v>
      </c>
      <c r="G3456" s="4">
        <v>85.5</v>
      </c>
      <c r="H3456">
        <v>1</v>
      </c>
      <c r="I3456">
        <v>2</v>
      </c>
      <c r="J3456">
        <v>1</v>
      </c>
      <c r="K3456" s="4">
        <v>88.1</v>
      </c>
      <c r="L3456" s="4">
        <v>59.7</v>
      </c>
      <c r="M3456" s="4">
        <v>84.2</v>
      </c>
      <c r="N3456">
        <v>0</v>
      </c>
      <c r="O3456" t="s">
        <v>58</v>
      </c>
      <c r="P3456" t="s">
        <v>70</v>
      </c>
      <c r="Q3456" t="s">
        <v>71</v>
      </c>
      <c r="R3456" t="s">
        <v>130</v>
      </c>
      <c r="S3456" s="3">
        <v>5.6</v>
      </c>
      <c r="T3456" s="5">
        <v>45595</v>
      </c>
      <c r="U3456">
        <v>1</v>
      </c>
      <c r="V3456">
        <v>2024</v>
      </c>
      <c r="X3456">
        <f t="shared" si="159"/>
        <v>7.0996543999999995</v>
      </c>
      <c r="Y3456">
        <f t="shared" si="160"/>
        <v>5.5996543999999995</v>
      </c>
      <c r="Z3456">
        <f t="shared" si="161"/>
        <v>59.6996544</v>
      </c>
    </row>
    <row r="3457" spans="1:26" x14ac:dyDescent="0.3">
      <c r="A3457" t="s">
        <v>3547</v>
      </c>
      <c r="B3457" t="s">
        <v>63</v>
      </c>
      <c r="C3457" t="s">
        <v>89</v>
      </c>
      <c r="D3457" t="s">
        <v>57</v>
      </c>
      <c r="E3457">
        <v>20</v>
      </c>
      <c r="F3457" s="3">
        <v>7.66</v>
      </c>
      <c r="G3457" s="4">
        <v>63.8</v>
      </c>
      <c r="H3457">
        <v>1</v>
      </c>
      <c r="I3457">
        <v>1</v>
      </c>
      <c r="J3457">
        <v>5</v>
      </c>
      <c r="K3457" s="4">
        <v>70.599999999999994</v>
      </c>
      <c r="L3457" s="4">
        <v>47.8</v>
      </c>
      <c r="M3457" s="4">
        <v>86.8</v>
      </c>
      <c r="N3457">
        <v>3</v>
      </c>
      <c r="O3457" t="s">
        <v>58</v>
      </c>
      <c r="P3457" t="s">
        <v>70</v>
      </c>
      <c r="Q3457" t="s">
        <v>71</v>
      </c>
      <c r="R3457" t="s">
        <v>72</v>
      </c>
      <c r="S3457" s="3">
        <v>5.81</v>
      </c>
      <c r="T3457" s="5">
        <v>45957</v>
      </c>
      <c r="U3457">
        <v>2</v>
      </c>
      <c r="V3457">
        <v>2025</v>
      </c>
      <c r="X3457">
        <f t="shared" si="159"/>
        <v>7.6596543000000006</v>
      </c>
      <c r="Y3457">
        <f t="shared" si="160"/>
        <v>5.8096543</v>
      </c>
      <c r="Z3457">
        <f t="shared" si="161"/>
        <v>47.7996543</v>
      </c>
    </row>
    <row r="3458" spans="1:26" x14ac:dyDescent="0.3">
      <c r="A3458" t="s">
        <v>3548</v>
      </c>
      <c r="B3458" t="s">
        <v>55</v>
      </c>
      <c r="C3458" t="s">
        <v>56</v>
      </c>
      <c r="D3458" t="s">
        <v>69</v>
      </c>
      <c r="E3458">
        <v>20</v>
      </c>
      <c r="F3458" s="3">
        <v>7.54</v>
      </c>
      <c r="G3458" s="4">
        <v>80.900000000000006</v>
      </c>
      <c r="H3458">
        <v>1</v>
      </c>
      <c r="I3458">
        <v>2</v>
      </c>
      <c r="J3458">
        <v>3</v>
      </c>
      <c r="K3458" s="4">
        <v>70.5</v>
      </c>
      <c r="L3458" s="4">
        <v>60.6</v>
      </c>
      <c r="M3458" s="4">
        <v>72</v>
      </c>
      <c r="N3458">
        <v>2</v>
      </c>
      <c r="O3458" t="s">
        <v>58</v>
      </c>
      <c r="P3458" t="s">
        <v>104</v>
      </c>
      <c r="Q3458" t="s">
        <v>105</v>
      </c>
      <c r="R3458" t="s">
        <v>80</v>
      </c>
      <c r="S3458" s="3">
        <v>15.69</v>
      </c>
      <c r="T3458" s="5">
        <v>45571</v>
      </c>
      <c r="U3458">
        <v>1</v>
      </c>
      <c r="V3458">
        <v>2024</v>
      </c>
      <c r="X3458">
        <f t="shared" ref="X3458:X3501" si="162">F3458-ROW()*0.0000001</f>
        <v>7.5396542000000002</v>
      </c>
      <c r="Y3458">
        <f t="shared" ref="Y3458:Y3501" si="163">S3458-ROW()*0.0000001</f>
        <v>15.6896542</v>
      </c>
      <c r="Z3458">
        <f t="shared" ref="Z3458:Z3501" si="164">L3458-ROW()*0.0000001</f>
        <v>60.599654200000003</v>
      </c>
    </row>
    <row r="3459" spans="1:26" x14ac:dyDescent="0.3">
      <c r="A3459" t="s">
        <v>3549</v>
      </c>
      <c r="B3459" t="s">
        <v>55</v>
      </c>
      <c r="C3459" t="s">
        <v>101</v>
      </c>
      <c r="D3459" t="s">
        <v>69</v>
      </c>
      <c r="E3459">
        <v>22</v>
      </c>
      <c r="F3459" s="3">
        <v>8.61</v>
      </c>
      <c r="G3459" s="4">
        <v>80.3</v>
      </c>
      <c r="H3459">
        <v>2</v>
      </c>
      <c r="I3459">
        <v>4</v>
      </c>
      <c r="J3459">
        <v>4</v>
      </c>
      <c r="K3459" s="4">
        <v>65.099999999999994</v>
      </c>
      <c r="L3459" s="4">
        <v>75.3</v>
      </c>
      <c r="M3459" s="4">
        <v>82.2</v>
      </c>
      <c r="N3459">
        <v>0</v>
      </c>
      <c r="O3459" t="s">
        <v>58</v>
      </c>
      <c r="P3459" t="s">
        <v>75</v>
      </c>
      <c r="Q3459" t="s">
        <v>71</v>
      </c>
      <c r="R3459" t="s">
        <v>72</v>
      </c>
      <c r="S3459" s="3">
        <v>8.4700000000000006</v>
      </c>
      <c r="T3459" s="5">
        <v>45598</v>
      </c>
      <c r="U3459">
        <v>3</v>
      </c>
      <c r="V3459">
        <v>2024</v>
      </c>
      <c r="X3459">
        <f t="shared" si="162"/>
        <v>8.6096541000000002</v>
      </c>
      <c r="Y3459">
        <f t="shared" si="163"/>
        <v>8.4696541000000014</v>
      </c>
      <c r="Z3459">
        <f t="shared" si="164"/>
        <v>75.299654099999998</v>
      </c>
    </row>
    <row r="3460" spans="1:26" x14ac:dyDescent="0.3">
      <c r="A3460" t="s">
        <v>3550</v>
      </c>
      <c r="B3460" t="s">
        <v>82</v>
      </c>
      <c r="C3460" t="s">
        <v>74</v>
      </c>
      <c r="D3460" t="s">
        <v>57</v>
      </c>
      <c r="E3460">
        <v>20</v>
      </c>
      <c r="F3460" s="3">
        <v>7.95</v>
      </c>
      <c r="G3460" s="4">
        <v>88.4</v>
      </c>
      <c r="H3460">
        <v>0</v>
      </c>
      <c r="I3460">
        <v>3</v>
      </c>
      <c r="J3460">
        <v>4</v>
      </c>
      <c r="K3460" s="4">
        <v>66.3</v>
      </c>
      <c r="L3460" s="4">
        <v>79.3</v>
      </c>
      <c r="M3460" s="4">
        <v>75.3</v>
      </c>
      <c r="N3460">
        <v>0</v>
      </c>
      <c r="O3460" t="s">
        <v>58</v>
      </c>
      <c r="P3460" t="s">
        <v>90</v>
      </c>
      <c r="Q3460" t="s">
        <v>60</v>
      </c>
      <c r="R3460" t="s">
        <v>85</v>
      </c>
      <c r="S3460" s="3">
        <v>8.11</v>
      </c>
      <c r="T3460" s="5">
        <v>44808</v>
      </c>
      <c r="U3460">
        <v>3</v>
      </c>
      <c r="V3460">
        <v>2022</v>
      </c>
      <c r="X3460">
        <f t="shared" si="162"/>
        <v>7.9496539999999998</v>
      </c>
      <c r="Y3460">
        <f t="shared" si="163"/>
        <v>8.109653999999999</v>
      </c>
      <c r="Z3460">
        <f t="shared" si="164"/>
        <v>79.299654000000004</v>
      </c>
    </row>
    <row r="3461" spans="1:26" x14ac:dyDescent="0.3">
      <c r="A3461" t="s">
        <v>3551</v>
      </c>
      <c r="B3461" t="s">
        <v>55</v>
      </c>
      <c r="C3461" t="s">
        <v>74</v>
      </c>
      <c r="D3461" t="s">
        <v>57</v>
      </c>
      <c r="E3461">
        <v>21</v>
      </c>
      <c r="F3461" s="3">
        <v>7.34</v>
      </c>
      <c r="G3461" s="4">
        <v>92.6</v>
      </c>
      <c r="H3461">
        <v>1</v>
      </c>
      <c r="I3461">
        <v>2</v>
      </c>
      <c r="J3461">
        <v>3</v>
      </c>
      <c r="K3461" s="4">
        <v>73.2</v>
      </c>
      <c r="L3461" s="4">
        <v>82.7</v>
      </c>
      <c r="M3461" s="4">
        <v>80.5</v>
      </c>
      <c r="N3461">
        <v>2</v>
      </c>
      <c r="O3461" t="s">
        <v>58</v>
      </c>
      <c r="P3461" t="s">
        <v>95</v>
      </c>
      <c r="Q3461" t="s">
        <v>93</v>
      </c>
      <c r="R3461" t="s">
        <v>109</v>
      </c>
      <c r="S3461" s="3">
        <v>5.9</v>
      </c>
      <c r="T3461" s="5">
        <v>45601</v>
      </c>
      <c r="U3461">
        <v>3</v>
      </c>
      <c r="V3461">
        <v>2024</v>
      </c>
      <c r="X3461">
        <f t="shared" si="162"/>
        <v>7.3396539000000001</v>
      </c>
      <c r="Y3461">
        <f t="shared" si="163"/>
        <v>5.8996539000000006</v>
      </c>
      <c r="Z3461">
        <f t="shared" si="164"/>
        <v>82.699653900000001</v>
      </c>
    </row>
    <row r="3462" spans="1:26" x14ac:dyDescent="0.3">
      <c r="A3462" t="s">
        <v>3552</v>
      </c>
      <c r="B3462" t="s">
        <v>82</v>
      </c>
      <c r="C3462" t="s">
        <v>101</v>
      </c>
      <c r="D3462" t="s">
        <v>69</v>
      </c>
      <c r="E3462">
        <v>20</v>
      </c>
      <c r="F3462" s="3">
        <v>6.91</v>
      </c>
      <c r="G3462" s="4">
        <v>80</v>
      </c>
      <c r="H3462">
        <v>2</v>
      </c>
      <c r="I3462">
        <v>4</v>
      </c>
      <c r="J3462">
        <v>6</v>
      </c>
      <c r="K3462" s="4">
        <v>80.7</v>
      </c>
      <c r="L3462" s="4">
        <v>60.6</v>
      </c>
      <c r="M3462" s="4">
        <v>75.900000000000006</v>
      </c>
      <c r="N3462">
        <v>1</v>
      </c>
      <c r="O3462" t="s">
        <v>58</v>
      </c>
      <c r="P3462" t="s">
        <v>90</v>
      </c>
      <c r="Q3462" t="s">
        <v>60</v>
      </c>
      <c r="R3462" t="s">
        <v>72</v>
      </c>
      <c r="S3462" s="3">
        <v>6.61</v>
      </c>
      <c r="T3462" s="5">
        <v>44810</v>
      </c>
      <c r="U3462">
        <v>1</v>
      </c>
      <c r="V3462">
        <v>2022</v>
      </c>
      <c r="X3462">
        <f t="shared" si="162"/>
        <v>6.9096538000000001</v>
      </c>
      <c r="Y3462">
        <f t="shared" si="163"/>
        <v>6.6096538000000002</v>
      </c>
      <c r="Z3462">
        <f t="shared" si="164"/>
        <v>60.599653799999999</v>
      </c>
    </row>
    <row r="3463" spans="1:26" x14ac:dyDescent="0.3">
      <c r="A3463" t="s">
        <v>3553</v>
      </c>
      <c r="B3463" t="s">
        <v>107</v>
      </c>
      <c r="C3463" t="s">
        <v>74</v>
      </c>
      <c r="D3463" t="s">
        <v>57</v>
      </c>
      <c r="E3463">
        <v>23</v>
      </c>
      <c r="F3463" s="3">
        <v>6.06</v>
      </c>
      <c r="G3463" s="4">
        <v>71</v>
      </c>
      <c r="H3463">
        <v>1</v>
      </c>
      <c r="I3463">
        <v>5</v>
      </c>
      <c r="J3463">
        <v>2</v>
      </c>
      <c r="K3463" s="4">
        <v>49.3</v>
      </c>
      <c r="L3463" s="4">
        <v>64.7</v>
      </c>
      <c r="M3463" s="4">
        <v>90.3</v>
      </c>
      <c r="N3463">
        <v>2</v>
      </c>
      <c r="O3463" t="s">
        <v>64</v>
      </c>
      <c r="P3463" t="s">
        <v>65</v>
      </c>
      <c r="S3463" s="3">
        <v>0</v>
      </c>
      <c r="T3463" s="5"/>
      <c r="U3463">
        <v>0</v>
      </c>
      <c r="V3463">
        <v>2021</v>
      </c>
      <c r="X3463">
        <f t="shared" si="162"/>
        <v>6.0596536999999993</v>
      </c>
      <c r="Y3463">
        <f t="shared" si="163"/>
        <v>-3.4629999999999996E-4</v>
      </c>
      <c r="Z3463">
        <f t="shared" si="164"/>
        <v>64.699653699999999</v>
      </c>
    </row>
    <row r="3464" spans="1:26" x14ac:dyDescent="0.3">
      <c r="A3464" t="s">
        <v>3554</v>
      </c>
      <c r="B3464" t="s">
        <v>63</v>
      </c>
      <c r="C3464" t="s">
        <v>56</v>
      </c>
      <c r="D3464" t="s">
        <v>57</v>
      </c>
      <c r="E3464">
        <v>22</v>
      </c>
      <c r="F3464" s="3">
        <v>6.67</v>
      </c>
      <c r="G3464" s="4">
        <v>84.8</v>
      </c>
      <c r="H3464">
        <v>2</v>
      </c>
      <c r="I3464">
        <v>2</v>
      </c>
      <c r="J3464">
        <v>2</v>
      </c>
      <c r="K3464" s="4">
        <v>56.3</v>
      </c>
      <c r="L3464" s="4">
        <v>76.599999999999994</v>
      </c>
      <c r="M3464" s="4">
        <v>58.6</v>
      </c>
      <c r="N3464">
        <v>0</v>
      </c>
      <c r="O3464" t="s">
        <v>64</v>
      </c>
      <c r="P3464" t="s">
        <v>65</v>
      </c>
      <c r="S3464" s="3">
        <v>0</v>
      </c>
      <c r="T3464" s="5"/>
      <c r="U3464">
        <v>0</v>
      </c>
      <c r="V3464">
        <v>2025</v>
      </c>
      <c r="X3464">
        <f t="shared" si="162"/>
        <v>6.6696536000000002</v>
      </c>
      <c r="Y3464">
        <f t="shared" si="163"/>
        <v>-3.4639999999999996E-4</v>
      </c>
      <c r="Z3464">
        <f t="shared" si="164"/>
        <v>76.599653599999996</v>
      </c>
    </row>
    <row r="3465" spans="1:26" x14ac:dyDescent="0.3">
      <c r="A3465" t="s">
        <v>3555</v>
      </c>
      <c r="B3465" t="s">
        <v>55</v>
      </c>
      <c r="C3465" t="s">
        <v>56</v>
      </c>
      <c r="D3465" t="s">
        <v>57</v>
      </c>
      <c r="E3465">
        <v>21</v>
      </c>
      <c r="F3465" s="3">
        <v>8.8699999999999992</v>
      </c>
      <c r="G3465" s="4">
        <v>75</v>
      </c>
      <c r="H3465">
        <v>2</v>
      </c>
      <c r="I3465">
        <v>4</v>
      </c>
      <c r="J3465">
        <v>5</v>
      </c>
      <c r="K3465" s="4">
        <v>72.099999999999994</v>
      </c>
      <c r="L3465" s="4">
        <v>82.9</v>
      </c>
      <c r="M3465" s="4">
        <v>68.8</v>
      </c>
      <c r="N3465">
        <v>0</v>
      </c>
      <c r="O3465" t="s">
        <v>58</v>
      </c>
      <c r="P3465" t="s">
        <v>90</v>
      </c>
      <c r="Q3465" t="s">
        <v>60</v>
      </c>
      <c r="R3465" t="s">
        <v>130</v>
      </c>
      <c r="S3465" s="3">
        <v>9.32</v>
      </c>
      <c r="T3465" s="5">
        <v>45520</v>
      </c>
      <c r="U3465">
        <v>1</v>
      </c>
      <c r="V3465">
        <v>2024</v>
      </c>
      <c r="X3465">
        <f t="shared" si="162"/>
        <v>8.8696535000000001</v>
      </c>
      <c r="Y3465">
        <f t="shared" si="163"/>
        <v>9.3196535000000011</v>
      </c>
      <c r="Z3465">
        <f t="shared" si="164"/>
        <v>82.899653499999999</v>
      </c>
    </row>
    <row r="3466" spans="1:26" x14ac:dyDescent="0.3">
      <c r="A3466" t="s">
        <v>3556</v>
      </c>
      <c r="B3466" t="s">
        <v>82</v>
      </c>
      <c r="C3466" t="s">
        <v>84</v>
      </c>
      <c r="D3466" t="s">
        <v>57</v>
      </c>
      <c r="E3466">
        <v>20</v>
      </c>
      <c r="F3466" s="3">
        <v>8.43</v>
      </c>
      <c r="G3466" s="4">
        <v>76.5</v>
      </c>
      <c r="H3466">
        <v>2</v>
      </c>
      <c r="I3466">
        <v>0</v>
      </c>
      <c r="J3466">
        <v>2</v>
      </c>
      <c r="K3466" s="4">
        <v>67.5</v>
      </c>
      <c r="L3466" s="4">
        <v>67.900000000000006</v>
      </c>
      <c r="M3466" s="4">
        <v>72.900000000000006</v>
      </c>
      <c r="N3466">
        <v>0</v>
      </c>
      <c r="O3466" t="s">
        <v>58</v>
      </c>
      <c r="P3466" t="s">
        <v>59</v>
      </c>
      <c r="Q3466" t="s">
        <v>60</v>
      </c>
      <c r="R3466" t="s">
        <v>61</v>
      </c>
      <c r="S3466" s="3">
        <v>18.86</v>
      </c>
      <c r="T3466" s="5">
        <v>44821</v>
      </c>
      <c r="U3466">
        <v>1</v>
      </c>
      <c r="V3466">
        <v>2022</v>
      </c>
      <c r="X3466">
        <f t="shared" si="162"/>
        <v>8.4296533999999994</v>
      </c>
      <c r="Y3466">
        <f t="shared" si="163"/>
        <v>18.859653399999999</v>
      </c>
      <c r="Z3466">
        <f t="shared" si="164"/>
        <v>67.899653400000005</v>
      </c>
    </row>
    <row r="3467" spans="1:26" x14ac:dyDescent="0.3">
      <c r="A3467" t="s">
        <v>3557</v>
      </c>
      <c r="B3467" t="s">
        <v>67</v>
      </c>
      <c r="C3467" t="s">
        <v>56</v>
      </c>
      <c r="D3467" t="s">
        <v>57</v>
      </c>
      <c r="E3467">
        <v>23</v>
      </c>
      <c r="F3467" s="3">
        <v>7.91</v>
      </c>
      <c r="G3467" s="4">
        <v>100</v>
      </c>
      <c r="H3467">
        <v>2</v>
      </c>
      <c r="I3467">
        <v>0</v>
      </c>
      <c r="J3467">
        <v>3</v>
      </c>
      <c r="K3467" s="4">
        <v>79.099999999999994</v>
      </c>
      <c r="L3467" s="4">
        <v>79.599999999999994</v>
      </c>
      <c r="M3467" s="4">
        <v>75.400000000000006</v>
      </c>
      <c r="N3467">
        <v>0</v>
      </c>
      <c r="O3467" t="s">
        <v>64</v>
      </c>
      <c r="P3467" t="s">
        <v>65</v>
      </c>
      <c r="S3467" s="3">
        <v>0</v>
      </c>
      <c r="T3467" s="5"/>
      <c r="U3467">
        <v>0</v>
      </c>
      <c r="V3467">
        <v>2023</v>
      </c>
      <c r="X3467">
        <f t="shared" si="162"/>
        <v>7.9096533000000004</v>
      </c>
      <c r="Y3467">
        <f t="shared" si="163"/>
        <v>-3.4669999999999997E-4</v>
      </c>
      <c r="Z3467">
        <f t="shared" si="164"/>
        <v>79.5996533</v>
      </c>
    </row>
    <row r="3468" spans="1:26" x14ac:dyDescent="0.3">
      <c r="A3468" t="s">
        <v>3558</v>
      </c>
      <c r="B3468" t="s">
        <v>55</v>
      </c>
      <c r="C3468" t="s">
        <v>74</v>
      </c>
      <c r="D3468" t="s">
        <v>57</v>
      </c>
      <c r="E3468">
        <v>21</v>
      </c>
      <c r="F3468" s="3">
        <v>7.21</v>
      </c>
      <c r="G3468" s="4">
        <v>75.900000000000006</v>
      </c>
      <c r="H3468">
        <v>2</v>
      </c>
      <c r="I3468">
        <v>0</v>
      </c>
      <c r="J3468">
        <v>5</v>
      </c>
      <c r="K3468" s="4">
        <v>58.6</v>
      </c>
      <c r="L3468" s="4">
        <v>61.6</v>
      </c>
      <c r="M3468" s="4">
        <v>58.6</v>
      </c>
      <c r="N3468">
        <v>2</v>
      </c>
      <c r="O3468" t="s">
        <v>64</v>
      </c>
      <c r="P3468" t="s">
        <v>65</v>
      </c>
      <c r="S3468" s="3">
        <v>0</v>
      </c>
      <c r="T3468" s="5"/>
      <c r="U3468">
        <v>0</v>
      </c>
      <c r="V3468">
        <v>2024</v>
      </c>
      <c r="X3468">
        <f t="shared" si="162"/>
        <v>7.2096532</v>
      </c>
      <c r="Y3468">
        <f t="shared" si="163"/>
        <v>-3.4679999999999997E-4</v>
      </c>
      <c r="Z3468">
        <f t="shared" si="164"/>
        <v>61.599653199999999</v>
      </c>
    </row>
    <row r="3469" spans="1:26" x14ac:dyDescent="0.3">
      <c r="A3469" t="s">
        <v>3559</v>
      </c>
      <c r="B3469" t="s">
        <v>107</v>
      </c>
      <c r="C3469" t="s">
        <v>68</v>
      </c>
      <c r="D3469" t="s">
        <v>57</v>
      </c>
      <c r="E3469">
        <v>20</v>
      </c>
      <c r="F3469" s="3">
        <v>8.77</v>
      </c>
      <c r="G3469" s="4">
        <v>67.900000000000006</v>
      </c>
      <c r="H3469">
        <v>2</v>
      </c>
      <c r="I3469">
        <v>3</v>
      </c>
      <c r="J3469">
        <v>5</v>
      </c>
      <c r="K3469" s="4">
        <v>85.7</v>
      </c>
      <c r="L3469" s="4">
        <v>37.799999999999997</v>
      </c>
      <c r="M3469" s="4">
        <v>65.099999999999994</v>
      </c>
      <c r="N3469">
        <v>0</v>
      </c>
      <c r="O3469" t="s">
        <v>58</v>
      </c>
      <c r="P3469" t="s">
        <v>112</v>
      </c>
      <c r="Q3469" t="s">
        <v>93</v>
      </c>
      <c r="R3469" t="s">
        <v>130</v>
      </c>
      <c r="S3469" s="3">
        <v>6.28</v>
      </c>
      <c r="T3469" s="5">
        <v>44422</v>
      </c>
      <c r="U3469">
        <v>1</v>
      </c>
      <c r="V3469">
        <v>2021</v>
      </c>
      <c r="X3469">
        <f t="shared" si="162"/>
        <v>8.7696530999999993</v>
      </c>
      <c r="Y3469">
        <f t="shared" si="163"/>
        <v>6.2796531</v>
      </c>
      <c r="Z3469">
        <f t="shared" si="164"/>
        <v>37.7996531</v>
      </c>
    </row>
    <row r="3470" spans="1:26" x14ac:dyDescent="0.3">
      <c r="A3470" t="s">
        <v>3560</v>
      </c>
      <c r="B3470" t="s">
        <v>107</v>
      </c>
      <c r="C3470" t="s">
        <v>68</v>
      </c>
      <c r="D3470" t="s">
        <v>57</v>
      </c>
      <c r="E3470">
        <v>22</v>
      </c>
      <c r="F3470" s="3">
        <v>6.74</v>
      </c>
      <c r="G3470" s="4">
        <v>87.4</v>
      </c>
      <c r="H3470">
        <v>2</v>
      </c>
      <c r="I3470">
        <v>0</v>
      </c>
      <c r="J3470">
        <v>6</v>
      </c>
      <c r="K3470" s="4">
        <v>60.8</v>
      </c>
      <c r="L3470" s="4">
        <v>83.6</v>
      </c>
      <c r="M3470" s="4">
        <v>74.400000000000006</v>
      </c>
      <c r="N3470">
        <v>0</v>
      </c>
      <c r="O3470" t="s">
        <v>58</v>
      </c>
      <c r="P3470" t="s">
        <v>87</v>
      </c>
      <c r="Q3470" t="s">
        <v>71</v>
      </c>
      <c r="R3470" t="s">
        <v>130</v>
      </c>
      <c r="S3470" s="3">
        <v>7.94</v>
      </c>
      <c r="T3470" s="5">
        <v>44504</v>
      </c>
      <c r="U3470">
        <v>1</v>
      </c>
      <c r="V3470">
        <v>2021</v>
      </c>
      <c r="X3470">
        <f t="shared" si="162"/>
        <v>6.7396530000000006</v>
      </c>
      <c r="Y3470">
        <f t="shared" si="163"/>
        <v>7.9396530000000007</v>
      </c>
      <c r="Z3470">
        <f t="shared" si="164"/>
        <v>83.599652999999989</v>
      </c>
    </row>
    <row r="3471" spans="1:26" x14ac:dyDescent="0.3">
      <c r="A3471" t="s">
        <v>3561</v>
      </c>
      <c r="B3471" t="s">
        <v>67</v>
      </c>
      <c r="C3471" t="s">
        <v>56</v>
      </c>
      <c r="D3471" t="s">
        <v>69</v>
      </c>
      <c r="E3471">
        <v>20</v>
      </c>
      <c r="F3471" s="3">
        <v>6.75</v>
      </c>
      <c r="G3471" s="4">
        <v>88.4</v>
      </c>
      <c r="H3471">
        <v>1</v>
      </c>
      <c r="I3471">
        <v>0</v>
      </c>
      <c r="J3471">
        <v>5</v>
      </c>
      <c r="K3471" s="4">
        <v>63.6</v>
      </c>
      <c r="L3471" s="4">
        <v>78.5</v>
      </c>
      <c r="M3471" s="4">
        <v>67.5</v>
      </c>
      <c r="N3471">
        <v>0</v>
      </c>
      <c r="O3471" t="s">
        <v>58</v>
      </c>
      <c r="P3471" t="s">
        <v>70</v>
      </c>
      <c r="Q3471" t="s">
        <v>71</v>
      </c>
      <c r="R3471" t="s">
        <v>76</v>
      </c>
      <c r="S3471" s="3">
        <v>5.4</v>
      </c>
      <c r="T3471" s="5">
        <v>45214</v>
      </c>
      <c r="U3471">
        <v>1</v>
      </c>
      <c r="V3471">
        <v>2023</v>
      </c>
      <c r="X3471">
        <f t="shared" si="162"/>
        <v>6.7496529000000001</v>
      </c>
      <c r="Y3471">
        <f t="shared" si="163"/>
        <v>5.3996529000000004</v>
      </c>
      <c r="Z3471">
        <f t="shared" si="164"/>
        <v>78.499652900000001</v>
      </c>
    </row>
    <row r="3472" spans="1:26" x14ac:dyDescent="0.3">
      <c r="A3472" t="s">
        <v>3562</v>
      </c>
      <c r="B3472" t="s">
        <v>82</v>
      </c>
      <c r="C3472" t="s">
        <v>68</v>
      </c>
      <c r="D3472" t="s">
        <v>57</v>
      </c>
      <c r="E3472">
        <v>21</v>
      </c>
      <c r="F3472" s="3">
        <v>7.57</v>
      </c>
      <c r="G3472" s="4">
        <v>89.9</v>
      </c>
      <c r="H3472">
        <v>0</v>
      </c>
      <c r="I3472">
        <v>0</v>
      </c>
      <c r="J3472">
        <v>5</v>
      </c>
      <c r="K3472" s="4">
        <v>83.3</v>
      </c>
      <c r="L3472" s="4">
        <v>68.5</v>
      </c>
      <c r="M3472" s="4">
        <v>53.4</v>
      </c>
      <c r="N3472">
        <v>0</v>
      </c>
      <c r="O3472" t="s">
        <v>58</v>
      </c>
      <c r="P3472" t="s">
        <v>112</v>
      </c>
      <c r="Q3472" t="s">
        <v>93</v>
      </c>
      <c r="R3472" t="s">
        <v>61</v>
      </c>
      <c r="S3472" s="3">
        <v>6.07</v>
      </c>
      <c r="T3472" s="5">
        <v>44815</v>
      </c>
      <c r="U3472">
        <v>1</v>
      </c>
      <c r="V3472">
        <v>2022</v>
      </c>
      <c r="X3472">
        <f t="shared" si="162"/>
        <v>7.5696528000000001</v>
      </c>
      <c r="Y3472">
        <f t="shared" si="163"/>
        <v>6.0696528000000001</v>
      </c>
      <c r="Z3472">
        <f t="shared" si="164"/>
        <v>68.499652800000007</v>
      </c>
    </row>
    <row r="3473" spans="1:26" x14ac:dyDescent="0.3">
      <c r="A3473" t="s">
        <v>3563</v>
      </c>
      <c r="B3473" t="s">
        <v>55</v>
      </c>
      <c r="C3473" t="s">
        <v>74</v>
      </c>
      <c r="D3473" t="s">
        <v>69</v>
      </c>
      <c r="E3473">
        <v>21</v>
      </c>
      <c r="F3473" s="3">
        <v>5.69</v>
      </c>
      <c r="G3473" s="4">
        <v>89.6</v>
      </c>
      <c r="H3473">
        <v>1</v>
      </c>
      <c r="I3473">
        <v>1</v>
      </c>
      <c r="J3473">
        <v>6</v>
      </c>
      <c r="K3473" s="4">
        <v>76</v>
      </c>
      <c r="L3473" s="4">
        <v>72.599999999999994</v>
      </c>
      <c r="M3473" s="4">
        <v>69.599999999999994</v>
      </c>
      <c r="N3473">
        <v>0</v>
      </c>
      <c r="O3473" t="s">
        <v>58</v>
      </c>
      <c r="P3473" t="s">
        <v>104</v>
      </c>
      <c r="Q3473" t="s">
        <v>105</v>
      </c>
      <c r="R3473" t="s">
        <v>76</v>
      </c>
      <c r="S3473" s="3">
        <v>14.62</v>
      </c>
      <c r="T3473" s="5">
        <v>45506</v>
      </c>
      <c r="U3473">
        <v>1</v>
      </c>
      <c r="V3473">
        <v>2024</v>
      </c>
      <c r="X3473">
        <f t="shared" si="162"/>
        <v>5.6896527000000008</v>
      </c>
      <c r="Y3473">
        <f t="shared" si="163"/>
        <v>14.6196527</v>
      </c>
      <c r="Z3473">
        <f t="shared" si="164"/>
        <v>72.599652699999993</v>
      </c>
    </row>
    <row r="3474" spans="1:26" x14ac:dyDescent="0.3">
      <c r="A3474" t="s">
        <v>3564</v>
      </c>
      <c r="B3474" t="s">
        <v>82</v>
      </c>
      <c r="C3474" t="s">
        <v>84</v>
      </c>
      <c r="D3474" t="s">
        <v>57</v>
      </c>
      <c r="E3474">
        <v>21</v>
      </c>
      <c r="F3474" s="3">
        <v>6.71</v>
      </c>
      <c r="G3474" s="4">
        <v>83.3</v>
      </c>
      <c r="H3474">
        <v>1</v>
      </c>
      <c r="I3474">
        <v>2</v>
      </c>
      <c r="J3474">
        <v>4</v>
      </c>
      <c r="K3474" s="4">
        <v>95.7</v>
      </c>
      <c r="L3474" s="4">
        <v>87.3</v>
      </c>
      <c r="M3474" s="4">
        <v>59.4</v>
      </c>
      <c r="N3474">
        <v>0</v>
      </c>
      <c r="O3474" t="s">
        <v>58</v>
      </c>
      <c r="P3474" t="s">
        <v>90</v>
      </c>
      <c r="Q3474" t="s">
        <v>60</v>
      </c>
      <c r="R3474" t="s">
        <v>109</v>
      </c>
      <c r="S3474" s="3">
        <v>7.81</v>
      </c>
      <c r="T3474" s="5">
        <v>44826</v>
      </c>
      <c r="U3474">
        <v>1</v>
      </c>
      <c r="V3474">
        <v>2022</v>
      </c>
      <c r="X3474">
        <f t="shared" si="162"/>
        <v>6.7096526000000001</v>
      </c>
      <c r="Y3474">
        <f t="shared" si="163"/>
        <v>7.8096525999999997</v>
      </c>
      <c r="Z3474">
        <f t="shared" si="164"/>
        <v>87.299652600000002</v>
      </c>
    </row>
    <row r="3475" spans="1:26" x14ac:dyDescent="0.3">
      <c r="A3475" t="s">
        <v>3565</v>
      </c>
      <c r="B3475" t="s">
        <v>107</v>
      </c>
      <c r="C3475" t="s">
        <v>56</v>
      </c>
      <c r="D3475" t="s">
        <v>69</v>
      </c>
      <c r="E3475">
        <v>23</v>
      </c>
      <c r="F3475" s="3">
        <v>7.44</v>
      </c>
      <c r="G3475" s="4">
        <v>83.4</v>
      </c>
      <c r="H3475">
        <v>1</v>
      </c>
      <c r="I3475">
        <v>0</v>
      </c>
      <c r="J3475">
        <v>3</v>
      </c>
      <c r="K3475" s="4">
        <v>81.3</v>
      </c>
      <c r="L3475" s="4">
        <v>69.900000000000006</v>
      </c>
      <c r="M3475" s="4">
        <v>81.2</v>
      </c>
      <c r="N3475">
        <v>0</v>
      </c>
      <c r="O3475" t="s">
        <v>64</v>
      </c>
      <c r="P3475" t="s">
        <v>65</v>
      </c>
      <c r="S3475" s="3">
        <v>0</v>
      </c>
      <c r="T3475" s="5"/>
      <c r="U3475">
        <v>0</v>
      </c>
      <c r="V3475">
        <v>2021</v>
      </c>
      <c r="X3475">
        <f t="shared" si="162"/>
        <v>7.4396525000000002</v>
      </c>
      <c r="Y3475">
        <f t="shared" si="163"/>
        <v>-3.4749999999999999E-4</v>
      </c>
      <c r="Z3475">
        <f t="shared" si="164"/>
        <v>69.899652500000002</v>
      </c>
    </row>
    <row r="3476" spans="1:26" x14ac:dyDescent="0.3">
      <c r="A3476" t="s">
        <v>3566</v>
      </c>
      <c r="B3476" t="s">
        <v>82</v>
      </c>
      <c r="C3476" t="s">
        <v>74</v>
      </c>
      <c r="D3476" t="s">
        <v>57</v>
      </c>
      <c r="E3476">
        <v>20</v>
      </c>
      <c r="F3476" s="3">
        <v>7.23</v>
      </c>
      <c r="G3476" s="4">
        <v>90.5</v>
      </c>
      <c r="H3476">
        <v>1</v>
      </c>
      <c r="I3476">
        <v>2</v>
      </c>
      <c r="J3476">
        <v>5</v>
      </c>
      <c r="K3476" s="4">
        <v>86.1</v>
      </c>
      <c r="L3476" s="4">
        <v>26.6</v>
      </c>
      <c r="M3476" s="4">
        <v>77.5</v>
      </c>
      <c r="N3476">
        <v>0</v>
      </c>
      <c r="O3476" t="s">
        <v>64</v>
      </c>
      <c r="P3476" t="s">
        <v>65</v>
      </c>
      <c r="S3476" s="3">
        <v>0</v>
      </c>
      <c r="T3476" s="5"/>
      <c r="U3476">
        <v>0</v>
      </c>
      <c r="V3476">
        <v>2022</v>
      </c>
      <c r="X3476">
        <f t="shared" si="162"/>
        <v>7.2296524000000009</v>
      </c>
      <c r="Y3476">
        <f t="shared" si="163"/>
        <v>-3.4759999999999999E-4</v>
      </c>
      <c r="Z3476">
        <f t="shared" si="164"/>
        <v>26.5996524</v>
      </c>
    </row>
    <row r="3477" spans="1:26" x14ac:dyDescent="0.3">
      <c r="A3477" t="s">
        <v>3567</v>
      </c>
      <c r="B3477" t="s">
        <v>107</v>
      </c>
      <c r="C3477" t="s">
        <v>68</v>
      </c>
      <c r="D3477" t="s">
        <v>69</v>
      </c>
      <c r="E3477">
        <v>20</v>
      </c>
      <c r="F3477" s="3">
        <v>6.76</v>
      </c>
      <c r="G3477" s="4">
        <v>96.5</v>
      </c>
      <c r="H3477">
        <v>3</v>
      </c>
      <c r="I3477">
        <v>1</v>
      </c>
      <c r="J3477">
        <v>2</v>
      </c>
      <c r="K3477" s="4">
        <v>63.8</v>
      </c>
      <c r="L3477" s="4">
        <v>39.5</v>
      </c>
      <c r="M3477" s="4">
        <v>84.8</v>
      </c>
      <c r="N3477">
        <v>1</v>
      </c>
      <c r="O3477" t="s">
        <v>58</v>
      </c>
      <c r="P3477" t="s">
        <v>95</v>
      </c>
      <c r="Q3477" t="s">
        <v>93</v>
      </c>
      <c r="R3477" t="s">
        <v>72</v>
      </c>
      <c r="S3477" s="3">
        <v>4.88</v>
      </c>
      <c r="T3477" s="5">
        <v>44468</v>
      </c>
      <c r="U3477">
        <v>1</v>
      </c>
      <c r="V3477">
        <v>2021</v>
      </c>
      <c r="X3477">
        <f t="shared" si="162"/>
        <v>6.7596522999999999</v>
      </c>
      <c r="Y3477">
        <f t="shared" si="163"/>
        <v>4.8796523000000001</v>
      </c>
      <c r="Z3477">
        <f t="shared" si="164"/>
        <v>39.499652300000001</v>
      </c>
    </row>
    <row r="3478" spans="1:26" x14ac:dyDescent="0.3">
      <c r="A3478" t="s">
        <v>3568</v>
      </c>
      <c r="B3478" t="s">
        <v>82</v>
      </c>
      <c r="C3478" t="s">
        <v>74</v>
      </c>
      <c r="D3478" t="s">
        <v>57</v>
      </c>
      <c r="E3478">
        <v>20</v>
      </c>
      <c r="F3478" s="3">
        <v>9.48</v>
      </c>
      <c r="G3478" s="4">
        <v>70.7</v>
      </c>
      <c r="H3478">
        <v>3</v>
      </c>
      <c r="I3478">
        <v>1</v>
      </c>
      <c r="J3478">
        <v>2</v>
      </c>
      <c r="K3478" s="4">
        <v>86.2</v>
      </c>
      <c r="L3478" s="4">
        <v>90.1</v>
      </c>
      <c r="M3478" s="4">
        <v>76.5</v>
      </c>
      <c r="N3478">
        <v>0</v>
      </c>
      <c r="O3478" t="s">
        <v>58</v>
      </c>
      <c r="P3478" t="s">
        <v>79</v>
      </c>
      <c r="Q3478" t="s">
        <v>71</v>
      </c>
      <c r="R3478" t="s">
        <v>80</v>
      </c>
      <c r="S3478" s="3">
        <v>8.74</v>
      </c>
      <c r="T3478" s="5">
        <v>44808</v>
      </c>
      <c r="U3478">
        <v>1</v>
      </c>
      <c r="V3478">
        <v>2022</v>
      </c>
      <c r="X3478">
        <f t="shared" si="162"/>
        <v>9.4796522000000003</v>
      </c>
      <c r="Y3478">
        <f t="shared" si="163"/>
        <v>8.7396522000000001</v>
      </c>
      <c r="Z3478">
        <f t="shared" si="164"/>
        <v>90.099652199999994</v>
      </c>
    </row>
    <row r="3479" spans="1:26" x14ac:dyDescent="0.3">
      <c r="A3479" t="s">
        <v>3569</v>
      </c>
      <c r="B3479" t="s">
        <v>67</v>
      </c>
      <c r="C3479" t="s">
        <v>78</v>
      </c>
      <c r="D3479" t="s">
        <v>69</v>
      </c>
      <c r="E3479">
        <v>22</v>
      </c>
      <c r="F3479" s="3">
        <v>8.8800000000000008</v>
      </c>
      <c r="G3479" s="4">
        <v>76.5</v>
      </c>
      <c r="H3479">
        <v>2</v>
      </c>
      <c r="I3479">
        <v>3</v>
      </c>
      <c r="J3479">
        <v>5</v>
      </c>
      <c r="K3479" s="4">
        <v>69</v>
      </c>
      <c r="L3479" s="4">
        <v>78.900000000000006</v>
      </c>
      <c r="M3479" s="4">
        <v>61.1</v>
      </c>
      <c r="N3479">
        <v>0</v>
      </c>
      <c r="O3479" t="s">
        <v>58</v>
      </c>
      <c r="P3479" t="s">
        <v>104</v>
      </c>
      <c r="Q3479" t="s">
        <v>105</v>
      </c>
      <c r="R3479" t="s">
        <v>130</v>
      </c>
      <c r="S3479" s="3">
        <v>15.7</v>
      </c>
      <c r="T3479" s="5">
        <v>45202</v>
      </c>
      <c r="U3479">
        <v>1</v>
      </c>
      <c r="V3479">
        <v>2023</v>
      </c>
      <c r="X3479">
        <f t="shared" si="162"/>
        <v>8.8796521000000013</v>
      </c>
      <c r="Y3479">
        <f t="shared" si="163"/>
        <v>15.6996521</v>
      </c>
      <c r="Z3479">
        <f t="shared" si="164"/>
        <v>78.899652100000012</v>
      </c>
    </row>
    <row r="3480" spans="1:26" x14ac:dyDescent="0.3">
      <c r="A3480" t="s">
        <v>3570</v>
      </c>
      <c r="B3480" t="s">
        <v>63</v>
      </c>
      <c r="C3480" t="s">
        <v>56</v>
      </c>
      <c r="D3480" t="s">
        <v>57</v>
      </c>
      <c r="E3480">
        <v>23</v>
      </c>
      <c r="F3480" s="3">
        <v>9.19</v>
      </c>
      <c r="G3480" s="4">
        <v>87.7</v>
      </c>
      <c r="H3480">
        <v>3</v>
      </c>
      <c r="I3480">
        <v>5</v>
      </c>
      <c r="J3480">
        <v>6</v>
      </c>
      <c r="K3480" s="4">
        <v>36.9</v>
      </c>
      <c r="L3480" s="4">
        <v>87</v>
      </c>
      <c r="M3480" s="4">
        <v>36.200000000000003</v>
      </c>
      <c r="N3480">
        <v>0</v>
      </c>
      <c r="O3480" t="s">
        <v>58</v>
      </c>
      <c r="P3480" t="s">
        <v>90</v>
      </c>
      <c r="Q3480" t="s">
        <v>60</v>
      </c>
      <c r="R3480" t="s">
        <v>130</v>
      </c>
      <c r="S3480" s="3">
        <v>9.94</v>
      </c>
      <c r="T3480" s="5">
        <v>45902</v>
      </c>
      <c r="U3480">
        <v>2</v>
      </c>
      <c r="V3480">
        <v>2025</v>
      </c>
      <c r="X3480">
        <f t="shared" si="162"/>
        <v>9.1896519999999988</v>
      </c>
      <c r="Y3480">
        <f t="shared" si="163"/>
        <v>9.9396519999999988</v>
      </c>
      <c r="Z3480">
        <f t="shared" si="164"/>
        <v>86.999651999999998</v>
      </c>
    </row>
    <row r="3481" spans="1:26" x14ac:dyDescent="0.3">
      <c r="A3481" t="s">
        <v>3571</v>
      </c>
      <c r="B3481" t="s">
        <v>67</v>
      </c>
      <c r="C3481" t="s">
        <v>56</v>
      </c>
      <c r="D3481" t="s">
        <v>57</v>
      </c>
      <c r="E3481">
        <v>23</v>
      </c>
      <c r="F3481" s="3">
        <v>7.56</v>
      </c>
      <c r="G3481" s="4">
        <v>84.3</v>
      </c>
      <c r="H3481">
        <v>3</v>
      </c>
      <c r="I3481">
        <v>2</v>
      </c>
      <c r="J3481">
        <v>3</v>
      </c>
      <c r="K3481" s="4">
        <v>74.599999999999994</v>
      </c>
      <c r="L3481" s="4">
        <v>92.3</v>
      </c>
      <c r="M3481" s="4">
        <v>87.7</v>
      </c>
      <c r="N3481">
        <v>1</v>
      </c>
      <c r="O3481" t="s">
        <v>58</v>
      </c>
      <c r="P3481" t="s">
        <v>75</v>
      </c>
      <c r="Q3481" t="s">
        <v>71</v>
      </c>
      <c r="R3481" t="s">
        <v>72</v>
      </c>
      <c r="S3481" s="3">
        <v>6.88</v>
      </c>
      <c r="T3481" s="5">
        <v>45179</v>
      </c>
      <c r="U3481">
        <v>1</v>
      </c>
      <c r="V3481">
        <v>2023</v>
      </c>
      <c r="X3481">
        <f t="shared" si="162"/>
        <v>7.5596518999999995</v>
      </c>
      <c r="Y3481">
        <f t="shared" si="163"/>
        <v>6.8796518999999998</v>
      </c>
      <c r="Z3481">
        <f t="shared" si="164"/>
        <v>92.299651900000001</v>
      </c>
    </row>
    <row r="3482" spans="1:26" x14ac:dyDescent="0.3">
      <c r="A3482" t="s">
        <v>3572</v>
      </c>
      <c r="B3482" t="s">
        <v>67</v>
      </c>
      <c r="C3482" t="s">
        <v>78</v>
      </c>
      <c r="D3482" t="s">
        <v>57</v>
      </c>
      <c r="E3482">
        <v>22</v>
      </c>
      <c r="F3482" s="3">
        <v>7.21</v>
      </c>
      <c r="G3482" s="4">
        <v>65.900000000000006</v>
      </c>
      <c r="H3482">
        <v>2</v>
      </c>
      <c r="I3482">
        <v>1</v>
      </c>
      <c r="J3482">
        <v>2</v>
      </c>
      <c r="K3482" s="4">
        <v>75.8</v>
      </c>
      <c r="L3482" s="4">
        <v>91.4</v>
      </c>
      <c r="M3482" s="4">
        <v>68.900000000000006</v>
      </c>
      <c r="N3482">
        <v>0</v>
      </c>
      <c r="O3482" t="s">
        <v>58</v>
      </c>
      <c r="P3482" t="s">
        <v>95</v>
      </c>
      <c r="Q3482" t="s">
        <v>93</v>
      </c>
      <c r="R3482" t="s">
        <v>130</v>
      </c>
      <c r="S3482" s="3">
        <v>7.62</v>
      </c>
      <c r="T3482" s="5">
        <v>45201</v>
      </c>
      <c r="U3482">
        <v>1</v>
      </c>
      <c r="V3482">
        <v>2023</v>
      </c>
      <c r="X3482">
        <f t="shared" si="162"/>
        <v>7.2096517999999996</v>
      </c>
      <c r="Y3482">
        <f t="shared" si="163"/>
        <v>7.6196517999999998</v>
      </c>
      <c r="Z3482">
        <f t="shared" si="164"/>
        <v>91.399651800000001</v>
      </c>
    </row>
    <row r="3483" spans="1:26" x14ac:dyDescent="0.3">
      <c r="A3483" t="s">
        <v>3573</v>
      </c>
      <c r="B3483" t="s">
        <v>63</v>
      </c>
      <c r="C3483" t="s">
        <v>68</v>
      </c>
      <c r="D3483" t="s">
        <v>69</v>
      </c>
      <c r="E3483">
        <v>23</v>
      </c>
      <c r="F3483" s="3">
        <v>9.09</v>
      </c>
      <c r="G3483" s="4">
        <v>76.8</v>
      </c>
      <c r="H3483">
        <v>0</v>
      </c>
      <c r="I3483">
        <v>4</v>
      </c>
      <c r="J3483">
        <v>4</v>
      </c>
      <c r="K3483" s="4">
        <v>52.7</v>
      </c>
      <c r="L3483" s="4">
        <v>48.9</v>
      </c>
      <c r="M3483" s="4">
        <v>47.2</v>
      </c>
      <c r="N3483">
        <v>0</v>
      </c>
      <c r="O3483" t="s">
        <v>58</v>
      </c>
      <c r="P3483" t="s">
        <v>59</v>
      </c>
      <c r="Q3483" t="s">
        <v>60</v>
      </c>
      <c r="R3483" t="s">
        <v>130</v>
      </c>
      <c r="S3483" s="3">
        <v>18.21</v>
      </c>
      <c r="T3483" s="5">
        <v>45958</v>
      </c>
      <c r="U3483">
        <v>2</v>
      </c>
      <c r="V3483">
        <v>2025</v>
      </c>
      <c r="X3483">
        <f t="shared" si="162"/>
        <v>9.0896516999999992</v>
      </c>
      <c r="Y3483">
        <f t="shared" si="163"/>
        <v>18.209651700000002</v>
      </c>
      <c r="Z3483">
        <f t="shared" si="164"/>
        <v>48.8996517</v>
      </c>
    </row>
    <row r="3484" spans="1:26" x14ac:dyDescent="0.3">
      <c r="A3484" t="s">
        <v>3574</v>
      </c>
      <c r="B3484" t="s">
        <v>63</v>
      </c>
      <c r="C3484" t="s">
        <v>68</v>
      </c>
      <c r="D3484" t="s">
        <v>69</v>
      </c>
      <c r="E3484">
        <v>22</v>
      </c>
      <c r="F3484" s="3">
        <v>7.73</v>
      </c>
      <c r="G3484" s="4">
        <v>84.7</v>
      </c>
      <c r="H3484">
        <v>1</v>
      </c>
      <c r="I3484">
        <v>2</v>
      </c>
      <c r="J3484">
        <v>3</v>
      </c>
      <c r="K3484" s="4">
        <v>73</v>
      </c>
      <c r="L3484" s="4">
        <v>67</v>
      </c>
      <c r="M3484" s="4">
        <v>92.8</v>
      </c>
      <c r="N3484">
        <v>0</v>
      </c>
      <c r="O3484" t="s">
        <v>58</v>
      </c>
      <c r="P3484" t="s">
        <v>112</v>
      </c>
      <c r="Q3484" t="s">
        <v>93</v>
      </c>
      <c r="R3484" t="s">
        <v>76</v>
      </c>
      <c r="S3484" s="3">
        <v>6.81</v>
      </c>
      <c r="T3484" s="5">
        <v>45873</v>
      </c>
      <c r="U3484">
        <v>1</v>
      </c>
      <c r="V3484">
        <v>2025</v>
      </c>
      <c r="X3484">
        <f t="shared" si="162"/>
        <v>7.7296516000000004</v>
      </c>
      <c r="Y3484">
        <f t="shared" si="163"/>
        <v>6.8096515999999996</v>
      </c>
      <c r="Z3484">
        <f t="shared" si="164"/>
        <v>66.999651600000007</v>
      </c>
    </row>
    <row r="3485" spans="1:26" x14ac:dyDescent="0.3">
      <c r="A3485" t="s">
        <v>3575</v>
      </c>
      <c r="B3485" t="s">
        <v>55</v>
      </c>
      <c r="C3485" t="s">
        <v>56</v>
      </c>
      <c r="D3485" t="s">
        <v>57</v>
      </c>
      <c r="E3485">
        <v>21</v>
      </c>
      <c r="F3485" s="3">
        <v>6.7</v>
      </c>
      <c r="G3485" s="4">
        <v>82.1</v>
      </c>
      <c r="H3485">
        <v>1</v>
      </c>
      <c r="I3485">
        <v>3</v>
      </c>
      <c r="J3485">
        <v>3</v>
      </c>
      <c r="K3485" s="4">
        <v>69.599999999999994</v>
      </c>
      <c r="L3485" s="4">
        <v>56.7</v>
      </c>
      <c r="M3485" s="4">
        <v>80.900000000000006</v>
      </c>
      <c r="N3485">
        <v>0</v>
      </c>
      <c r="O3485" t="s">
        <v>58</v>
      </c>
      <c r="P3485" t="s">
        <v>92</v>
      </c>
      <c r="Q3485" t="s">
        <v>93</v>
      </c>
      <c r="R3485" t="s">
        <v>80</v>
      </c>
      <c r="S3485" s="3">
        <v>7.4</v>
      </c>
      <c r="T3485" s="5">
        <v>45525</v>
      </c>
      <c r="U3485">
        <v>1</v>
      </c>
      <c r="V3485">
        <v>2024</v>
      </c>
      <c r="X3485">
        <f t="shared" si="162"/>
        <v>6.6996514999999999</v>
      </c>
      <c r="Y3485">
        <f t="shared" si="163"/>
        <v>7.3996515</v>
      </c>
      <c r="Z3485">
        <f t="shared" si="164"/>
        <v>56.699651500000002</v>
      </c>
    </row>
    <row r="3486" spans="1:26" x14ac:dyDescent="0.3">
      <c r="A3486" t="s">
        <v>3576</v>
      </c>
      <c r="B3486" t="s">
        <v>55</v>
      </c>
      <c r="C3486" t="s">
        <v>56</v>
      </c>
      <c r="D3486" t="s">
        <v>69</v>
      </c>
      <c r="E3486">
        <v>21</v>
      </c>
      <c r="F3486" s="3">
        <v>6.76</v>
      </c>
      <c r="G3486" s="4">
        <v>78.8</v>
      </c>
      <c r="H3486">
        <v>0</v>
      </c>
      <c r="I3486">
        <v>2</v>
      </c>
      <c r="J3486">
        <v>4</v>
      </c>
      <c r="K3486" s="4">
        <v>85</v>
      </c>
      <c r="L3486" s="4">
        <v>72.400000000000006</v>
      </c>
      <c r="M3486" s="4">
        <v>92.6</v>
      </c>
      <c r="N3486">
        <v>1</v>
      </c>
      <c r="O3486" t="s">
        <v>64</v>
      </c>
      <c r="P3486" t="s">
        <v>65</v>
      </c>
      <c r="S3486" s="3">
        <v>0</v>
      </c>
      <c r="T3486" s="5"/>
      <c r="U3486">
        <v>0</v>
      </c>
      <c r="V3486">
        <v>2024</v>
      </c>
      <c r="X3486">
        <f t="shared" si="162"/>
        <v>6.7596514000000001</v>
      </c>
      <c r="Y3486">
        <f t="shared" si="163"/>
        <v>-3.4859999999999996E-4</v>
      </c>
      <c r="Z3486">
        <f t="shared" si="164"/>
        <v>72.39965140000001</v>
      </c>
    </row>
    <row r="3487" spans="1:26" x14ac:dyDescent="0.3">
      <c r="A3487" t="s">
        <v>3577</v>
      </c>
      <c r="B3487" t="s">
        <v>67</v>
      </c>
      <c r="C3487" t="s">
        <v>56</v>
      </c>
      <c r="D3487" t="s">
        <v>69</v>
      </c>
      <c r="E3487">
        <v>23</v>
      </c>
      <c r="F3487" s="3">
        <v>7.36</v>
      </c>
      <c r="G3487" s="4">
        <v>100</v>
      </c>
      <c r="H3487">
        <v>2</v>
      </c>
      <c r="I3487">
        <v>1</v>
      </c>
      <c r="J3487">
        <v>2</v>
      </c>
      <c r="K3487" s="4">
        <v>74.099999999999994</v>
      </c>
      <c r="L3487" s="4">
        <v>49.7</v>
      </c>
      <c r="M3487" s="4">
        <v>79.099999999999994</v>
      </c>
      <c r="N3487">
        <v>0</v>
      </c>
      <c r="O3487" t="s">
        <v>64</v>
      </c>
      <c r="P3487" t="s">
        <v>65</v>
      </c>
      <c r="S3487" s="3">
        <v>0</v>
      </c>
      <c r="T3487" s="5"/>
      <c r="U3487">
        <v>0</v>
      </c>
      <c r="V3487">
        <v>2023</v>
      </c>
      <c r="X3487">
        <f t="shared" si="162"/>
        <v>7.3596513000000003</v>
      </c>
      <c r="Y3487">
        <f t="shared" si="163"/>
        <v>-3.4869999999999996E-4</v>
      </c>
      <c r="Z3487">
        <f t="shared" si="164"/>
        <v>49.699651299999999</v>
      </c>
    </row>
    <row r="3488" spans="1:26" x14ac:dyDescent="0.3">
      <c r="A3488" t="s">
        <v>3578</v>
      </c>
      <c r="B3488" t="s">
        <v>67</v>
      </c>
      <c r="C3488" t="s">
        <v>56</v>
      </c>
      <c r="D3488" t="s">
        <v>69</v>
      </c>
      <c r="E3488">
        <v>21</v>
      </c>
      <c r="F3488" s="3">
        <v>7.63</v>
      </c>
      <c r="G3488" s="4">
        <v>81.8</v>
      </c>
      <c r="H3488">
        <v>0</v>
      </c>
      <c r="I3488">
        <v>2</v>
      </c>
      <c r="J3488">
        <v>3</v>
      </c>
      <c r="K3488" s="4">
        <v>68</v>
      </c>
      <c r="L3488" s="4">
        <v>70.599999999999994</v>
      </c>
      <c r="M3488" s="4">
        <v>82</v>
      </c>
      <c r="N3488">
        <v>1</v>
      </c>
      <c r="O3488" t="s">
        <v>58</v>
      </c>
      <c r="P3488" t="s">
        <v>104</v>
      </c>
      <c r="Q3488" t="s">
        <v>105</v>
      </c>
      <c r="R3488" t="s">
        <v>76</v>
      </c>
      <c r="S3488" s="3">
        <v>16.170000000000002</v>
      </c>
      <c r="T3488" s="5">
        <v>45233</v>
      </c>
      <c r="U3488">
        <v>1</v>
      </c>
      <c r="V3488">
        <v>2023</v>
      </c>
      <c r="X3488">
        <f t="shared" si="162"/>
        <v>7.6296511999999996</v>
      </c>
      <c r="Y3488">
        <f t="shared" si="163"/>
        <v>16.169651200000001</v>
      </c>
      <c r="Z3488">
        <f t="shared" si="164"/>
        <v>70.599651199999997</v>
      </c>
    </row>
    <row r="3489" spans="1:26" x14ac:dyDescent="0.3">
      <c r="A3489" t="s">
        <v>3579</v>
      </c>
      <c r="B3489" t="s">
        <v>107</v>
      </c>
      <c r="C3489" t="s">
        <v>68</v>
      </c>
      <c r="D3489" t="s">
        <v>69</v>
      </c>
      <c r="E3489">
        <v>21</v>
      </c>
      <c r="F3489" s="3">
        <v>7.72</v>
      </c>
      <c r="G3489" s="4">
        <v>84.1</v>
      </c>
      <c r="H3489">
        <v>1</v>
      </c>
      <c r="I3489">
        <v>2</v>
      </c>
      <c r="J3489">
        <v>5</v>
      </c>
      <c r="K3489" s="4">
        <v>49.4</v>
      </c>
      <c r="L3489" s="4">
        <v>44.2</v>
      </c>
      <c r="M3489" s="4">
        <v>67.900000000000006</v>
      </c>
      <c r="N3489">
        <v>0</v>
      </c>
      <c r="O3489" t="s">
        <v>58</v>
      </c>
      <c r="P3489" t="s">
        <v>90</v>
      </c>
      <c r="Q3489" t="s">
        <v>60</v>
      </c>
      <c r="R3489" t="s">
        <v>130</v>
      </c>
      <c r="S3489" s="3">
        <v>6.1</v>
      </c>
      <c r="T3489" s="5">
        <v>44464</v>
      </c>
      <c r="U3489">
        <v>1</v>
      </c>
      <c r="V3489">
        <v>2021</v>
      </c>
      <c r="X3489">
        <f t="shared" si="162"/>
        <v>7.7196511000000001</v>
      </c>
      <c r="Y3489">
        <f t="shared" si="163"/>
        <v>6.0996511</v>
      </c>
      <c r="Z3489">
        <f t="shared" si="164"/>
        <v>44.199651100000004</v>
      </c>
    </row>
    <row r="3490" spans="1:26" x14ac:dyDescent="0.3">
      <c r="A3490" t="s">
        <v>3580</v>
      </c>
      <c r="B3490" t="s">
        <v>107</v>
      </c>
      <c r="C3490" t="s">
        <v>84</v>
      </c>
      <c r="D3490" t="s">
        <v>69</v>
      </c>
      <c r="E3490">
        <v>21</v>
      </c>
      <c r="F3490" s="3">
        <v>7.48</v>
      </c>
      <c r="G3490" s="4">
        <v>83.2</v>
      </c>
      <c r="H3490">
        <v>0</v>
      </c>
      <c r="I3490">
        <v>2</v>
      </c>
      <c r="J3490">
        <v>4</v>
      </c>
      <c r="K3490" s="4">
        <v>40.5</v>
      </c>
      <c r="L3490" s="4">
        <v>64.8</v>
      </c>
      <c r="M3490" s="4">
        <v>82.5</v>
      </c>
      <c r="N3490">
        <v>0</v>
      </c>
      <c r="O3490" t="s">
        <v>58</v>
      </c>
      <c r="P3490" t="s">
        <v>75</v>
      </c>
      <c r="Q3490" t="s">
        <v>71</v>
      </c>
      <c r="R3490" t="s">
        <v>80</v>
      </c>
      <c r="S3490" s="3">
        <v>5.53</v>
      </c>
      <c r="T3490" s="5">
        <v>44521</v>
      </c>
      <c r="U3490">
        <v>3</v>
      </c>
      <c r="V3490">
        <v>2021</v>
      </c>
      <c r="X3490">
        <f t="shared" si="162"/>
        <v>7.4796510000000005</v>
      </c>
      <c r="Y3490">
        <f t="shared" si="163"/>
        <v>5.5296510000000003</v>
      </c>
      <c r="Z3490">
        <f t="shared" si="164"/>
        <v>64.799650999999997</v>
      </c>
    </row>
    <row r="3491" spans="1:26" x14ac:dyDescent="0.3">
      <c r="A3491" t="s">
        <v>3581</v>
      </c>
      <c r="B3491" t="s">
        <v>55</v>
      </c>
      <c r="C3491" t="s">
        <v>74</v>
      </c>
      <c r="D3491" t="s">
        <v>57</v>
      </c>
      <c r="E3491">
        <v>20</v>
      </c>
      <c r="F3491" s="3">
        <v>9.76</v>
      </c>
      <c r="G3491" s="4">
        <v>83.9</v>
      </c>
      <c r="H3491">
        <v>1</v>
      </c>
      <c r="I3491">
        <v>1</v>
      </c>
      <c r="J3491">
        <v>2</v>
      </c>
      <c r="K3491" s="4">
        <v>85.7</v>
      </c>
      <c r="L3491" s="4">
        <v>91.9</v>
      </c>
      <c r="M3491" s="4">
        <v>97.2</v>
      </c>
      <c r="N3491">
        <v>1</v>
      </c>
      <c r="O3491" t="s">
        <v>58</v>
      </c>
      <c r="P3491" t="s">
        <v>75</v>
      </c>
      <c r="Q3491" t="s">
        <v>71</v>
      </c>
      <c r="R3491" t="s">
        <v>61</v>
      </c>
      <c r="S3491" s="3">
        <v>9.69</v>
      </c>
      <c r="T3491" s="5">
        <v>45583</v>
      </c>
      <c r="U3491">
        <v>1</v>
      </c>
      <c r="V3491">
        <v>2024</v>
      </c>
      <c r="X3491">
        <f t="shared" si="162"/>
        <v>9.7596509000000005</v>
      </c>
      <c r="Y3491">
        <f t="shared" si="163"/>
        <v>9.6896509000000002</v>
      </c>
      <c r="Z3491">
        <f t="shared" si="164"/>
        <v>91.899650900000012</v>
      </c>
    </row>
    <row r="3492" spans="1:26" x14ac:dyDescent="0.3">
      <c r="A3492" t="s">
        <v>3582</v>
      </c>
      <c r="B3492" t="s">
        <v>55</v>
      </c>
      <c r="C3492" t="s">
        <v>74</v>
      </c>
      <c r="D3492" t="s">
        <v>69</v>
      </c>
      <c r="E3492">
        <v>21</v>
      </c>
      <c r="F3492" s="3">
        <v>6.43</v>
      </c>
      <c r="G3492" s="4">
        <v>82.3</v>
      </c>
      <c r="H3492">
        <v>1</v>
      </c>
      <c r="I3492">
        <v>3</v>
      </c>
      <c r="J3492">
        <v>4</v>
      </c>
      <c r="K3492" s="4">
        <v>73.5</v>
      </c>
      <c r="L3492" s="4">
        <v>59.8</v>
      </c>
      <c r="M3492" s="4">
        <v>84</v>
      </c>
      <c r="N3492">
        <v>0</v>
      </c>
      <c r="O3492" t="s">
        <v>58</v>
      </c>
      <c r="P3492" t="s">
        <v>75</v>
      </c>
      <c r="Q3492" t="s">
        <v>71</v>
      </c>
      <c r="R3492" t="s">
        <v>76</v>
      </c>
      <c r="S3492" s="3">
        <v>5.42</v>
      </c>
      <c r="T3492" s="5">
        <v>45508</v>
      </c>
      <c r="U3492">
        <v>1</v>
      </c>
      <c r="V3492">
        <v>2024</v>
      </c>
      <c r="X3492">
        <f t="shared" si="162"/>
        <v>6.4296508000000001</v>
      </c>
      <c r="Y3492">
        <f t="shared" si="163"/>
        <v>5.4196508000000003</v>
      </c>
      <c r="Z3492">
        <f t="shared" si="164"/>
        <v>59.799650799999995</v>
      </c>
    </row>
    <row r="3493" spans="1:26" x14ac:dyDescent="0.3">
      <c r="A3493" t="s">
        <v>3583</v>
      </c>
      <c r="B3493" t="s">
        <v>107</v>
      </c>
      <c r="C3493" t="s">
        <v>56</v>
      </c>
      <c r="D3493" t="s">
        <v>57</v>
      </c>
      <c r="E3493">
        <v>20</v>
      </c>
      <c r="F3493" s="3">
        <v>8.26</v>
      </c>
      <c r="G3493" s="4">
        <v>63.3</v>
      </c>
      <c r="H3493">
        <v>2</v>
      </c>
      <c r="I3493">
        <v>1</v>
      </c>
      <c r="J3493">
        <v>2</v>
      </c>
      <c r="K3493" s="4">
        <v>64.599999999999994</v>
      </c>
      <c r="L3493" s="4">
        <v>59.6</v>
      </c>
      <c r="M3493" s="4">
        <v>69.7</v>
      </c>
      <c r="N3493">
        <v>0</v>
      </c>
      <c r="O3493" t="s">
        <v>64</v>
      </c>
      <c r="P3493" t="s">
        <v>65</v>
      </c>
      <c r="S3493" s="3">
        <v>0</v>
      </c>
      <c r="T3493" s="5"/>
      <c r="U3493">
        <v>0</v>
      </c>
      <c r="V3493">
        <v>2021</v>
      </c>
      <c r="X3493">
        <f t="shared" si="162"/>
        <v>8.2596506999999999</v>
      </c>
      <c r="Y3493">
        <f t="shared" si="163"/>
        <v>-3.4929999999999998E-4</v>
      </c>
      <c r="Z3493">
        <f t="shared" si="164"/>
        <v>59.599650699999998</v>
      </c>
    </row>
    <row r="3494" spans="1:26" x14ac:dyDescent="0.3">
      <c r="A3494" t="s">
        <v>3584</v>
      </c>
      <c r="B3494" t="s">
        <v>107</v>
      </c>
      <c r="C3494" t="s">
        <v>74</v>
      </c>
      <c r="D3494" t="s">
        <v>69</v>
      </c>
      <c r="E3494">
        <v>22</v>
      </c>
      <c r="F3494" s="3">
        <v>7.22</v>
      </c>
      <c r="G3494" s="4">
        <v>73.099999999999994</v>
      </c>
      <c r="H3494">
        <v>1</v>
      </c>
      <c r="I3494">
        <v>2</v>
      </c>
      <c r="J3494">
        <v>6</v>
      </c>
      <c r="K3494" s="4">
        <v>75.8</v>
      </c>
      <c r="L3494" s="4">
        <v>71.900000000000006</v>
      </c>
      <c r="M3494" s="4">
        <v>58.3</v>
      </c>
      <c r="N3494">
        <v>0</v>
      </c>
      <c r="O3494" t="s">
        <v>58</v>
      </c>
      <c r="P3494" t="s">
        <v>112</v>
      </c>
      <c r="Q3494" t="s">
        <v>93</v>
      </c>
      <c r="R3494" t="s">
        <v>72</v>
      </c>
      <c r="S3494" s="3">
        <v>5.07</v>
      </c>
      <c r="T3494" s="5">
        <v>44516</v>
      </c>
      <c r="U3494">
        <v>1</v>
      </c>
      <c r="V3494">
        <v>2021</v>
      </c>
      <c r="X3494">
        <f t="shared" si="162"/>
        <v>7.2196505999999996</v>
      </c>
      <c r="Y3494">
        <f t="shared" si="163"/>
        <v>5.0696506000000001</v>
      </c>
      <c r="Z3494">
        <f t="shared" si="164"/>
        <v>71.899650600000001</v>
      </c>
    </row>
    <row r="3495" spans="1:26" x14ac:dyDescent="0.3">
      <c r="A3495" t="s">
        <v>3585</v>
      </c>
      <c r="B3495" t="s">
        <v>82</v>
      </c>
      <c r="C3495" t="s">
        <v>56</v>
      </c>
      <c r="D3495" t="s">
        <v>57</v>
      </c>
      <c r="E3495">
        <v>22</v>
      </c>
      <c r="F3495" s="3">
        <v>7.62</v>
      </c>
      <c r="G3495" s="4">
        <v>79.2</v>
      </c>
      <c r="H3495">
        <v>1</v>
      </c>
      <c r="I3495">
        <v>1</v>
      </c>
      <c r="J3495">
        <v>3</v>
      </c>
      <c r="K3495" s="4">
        <v>64.7</v>
      </c>
      <c r="L3495" s="4">
        <v>72.7</v>
      </c>
      <c r="M3495" s="4">
        <v>87.7</v>
      </c>
      <c r="N3495">
        <v>0</v>
      </c>
      <c r="O3495" t="s">
        <v>58</v>
      </c>
      <c r="P3495" t="s">
        <v>79</v>
      </c>
      <c r="Q3495" t="s">
        <v>71</v>
      </c>
      <c r="R3495" t="s">
        <v>85</v>
      </c>
      <c r="S3495" s="3">
        <v>7.12</v>
      </c>
      <c r="T3495" s="5">
        <v>44776</v>
      </c>
      <c r="U3495">
        <v>2</v>
      </c>
      <c r="V3495">
        <v>2022</v>
      </c>
      <c r="X3495">
        <f t="shared" si="162"/>
        <v>7.6196505000000005</v>
      </c>
      <c r="Y3495">
        <f t="shared" si="163"/>
        <v>7.1196505000000005</v>
      </c>
      <c r="Z3495">
        <f t="shared" si="164"/>
        <v>72.699650500000004</v>
      </c>
    </row>
    <row r="3496" spans="1:26" x14ac:dyDescent="0.3">
      <c r="A3496" t="s">
        <v>3586</v>
      </c>
      <c r="B3496" t="s">
        <v>82</v>
      </c>
      <c r="C3496" t="s">
        <v>84</v>
      </c>
      <c r="D3496" t="s">
        <v>57</v>
      </c>
      <c r="E3496">
        <v>22</v>
      </c>
      <c r="F3496" s="3">
        <v>8.5</v>
      </c>
      <c r="G3496" s="4">
        <v>89.3</v>
      </c>
      <c r="H3496">
        <v>2</v>
      </c>
      <c r="I3496">
        <v>2</v>
      </c>
      <c r="J3496">
        <v>6</v>
      </c>
      <c r="K3496" s="4">
        <v>40</v>
      </c>
      <c r="L3496" s="4">
        <v>74.7</v>
      </c>
      <c r="M3496" s="4">
        <v>74.7</v>
      </c>
      <c r="N3496">
        <v>0</v>
      </c>
      <c r="O3496" t="s">
        <v>58</v>
      </c>
      <c r="P3496" t="s">
        <v>87</v>
      </c>
      <c r="Q3496" t="s">
        <v>71</v>
      </c>
      <c r="R3496" t="s">
        <v>61</v>
      </c>
      <c r="S3496" s="3">
        <v>8.7899999999999991</v>
      </c>
      <c r="T3496" s="5">
        <v>44889</v>
      </c>
      <c r="U3496">
        <v>2</v>
      </c>
      <c r="V3496">
        <v>2022</v>
      </c>
      <c r="X3496">
        <f t="shared" si="162"/>
        <v>8.4996504000000002</v>
      </c>
      <c r="Y3496">
        <f t="shared" si="163"/>
        <v>8.7896503999999993</v>
      </c>
      <c r="Z3496">
        <f t="shared" si="164"/>
        <v>74.699650399999996</v>
      </c>
    </row>
    <row r="3497" spans="1:26" x14ac:dyDescent="0.3">
      <c r="A3497" t="s">
        <v>3587</v>
      </c>
      <c r="B3497" t="s">
        <v>107</v>
      </c>
      <c r="C3497" t="s">
        <v>78</v>
      </c>
      <c r="D3497" t="s">
        <v>57</v>
      </c>
      <c r="E3497">
        <v>22</v>
      </c>
      <c r="F3497" s="3">
        <v>6.05</v>
      </c>
      <c r="G3497" s="4">
        <v>79.3</v>
      </c>
      <c r="H3497">
        <v>2</v>
      </c>
      <c r="I3497">
        <v>1</v>
      </c>
      <c r="J3497">
        <v>5</v>
      </c>
      <c r="K3497" s="4">
        <v>82.2</v>
      </c>
      <c r="L3497" s="4">
        <v>58.1</v>
      </c>
      <c r="M3497" s="4">
        <v>75.2</v>
      </c>
      <c r="N3497">
        <v>0</v>
      </c>
      <c r="O3497" t="s">
        <v>58</v>
      </c>
      <c r="P3497" t="s">
        <v>92</v>
      </c>
      <c r="Q3497" t="s">
        <v>93</v>
      </c>
      <c r="R3497" t="s">
        <v>61</v>
      </c>
      <c r="S3497" s="3">
        <v>8.19</v>
      </c>
      <c r="T3497" s="5">
        <v>44463</v>
      </c>
      <c r="U3497">
        <v>1</v>
      </c>
      <c r="V3497">
        <v>2021</v>
      </c>
      <c r="X3497">
        <f t="shared" si="162"/>
        <v>6.0496502999999997</v>
      </c>
      <c r="Y3497">
        <f t="shared" si="163"/>
        <v>8.1896503000000003</v>
      </c>
      <c r="Z3497">
        <f t="shared" si="164"/>
        <v>58.0996503</v>
      </c>
    </row>
    <row r="3498" spans="1:26" x14ac:dyDescent="0.3">
      <c r="A3498" t="s">
        <v>3588</v>
      </c>
      <c r="B3498" t="s">
        <v>82</v>
      </c>
      <c r="C3498" t="s">
        <v>84</v>
      </c>
      <c r="D3498" t="s">
        <v>69</v>
      </c>
      <c r="E3498">
        <v>22</v>
      </c>
      <c r="F3498" s="3">
        <v>6.8</v>
      </c>
      <c r="G3498" s="4">
        <v>74.5</v>
      </c>
      <c r="H3498">
        <v>1</v>
      </c>
      <c r="I3498">
        <v>2</v>
      </c>
      <c r="J3498">
        <v>4</v>
      </c>
      <c r="K3498" s="4">
        <v>84</v>
      </c>
      <c r="L3498" s="4">
        <v>61</v>
      </c>
      <c r="M3498" s="4">
        <v>50.2</v>
      </c>
      <c r="N3498">
        <v>0</v>
      </c>
      <c r="O3498" t="s">
        <v>58</v>
      </c>
      <c r="P3498" t="s">
        <v>95</v>
      </c>
      <c r="Q3498" t="s">
        <v>93</v>
      </c>
      <c r="R3498" t="s">
        <v>130</v>
      </c>
      <c r="S3498" s="3">
        <v>6.29</v>
      </c>
      <c r="T3498" s="5">
        <v>44842</v>
      </c>
      <c r="U3498">
        <v>1</v>
      </c>
      <c r="V3498">
        <v>2022</v>
      </c>
      <c r="X3498">
        <f t="shared" si="162"/>
        <v>6.7996501999999994</v>
      </c>
      <c r="Y3498">
        <f t="shared" si="163"/>
        <v>6.2896501999999996</v>
      </c>
      <c r="Z3498">
        <f t="shared" si="164"/>
        <v>60.999650199999998</v>
      </c>
    </row>
    <row r="3499" spans="1:26" x14ac:dyDescent="0.3">
      <c r="A3499" t="s">
        <v>3589</v>
      </c>
      <c r="B3499" t="s">
        <v>63</v>
      </c>
      <c r="C3499" t="s">
        <v>84</v>
      </c>
      <c r="D3499" t="s">
        <v>69</v>
      </c>
      <c r="E3499">
        <v>21</v>
      </c>
      <c r="F3499" s="3">
        <v>7.53</v>
      </c>
      <c r="G3499" s="4">
        <v>90.5</v>
      </c>
      <c r="H3499">
        <v>0</v>
      </c>
      <c r="I3499">
        <v>1</v>
      </c>
      <c r="J3499">
        <v>3</v>
      </c>
      <c r="K3499" s="4">
        <v>63.4</v>
      </c>
      <c r="L3499" s="4">
        <v>71</v>
      </c>
      <c r="M3499" s="4">
        <v>49.4</v>
      </c>
      <c r="N3499">
        <v>0</v>
      </c>
      <c r="O3499" t="s">
        <v>64</v>
      </c>
      <c r="P3499" t="s">
        <v>65</v>
      </c>
      <c r="S3499" s="3">
        <v>0</v>
      </c>
      <c r="T3499" s="5"/>
      <c r="U3499">
        <v>0</v>
      </c>
      <c r="V3499">
        <v>2025</v>
      </c>
      <c r="X3499">
        <f t="shared" si="162"/>
        <v>7.5296501000000005</v>
      </c>
      <c r="Y3499">
        <f t="shared" si="163"/>
        <v>-3.4989999999999999E-4</v>
      </c>
      <c r="Z3499">
        <f t="shared" si="164"/>
        <v>70.999650099999997</v>
      </c>
    </row>
    <row r="3500" spans="1:26" x14ac:dyDescent="0.3">
      <c r="A3500" t="s">
        <v>3590</v>
      </c>
      <c r="B3500" t="s">
        <v>55</v>
      </c>
      <c r="C3500" t="s">
        <v>68</v>
      </c>
      <c r="D3500" t="s">
        <v>57</v>
      </c>
      <c r="E3500">
        <v>21</v>
      </c>
      <c r="F3500" s="3">
        <v>8.98</v>
      </c>
      <c r="G3500" s="4">
        <v>94.2</v>
      </c>
      <c r="H3500">
        <v>0</v>
      </c>
      <c r="I3500">
        <v>2</v>
      </c>
      <c r="J3500">
        <v>5</v>
      </c>
      <c r="K3500" s="4">
        <v>67.400000000000006</v>
      </c>
      <c r="L3500" s="4">
        <v>84.8</v>
      </c>
      <c r="M3500" s="4">
        <v>75</v>
      </c>
      <c r="N3500">
        <v>0</v>
      </c>
      <c r="O3500" t="s">
        <v>58</v>
      </c>
      <c r="P3500" t="s">
        <v>59</v>
      </c>
      <c r="Q3500" t="s">
        <v>60</v>
      </c>
      <c r="R3500" t="s">
        <v>130</v>
      </c>
      <c r="S3500" s="3">
        <v>20.8</v>
      </c>
      <c r="T3500" s="5">
        <v>45606</v>
      </c>
      <c r="U3500">
        <v>2</v>
      </c>
      <c r="V3500">
        <v>2024</v>
      </c>
      <c r="X3500">
        <f t="shared" si="162"/>
        <v>8.9796500000000012</v>
      </c>
      <c r="Y3500">
        <f t="shared" si="163"/>
        <v>20.79965</v>
      </c>
      <c r="Z3500">
        <f t="shared" si="164"/>
        <v>84.79965</v>
      </c>
    </row>
    <row r="3501" spans="1:26" x14ac:dyDescent="0.3">
      <c r="A3501" t="s">
        <v>3591</v>
      </c>
      <c r="B3501" t="s">
        <v>55</v>
      </c>
      <c r="C3501" t="s">
        <v>68</v>
      </c>
      <c r="D3501" t="s">
        <v>69</v>
      </c>
      <c r="E3501">
        <v>21</v>
      </c>
      <c r="F3501" s="3">
        <v>8.9700000000000006</v>
      </c>
      <c r="G3501" s="4">
        <v>68.2</v>
      </c>
      <c r="H3501">
        <v>2</v>
      </c>
      <c r="I3501">
        <v>1</v>
      </c>
      <c r="J3501">
        <v>2</v>
      </c>
      <c r="K3501" s="4">
        <v>59.4</v>
      </c>
      <c r="L3501" s="4">
        <v>59</v>
      </c>
      <c r="M3501" s="4">
        <v>63.2</v>
      </c>
      <c r="N3501">
        <v>0</v>
      </c>
      <c r="O3501" t="s">
        <v>58</v>
      </c>
      <c r="P3501" t="s">
        <v>75</v>
      </c>
      <c r="Q3501" t="s">
        <v>71</v>
      </c>
      <c r="R3501" t="s">
        <v>61</v>
      </c>
      <c r="S3501" s="3">
        <v>7.49</v>
      </c>
      <c r="T3501" s="5">
        <v>45536</v>
      </c>
      <c r="U3501">
        <v>1</v>
      </c>
      <c r="V3501">
        <v>2024</v>
      </c>
      <c r="X3501">
        <f t="shared" si="162"/>
        <v>8.9696499000000003</v>
      </c>
      <c r="Y3501">
        <f t="shared" si="163"/>
        <v>7.4896498999999999</v>
      </c>
      <c r="Z3501">
        <f t="shared" si="164"/>
        <v>58.999649900000001</v>
      </c>
    </row>
  </sheetData>
  <conditionalFormatting sqref="F2:F35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3501">
    <cfRule type="cellIs" dxfId="6" priority="3" operator="greaterThan">
      <formula>0</formula>
    </cfRule>
  </conditionalFormatting>
  <conditionalFormatting sqref="O2:O3501">
    <cfRule type="cellIs" dxfId="5" priority="4" operator="equal">
      <formula>"Placed"</formula>
    </cfRule>
    <cfRule type="cellIs" dxfId="4" priority="5" operator="equal">
      <formula>"Unplaced"</formula>
    </cfRule>
  </conditionalFormatting>
  <conditionalFormatting sqref="S2:S3501">
    <cfRule type="dataBar" priority="2">
      <dataBar>
        <cfvo type="num" val="0"/>
        <cfvo type="max"/>
        <color rgb="FF8B0000"/>
      </dataBar>
    </cfRule>
  </conditionalFormatting>
  <pageMargins left="0.75" right="0.75" top="1" bottom="1" header="0.5" footer="0.5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4"/>
  <sheetViews>
    <sheetView showGridLines="0" workbookViewId="0">
      <selection sqref="A1:E1"/>
    </sheetView>
  </sheetViews>
  <sheetFormatPr defaultRowHeight="14.4" x14ac:dyDescent="0.3"/>
  <cols>
    <col min="1" max="1" width="30" customWidth="1"/>
    <col min="2" max="2" width="16" customWidth="1"/>
    <col min="3" max="3" width="4" customWidth="1"/>
    <col min="4" max="4" width="34" customWidth="1"/>
    <col min="5" max="5" width="40" customWidth="1"/>
  </cols>
  <sheetData>
    <row r="1" spans="1:5" ht="28.05" customHeight="1" x14ac:dyDescent="0.3">
      <c r="A1" s="67" t="s">
        <v>3592</v>
      </c>
      <c r="B1" s="68"/>
      <c r="C1" s="68"/>
      <c r="D1" s="68"/>
      <c r="E1" s="69"/>
    </row>
    <row r="3" spans="1:5" ht="16.8" x14ac:dyDescent="0.3">
      <c r="A3" s="6" t="s">
        <v>3593</v>
      </c>
    </row>
    <row r="4" spans="1:5" x14ac:dyDescent="0.3">
      <c r="A4" s="7" t="s">
        <v>3594</v>
      </c>
      <c r="B4" s="7" t="s">
        <v>3595</v>
      </c>
    </row>
    <row r="5" spans="1:5" x14ac:dyDescent="0.3">
      <c r="A5" s="8" t="s">
        <v>3596</v>
      </c>
      <c r="B5" s="9">
        <f>COUNTA(Raw_Data!$A$2:$A$3501)</f>
        <v>3500</v>
      </c>
    </row>
    <row r="6" spans="1:5" x14ac:dyDescent="0.3">
      <c r="A6" s="10" t="s">
        <v>3597</v>
      </c>
      <c r="B6" s="11">
        <f>SUMPRODUCT((COUNTIF(Raw_Data!$A$2:$A$3501,Raw_Data!$A$2:$A$3501)&gt;1)*1)</f>
        <v>0</v>
      </c>
    </row>
    <row r="7" spans="1:5" x14ac:dyDescent="0.3">
      <c r="A7" s="8" t="s">
        <v>3598</v>
      </c>
      <c r="B7" s="9">
        <f>COUNTBLANK(Raw_Data!$Q$2:$Q$3501)</f>
        <v>720</v>
      </c>
    </row>
    <row r="8" spans="1:5" x14ac:dyDescent="0.3">
      <c r="A8" s="10" t="s">
        <v>3599</v>
      </c>
      <c r="B8" s="11">
        <f>COUNTBLANK(Raw_Data!$R$2:$R$3501)</f>
        <v>720</v>
      </c>
    </row>
    <row r="9" spans="1:5" x14ac:dyDescent="0.3">
      <c r="A9" s="8" t="s">
        <v>3600</v>
      </c>
      <c r="B9" s="9">
        <f>COUNTBLANK(Raw_Data!$T$2:$T$3501)</f>
        <v>720</v>
      </c>
    </row>
    <row r="10" spans="1:5" x14ac:dyDescent="0.3">
      <c r="A10" s="10" t="s">
        <v>3601</v>
      </c>
      <c r="B10" s="11">
        <f>B7+B8+B9</f>
        <v>2160</v>
      </c>
    </row>
    <row r="11" spans="1:5" x14ac:dyDescent="0.3">
      <c r="A11" s="8" t="s">
        <v>3602</v>
      </c>
      <c r="B11" s="9">
        <f>COUNTIF(Raw_Data!$O$2:$O$3501,"Placed")</f>
        <v>2780</v>
      </c>
    </row>
    <row r="12" spans="1:5" x14ac:dyDescent="0.3">
      <c r="A12" s="10" t="s">
        <v>3603</v>
      </c>
      <c r="B12" s="11">
        <f>COUNTIF(Raw_Data!$O$2:$O$3501,"Unplaced")</f>
        <v>720</v>
      </c>
    </row>
    <row r="13" spans="1:5" x14ac:dyDescent="0.3">
      <c r="A13" s="8" t="s">
        <v>3604</v>
      </c>
      <c r="B13" s="9">
        <f>COUNTIFS(Raw_Data!$F$2:$F$3501,"&lt;0")+COUNTIFS(Raw_Data!$F$2:$F$3501,"&gt;10")</f>
        <v>0</v>
      </c>
    </row>
    <row r="14" spans="1:5" x14ac:dyDescent="0.3">
      <c r="A14" s="10" t="s">
        <v>3605</v>
      </c>
      <c r="B14" s="11">
        <f>COUNTIFS(Raw_Data!$G$2:$G$3501,"&lt;0")+COUNTIFS(Raw_Data!$G$2:$G$3501,"&gt;100")</f>
        <v>0</v>
      </c>
    </row>
    <row r="17" spans="1:5" ht="16.8" x14ac:dyDescent="0.3">
      <c r="A17" s="6" t="s">
        <v>3606</v>
      </c>
    </row>
    <row r="18" spans="1:5" x14ac:dyDescent="0.3">
      <c r="A18" s="66" t="s">
        <v>3607</v>
      </c>
      <c r="B18" s="42"/>
      <c r="C18" s="42"/>
      <c r="D18" s="42"/>
      <c r="E18" s="42"/>
    </row>
    <row r="19" spans="1:5" x14ac:dyDescent="0.3">
      <c r="A19" s="66" t="s">
        <v>3608</v>
      </c>
      <c r="B19" s="42"/>
      <c r="C19" s="42"/>
      <c r="D19" s="42"/>
      <c r="E19" s="42"/>
    </row>
    <row r="20" spans="1:5" x14ac:dyDescent="0.3">
      <c r="A20" s="66" t="s">
        <v>3609</v>
      </c>
      <c r="B20" s="42"/>
      <c r="C20" s="42"/>
      <c r="D20" s="42"/>
      <c r="E20" s="42"/>
    </row>
    <row r="21" spans="1:5" x14ac:dyDescent="0.3">
      <c r="A21" s="66" t="s">
        <v>3610</v>
      </c>
      <c r="B21" s="42"/>
      <c r="C21" s="42"/>
      <c r="D21" s="42"/>
      <c r="E21" s="42"/>
    </row>
    <row r="22" spans="1:5" x14ac:dyDescent="0.3">
      <c r="A22" s="66" t="s">
        <v>3611</v>
      </c>
      <c r="B22" s="42"/>
      <c r="C22" s="42"/>
      <c r="D22" s="42"/>
      <c r="E22" s="42"/>
    </row>
    <row r="23" spans="1:5" x14ac:dyDescent="0.3">
      <c r="A23" s="66" t="s">
        <v>3612</v>
      </c>
      <c r="B23" s="42"/>
      <c r="C23" s="42"/>
      <c r="D23" s="42"/>
      <c r="E23" s="42"/>
    </row>
    <row r="24" spans="1:5" x14ac:dyDescent="0.3">
      <c r="A24" s="66" t="s">
        <v>3613</v>
      </c>
      <c r="B24" s="42"/>
      <c r="C24" s="42"/>
      <c r="D24" s="42"/>
      <c r="E24" s="42"/>
    </row>
  </sheetData>
  <mergeCells count="8">
    <mergeCell ref="A21:E21"/>
    <mergeCell ref="A20:E20"/>
    <mergeCell ref="A24:E24"/>
    <mergeCell ref="A19:E19"/>
    <mergeCell ref="A1:E1"/>
    <mergeCell ref="A23:E23"/>
    <mergeCell ref="A22:E22"/>
    <mergeCell ref="A18:E18"/>
  </mergeCells>
  <conditionalFormatting sqref="B5">
    <cfRule type="cellIs" dxfId="3" priority="1" operator="equal">
      <formula>0</formula>
    </cfRule>
    <cfRule type="cellIs" dxfId="2" priority="2" operator="greaterThan">
      <formula>0</formula>
    </cfRule>
  </conditionalFormatting>
  <conditionalFormatting sqref="B12:B13">
    <cfRule type="cellIs" dxfId="1" priority="3" operator="equal">
      <formula>0</formula>
    </cfRule>
    <cfRule type="cellIs" dxfId="0" priority="4" operator="greaterThan">
      <formula>0</formula>
    </cfRule>
  </conditionalFormatting>
  <printOptions horizontalCentered="1"/>
  <pageMargins left="0.3" right="0.3" top="0.4" bottom="0.4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8"/>
  <sheetViews>
    <sheetView showGridLines="0" workbookViewId="0">
      <selection activeCell="D2" sqref="D2:H2"/>
    </sheetView>
  </sheetViews>
  <sheetFormatPr defaultRowHeight="14.4" x14ac:dyDescent="0.3"/>
  <cols>
    <col min="1" max="1" width="34" customWidth="1"/>
    <col min="2" max="2" width="18" customWidth="1"/>
    <col min="3" max="3" width="4" customWidth="1"/>
    <col min="4" max="4" width="40" customWidth="1"/>
  </cols>
  <sheetData>
    <row r="1" spans="1:8" ht="28.05" customHeight="1" x14ac:dyDescent="0.3">
      <c r="A1" s="67" t="s">
        <v>3614</v>
      </c>
      <c r="B1" s="68"/>
      <c r="C1" s="68"/>
      <c r="D1" s="69"/>
    </row>
    <row r="2" spans="1:8" x14ac:dyDescent="0.3">
      <c r="A2" s="7" t="s">
        <v>3615</v>
      </c>
      <c r="B2" s="7" t="s">
        <v>3595</v>
      </c>
      <c r="D2" s="70" t="s">
        <v>3616</v>
      </c>
      <c r="E2" s="42"/>
      <c r="F2" s="42"/>
      <c r="G2" s="42"/>
      <c r="H2" s="42"/>
    </row>
    <row r="3" spans="1:8" x14ac:dyDescent="0.3">
      <c r="A3" s="8" t="s">
        <v>3617</v>
      </c>
      <c r="B3" s="12">
        <f>COUNTA(Raw_Data!$A$2:$A$3501)</f>
        <v>3500</v>
      </c>
    </row>
    <row r="4" spans="1:8" x14ac:dyDescent="0.3">
      <c r="A4" s="10" t="s">
        <v>3602</v>
      </c>
      <c r="B4" s="13">
        <f>COUNTIF(Raw_Data!$O$2:$O$3501,"Placed")</f>
        <v>2780</v>
      </c>
    </row>
    <row r="5" spans="1:8" x14ac:dyDescent="0.3">
      <c r="A5" s="8" t="s">
        <v>3603</v>
      </c>
      <c r="B5" s="12">
        <f>COUNTIF(Raw_Data!$O$2:$O$3501,"Unplaced")</f>
        <v>720</v>
      </c>
    </row>
    <row r="6" spans="1:8" x14ac:dyDescent="0.3">
      <c r="A6" s="10" t="s">
        <v>3618</v>
      </c>
      <c r="B6" s="14">
        <f>B4/B3</f>
        <v>0.79428571428571426</v>
      </c>
    </row>
    <row r="7" spans="1:8" x14ac:dyDescent="0.3">
      <c r="A7" s="8" t="s">
        <v>3619</v>
      </c>
      <c r="B7" s="15">
        <f>AVERAGEIF(Raw_Data!$O$2:$O$3501,"Placed",Raw_Data!$S$2:$S$3501)</f>
        <v>9.1315899280575632</v>
      </c>
    </row>
    <row r="8" spans="1:8" x14ac:dyDescent="0.3">
      <c r="A8" s="10" t="s">
        <v>3620</v>
      </c>
      <c r="B8" s="16">
        <f>MAX(Raw_Data!$S$2:$S$3501)</f>
        <v>23.34</v>
      </c>
    </row>
    <row r="9" spans="1:8" x14ac:dyDescent="0.3">
      <c r="A9" s="8" t="s">
        <v>3621</v>
      </c>
      <c r="B9" s="15">
        <f>_xlfn.MINIFS(Raw_Data!$S$2:$S$3501,Raw_Data!$O$2:$O$3501,"Placed")</f>
        <v>3</v>
      </c>
    </row>
    <row r="10" spans="1:8" x14ac:dyDescent="0.3">
      <c r="A10" s="10" t="s">
        <v>3622</v>
      </c>
      <c r="B10" s="13">
        <f>SUM(Raw_Data!$U$2:$U$3501)</f>
        <v>4181</v>
      </c>
    </row>
    <row r="11" spans="1:8" x14ac:dyDescent="0.3">
      <c r="A11" s="8" t="s">
        <v>3623</v>
      </c>
      <c r="B11" s="15">
        <f>AVERAGE(Raw_Data!$F$2:$F$3501)</f>
        <v>7.6567599999999949</v>
      </c>
    </row>
    <row r="12" spans="1:8" x14ac:dyDescent="0.3">
      <c r="A12" s="10" t="s">
        <v>3624</v>
      </c>
      <c r="B12" s="17">
        <f>AVERAGE(Raw_Data!$G$2:$G$3501)</f>
        <v>81.926542857142849</v>
      </c>
    </row>
    <row r="13" spans="1:8" x14ac:dyDescent="0.3">
      <c r="A13" s="8" t="s">
        <v>3625</v>
      </c>
      <c r="B13" s="12">
        <f>SUMPRODUCT((Raw_Data!$P$2:$P$3501&lt;&gt;"Not Placed")*(MATCH(Raw_Data!$P$2:$P$3501,Raw_Data!$P$2:$P$3501,0)=ROW(Raw_Data!$P$2:$P$3501)-1))</f>
        <v>10</v>
      </c>
    </row>
    <row r="14" spans="1:8" x14ac:dyDescent="0.3">
      <c r="A14" s="10" t="s">
        <v>3626</v>
      </c>
      <c r="B14" s="13">
        <f>COUNTIF(Raw_Data!$H$2:$H$3501,"&gt;0")</f>
        <v>2888</v>
      </c>
    </row>
    <row r="15" spans="1:8" x14ac:dyDescent="0.3">
      <c r="A15" s="8" t="s">
        <v>3627</v>
      </c>
      <c r="B15" s="12">
        <f>COUNTIF(Raw_Data!$I$2:$I$3501,"&gt;0")</f>
        <v>2985</v>
      </c>
    </row>
    <row r="16" spans="1:8" x14ac:dyDescent="0.3">
      <c r="A16" s="10" t="s">
        <v>3628</v>
      </c>
      <c r="B16" s="17">
        <f>AVERAGE(Raw_Data!$K$2:$K$3501)</f>
        <v>67.8762857142858</v>
      </c>
    </row>
    <row r="17" spans="1:2" x14ac:dyDescent="0.3">
      <c r="A17" s="8" t="s">
        <v>3629</v>
      </c>
      <c r="B17" s="18">
        <f>AVERAGE(Raw_Data!$L$2:$L$3501)</f>
        <v>69.938914285714219</v>
      </c>
    </row>
    <row r="18" spans="1:2" x14ac:dyDescent="0.3">
      <c r="A18" s="10" t="s">
        <v>3630</v>
      </c>
      <c r="B18" s="17">
        <f>AVERAGE(Raw_Data!$M$2:$M$3501)</f>
        <v>73.703514285714306</v>
      </c>
    </row>
  </sheetData>
  <mergeCells count="2">
    <mergeCell ref="A1:D1"/>
    <mergeCell ref="D2:H2"/>
  </mergeCells>
  <printOptions horizontalCentered="1"/>
  <pageMargins left="0.3" right="0.3" top="0.4" bottom="0.4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31"/>
  <sheetViews>
    <sheetView showGridLines="0" topLeftCell="A232" workbookViewId="0">
      <selection activeCell="E24" sqref="E24"/>
    </sheetView>
  </sheetViews>
  <sheetFormatPr defaultRowHeight="14.4" x14ac:dyDescent="0.3"/>
  <cols>
    <col min="1" max="1" width="20" customWidth="1"/>
    <col min="2" max="5" width="13" customWidth="1"/>
  </cols>
  <sheetData>
    <row r="1" spans="1:13" ht="28.05" customHeight="1" x14ac:dyDescent="0.3">
      <c r="A1" s="67" t="s">
        <v>3631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3" spans="1:13" ht="16.8" x14ac:dyDescent="0.3">
      <c r="A3" s="6" t="s">
        <v>3632</v>
      </c>
    </row>
    <row r="4" spans="1:13" ht="27.6" x14ac:dyDescent="0.3">
      <c r="A4" s="1" t="s">
        <v>3633</v>
      </c>
      <c r="B4" s="1" t="s">
        <v>3634</v>
      </c>
    </row>
    <row r="5" spans="1:13" x14ac:dyDescent="0.3">
      <c r="A5" s="8" t="s">
        <v>58</v>
      </c>
      <c r="B5" s="9">
        <f>COUNTIF(Raw_Data!$O$2:$O$3501,"Placed")</f>
        <v>2780</v>
      </c>
    </row>
    <row r="6" spans="1:13" x14ac:dyDescent="0.3">
      <c r="A6" s="10" t="s">
        <v>64</v>
      </c>
      <c r="B6" s="11">
        <f>COUNTIF(Raw_Data!$O$2:$O$3501,"Unplaced")</f>
        <v>720</v>
      </c>
    </row>
    <row r="7" spans="1:13" x14ac:dyDescent="0.3">
      <c r="A7" s="19" t="s">
        <v>3635</v>
      </c>
      <c r="B7" s="20">
        <f>SUM(B5:B6)</f>
        <v>3500</v>
      </c>
    </row>
    <row r="23" spans="1:5" ht="16.8" x14ac:dyDescent="0.3">
      <c r="A23" s="6" t="s">
        <v>3636</v>
      </c>
    </row>
    <row r="24" spans="1:5" ht="27.6" x14ac:dyDescent="0.3">
      <c r="A24" s="1" t="s">
        <v>31</v>
      </c>
      <c r="B24" s="1" t="s">
        <v>58</v>
      </c>
      <c r="C24" s="1" t="s">
        <v>64</v>
      </c>
      <c r="D24" s="1" t="s">
        <v>3635</v>
      </c>
      <c r="E24" s="1" t="s">
        <v>3618</v>
      </c>
    </row>
    <row r="25" spans="1:5" x14ac:dyDescent="0.3">
      <c r="A25" s="8" t="s">
        <v>84</v>
      </c>
      <c r="B25" s="9">
        <f>COUNTIFS(Raw_Data!$C$2:$C$3501,"AIML",Raw_Data!$O$2:$O$3501,"Placed")</f>
        <v>308</v>
      </c>
      <c r="C25" s="9">
        <f>COUNTIFS(Raw_Data!$C$2:$C$3501,"AIML",Raw_Data!$O$2:$O$3501,"Unplaced")</f>
        <v>86</v>
      </c>
      <c r="D25" s="9">
        <f t="shared" ref="D25:D31" si="0">B25+C25</f>
        <v>394</v>
      </c>
      <c r="E25" s="21">
        <f t="shared" ref="E25:E31" si="1">B25/D25</f>
        <v>0.78172588832487311</v>
      </c>
    </row>
    <row r="26" spans="1:5" x14ac:dyDescent="0.3">
      <c r="A26" s="10" t="s">
        <v>101</v>
      </c>
      <c r="B26" s="11">
        <f>COUNTIFS(Raw_Data!$C$2:$C$3501,"CIVIL",Raw_Data!$O$2:$O$3501,"Placed")</f>
        <v>291</v>
      </c>
      <c r="C26" s="11">
        <f>COUNTIFS(Raw_Data!$C$2:$C$3501,"CIVIL",Raw_Data!$O$2:$O$3501,"Unplaced")</f>
        <v>78</v>
      </c>
      <c r="D26" s="11">
        <f t="shared" si="0"/>
        <v>369</v>
      </c>
      <c r="E26" s="22">
        <f t="shared" si="1"/>
        <v>0.78861788617886175</v>
      </c>
    </row>
    <row r="27" spans="1:5" x14ac:dyDescent="0.3">
      <c r="A27" s="8" t="s">
        <v>56</v>
      </c>
      <c r="B27" s="9">
        <f>COUNTIFS(Raw_Data!$C$2:$C$3501,"CSE",Raw_Data!$O$2:$O$3501,"Placed")</f>
        <v>708</v>
      </c>
      <c r="C27" s="9">
        <f>COUNTIFS(Raw_Data!$C$2:$C$3501,"CSE",Raw_Data!$O$2:$O$3501,"Unplaced")</f>
        <v>186</v>
      </c>
      <c r="D27" s="9">
        <f t="shared" si="0"/>
        <v>894</v>
      </c>
      <c r="E27" s="21">
        <f t="shared" si="1"/>
        <v>0.79194630872483218</v>
      </c>
    </row>
    <row r="28" spans="1:5" x14ac:dyDescent="0.3">
      <c r="A28" s="10" t="s">
        <v>68</v>
      </c>
      <c r="B28" s="11">
        <f>COUNTIFS(Raw_Data!$C$2:$C$3501,"ECE",Raw_Data!$O$2:$O$3501,"Placed")</f>
        <v>419</v>
      </c>
      <c r="C28" s="11">
        <f>COUNTIFS(Raw_Data!$C$2:$C$3501,"ECE",Raw_Data!$O$2:$O$3501,"Unplaced")</f>
        <v>126</v>
      </c>
      <c r="D28" s="11">
        <f t="shared" si="0"/>
        <v>545</v>
      </c>
      <c r="E28" s="22">
        <f t="shared" si="1"/>
        <v>0.76880733944954127</v>
      </c>
    </row>
    <row r="29" spans="1:5" x14ac:dyDescent="0.3">
      <c r="A29" s="8" t="s">
        <v>89</v>
      </c>
      <c r="B29" s="9">
        <f>COUNTIFS(Raw_Data!$C$2:$C$3501,"EEE",Raw_Data!$O$2:$O$3501,"Placed")</f>
        <v>270</v>
      </c>
      <c r="C29" s="9">
        <f>COUNTIFS(Raw_Data!$C$2:$C$3501,"EEE",Raw_Data!$O$2:$O$3501,"Unplaced")</f>
        <v>59</v>
      </c>
      <c r="D29" s="9">
        <f t="shared" si="0"/>
        <v>329</v>
      </c>
      <c r="E29" s="21">
        <f t="shared" si="1"/>
        <v>0.82066869300911849</v>
      </c>
    </row>
    <row r="30" spans="1:5" x14ac:dyDescent="0.3">
      <c r="A30" s="10" t="s">
        <v>74</v>
      </c>
      <c r="B30" s="11">
        <f>COUNTIFS(Raw_Data!$C$2:$C$3501,"IT",Raw_Data!$O$2:$O$3501,"Placed")</f>
        <v>439</v>
      </c>
      <c r="C30" s="11">
        <f>COUNTIFS(Raw_Data!$C$2:$C$3501,"IT",Raw_Data!$O$2:$O$3501,"Unplaced")</f>
        <v>116</v>
      </c>
      <c r="D30" s="11">
        <f t="shared" si="0"/>
        <v>555</v>
      </c>
      <c r="E30" s="22">
        <f t="shared" si="1"/>
        <v>0.79099099099099102</v>
      </c>
    </row>
    <row r="31" spans="1:5" x14ac:dyDescent="0.3">
      <c r="A31" s="8" t="s">
        <v>78</v>
      </c>
      <c r="B31" s="9">
        <f>COUNTIFS(Raw_Data!$C$2:$C$3501,"MECH",Raw_Data!$O$2:$O$3501,"Placed")</f>
        <v>345</v>
      </c>
      <c r="C31" s="9">
        <f>COUNTIFS(Raw_Data!$C$2:$C$3501,"MECH",Raw_Data!$O$2:$O$3501,"Unplaced")</f>
        <v>69</v>
      </c>
      <c r="D31" s="9">
        <f t="shared" si="0"/>
        <v>414</v>
      </c>
      <c r="E31" s="21">
        <f t="shared" si="1"/>
        <v>0.83333333333333337</v>
      </c>
    </row>
    <row r="32" spans="1:5" x14ac:dyDescent="0.3">
      <c r="A32" s="19" t="s">
        <v>3635</v>
      </c>
      <c r="B32" s="20">
        <f>SUM(B25:B31)</f>
        <v>2780</v>
      </c>
      <c r="C32" s="20">
        <f>SUM(C25:C31)</f>
        <v>720</v>
      </c>
      <c r="D32" s="20">
        <f>SUM(D25:D31)</f>
        <v>3500</v>
      </c>
    </row>
    <row r="43" spans="1:3" ht="16.8" x14ac:dyDescent="0.3">
      <c r="A43" s="6" t="s">
        <v>3637</v>
      </c>
    </row>
    <row r="44" spans="1:3" ht="27.6" x14ac:dyDescent="0.3">
      <c r="A44" s="1" t="s">
        <v>30</v>
      </c>
      <c r="B44" s="1" t="s">
        <v>3634</v>
      </c>
      <c r="C44" s="1" t="s">
        <v>3618</v>
      </c>
    </row>
    <row r="45" spans="1:3" x14ac:dyDescent="0.3">
      <c r="A45" s="8" t="s">
        <v>107</v>
      </c>
      <c r="B45" s="9">
        <f>COUNTIF(Raw_Data!$B$2:$B$3501,"2021-22")</f>
        <v>718</v>
      </c>
      <c r="C45" s="21">
        <f>COUNTIFS(Raw_Data!$B$2:$B$3501,"2021-22",Raw_Data!$O$2:$O$3501,"Placed")/COUNTIF(Raw_Data!$B$2:$B$3501,"2021-22")</f>
        <v>0.79526462395543174</v>
      </c>
    </row>
    <row r="46" spans="1:3" x14ac:dyDescent="0.3">
      <c r="A46" s="10" t="s">
        <v>82</v>
      </c>
      <c r="B46" s="11">
        <f>COUNTIF(Raw_Data!$B$2:$B$3501,"2022-23")</f>
        <v>673</v>
      </c>
      <c r="C46" s="22">
        <f>COUNTIFS(Raw_Data!$B$2:$B$3501,"2022-23",Raw_Data!$O$2:$O$3501,"Placed")/COUNTIF(Raw_Data!$B$2:$B$3501,"2022-23")</f>
        <v>0.79197622585438332</v>
      </c>
    </row>
    <row r="47" spans="1:3" x14ac:dyDescent="0.3">
      <c r="A47" s="8" t="s">
        <v>67</v>
      </c>
      <c r="B47" s="9">
        <f>COUNTIF(Raw_Data!$B$2:$B$3501,"2023-24")</f>
        <v>666</v>
      </c>
      <c r="C47" s="21">
        <f>COUNTIFS(Raw_Data!$B$2:$B$3501,"2023-24",Raw_Data!$O$2:$O$3501,"Placed")/COUNTIF(Raw_Data!$B$2:$B$3501,"2023-24")</f>
        <v>0.81081081081081086</v>
      </c>
    </row>
    <row r="48" spans="1:3" x14ac:dyDescent="0.3">
      <c r="A48" s="10" t="s">
        <v>55</v>
      </c>
      <c r="B48" s="11">
        <f>COUNTIF(Raw_Data!$B$2:$B$3501,"2024-25")</f>
        <v>727</v>
      </c>
      <c r="C48" s="22">
        <f>COUNTIFS(Raw_Data!$B$2:$B$3501,"2024-25",Raw_Data!$O$2:$O$3501,"Placed")/COUNTIF(Raw_Data!$B$2:$B$3501,"2024-25")</f>
        <v>0.7799174690508941</v>
      </c>
    </row>
    <row r="49" spans="1:3" x14ac:dyDescent="0.3">
      <c r="A49" s="8" t="s">
        <v>63</v>
      </c>
      <c r="B49" s="9">
        <f>COUNTIF(Raw_Data!$B$2:$B$3501,"2025-26")</f>
        <v>716</v>
      </c>
      <c r="C49" s="21">
        <f>COUNTIFS(Raw_Data!$B$2:$B$3501,"2025-26",Raw_Data!$O$2:$O$3501,"Placed")/COUNTIF(Raw_Data!$B$2:$B$3501,"2025-26")</f>
        <v>0.79469273743016755</v>
      </c>
    </row>
    <row r="63" spans="1:3" ht="16.8" x14ac:dyDescent="0.3">
      <c r="A63" s="6" t="s">
        <v>3638</v>
      </c>
    </row>
    <row r="64" spans="1:3" ht="27.6" x14ac:dyDescent="0.3">
      <c r="A64" s="1" t="s">
        <v>44</v>
      </c>
      <c r="B64" s="1" t="s">
        <v>3634</v>
      </c>
    </row>
    <row r="65" spans="1:2" x14ac:dyDescent="0.3">
      <c r="A65" s="8" t="s">
        <v>112</v>
      </c>
      <c r="B65" s="9">
        <f>COUNTIF(Raw_Data!$P$2:$P$3501,"Accenture")</f>
        <v>298</v>
      </c>
    </row>
    <row r="66" spans="1:2" x14ac:dyDescent="0.3">
      <c r="A66" s="10" t="s">
        <v>104</v>
      </c>
      <c r="B66" s="11">
        <f>COUNTIF(Raw_Data!$P$2:$P$3501,"Amazon")</f>
        <v>265</v>
      </c>
    </row>
    <row r="67" spans="1:2" x14ac:dyDescent="0.3">
      <c r="A67" s="8" t="s">
        <v>95</v>
      </c>
      <c r="B67" s="9">
        <f>COUNTIF(Raw_Data!$P$2:$P$3501,"Capgemini")</f>
        <v>264</v>
      </c>
    </row>
    <row r="68" spans="1:2" x14ac:dyDescent="0.3">
      <c r="A68" s="10" t="s">
        <v>87</v>
      </c>
      <c r="B68" s="11">
        <f>COUNTIF(Raw_Data!$P$2:$P$3501,"Cognizant")</f>
        <v>270</v>
      </c>
    </row>
    <row r="69" spans="1:2" x14ac:dyDescent="0.3">
      <c r="A69" s="8" t="s">
        <v>92</v>
      </c>
      <c r="B69" s="9">
        <f>COUNTIF(Raw_Data!$P$2:$P$3501,"Deloitte")</f>
        <v>249</v>
      </c>
    </row>
    <row r="70" spans="1:2" x14ac:dyDescent="0.3">
      <c r="A70" s="10" t="s">
        <v>90</v>
      </c>
      <c r="B70" s="11">
        <f>COUNTIF(Raw_Data!$P$2:$P$3501,"IBM")</f>
        <v>270</v>
      </c>
    </row>
    <row r="71" spans="1:2" x14ac:dyDescent="0.3">
      <c r="A71" s="8" t="s">
        <v>79</v>
      </c>
      <c r="B71" s="9">
        <f>COUNTIF(Raw_Data!$P$2:$P$3501,"Infosys")</f>
        <v>293</v>
      </c>
    </row>
    <row r="72" spans="1:2" x14ac:dyDescent="0.3">
      <c r="A72" s="10" t="s">
        <v>59</v>
      </c>
      <c r="B72" s="11">
        <f>COUNTIF(Raw_Data!$P$2:$P$3501,"Microsoft")</f>
        <v>297</v>
      </c>
    </row>
    <row r="73" spans="1:2" x14ac:dyDescent="0.3">
      <c r="A73" s="8" t="s">
        <v>70</v>
      </c>
      <c r="B73" s="9">
        <f>COUNTIF(Raw_Data!$P$2:$P$3501,"TCS")</f>
        <v>293</v>
      </c>
    </row>
    <row r="74" spans="1:2" x14ac:dyDescent="0.3">
      <c r="A74" s="10" t="s">
        <v>75</v>
      </c>
      <c r="B74" s="11">
        <f>COUNTIF(Raw_Data!$P$2:$P$3501,"Wipro")</f>
        <v>281</v>
      </c>
    </row>
    <row r="83" spans="1:2" ht="16.8" x14ac:dyDescent="0.3">
      <c r="A83" s="6" t="s">
        <v>3639</v>
      </c>
    </row>
    <row r="84" spans="1:2" ht="41.4" x14ac:dyDescent="0.3">
      <c r="A84" s="1" t="s">
        <v>31</v>
      </c>
      <c r="B84" s="1" t="s">
        <v>3640</v>
      </c>
    </row>
    <row r="85" spans="1:2" x14ac:dyDescent="0.3">
      <c r="A85" s="8" t="s">
        <v>84</v>
      </c>
      <c r="B85" s="23">
        <f>AVERAGEIFS(Raw_Data!$S$2:$S$3501,Raw_Data!$C$2:$C$3501,"AIML",Raw_Data!$O$2:$O$3501,"Placed")</f>
        <v>9.216396103896102</v>
      </c>
    </row>
    <row r="86" spans="1:2" x14ac:dyDescent="0.3">
      <c r="A86" s="10" t="s">
        <v>101</v>
      </c>
      <c r="B86" s="24">
        <f>AVERAGEIFS(Raw_Data!$S$2:$S$3501,Raw_Data!$C$2:$C$3501,"CIVIL",Raw_Data!$O$2:$O$3501,"Placed")</f>
        <v>9.32704467353952</v>
      </c>
    </row>
    <row r="87" spans="1:2" x14ac:dyDescent="0.3">
      <c r="A87" s="8" t="s">
        <v>56</v>
      </c>
      <c r="B87" s="23">
        <f>AVERAGEIFS(Raw_Data!$S$2:$S$3501,Raw_Data!$C$2:$C$3501,"CSE",Raw_Data!$O$2:$O$3501,"Placed")</f>
        <v>9.0775564971751344</v>
      </c>
    </row>
    <row r="88" spans="1:2" x14ac:dyDescent="0.3">
      <c r="A88" s="10" t="s">
        <v>68</v>
      </c>
      <c r="B88" s="24">
        <f>AVERAGEIFS(Raw_Data!$S$2:$S$3501,Raw_Data!$C$2:$C$3501,"ECE",Raw_Data!$O$2:$O$3501,"Placed")</f>
        <v>9.3092601431980952</v>
      </c>
    </row>
    <row r="89" spans="1:2" x14ac:dyDescent="0.3">
      <c r="A89" s="8" t="s">
        <v>89</v>
      </c>
      <c r="B89" s="23">
        <f>AVERAGEIFS(Raw_Data!$S$2:$S$3501,Raw_Data!$C$2:$C$3501,"EEE",Raw_Data!$O$2:$O$3501,"Placed")</f>
        <v>8.7347777777777758</v>
      </c>
    </row>
    <row r="90" spans="1:2" x14ac:dyDescent="0.3">
      <c r="A90" s="10" t="s">
        <v>74</v>
      </c>
      <c r="B90" s="24">
        <f>AVERAGEIFS(Raw_Data!$S$2:$S$3501,Raw_Data!$C$2:$C$3501,"IT",Raw_Data!$O$2:$O$3501,"Placed")</f>
        <v>8.9116173120728881</v>
      </c>
    </row>
    <row r="91" spans="1:2" x14ac:dyDescent="0.3">
      <c r="A91" s="8" t="s">
        <v>78</v>
      </c>
      <c r="B91" s="23">
        <f>AVERAGEIFS(Raw_Data!$S$2:$S$3501,Raw_Data!$C$2:$C$3501,"MECH",Raw_Data!$O$2:$O$3501,"Placed")</f>
        <v>9.3765797101449202</v>
      </c>
    </row>
    <row r="103" spans="1:2" ht="16.8" x14ac:dyDescent="0.3">
      <c r="A103" s="6" t="s">
        <v>3641</v>
      </c>
    </row>
    <row r="104" spans="1:2" ht="41.4" x14ac:dyDescent="0.3">
      <c r="A104" s="1" t="s">
        <v>44</v>
      </c>
      <c r="B104" s="1" t="s">
        <v>3640</v>
      </c>
    </row>
    <row r="105" spans="1:2" x14ac:dyDescent="0.3">
      <c r="A105" s="8" t="s">
        <v>112</v>
      </c>
      <c r="B105" s="23">
        <f>AVERAGEIF(Raw_Data!$P$2:$P$3501,"Accenture",Raw_Data!$S$2:$S$3501)</f>
        <v>7.017684563758392</v>
      </c>
    </row>
    <row r="106" spans="1:2" x14ac:dyDescent="0.3">
      <c r="A106" s="10" t="s">
        <v>104</v>
      </c>
      <c r="B106" s="24">
        <f>AVERAGEIF(Raw_Data!$P$2:$P$3501,"Amazon",Raw_Data!$S$2:$S$3501)</f>
        <v>15.48498113207547</v>
      </c>
    </row>
    <row r="107" spans="1:2" x14ac:dyDescent="0.3">
      <c r="A107" s="8" t="s">
        <v>95</v>
      </c>
      <c r="B107" s="23">
        <f>AVERAGEIF(Raw_Data!$P$2:$P$3501,"Capgemini",Raw_Data!$S$2:$S$3501)</f>
        <v>6.8153787878787853</v>
      </c>
    </row>
    <row r="108" spans="1:2" x14ac:dyDescent="0.3">
      <c r="A108" s="10" t="s">
        <v>87</v>
      </c>
      <c r="B108" s="24">
        <f>AVERAGEIF(Raw_Data!$P$2:$P$3501,"Cognizant",Raw_Data!$S$2:$S$3501)</f>
        <v>6.4715185185185202</v>
      </c>
    </row>
    <row r="109" spans="1:2" x14ac:dyDescent="0.3">
      <c r="A109" s="8" t="s">
        <v>92</v>
      </c>
      <c r="B109" s="23">
        <f>AVERAGEIF(Raw_Data!$P$2:$P$3501,"Deloitte",Raw_Data!$S$2:$S$3501)</f>
        <v>9.0563855421686856</v>
      </c>
    </row>
    <row r="110" spans="1:2" x14ac:dyDescent="0.3">
      <c r="A110" s="10" t="s">
        <v>90</v>
      </c>
      <c r="B110" s="24">
        <f>AVERAGEIF(Raw_Data!$P$2:$P$3501,"IBM",Raw_Data!$S$2:$S$3501)</f>
        <v>8.4452962962963003</v>
      </c>
    </row>
    <row r="111" spans="1:2" x14ac:dyDescent="0.3">
      <c r="A111" s="8" t="s">
        <v>79</v>
      </c>
      <c r="B111" s="23">
        <f>AVERAGEIF(Raw_Data!$P$2:$P$3501,"Infosys",Raw_Data!$S$2:$S$3501)</f>
        <v>6.2783617747440275</v>
      </c>
    </row>
    <row r="112" spans="1:2" x14ac:dyDescent="0.3">
      <c r="A112" s="10" t="s">
        <v>59</v>
      </c>
      <c r="B112" s="24">
        <f>AVERAGEIF(Raw_Data!$P$2:$P$3501,"Microsoft",Raw_Data!$S$2:$S$3501)</f>
        <v>19.557710437710433</v>
      </c>
    </row>
    <row r="113" spans="1:4" x14ac:dyDescent="0.3">
      <c r="A113" s="8" t="s">
        <v>70</v>
      </c>
      <c r="B113" s="23">
        <f>AVERAGEIF(Raw_Data!$P$2:$P$3501,"TCS",Raw_Data!$S$2:$S$3501)</f>
        <v>5.9132081911262793</v>
      </c>
    </row>
    <row r="114" spans="1:4" x14ac:dyDescent="0.3">
      <c r="A114" s="10" t="s">
        <v>75</v>
      </c>
      <c r="B114" s="24">
        <f>AVERAGEIF(Raw_Data!$P$2:$P$3501,"Wipro",Raw_Data!$S$2:$S$3501)</f>
        <v>6.1509608540925296</v>
      </c>
    </row>
    <row r="123" spans="1:4" ht="16.8" x14ac:dyDescent="0.3">
      <c r="A123" s="6" t="s">
        <v>3642</v>
      </c>
    </row>
    <row r="124" spans="1:4" x14ac:dyDescent="0.3">
      <c r="A124" s="1" t="s">
        <v>32</v>
      </c>
      <c r="B124" s="1" t="s">
        <v>58</v>
      </c>
      <c r="C124" s="1" t="s">
        <v>64</v>
      </c>
      <c r="D124" s="1" t="s">
        <v>3635</v>
      </c>
    </row>
    <row r="125" spans="1:4" x14ac:dyDescent="0.3">
      <c r="A125" s="8" t="s">
        <v>57</v>
      </c>
      <c r="B125" s="9">
        <f>COUNTIFS(Raw_Data!$D$2:$D$3501,"Male",Raw_Data!$O$2:$O$3501,"Placed")</f>
        <v>1587</v>
      </c>
      <c r="C125" s="9">
        <f>COUNTIFS(Raw_Data!$D$2:$D$3501,"Male",Raw_Data!$O$2:$O$3501,"Unplaced")</f>
        <v>405</v>
      </c>
      <c r="D125" s="9">
        <f>B125+C125</f>
        <v>1992</v>
      </c>
    </row>
    <row r="126" spans="1:4" x14ac:dyDescent="0.3">
      <c r="A126" s="10" t="s">
        <v>69</v>
      </c>
      <c r="B126" s="11">
        <f>COUNTIFS(Raw_Data!$D$2:$D$3501,"Female",Raw_Data!$O$2:$O$3501,"Placed")</f>
        <v>1193</v>
      </c>
      <c r="C126" s="11">
        <f>COUNTIFS(Raw_Data!$D$2:$D$3501,"Female",Raw_Data!$O$2:$O$3501,"Unplaced")</f>
        <v>315</v>
      </c>
      <c r="D126" s="11">
        <f>B126+C126</f>
        <v>1508</v>
      </c>
    </row>
    <row r="143" spans="1:2" ht="16.8" x14ac:dyDescent="0.3">
      <c r="A143" s="6" t="s">
        <v>3643</v>
      </c>
    </row>
    <row r="144" spans="1:2" ht="27.6" x14ac:dyDescent="0.3">
      <c r="A144" s="1" t="s">
        <v>45</v>
      </c>
      <c r="B144" s="1" t="s">
        <v>3634</v>
      </c>
    </row>
    <row r="145" spans="1:2" x14ac:dyDescent="0.3">
      <c r="A145" s="8" t="s">
        <v>93</v>
      </c>
      <c r="B145" s="9">
        <f>COUNTIF(Raw_Data!$Q$2:$Q$3501,"Consulting")</f>
        <v>811</v>
      </c>
    </row>
    <row r="146" spans="1:2" x14ac:dyDescent="0.3">
      <c r="A146" s="10" t="s">
        <v>105</v>
      </c>
      <c r="B146" s="11">
        <f>COUNTIF(Raw_Data!$Q$2:$Q$3501,"E-commerce")</f>
        <v>265</v>
      </c>
    </row>
    <row r="147" spans="1:2" x14ac:dyDescent="0.3">
      <c r="A147" s="8" t="s">
        <v>71</v>
      </c>
      <c r="B147" s="9">
        <f>COUNTIF(Raw_Data!$Q$2:$Q$3501,"IT Services")</f>
        <v>1137</v>
      </c>
    </row>
    <row r="148" spans="1:2" x14ac:dyDescent="0.3">
      <c r="A148" s="10" t="s">
        <v>60</v>
      </c>
      <c r="B148" s="11">
        <f>COUNTIF(Raw_Data!$Q$2:$Q$3501,"Software Product")</f>
        <v>567</v>
      </c>
    </row>
    <row r="163" spans="1:3" ht="16.8" x14ac:dyDescent="0.3">
      <c r="A163" s="6" t="s">
        <v>3644</v>
      </c>
    </row>
    <row r="164" spans="1:3" ht="41.4" x14ac:dyDescent="0.3">
      <c r="A164" s="1" t="s">
        <v>46</v>
      </c>
      <c r="B164" s="1" t="s">
        <v>3634</v>
      </c>
      <c r="C164" s="1" t="s">
        <v>3640</v>
      </c>
    </row>
    <row r="165" spans="1:3" x14ac:dyDescent="0.3">
      <c r="A165" s="8" t="s">
        <v>61</v>
      </c>
      <c r="B165" s="9">
        <f>COUNTIF(Raw_Data!$R$2:$R$3501,"Business Analyst")</f>
        <v>426</v>
      </c>
      <c r="C165" s="23">
        <f>AVERAGEIF(Raw_Data!$R$2:$R$3501,"Business Analyst",Raw_Data!$S$2:$S$3501)</f>
        <v>9.0290375586854363</v>
      </c>
    </row>
    <row r="166" spans="1:3" x14ac:dyDescent="0.3">
      <c r="A166" s="10" t="s">
        <v>80</v>
      </c>
      <c r="B166" s="11">
        <f>COUNTIF(Raw_Data!$R$2:$R$3501,"Cloud Engineer")</f>
        <v>356</v>
      </c>
      <c r="C166" s="24">
        <f>AVERAGEIF(Raw_Data!$R$2:$R$3501,"Cloud Engineer",Raw_Data!$S$2:$S$3501)</f>
        <v>9.3826404494382043</v>
      </c>
    </row>
    <row r="167" spans="1:3" x14ac:dyDescent="0.3">
      <c r="A167" s="8" t="s">
        <v>76</v>
      </c>
      <c r="B167" s="9">
        <f>COUNTIF(Raw_Data!$R$2:$R$3501,"Data Analyst")</f>
        <v>396</v>
      </c>
      <c r="C167" s="23">
        <f>AVERAGEIF(Raw_Data!$R$2:$R$3501,"Data Analyst",Raw_Data!$S$2:$S$3501)</f>
        <v>9.2654040404040359</v>
      </c>
    </row>
    <row r="168" spans="1:3" x14ac:dyDescent="0.3">
      <c r="A168" s="10" t="s">
        <v>130</v>
      </c>
      <c r="B168" s="11">
        <f>COUNTIF(Raw_Data!$R$2:$R$3501,"DevOps Engineer")</f>
        <v>379</v>
      </c>
      <c r="C168" s="24">
        <f>AVERAGEIF(Raw_Data!$R$2:$R$3501,"DevOps Engineer",Raw_Data!$S$2:$S$3501)</f>
        <v>9.1372559366754604</v>
      </c>
    </row>
    <row r="169" spans="1:3" x14ac:dyDescent="0.3">
      <c r="A169" s="8" t="s">
        <v>72</v>
      </c>
      <c r="B169" s="9">
        <f>COUNTIF(Raw_Data!$R$2:$R$3501,"Full Stack Developer")</f>
        <v>379</v>
      </c>
      <c r="C169" s="23">
        <f>AVERAGEIF(Raw_Data!$R$2:$R$3501,"Full Stack Developer",Raw_Data!$S$2:$S$3501)</f>
        <v>9.485145118733513</v>
      </c>
    </row>
    <row r="170" spans="1:3" x14ac:dyDescent="0.3">
      <c r="A170" s="10" t="s">
        <v>109</v>
      </c>
      <c r="B170" s="11">
        <f>COUNTIF(Raw_Data!$R$2:$R$3501,"QA Engineer")</f>
        <v>432</v>
      </c>
      <c r="C170" s="24">
        <f>AVERAGEIF(Raw_Data!$R$2:$R$3501,"QA Engineer",Raw_Data!$S$2:$S$3501)</f>
        <v>8.8943518518518463</v>
      </c>
    </row>
    <row r="171" spans="1:3" x14ac:dyDescent="0.3">
      <c r="A171" s="8" t="s">
        <v>85</v>
      </c>
      <c r="B171" s="9">
        <f>COUNTIF(Raw_Data!$R$2:$R$3501,"Software Engineer")</f>
        <v>412</v>
      </c>
      <c r="C171" s="23">
        <f>AVERAGEIF(Raw_Data!$R$2:$R$3501,"Software Engineer",Raw_Data!$S$2:$S$3501)</f>
        <v>8.8103883495145592</v>
      </c>
    </row>
    <row r="183" spans="1:4" ht="16.8" x14ac:dyDescent="0.3">
      <c r="A183" s="6" t="s">
        <v>3645</v>
      </c>
    </row>
    <row r="184" spans="1:4" x14ac:dyDescent="0.3">
      <c r="A184" s="1" t="s">
        <v>36</v>
      </c>
      <c r="B184" s="1" t="s">
        <v>58</v>
      </c>
      <c r="C184" s="1" t="s">
        <v>64</v>
      </c>
      <c r="D184" s="1" t="s">
        <v>3635</v>
      </c>
    </row>
    <row r="185" spans="1:4" x14ac:dyDescent="0.3">
      <c r="A185" s="8" t="s">
        <v>3646</v>
      </c>
      <c r="B185" s="9">
        <f>COUNTIFS(Raw_Data!$H$2:$H$3501,0,Raw_Data!$O$2:$O$3501,"Placed")</f>
        <v>442</v>
      </c>
      <c r="C185" s="9">
        <f>COUNTIFS(Raw_Data!$H$2:$H$3501,0,Raw_Data!$O$2:$O$3501,"Unplaced")</f>
        <v>170</v>
      </c>
      <c r="D185" s="9">
        <f>B185+C185</f>
        <v>612</v>
      </c>
    </row>
    <row r="186" spans="1:4" x14ac:dyDescent="0.3">
      <c r="A186" s="10" t="s">
        <v>3647</v>
      </c>
      <c r="B186" s="11">
        <f>COUNTIFS(Raw_Data!$H$2:$H$3501,1,Raw_Data!$O$2:$O$3501,"Placed")</f>
        <v>1179</v>
      </c>
      <c r="C186" s="11">
        <f>COUNTIFS(Raw_Data!$H$2:$H$3501,1,Raw_Data!$O$2:$O$3501,"Unplaced")</f>
        <v>308</v>
      </c>
      <c r="D186" s="11">
        <f>B186+C186</f>
        <v>1487</v>
      </c>
    </row>
    <row r="187" spans="1:4" x14ac:dyDescent="0.3">
      <c r="A187" s="8" t="s">
        <v>3648</v>
      </c>
      <c r="B187" s="9">
        <f>COUNTIFS(Raw_Data!$H$2:$H$3501,2,Raw_Data!$O$2:$O$3501,"Placed")</f>
        <v>836</v>
      </c>
      <c r="C187" s="9">
        <f>COUNTIFS(Raw_Data!$H$2:$H$3501,2,Raw_Data!$O$2:$O$3501,"Unplaced")</f>
        <v>191</v>
      </c>
      <c r="D187" s="9">
        <f>B187+C187</f>
        <v>1027</v>
      </c>
    </row>
    <row r="188" spans="1:4" x14ac:dyDescent="0.3">
      <c r="A188" s="10" t="s">
        <v>3649</v>
      </c>
      <c r="B188" s="11">
        <f>COUNTIFS(Raw_Data!$H$2:$H$3501,3,Raw_Data!$O$2:$O$3501,"Placed")</f>
        <v>323</v>
      </c>
      <c r="C188" s="11">
        <f>COUNTIFS(Raw_Data!$H$2:$H$3501,3,Raw_Data!$O$2:$O$3501,"Unplaced")</f>
        <v>51</v>
      </c>
      <c r="D188" s="11">
        <f>B188+C188</f>
        <v>374</v>
      </c>
    </row>
    <row r="203" spans="1:4" ht="16.8" x14ac:dyDescent="0.3">
      <c r="A203" s="6" t="s">
        <v>3650</v>
      </c>
    </row>
    <row r="204" spans="1:4" x14ac:dyDescent="0.3">
      <c r="A204" s="1" t="s">
        <v>37</v>
      </c>
      <c r="B204" s="1" t="s">
        <v>58</v>
      </c>
      <c r="C204" s="1" t="s">
        <v>64</v>
      </c>
      <c r="D204" s="1" t="s">
        <v>3635</v>
      </c>
    </row>
    <row r="205" spans="1:4" x14ac:dyDescent="0.3">
      <c r="A205" s="8" t="s">
        <v>3646</v>
      </c>
      <c r="B205" s="9">
        <f>COUNTIFS(Raw_Data!$I$2:$I$3501,0,Raw_Data!$O$2:$O$3501,"Placed")</f>
        <v>397</v>
      </c>
      <c r="C205" s="9">
        <f>COUNTIFS(Raw_Data!$I$2:$I$3501,0,Raw_Data!$O$2:$O$3501,"Unplaced")</f>
        <v>118</v>
      </c>
      <c r="D205" s="9">
        <f t="shared" ref="D205:D210" si="2">B205+C205</f>
        <v>515</v>
      </c>
    </row>
    <row r="206" spans="1:4" x14ac:dyDescent="0.3">
      <c r="A206" s="10" t="s">
        <v>3647</v>
      </c>
      <c r="B206" s="11">
        <f>COUNTIFS(Raw_Data!$I$2:$I$3501,1,Raw_Data!$O$2:$O$3501,"Placed")</f>
        <v>692</v>
      </c>
      <c r="C206" s="11">
        <f>COUNTIFS(Raw_Data!$I$2:$I$3501,1,Raw_Data!$O$2:$O$3501,"Unplaced")</f>
        <v>200</v>
      </c>
      <c r="D206" s="11">
        <f t="shared" si="2"/>
        <v>892</v>
      </c>
    </row>
    <row r="207" spans="1:4" x14ac:dyDescent="0.3">
      <c r="A207" s="8" t="s">
        <v>3648</v>
      </c>
      <c r="B207" s="9">
        <f>COUNTIFS(Raw_Data!$I$2:$I$3501,2,Raw_Data!$O$2:$O$3501,"Placed")</f>
        <v>733</v>
      </c>
      <c r="C207" s="9">
        <f>COUNTIFS(Raw_Data!$I$2:$I$3501,2,Raw_Data!$O$2:$O$3501,"Unplaced")</f>
        <v>202</v>
      </c>
      <c r="D207" s="9">
        <f t="shared" si="2"/>
        <v>935</v>
      </c>
    </row>
    <row r="208" spans="1:4" x14ac:dyDescent="0.3">
      <c r="A208" s="10" t="s">
        <v>3649</v>
      </c>
      <c r="B208" s="11">
        <f>COUNTIFS(Raw_Data!$I$2:$I$3501,3,Raw_Data!$O$2:$O$3501,"Placed")</f>
        <v>566</v>
      </c>
      <c r="C208" s="11">
        <f>COUNTIFS(Raw_Data!$I$2:$I$3501,3,Raw_Data!$O$2:$O$3501,"Unplaced")</f>
        <v>114</v>
      </c>
      <c r="D208" s="11">
        <f t="shared" si="2"/>
        <v>680</v>
      </c>
    </row>
    <row r="209" spans="1:4" x14ac:dyDescent="0.3">
      <c r="A209" s="8" t="s">
        <v>3651</v>
      </c>
      <c r="B209" s="9">
        <f>COUNTIFS(Raw_Data!$I$2:$I$3501,4,Raw_Data!$O$2:$O$3501,"Placed")</f>
        <v>289</v>
      </c>
      <c r="C209" s="9">
        <f>COUNTIFS(Raw_Data!$I$2:$I$3501,4,Raw_Data!$O$2:$O$3501,"Unplaced")</f>
        <v>64</v>
      </c>
      <c r="D209" s="9">
        <f t="shared" si="2"/>
        <v>353</v>
      </c>
    </row>
    <row r="210" spans="1:4" x14ac:dyDescent="0.3">
      <c r="A210" s="10" t="s">
        <v>3652</v>
      </c>
      <c r="B210" s="11">
        <f>COUNTIFS(Raw_Data!$I$2:$I$3501,5,Raw_Data!$O$2:$O$3501,"Placed")</f>
        <v>103</v>
      </c>
      <c r="C210" s="11">
        <f>COUNTIFS(Raw_Data!$I$2:$I$3501,5,Raw_Data!$O$2:$O$3501,"Unplaced")</f>
        <v>22</v>
      </c>
      <c r="D210" s="11">
        <f t="shared" si="2"/>
        <v>125</v>
      </c>
    </row>
    <row r="223" spans="1:4" ht="16.8" x14ac:dyDescent="0.3">
      <c r="A223" s="6" t="s">
        <v>3653</v>
      </c>
    </row>
    <row r="224" spans="1:4" ht="41.4" x14ac:dyDescent="0.3">
      <c r="A224" s="1" t="s">
        <v>31</v>
      </c>
      <c r="B224" s="1" t="s">
        <v>3623</v>
      </c>
      <c r="C224" s="1" t="s">
        <v>3640</v>
      </c>
      <c r="D224" s="1" t="s">
        <v>3634</v>
      </c>
    </row>
    <row r="225" spans="1:4" x14ac:dyDescent="0.3">
      <c r="A225" s="8" t="s">
        <v>84</v>
      </c>
      <c r="B225" s="23">
        <f>AVERAGEIF(Raw_Data!$C$2:$C$3501,"AIML",Raw_Data!$F$2:$F$3501)</f>
        <v>7.6146192893401059</v>
      </c>
      <c r="C225" s="23">
        <f>AVERAGEIFS(Raw_Data!$S$2:$S$3501,Raw_Data!$C$2:$C$3501,"AIML",Raw_Data!$O$2:$O$3501,"Placed")</f>
        <v>9.216396103896102</v>
      </c>
      <c r="D225" s="9">
        <f>COUNTIF(Raw_Data!$C$2:$C$3501,"AIML")</f>
        <v>394</v>
      </c>
    </row>
    <row r="226" spans="1:4" x14ac:dyDescent="0.3">
      <c r="A226" s="10" t="s">
        <v>101</v>
      </c>
      <c r="B226" s="24">
        <f>AVERAGEIF(Raw_Data!$C$2:$C$3501,"CIVIL",Raw_Data!$F$2:$F$3501)</f>
        <v>7.5840108401084052</v>
      </c>
      <c r="C226" s="24">
        <f>AVERAGEIFS(Raw_Data!$S$2:$S$3501,Raw_Data!$C$2:$C$3501,"CIVIL",Raw_Data!$O$2:$O$3501,"Placed")</f>
        <v>9.32704467353952</v>
      </c>
      <c r="D226" s="11">
        <f>COUNTIF(Raw_Data!$C$2:$C$3501,"CIVIL")</f>
        <v>369</v>
      </c>
    </row>
    <row r="227" spans="1:4" x14ac:dyDescent="0.3">
      <c r="A227" s="8" t="s">
        <v>56</v>
      </c>
      <c r="B227" s="23">
        <f>AVERAGEIF(Raw_Data!$C$2:$C$3501,"CSE",Raw_Data!$F$2:$F$3501)</f>
        <v>7.6417785234899398</v>
      </c>
      <c r="C227" s="23">
        <f>AVERAGEIFS(Raw_Data!$S$2:$S$3501,Raw_Data!$C$2:$C$3501,"CSE",Raw_Data!$O$2:$O$3501,"Placed")</f>
        <v>9.0775564971751344</v>
      </c>
      <c r="D227" s="9">
        <f>COUNTIF(Raw_Data!$C$2:$C$3501,"CSE")</f>
        <v>894</v>
      </c>
    </row>
    <row r="228" spans="1:4" x14ac:dyDescent="0.3">
      <c r="A228" s="10" t="s">
        <v>68</v>
      </c>
      <c r="B228" s="24">
        <f>AVERAGEIF(Raw_Data!$C$2:$C$3501,"ECE",Raw_Data!$F$2:$F$3501)</f>
        <v>7.6713394495412848</v>
      </c>
      <c r="C228" s="24">
        <f>AVERAGEIFS(Raw_Data!$S$2:$S$3501,Raw_Data!$C$2:$C$3501,"ECE",Raw_Data!$O$2:$O$3501,"Placed")</f>
        <v>9.3092601431980952</v>
      </c>
      <c r="D228" s="11">
        <f>COUNTIF(Raw_Data!$C$2:$C$3501,"ECE")</f>
        <v>545</v>
      </c>
    </row>
    <row r="229" spans="1:4" x14ac:dyDescent="0.3">
      <c r="A229" s="8" t="s">
        <v>89</v>
      </c>
      <c r="B229" s="23">
        <f>AVERAGEIF(Raw_Data!$C$2:$C$3501,"EEE",Raw_Data!$F$2:$F$3501)</f>
        <v>7.7490881458966605</v>
      </c>
      <c r="C229" s="23">
        <f>AVERAGEIFS(Raw_Data!$S$2:$S$3501,Raw_Data!$C$2:$C$3501,"EEE",Raw_Data!$O$2:$O$3501,"Placed")</f>
        <v>8.7347777777777758</v>
      </c>
      <c r="D229" s="9">
        <f>COUNTIF(Raw_Data!$C$2:$C$3501,"EEE")</f>
        <v>329</v>
      </c>
    </row>
    <row r="230" spans="1:4" x14ac:dyDescent="0.3">
      <c r="A230" s="10" t="s">
        <v>74</v>
      </c>
      <c r="B230" s="24">
        <f>AVERAGEIF(Raw_Data!$C$2:$C$3501,"IT",Raw_Data!$F$2:$F$3501)</f>
        <v>7.6636216216216173</v>
      </c>
      <c r="C230" s="24">
        <f>AVERAGEIFS(Raw_Data!$S$2:$S$3501,Raw_Data!$C$2:$C$3501,"IT",Raw_Data!$O$2:$O$3501,"Placed")</f>
        <v>8.9116173120728881</v>
      </c>
      <c r="D230" s="11">
        <f>COUNTIF(Raw_Data!$C$2:$C$3501,"IT")</f>
        <v>555</v>
      </c>
    </row>
    <row r="231" spans="1:4" x14ac:dyDescent="0.3">
      <c r="A231" s="8" t="s">
        <v>78</v>
      </c>
      <c r="B231" s="23">
        <f>AVERAGEIF(Raw_Data!$C$2:$C$3501,"MECH",Raw_Data!$F$2:$F$3501)</f>
        <v>7.6922946859903369</v>
      </c>
      <c r="C231" s="23">
        <f>AVERAGEIFS(Raw_Data!$S$2:$S$3501,Raw_Data!$C$2:$C$3501,"MECH",Raw_Data!$O$2:$O$3501,"Placed")</f>
        <v>9.3765797101449202</v>
      </c>
      <c r="D231" s="9">
        <f>COUNTIF(Raw_Data!$C$2:$C$3501,"MECH")</f>
        <v>414</v>
      </c>
    </row>
  </sheetData>
  <mergeCells count="1">
    <mergeCell ref="A1:M1"/>
  </mergeCells>
  <conditionalFormatting sqref="B5:B6">
    <cfRule type="dataBar" priority="1">
      <dataBar>
        <cfvo type="num" val="0"/>
        <cfvo type="max"/>
        <color rgb="FF8B0000"/>
      </dataBar>
    </cfRule>
  </conditionalFormatting>
  <conditionalFormatting sqref="B65:B74">
    <cfRule type="dataBar" priority="3">
      <dataBar>
        <cfvo type="num" val="0"/>
        <cfvo type="max"/>
        <color rgb="FF8B0000"/>
      </dataBar>
    </cfRule>
  </conditionalFormatting>
  <conditionalFormatting sqref="B85:B91">
    <cfRule type="dataBar" priority="4">
      <dataBar>
        <cfvo type="num" val="0"/>
        <cfvo type="max"/>
        <color rgb="FF8B0000"/>
      </dataBar>
    </cfRule>
  </conditionalFormatting>
  <conditionalFormatting sqref="B105:B114">
    <cfRule type="dataBar" priority="5">
      <dataBar>
        <cfvo type="num" val="0"/>
        <cfvo type="max"/>
        <color rgb="FF8B0000"/>
      </dataBar>
    </cfRule>
  </conditionalFormatting>
  <conditionalFormatting sqref="B145:B148">
    <cfRule type="dataBar" priority="7">
      <dataBar>
        <cfvo type="num" val="0"/>
        <cfvo type="max"/>
        <color rgb="FF8B0000"/>
      </dataBar>
    </cfRule>
  </conditionalFormatting>
  <conditionalFormatting sqref="B165:B171">
    <cfRule type="dataBar" priority="8">
      <dataBar>
        <cfvo type="num" val="0"/>
        <cfvo type="max"/>
        <color rgb="FF8B0000"/>
      </dataBar>
    </cfRule>
  </conditionalFormatting>
  <conditionalFormatting sqref="B25:C31">
    <cfRule type="dataBar" priority="2">
      <dataBar>
        <cfvo type="num" val="0"/>
        <cfvo type="max"/>
        <color rgb="FF8B0000"/>
      </dataBar>
    </cfRule>
  </conditionalFormatting>
  <conditionalFormatting sqref="B125:C126">
    <cfRule type="dataBar" priority="6">
      <dataBar>
        <cfvo type="num" val="0"/>
        <cfvo type="max"/>
        <color rgb="FF8B0000"/>
      </dataBar>
    </cfRule>
  </conditionalFormatting>
  <conditionalFormatting sqref="B225:C231">
    <cfRule type="colorScale" priority="12">
      <colorScale>
        <cfvo type="min"/>
        <cfvo type="max"/>
        <color rgb="FFFDF2F2"/>
        <color rgb="FFC00000"/>
      </colorScale>
    </cfRule>
  </conditionalFormatting>
  <conditionalFormatting sqref="C45:C49">
    <cfRule type="colorScale" priority="10">
      <colorScale>
        <cfvo type="min"/>
        <cfvo type="max"/>
        <color rgb="FFF8696B"/>
        <color rgb="FF63BE7B"/>
      </colorScale>
    </cfRule>
  </conditionalFormatting>
  <conditionalFormatting sqref="C165:C171">
    <cfRule type="colorScale" priority="11">
      <colorScale>
        <cfvo type="min"/>
        <cfvo type="max"/>
        <color rgb="FFFDF2F2"/>
        <color rgb="FFC00000"/>
      </colorScale>
    </cfRule>
  </conditionalFormatting>
  <conditionalFormatting sqref="D225:D231">
    <cfRule type="dataBar" priority="9">
      <dataBar>
        <cfvo type="num" val="0"/>
        <cfvo type="max"/>
        <color rgb="FF8B0000"/>
      </dataBar>
    </cfRule>
  </conditionalFormatting>
  <printOptions horizontalCentered="1"/>
  <pageMargins left="0.3" right="0.3" top="0.4" bottom="0.4" header="0.5" footer="0.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46"/>
  <sheetViews>
    <sheetView showGridLines="0" topLeftCell="A36" workbookViewId="0">
      <selection sqref="A1:H1"/>
    </sheetView>
  </sheetViews>
  <sheetFormatPr defaultRowHeight="14.4" x14ac:dyDescent="0.3"/>
  <cols>
    <col min="1" max="1" width="20" customWidth="1"/>
    <col min="2" max="3" width="14" customWidth="1"/>
    <col min="4" max="4" width="4" customWidth="1"/>
    <col min="5" max="5" width="20" customWidth="1"/>
    <col min="6" max="7" width="16" customWidth="1"/>
  </cols>
  <sheetData>
    <row r="1" spans="1:8" ht="28.05" customHeight="1" x14ac:dyDescent="0.3">
      <c r="A1" s="67" t="s">
        <v>3654</v>
      </c>
      <c r="B1" s="68"/>
      <c r="C1" s="68"/>
      <c r="D1" s="68"/>
      <c r="E1" s="68"/>
      <c r="F1" s="68"/>
      <c r="G1" s="68"/>
      <c r="H1" s="69"/>
    </row>
    <row r="2" spans="1:8" x14ac:dyDescent="0.3">
      <c r="E2" t="s">
        <v>3655</v>
      </c>
      <c r="F2" s="20">
        <f>COUNTIF(Raw_Data!$O$2:$O$3501,"Placed")</f>
        <v>2780</v>
      </c>
    </row>
    <row r="3" spans="1:8" ht="16.8" x14ac:dyDescent="0.3">
      <c r="A3" s="6" t="s">
        <v>3656</v>
      </c>
    </row>
    <row r="4" spans="1:8" ht="27.6" x14ac:dyDescent="0.3">
      <c r="A4" s="1" t="s">
        <v>3657</v>
      </c>
      <c r="B4" s="1" t="s">
        <v>3658</v>
      </c>
      <c r="C4" s="1" t="s">
        <v>3659</v>
      </c>
    </row>
    <row r="5" spans="1:8" x14ac:dyDescent="0.3">
      <c r="A5" s="8" t="s">
        <v>3660</v>
      </c>
      <c r="B5" s="25">
        <f>COUNTIFS(Raw_Data!$O$2:$O$3501,"Placed",Raw_Data!$S$2:$S$3501,"&gt;="&amp;0,Raw_Data!$S$2:$S$3501,"&lt;"&amp;3)</f>
        <v>0</v>
      </c>
      <c r="C5" s="26">
        <f t="shared" ref="C5:C10" si="0">B5/$F$2</f>
        <v>0</v>
      </c>
    </row>
    <row r="6" spans="1:8" x14ac:dyDescent="0.3">
      <c r="A6" s="8" t="s">
        <v>3661</v>
      </c>
      <c r="B6" s="25">
        <f>COUNTIFS(Raw_Data!$O$2:$O$3501,"Placed",Raw_Data!$S$2:$S$3501,"&gt;="&amp;3,Raw_Data!$S$2:$S$3501,"&lt;"&amp;6)</f>
        <v>597</v>
      </c>
      <c r="C6" s="26">
        <f t="shared" si="0"/>
        <v>0.21474820143884893</v>
      </c>
    </row>
    <row r="7" spans="1:8" x14ac:dyDescent="0.3">
      <c r="A7" s="8" t="s">
        <v>3662</v>
      </c>
      <c r="B7" s="25">
        <f>COUNTIFS(Raw_Data!$O$2:$O$3501,"Placed",Raw_Data!$S$2:$S$3501,"&gt;="&amp;6,Raw_Data!$S$2:$S$3501,"&lt;"&amp;10)</f>
        <v>1547</v>
      </c>
      <c r="C7" s="26">
        <f t="shared" si="0"/>
        <v>0.55647482014388494</v>
      </c>
    </row>
    <row r="8" spans="1:8" x14ac:dyDescent="0.3">
      <c r="A8" s="8" t="s">
        <v>3663</v>
      </c>
      <c r="B8" s="25">
        <f>COUNTIFS(Raw_Data!$O$2:$O$3501,"Placed",Raw_Data!$S$2:$S$3501,"&gt;="&amp;10,Raw_Data!$S$2:$S$3501,"&lt;"&amp;15)</f>
        <v>162</v>
      </c>
      <c r="C8" s="26">
        <f t="shared" si="0"/>
        <v>5.8273381294964031E-2</v>
      </c>
    </row>
    <row r="9" spans="1:8" x14ac:dyDescent="0.3">
      <c r="A9" s="8" t="s">
        <v>3664</v>
      </c>
      <c r="B9" s="25">
        <f>COUNTIFS(Raw_Data!$O$2:$O$3501,"Placed",Raw_Data!$S$2:$S$3501,"&gt;="&amp;15,Raw_Data!$S$2:$S$3501,"&lt;"&amp;20)</f>
        <v>370</v>
      </c>
      <c r="C9" s="26">
        <f t="shared" si="0"/>
        <v>0.13309352517985612</v>
      </c>
    </row>
    <row r="10" spans="1:8" x14ac:dyDescent="0.3">
      <c r="A10" s="8" t="s">
        <v>3665</v>
      </c>
      <c r="B10" s="25">
        <f>COUNTIFS(Raw_Data!$O$2:$O$3501,"Placed",Raw_Data!$S$2:$S$3501,"&gt;="&amp;20)</f>
        <v>104</v>
      </c>
      <c r="C10" s="26">
        <f t="shared" si="0"/>
        <v>3.7410071942446041E-2</v>
      </c>
    </row>
    <row r="15" spans="1:8" ht="16.8" x14ac:dyDescent="0.3">
      <c r="A15" s="6" t="s">
        <v>3666</v>
      </c>
    </row>
    <row r="16" spans="1:8" ht="41.4" x14ac:dyDescent="0.3">
      <c r="A16" s="1" t="s">
        <v>31</v>
      </c>
      <c r="B16" s="1" t="s">
        <v>3619</v>
      </c>
      <c r="C16" s="1" t="s">
        <v>3620</v>
      </c>
    </row>
    <row r="17" spans="1:3" x14ac:dyDescent="0.3">
      <c r="A17" s="27" t="s">
        <v>84</v>
      </c>
      <c r="B17" s="28">
        <f>AVERAGEIFS(Raw_Data!$S$2:$S$3501,Raw_Data!$C$2:$C$3501,"AIML",Raw_Data!$O$2:$O$3501,"Placed")</f>
        <v>9.216396103896102</v>
      </c>
      <c r="C17" s="28">
        <f>_xlfn.MAXIFS(Raw_Data!$S$2:$S$3501,Raw_Data!$C$2:$C$3501,"AIML")</f>
        <v>22.13</v>
      </c>
    </row>
    <row r="18" spans="1:3" x14ac:dyDescent="0.3">
      <c r="A18" s="27" t="s">
        <v>101</v>
      </c>
      <c r="B18" s="28">
        <f>AVERAGEIFS(Raw_Data!$S$2:$S$3501,Raw_Data!$C$2:$C$3501,"CIVIL",Raw_Data!$O$2:$O$3501,"Placed")</f>
        <v>9.32704467353952</v>
      </c>
      <c r="C18" s="28">
        <f>_xlfn.MAXIFS(Raw_Data!$S$2:$S$3501,Raw_Data!$C$2:$C$3501,"CIVIL")</f>
        <v>22.18</v>
      </c>
    </row>
    <row r="19" spans="1:3" x14ac:dyDescent="0.3">
      <c r="A19" s="27" t="s">
        <v>56</v>
      </c>
      <c r="B19" s="28">
        <f>AVERAGEIFS(Raw_Data!$S$2:$S$3501,Raw_Data!$C$2:$C$3501,"CSE",Raw_Data!$O$2:$O$3501,"Placed")</f>
        <v>9.0775564971751344</v>
      </c>
      <c r="C19" s="28">
        <f>_xlfn.MAXIFS(Raw_Data!$S$2:$S$3501,Raw_Data!$C$2:$C$3501,"CSE")</f>
        <v>21.59</v>
      </c>
    </row>
    <row r="20" spans="1:3" x14ac:dyDescent="0.3">
      <c r="A20" s="27" t="s">
        <v>68</v>
      </c>
      <c r="B20" s="28">
        <f>AVERAGEIFS(Raw_Data!$S$2:$S$3501,Raw_Data!$C$2:$C$3501,"ECE",Raw_Data!$O$2:$O$3501,"Placed")</f>
        <v>9.3092601431980952</v>
      </c>
      <c r="C20" s="28">
        <f>_xlfn.MAXIFS(Raw_Data!$S$2:$S$3501,Raw_Data!$C$2:$C$3501,"ECE")</f>
        <v>23.34</v>
      </c>
    </row>
    <row r="21" spans="1:3" x14ac:dyDescent="0.3">
      <c r="A21" s="27" t="s">
        <v>89</v>
      </c>
      <c r="B21" s="28">
        <f>AVERAGEIFS(Raw_Data!$S$2:$S$3501,Raw_Data!$C$2:$C$3501,"EEE",Raw_Data!$O$2:$O$3501,"Placed")</f>
        <v>8.7347777777777758</v>
      </c>
      <c r="C21" s="28">
        <f>_xlfn.MAXIFS(Raw_Data!$S$2:$S$3501,Raw_Data!$C$2:$C$3501,"EEE")</f>
        <v>21.75</v>
      </c>
    </row>
    <row r="22" spans="1:3" x14ac:dyDescent="0.3">
      <c r="A22" s="27" t="s">
        <v>74</v>
      </c>
      <c r="B22" s="28">
        <f>AVERAGEIFS(Raw_Data!$S$2:$S$3501,Raw_Data!$C$2:$C$3501,"IT",Raw_Data!$O$2:$O$3501,"Placed")</f>
        <v>8.9116173120728881</v>
      </c>
      <c r="C22" s="28">
        <f>_xlfn.MAXIFS(Raw_Data!$S$2:$S$3501,Raw_Data!$C$2:$C$3501,"IT")</f>
        <v>21.84</v>
      </c>
    </row>
    <row r="23" spans="1:3" x14ac:dyDescent="0.3">
      <c r="A23" s="27" t="s">
        <v>78</v>
      </c>
      <c r="B23" s="28">
        <f>AVERAGEIFS(Raw_Data!$S$2:$S$3501,Raw_Data!$C$2:$C$3501,"MECH",Raw_Data!$O$2:$O$3501,"Placed")</f>
        <v>9.3765797101449202</v>
      </c>
      <c r="C23" s="28">
        <f>_xlfn.MAXIFS(Raw_Data!$S$2:$S$3501,Raw_Data!$C$2:$C$3501,"MECH")</f>
        <v>21.59</v>
      </c>
    </row>
    <row r="25" spans="1:3" ht="16.8" x14ac:dyDescent="0.3">
      <c r="A25" s="6" t="s">
        <v>3667</v>
      </c>
    </row>
    <row r="26" spans="1:3" ht="41.4" x14ac:dyDescent="0.3">
      <c r="A26" s="1" t="s">
        <v>44</v>
      </c>
      <c r="B26" s="1" t="s">
        <v>3619</v>
      </c>
      <c r="C26" s="1" t="s">
        <v>3620</v>
      </c>
    </row>
    <row r="27" spans="1:3" x14ac:dyDescent="0.3">
      <c r="A27" s="27" t="s">
        <v>112</v>
      </c>
      <c r="B27" s="28">
        <f>AVERAGEIF(Raw_Data!$P$2:$P$3501,"Accenture",Raw_Data!$S$2:$S$3501)</f>
        <v>7.017684563758392</v>
      </c>
      <c r="C27" s="28">
        <f>_xlfn.MAXIFS(Raw_Data!$S$2:$S$3501,Raw_Data!$P$2:$P$3501,"Accenture")</f>
        <v>9.9600000000000009</v>
      </c>
    </row>
    <row r="28" spans="1:3" x14ac:dyDescent="0.3">
      <c r="A28" s="27" t="s">
        <v>104</v>
      </c>
      <c r="B28" s="28">
        <f>AVERAGEIF(Raw_Data!$P$2:$P$3501,"Amazon",Raw_Data!$S$2:$S$3501)</f>
        <v>15.48498113207547</v>
      </c>
      <c r="C28" s="28">
        <f>_xlfn.MAXIFS(Raw_Data!$S$2:$S$3501,Raw_Data!$P$2:$P$3501,"Amazon")</f>
        <v>18.899999999999999</v>
      </c>
    </row>
    <row r="29" spans="1:3" x14ac:dyDescent="0.3">
      <c r="A29" s="27" t="s">
        <v>95</v>
      </c>
      <c r="B29" s="28">
        <f>AVERAGEIF(Raw_Data!$P$2:$P$3501,"Capgemini",Raw_Data!$S$2:$S$3501)</f>
        <v>6.8153787878787853</v>
      </c>
      <c r="C29" s="28">
        <f>_xlfn.MAXIFS(Raw_Data!$S$2:$S$3501,Raw_Data!$P$2:$P$3501,"Capgemini")</f>
        <v>10.25</v>
      </c>
    </row>
    <row r="30" spans="1:3" x14ac:dyDescent="0.3">
      <c r="A30" s="27" t="s">
        <v>87</v>
      </c>
      <c r="B30" s="28">
        <f>AVERAGEIF(Raw_Data!$P$2:$P$3501,"Cognizant",Raw_Data!$S$2:$S$3501)</f>
        <v>6.4715185185185202</v>
      </c>
      <c r="C30" s="28">
        <f>_xlfn.MAXIFS(Raw_Data!$S$2:$S$3501,Raw_Data!$P$2:$P$3501,"Cognizant")</f>
        <v>9.4600000000000009</v>
      </c>
    </row>
    <row r="31" spans="1:3" x14ac:dyDescent="0.3">
      <c r="A31" s="27" t="s">
        <v>92</v>
      </c>
      <c r="B31" s="28">
        <f>AVERAGEIF(Raw_Data!$P$2:$P$3501,"Deloitte",Raw_Data!$S$2:$S$3501)</f>
        <v>9.0563855421686856</v>
      </c>
      <c r="C31" s="28">
        <f>_xlfn.MAXIFS(Raw_Data!$S$2:$S$3501,Raw_Data!$P$2:$P$3501,"Deloitte")</f>
        <v>11.76</v>
      </c>
    </row>
    <row r="32" spans="1:3" x14ac:dyDescent="0.3">
      <c r="A32" s="27" t="s">
        <v>90</v>
      </c>
      <c r="B32" s="28">
        <f>AVERAGEIF(Raw_Data!$P$2:$P$3501,"IBM",Raw_Data!$S$2:$S$3501)</f>
        <v>8.4452962962963003</v>
      </c>
      <c r="C32" s="28">
        <f>_xlfn.MAXIFS(Raw_Data!$S$2:$S$3501,Raw_Data!$P$2:$P$3501,"IBM")</f>
        <v>12.55</v>
      </c>
    </row>
    <row r="33" spans="1:3" x14ac:dyDescent="0.3">
      <c r="A33" s="27" t="s">
        <v>79</v>
      </c>
      <c r="B33" s="28">
        <f>AVERAGEIF(Raw_Data!$P$2:$P$3501,"Infosys",Raw_Data!$S$2:$S$3501)</f>
        <v>6.2783617747440275</v>
      </c>
      <c r="C33" s="28">
        <f>_xlfn.MAXIFS(Raw_Data!$S$2:$S$3501,Raw_Data!$P$2:$P$3501,"Infosys")</f>
        <v>9.49</v>
      </c>
    </row>
    <row r="34" spans="1:3" x14ac:dyDescent="0.3">
      <c r="A34" s="27" t="s">
        <v>59</v>
      </c>
      <c r="B34" s="28">
        <f>AVERAGEIF(Raw_Data!$P$2:$P$3501,"Microsoft",Raw_Data!$S$2:$S$3501)</f>
        <v>19.557710437710433</v>
      </c>
      <c r="C34" s="28">
        <f>_xlfn.MAXIFS(Raw_Data!$S$2:$S$3501,Raw_Data!$P$2:$P$3501,"Microsoft")</f>
        <v>23.34</v>
      </c>
    </row>
    <row r="35" spans="1:3" x14ac:dyDescent="0.3">
      <c r="A35" s="27" t="s">
        <v>70</v>
      </c>
      <c r="B35" s="28">
        <f>AVERAGEIF(Raw_Data!$P$2:$P$3501,"TCS",Raw_Data!$S$2:$S$3501)</f>
        <v>5.9132081911262793</v>
      </c>
      <c r="C35" s="28">
        <f>_xlfn.MAXIFS(Raw_Data!$S$2:$S$3501,Raw_Data!$P$2:$P$3501,"TCS")</f>
        <v>9.3000000000000007</v>
      </c>
    </row>
    <row r="36" spans="1:3" x14ac:dyDescent="0.3">
      <c r="A36" s="27" t="s">
        <v>75</v>
      </c>
      <c r="B36" s="28">
        <f>AVERAGEIF(Raw_Data!$P$2:$P$3501,"Wipro",Raw_Data!$S$2:$S$3501)</f>
        <v>6.1509608540925296</v>
      </c>
      <c r="C36" s="28">
        <f>_xlfn.MAXIFS(Raw_Data!$S$2:$S$3501,Raw_Data!$P$2:$P$3501,"Wipro")</f>
        <v>9.69</v>
      </c>
    </row>
    <row r="38" spans="1:3" ht="16.8" x14ac:dyDescent="0.3">
      <c r="A38" s="6" t="s">
        <v>3668</v>
      </c>
    </row>
    <row r="39" spans="1:3" ht="41.4" x14ac:dyDescent="0.3">
      <c r="A39" s="1" t="s">
        <v>46</v>
      </c>
      <c r="B39" s="1" t="s">
        <v>3619</v>
      </c>
    </row>
    <row r="40" spans="1:3" x14ac:dyDescent="0.3">
      <c r="A40" s="27" t="s">
        <v>61</v>
      </c>
      <c r="B40" s="28">
        <f>AVERAGEIF(Raw_Data!$R$2:$R$3501,"Business Analyst",Raw_Data!$S$2:$S$3501)</f>
        <v>9.0290375586854363</v>
      </c>
    </row>
    <row r="41" spans="1:3" x14ac:dyDescent="0.3">
      <c r="A41" s="27" t="s">
        <v>80</v>
      </c>
      <c r="B41" s="28">
        <f>AVERAGEIF(Raw_Data!$R$2:$R$3501,"Cloud Engineer",Raw_Data!$S$2:$S$3501)</f>
        <v>9.3826404494382043</v>
      </c>
    </row>
    <row r="42" spans="1:3" x14ac:dyDescent="0.3">
      <c r="A42" s="27" t="s">
        <v>76</v>
      </c>
      <c r="B42" s="28">
        <f>AVERAGEIF(Raw_Data!$R$2:$R$3501,"Data Analyst",Raw_Data!$S$2:$S$3501)</f>
        <v>9.2654040404040359</v>
      </c>
    </row>
    <row r="43" spans="1:3" x14ac:dyDescent="0.3">
      <c r="A43" s="27" t="s">
        <v>130</v>
      </c>
      <c r="B43" s="28">
        <f>AVERAGEIF(Raw_Data!$R$2:$R$3501,"DevOps Engineer",Raw_Data!$S$2:$S$3501)</f>
        <v>9.1372559366754604</v>
      </c>
    </row>
    <row r="44" spans="1:3" x14ac:dyDescent="0.3">
      <c r="A44" s="27" t="s">
        <v>72</v>
      </c>
      <c r="B44" s="28">
        <f>AVERAGEIF(Raw_Data!$R$2:$R$3501,"Full Stack Developer",Raw_Data!$S$2:$S$3501)</f>
        <v>9.485145118733513</v>
      </c>
    </row>
    <row r="45" spans="1:3" x14ac:dyDescent="0.3">
      <c r="A45" s="27" t="s">
        <v>109</v>
      </c>
      <c r="B45" s="28">
        <f>AVERAGEIF(Raw_Data!$R$2:$R$3501,"QA Engineer",Raw_Data!$S$2:$S$3501)</f>
        <v>8.8943518518518463</v>
      </c>
    </row>
    <row r="46" spans="1:3" x14ac:dyDescent="0.3">
      <c r="A46" s="27" t="s">
        <v>85</v>
      </c>
      <c r="B46" s="28">
        <f>AVERAGEIF(Raw_Data!$R$2:$R$3501,"Software Engineer",Raw_Data!$S$2:$S$3501)</f>
        <v>8.8103883495145592</v>
      </c>
    </row>
  </sheetData>
  <mergeCells count="1">
    <mergeCell ref="A1:H1"/>
  </mergeCells>
  <conditionalFormatting sqref="B5:B10">
    <cfRule type="dataBar" priority="1">
      <dataBar>
        <cfvo type="num" val="0"/>
        <cfvo type="max"/>
        <color rgb="FF8B0000"/>
      </dataBar>
    </cfRule>
  </conditionalFormatting>
  <conditionalFormatting sqref="B17:B23">
    <cfRule type="dataBar" priority="3">
      <dataBar>
        <cfvo type="num" val="0"/>
        <cfvo type="max"/>
        <color rgb="FF8B0000"/>
      </dataBar>
    </cfRule>
  </conditionalFormatting>
  <conditionalFormatting sqref="B27:B36">
    <cfRule type="dataBar" priority="4">
      <dataBar>
        <cfvo type="num" val="0"/>
        <cfvo type="max"/>
        <color rgb="FF8B0000"/>
      </dataBar>
    </cfRule>
  </conditionalFormatting>
  <conditionalFormatting sqref="B40:B46">
    <cfRule type="dataBar" priority="5">
      <dataBar>
        <cfvo type="num" val="0"/>
        <cfvo type="max"/>
        <color rgb="FF8B0000"/>
      </dataBar>
    </cfRule>
  </conditionalFormatting>
  <conditionalFormatting sqref="C5:C10">
    <cfRule type="colorScale" priority="2">
      <colorScale>
        <cfvo type="min"/>
        <cfvo type="max"/>
        <color rgb="FFFFFFFF"/>
        <color rgb="FFC00000"/>
      </colorScale>
    </cfRule>
  </conditionalFormatting>
  <conditionalFormatting sqref="C17:C23">
    <cfRule type="colorScale" priority="6">
      <colorScale>
        <cfvo type="min"/>
        <cfvo type="max"/>
        <color rgb="FFFDF2F2"/>
        <color rgb="FFC00000"/>
      </colorScale>
    </cfRule>
  </conditionalFormatting>
  <conditionalFormatting sqref="C27:C36">
    <cfRule type="colorScale" priority="7">
      <colorScale>
        <cfvo type="min"/>
        <cfvo type="max"/>
        <color rgb="FFFDF2F2"/>
        <color rgb="FFC00000"/>
      </colorScale>
    </cfRule>
  </conditionalFormatting>
  <printOptions horizontalCentered="1"/>
  <pageMargins left="0.3" right="0.3" top="0.4" bottom="0.4" header="0.5" footer="0.5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34"/>
  <sheetViews>
    <sheetView showGridLines="0" topLeftCell="A50" workbookViewId="0">
      <selection sqref="A1:I1"/>
    </sheetView>
  </sheetViews>
  <sheetFormatPr defaultRowHeight="14.4" x14ac:dyDescent="0.3"/>
  <cols>
    <col min="1" max="1" width="24" customWidth="1"/>
    <col min="2" max="3" width="14" customWidth="1"/>
    <col min="4" max="4" width="4" customWidth="1"/>
  </cols>
  <sheetData>
    <row r="1" spans="1:9" ht="28.05" customHeight="1" x14ac:dyDescent="0.3">
      <c r="A1" s="67" t="s">
        <v>3669</v>
      </c>
      <c r="B1" s="68"/>
      <c r="C1" s="68"/>
      <c r="D1" s="68"/>
      <c r="E1" s="68"/>
      <c r="F1" s="68"/>
      <c r="G1" s="68"/>
      <c r="H1" s="68"/>
      <c r="I1" s="69"/>
    </row>
    <row r="3" spans="1:9" ht="16.8" x14ac:dyDescent="0.3">
      <c r="A3" s="6" t="s">
        <v>3670</v>
      </c>
    </row>
    <row r="4" spans="1:9" ht="27.6" x14ac:dyDescent="0.3">
      <c r="A4" s="1" t="s">
        <v>3671</v>
      </c>
      <c r="B4" s="1" t="s">
        <v>3672</v>
      </c>
      <c r="C4" s="1" t="s">
        <v>3673</v>
      </c>
    </row>
    <row r="5" spans="1:9" x14ac:dyDescent="0.3">
      <c r="A5" s="27" t="s">
        <v>34</v>
      </c>
      <c r="B5" s="28">
        <f>AVERAGEIF(Raw_Data!$O$2:$O$3501,"Placed",Raw_Data!$F$2:$F$3501)</f>
        <v>7.7593381294964141</v>
      </c>
      <c r="C5" s="28">
        <f>AVERAGEIF(Raw_Data!$O$2:$O$3501,"Unplaced",Raw_Data!$F$2:$F$3501)</f>
        <v>7.260694444444443</v>
      </c>
    </row>
    <row r="6" spans="1:9" x14ac:dyDescent="0.3">
      <c r="A6" s="27" t="s">
        <v>3674</v>
      </c>
      <c r="B6" s="29">
        <f>AVERAGEIF(Raw_Data!$O$2:$O$3501,"Placed",Raw_Data!$G$2:$G$3501)</f>
        <v>82.14366906474838</v>
      </c>
      <c r="C6" s="29">
        <f>AVERAGEIF(Raw_Data!$O$2:$O$3501,"Unplaced",Raw_Data!$G$2:$G$3501)</f>
        <v>81.088194444444468</v>
      </c>
    </row>
    <row r="7" spans="1:9" x14ac:dyDescent="0.3">
      <c r="A7" s="27" t="s">
        <v>3675</v>
      </c>
      <c r="B7" s="28">
        <f>AVERAGEIF(Raw_Data!$O$2:$O$3501,"Placed",Raw_Data!$H$2:$H$3501)</f>
        <v>1.3741007194244603</v>
      </c>
      <c r="C7" s="28">
        <f>AVERAGEIF(Raw_Data!$O$2:$O$3501,"Unplaced",Raw_Data!$H$2:$H$3501)</f>
        <v>1.1708333333333334</v>
      </c>
    </row>
    <row r="8" spans="1:9" x14ac:dyDescent="0.3">
      <c r="A8" s="27" t="s">
        <v>37</v>
      </c>
      <c r="B8" s="28">
        <f>AVERAGEIF(Raw_Data!$O$2:$O$3501,"Placed",Raw_Data!$I$2:$I$3501)</f>
        <v>1.9881294964028777</v>
      </c>
      <c r="C8" s="28">
        <f>AVERAGEIF(Raw_Data!$O$2:$O$3501,"Unplaced",Raw_Data!$I$2:$I$3501)</f>
        <v>1.8222222222222222</v>
      </c>
    </row>
    <row r="9" spans="1:9" x14ac:dyDescent="0.3">
      <c r="A9" s="27" t="s">
        <v>3676</v>
      </c>
      <c r="B9" s="28">
        <f>AVERAGEIF(Raw_Data!$O$2:$O$3501,"Placed",Raw_Data!$J$2:$J$3501)</f>
        <v>3.7151079136690646</v>
      </c>
      <c r="C9" s="28">
        <f>AVERAGEIF(Raw_Data!$O$2:$O$3501,"Unplaced",Raw_Data!$J$2:$J$3501)</f>
        <v>3.5333333333333332</v>
      </c>
    </row>
    <row r="10" spans="1:9" x14ac:dyDescent="0.3">
      <c r="A10" s="27" t="s">
        <v>3677</v>
      </c>
      <c r="B10" s="29">
        <f>AVERAGEIF(Raw_Data!$O$2:$O$3501,"Placed",Raw_Data!$K$2:$K$3501)</f>
        <v>67.730107913669158</v>
      </c>
      <c r="C10" s="29">
        <f>AVERAGEIF(Raw_Data!$O$2:$O$3501,"Unplaced",Raw_Data!$K$2:$K$3501)</f>
        <v>68.440694444444503</v>
      </c>
    </row>
    <row r="11" spans="1:9" x14ac:dyDescent="0.3">
      <c r="A11" s="27" t="s">
        <v>3678</v>
      </c>
      <c r="B11" s="29">
        <f>AVERAGEIF(Raw_Data!$O$2:$O$3501,"Placed",Raw_Data!$L$2:$L$3501)</f>
        <v>70.351618705035861</v>
      </c>
      <c r="C11" s="29">
        <f>AVERAGEIF(Raw_Data!$O$2:$O$3501,"Unplaced",Raw_Data!$L$2:$L$3501)</f>
        <v>68.345416666666765</v>
      </c>
    </row>
    <row r="12" spans="1:9" x14ac:dyDescent="0.3">
      <c r="A12" s="27" t="s">
        <v>3679</v>
      </c>
      <c r="B12" s="29">
        <f>AVERAGEIF(Raw_Data!$O$2:$O$3501,"Placed",Raw_Data!$M$2:$M$3501)</f>
        <v>73.788453237410096</v>
      </c>
      <c r="C12" s="29">
        <f>AVERAGEIF(Raw_Data!$O$2:$O$3501,"Unplaced",Raw_Data!$M$2:$M$3501)</f>
        <v>73.37555555555565</v>
      </c>
    </row>
    <row r="13" spans="1:9" x14ac:dyDescent="0.3">
      <c r="A13" s="27" t="s">
        <v>42</v>
      </c>
      <c r="B13" s="28">
        <f>AVERAGEIF(Raw_Data!$O$2:$O$3501,"Placed",Raw_Data!$N$2:$N$3501)</f>
        <v>0.36798561151079134</v>
      </c>
      <c r="C13" s="28">
        <f>AVERAGEIF(Raw_Data!$O$2:$O$3501,"Unplaced",Raw_Data!$N$2:$N$3501)</f>
        <v>0.55138888888888893</v>
      </c>
    </row>
    <row r="21" spans="1:3" ht="16.8" x14ac:dyDescent="0.3">
      <c r="A21" s="6" t="s">
        <v>3680</v>
      </c>
    </row>
    <row r="22" spans="1:3" ht="27.6" x14ac:dyDescent="0.3">
      <c r="A22" s="1" t="s">
        <v>3681</v>
      </c>
      <c r="B22" s="1" t="s">
        <v>3617</v>
      </c>
      <c r="C22" s="1" t="s">
        <v>3618</v>
      </c>
    </row>
    <row r="23" spans="1:3" x14ac:dyDescent="0.3">
      <c r="A23" s="27" t="s">
        <v>3682</v>
      </c>
      <c r="B23" s="25">
        <f>COUNTIFS(Raw_Data!$F$2:$F$3501,"&gt;="&amp;0,Raw_Data!$F$2:$F$3501,"&lt;"&amp;6.5)</f>
        <v>358</v>
      </c>
      <c r="C23" s="26">
        <f>IFERROR(COUNTIFS(Raw_Data!$F$2:$F$3501,"&gt;="&amp;0,Raw_Data!$F$2:$F$3501,"&lt;"&amp;6.5,Raw_Data!$O$2:$O$3501,"Placed")/B23,0)</f>
        <v>0.62569832402234637</v>
      </c>
    </row>
    <row r="24" spans="1:3" x14ac:dyDescent="0.3">
      <c r="A24" s="27" t="s">
        <v>3683</v>
      </c>
      <c r="B24" s="25">
        <f>COUNTIFS(Raw_Data!$F$2:$F$3501,"&gt;="&amp;6.5,Raw_Data!$F$2:$F$3501,"&lt;"&amp;7.5)</f>
        <v>1152</v>
      </c>
      <c r="C24" s="26">
        <f>IFERROR(COUNTIFS(Raw_Data!$F$2:$F$3501,"&gt;="&amp;6.5,Raw_Data!$F$2:$F$3501,"&lt;"&amp;7.5,Raw_Data!$O$2:$O$3501,"Placed")/B24,0)</f>
        <v>0.734375</v>
      </c>
    </row>
    <row r="25" spans="1:3" x14ac:dyDescent="0.3">
      <c r="A25" s="27" t="s">
        <v>3684</v>
      </c>
      <c r="B25" s="25">
        <f>COUNTIFS(Raw_Data!$F$2:$F$3501,"&gt;="&amp;7.5,Raw_Data!$F$2:$F$3501,"&lt;"&amp;8.5)</f>
        <v>1368</v>
      </c>
      <c r="C25" s="26">
        <f>IFERROR(COUNTIFS(Raw_Data!$F$2:$F$3501,"&gt;="&amp;7.5,Raw_Data!$F$2:$F$3501,"&lt;"&amp;8.5,Raw_Data!$O$2:$O$3501,"Placed")/B25,0)</f>
        <v>0.841374269005848</v>
      </c>
    </row>
    <row r="26" spans="1:3" x14ac:dyDescent="0.3">
      <c r="A26" s="27" t="s">
        <v>3685</v>
      </c>
      <c r="B26" s="25">
        <f>COUNTIFS(Raw_Data!$F$2:$F$3501,"&gt;="&amp;8.5,Raw_Data!$F$2:$F$3501,"&lt;"&amp;9.5)</f>
        <v>544</v>
      </c>
      <c r="C26" s="26">
        <f>IFERROR(COUNTIFS(Raw_Data!$F$2:$F$3501,"&gt;="&amp;8.5,Raw_Data!$F$2:$F$3501,"&lt;"&amp;9.5,Raw_Data!$O$2:$O$3501,"Placed")/B26,0)</f>
        <v>0.8970588235294118</v>
      </c>
    </row>
    <row r="27" spans="1:3" x14ac:dyDescent="0.3">
      <c r="A27" s="27" t="s">
        <v>3686</v>
      </c>
      <c r="B27" s="25">
        <f>COUNTIFS(Raw_Data!$F$2:$F$3501,"&gt;="&amp;9.5,Raw_Data!$F$2:$F$3501,"&lt;"&amp;10.01)</f>
        <v>78</v>
      </c>
      <c r="C27" s="26">
        <f>IFERROR(COUNTIFS(Raw_Data!$F$2:$F$3501,"&gt;="&amp;9.5,Raw_Data!$F$2:$F$3501,"&lt;"&amp;10.01,Raw_Data!$O$2:$O$3501,"Placed")/B27,0)</f>
        <v>0.91025641025641024</v>
      </c>
    </row>
    <row r="28" spans="1:3" ht="16.8" x14ac:dyDescent="0.3">
      <c r="A28" s="6" t="s">
        <v>3687</v>
      </c>
    </row>
    <row r="29" spans="1:3" ht="27.6" x14ac:dyDescent="0.3">
      <c r="A29" s="1" t="s">
        <v>3688</v>
      </c>
      <c r="B29" s="1" t="s">
        <v>3617</v>
      </c>
      <c r="C29" s="1" t="s">
        <v>3618</v>
      </c>
    </row>
    <row r="30" spans="1:3" x14ac:dyDescent="0.3">
      <c r="A30" s="27" t="s">
        <v>3689</v>
      </c>
      <c r="B30" s="25">
        <f>COUNTIFS(Raw_Data!$G$2:$G$3501,"&gt;="&amp;0,Raw_Data!$G$2:$G$3501,"&lt;"&amp;65)</f>
        <v>97</v>
      </c>
      <c r="C30" s="26">
        <f>IFERROR(COUNTIFS(Raw_Data!$G$2:$G$3501,"&gt;="&amp;0,Raw_Data!$G$2:$G$3501,"&lt;"&amp;65,Raw_Data!$O$2:$O$3501,"Placed")/B30,0)</f>
        <v>0.75257731958762886</v>
      </c>
    </row>
    <row r="31" spans="1:3" x14ac:dyDescent="0.3">
      <c r="A31" s="27" t="s">
        <v>3690</v>
      </c>
      <c r="B31" s="25">
        <f>COUNTIFS(Raw_Data!$G$2:$G$3501,"&gt;="&amp;65,Raw_Data!$G$2:$G$3501,"&lt;"&amp;75)</f>
        <v>645</v>
      </c>
      <c r="C31" s="26">
        <f>IFERROR(COUNTIFS(Raw_Data!$G$2:$G$3501,"&gt;="&amp;65,Raw_Data!$G$2:$G$3501,"&lt;"&amp;75,Raw_Data!$O$2:$O$3501,"Placed")/B31,0)</f>
        <v>0.75503875968992251</v>
      </c>
    </row>
    <row r="32" spans="1:3" x14ac:dyDescent="0.3">
      <c r="A32" s="27" t="s">
        <v>3691</v>
      </c>
      <c r="B32" s="25">
        <f>COUNTIFS(Raw_Data!$G$2:$G$3501,"&gt;="&amp;75,Raw_Data!$G$2:$G$3501,"&lt;"&amp;85)</f>
        <v>1465</v>
      </c>
      <c r="C32" s="26">
        <f>IFERROR(COUNTIFS(Raw_Data!$G$2:$G$3501,"&gt;="&amp;75,Raw_Data!$G$2:$G$3501,"&lt;"&amp;85,Raw_Data!$O$2:$O$3501,"Placed")/B32,0)</f>
        <v>0.79863481228668942</v>
      </c>
    </row>
    <row r="33" spans="1:3" x14ac:dyDescent="0.3">
      <c r="A33" s="27" t="s">
        <v>3692</v>
      </c>
      <c r="B33" s="25">
        <f>COUNTIFS(Raw_Data!$G$2:$G$3501,"&gt;="&amp;85,Raw_Data!$G$2:$G$3501,"&lt;"&amp;95)</f>
        <v>1037</v>
      </c>
      <c r="C33" s="26">
        <f>IFERROR(COUNTIFS(Raw_Data!$G$2:$G$3501,"&gt;="&amp;85,Raw_Data!$G$2:$G$3501,"&lt;"&amp;95,Raw_Data!$O$2:$O$3501,"Placed")/B33,0)</f>
        <v>0.81195756991321122</v>
      </c>
    </row>
    <row r="34" spans="1:3" x14ac:dyDescent="0.3">
      <c r="A34" s="27" t="s">
        <v>3693</v>
      </c>
      <c r="B34" s="25">
        <f>COUNTIFS(Raw_Data!$G$2:$G$3501,"&gt;="&amp;95,Raw_Data!$G$2:$G$3501,"&lt;"&amp;100.01)</f>
        <v>256</v>
      </c>
      <c r="C34" s="26">
        <f>IFERROR(COUNTIFS(Raw_Data!$G$2:$G$3501,"&gt;="&amp;95,Raw_Data!$G$2:$G$3501,"&lt;"&amp;100.01,Raw_Data!$O$2:$O$3501,"Placed")/B34,0)</f>
        <v>0.8125</v>
      </c>
    </row>
  </sheetData>
  <mergeCells count="1">
    <mergeCell ref="A1:I1"/>
  </mergeCells>
  <conditionalFormatting sqref="B5:C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C27">
    <cfRule type="dataBar" priority="2">
      <dataBar>
        <cfvo type="num" val="0"/>
        <cfvo type="num" val="1"/>
        <color rgb="FF8B0000"/>
      </dataBar>
    </cfRule>
  </conditionalFormatting>
  <conditionalFormatting sqref="C30:C34">
    <cfRule type="dataBar" priority="3">
      <dataBar>
        <cfvo type="num" val="0"/>
        <cfvo type="num" val="1"/>
        <color rgb="FF8B0000"/>
      </dataBar>
    </cfRule>
  </conditionalFormatting>
  <printOptions horizontalCentered="1"/>
  <pageMargins left="0.3" right="0.3" top="0.4" bottom="0.4" header="0.5" footer="0.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38"/>
  <sheetViews>
    <sheetView showGridLines="0" topLeftCell="A36" workbookViewId="0">
      <selection sqref="A1:G1"/>
    </sheetView>
  </sheetViews>
  <sheetFormatPr defaultRowHeight="14.4" x14ac:dyDescent="0.3"/>
  <cols>
    <col min="1" max="1" width="12" customWidth="1"/>
    <col min="2" max="2" width="11" customWidth="1"/>
    <col min="3" max="3" width="8" customWidth="1"/>
    <col min="4" max="4" width="15" customWidth="1"/>
    <col min="5" max="5" width="12" customWidth="1"/>
    <col min="6" max="6" width="19" customWidth="1"/>
    <col min="7" max="7" width="12" customWidth="1"/>
    <col min="8" max="8" width="3" customWidth="1"/>
    <col min="9" max="9" width="10" hidden="1" customWidth="1"/>
  </cols>
  <sheetData>
    <row r="1" spans="1:9" ht="28.05" customHeight="1" x14ac:dyDescent="0.3">
      <c r="A1" s="67" t="s">
        <v>3694</v>
      </c>
      <c r="B1" s="68"/>
      <c r="C1" s="68"/>
      <c r="D1" s="68"/>
      <c r="E1" s="68"/>
      <c r="F1" s="68"/>
      <c r="G1" s="69"/>
    </row>
    <row r="3" spans="1:9" ht="16.8" x14ac:dyDescent="0.3">
      <c r="A3" s="6" t="s">
        <v>3695</v>
      </c>
    </row>
    <row r="4" spans="1:9" ht="27.6" x14ac:dyDescent="0.3">
      <c r="A4" s="1" t="s">
        <v>29</v>
      </c>
      <c r="B4" s="1" t="s">
        <v>31</v>
      </c>
      <c r="C4" s="1" t="s">
        <v>34</v>
      </c>
      <c r="D4" s="1" t="s">
        <v>40</v>
      </c>
      <c r="E4" s="1" t="s">
        <v>44</v>
      </c>
      <c r="F4" s="1" t="s">
        <v>46</v>
      </c>
      <c r="G4" s="1" t="s">
        <v>47</v>
      </c>
    </row>
    <row r="5" spans="1:9" x14ac:dyDescent="0.3">
      <c r="A5" s="30" t="str">
        <f>INDEX(Raw_Data!$A:$A,$I5)</f>
        <v>STU10303</v>
      </c>
      <c r="B5" s="30" t="str">
        <f>INDEX(Raw_Data!$C:$C,$I5)</f>
        <v>ECE</v>
      </c>
      <c r="C5" s="28">
        <f>INDEX(Raw_Data!$F:$F,$I5)</f>
        <v>10</v>
      </c>
      <c r="D5" s="29">
        <f>INDEX(Raw_Data!$L:$L,$I5)</f>
        <v>83.8</v>
      </c>
      <c r="E5" s="30" t="str">
        <f>INDEX(Raw_Data!$P:$P,$I5)</f>
        <v>Microsoft</v>
      </c>
      <c r="F5" s="30" t="str">
        <f>INDEX(Raw_Data!$R:$R,$I5)</f>
        <v>Software Engineer</v>
      </c>
      <c r="G5" s="28">
        <f>INDEX(Raw_Data!$S:$S,$I5)</f>
        <v>21.47</v>
      </c>
      <c r="I5">
        <f>MATCH(LARGE(Raw_Data!$X$2:$X$3501,1),Raw_Data!$X$2:$X$3501,0)+1</f>
        <v>304</v>
      </c>
    </row>
    <row r="6" spans="1:9" x14ac:dyDescent="0.3">
      <c r="A6" s="31" t="str">
        <f>INDEX(Raw_Data!$A:$A,$I6)</f>
        <v>STU10706</v>
      </c>
      <c r="B6" s="31" t="str">
        <f>INDEX(Raw_Data!$C:$C,$I6)</f>
        <v>ECE</v>
      </c>
      <c r="C6" s="32">
        <f>INDEX(Raw_Data!$F:$F,$I6)</f>
        <v>10</v>
      </c>
      <c r="D6" s="33">
        <f>INDEX(Raw_Data!$L:$L,$I6)</f>
        <v>74.2</v>
      </c>
      <c r="E6" s="31" t="str">
        <f>INDEX(Raw_Data!$P:$P,$I6)</f>
        <v>IBM</v>
      </c>
      <c r="F6" s="31" t="str">
        <f>INDEX(Raw_Data!$R:$R,$I6)</f>
        <v>DevOps Engineer</v>
      </c>
      <c r="G6" s="32">
        <f>INDEX(Raw_Data!$S:$S,$I6)</f>
        <v>9.2100000000000009</v>
      </c>
      <c r="I6">
        <f>MATCH(LARGE(Raw_Data!$X$2:$X$3501,2),Raw_Data!$X$2:$X$3501,0)+1</f>
        <v>707</v>
      </c>
    </row>
    <row r="7" spans="1:9" x14ac:dyDescent="0.3">
      <c r="A7" s="30" t="str">
        <f>INDEX(Raw_Data!$A:$A,$I7)</f>
        <v>STU10826</v>
      </c>
      <c r="B7" s="30" t="str">
        <f>INDEX(Raw_Data!$C:$C,$I7)</f>
        <v>ECE</v>
      </c>
      <c r="C7" s="28">
        <f>INDEX(Raw_Data!$F:$F,$I7)</f>
        <v>10</v>
      </c>
      <c r="D7" s="29">
        <f>INDEX(Raw_Data!$L:$L,$I7)</f>
        <v>81.599999999999994</v>
      </c>
      <c r="E7" s="30" t="str">
        <f>INDEX(Raw_Data!$P:$P,$I7)</f>
        <v>Deloitte</v>
      </c>
      <c r="F7" s="30" t="str">
        <f>INDEX(Raw_Data!$R:$R,$I7)</f>
        <v>DevOps Engineer</v>
      </c>
      <c r="G7" s="28">
        <f>INDEX(Raw_Data!$S:$S,$I7)</f>
        <v>9.94</v>
      </c>
      <c r="I7">
        <f>MATCH(LARGE(Raw_Data!$X$2:$X$3501,3),Raw_Data!$X$2:$X$3501,0)+1</f>
        <v>827</v>
      </c>
    </row>
    <row r="8" spans="1:9" x14ac:dyDescent="0.3">
      <c r="A8" s="31" t="str">
        <f>INDEX(Raw_Data!$A:$A,$I8)</f>
        <v>STU10966</v>
      </c>
      <c r="B8" s="31" t="str">
        <f>INDEX(Raw_Data!$C:$C,$I8)</f>
        <v>CSE</v>
      </c>
      <c r="C8" s="32">
        <f>INDEX(Raw_Data!$F:$F,$I8)</f>
        <v>10</v>
      </c>
      <c r="D8" s="33">
        <f>INDEX(Raw_Data!$L:$L,$I8)</f>
        <v>47.5</v>
      </c>
      <c r="E8" s="31" t="str">
        <f>INDEX(Raw_Data!$P:$P,$I8)</f>
        <v>Microsoft</v>
      </c>
      <c r="F8" s="31" t="str">
        <f>INDEX(Raw_Data!$R:$R,$I8)</f>
        <v>Full Stack Developer</v>
      </c>
      <c r="G8" s="32">
        <f>INDEX(Raw_Data!$S:$S,$I8)</f>
        <v>20.88</v>
      </c>
      <c r="I8">
        <f>MATCH(LARGE(Raw_Data!$X$2:$X$3501,4),Raw_Data!$X$2:$X$3501,0)+1</f>
        <v>967</v>
      </c>
    </row>
    <row r="9" spans="1:9" x14ac:dyDescent="0.3">
      <c r="A9" s="30" t="str">
        <f>INDEX(Raw_Data!$A:$A,$I9)</f>
        <v>STU11052</v>
      </c>
      <c r="B9" s="30" t="str">
        <f>INDEX(Raw_Data!$C:$C,$I9)</f>
        <v>EEE</v>
      </c>
      <c r="C9" s="28">
        <f>INDEX(Raw_Data!$F:$F,$I9)</f>
        <v>10</v>
      </c>
      <c r="D9" s="29">
        <f>INDEX(Raw_Data!$L:$L,$I9)</f>
        <v>66.400000000000006</v>
      </c>
      <c r="E9" s="30" t="str">
        <f>INDEX(Raw_Data!$P:$P,$I9)</f>
        <v>Amazon</v>
      </c>
      <c r="F9" s="30" t="str">
        <f>INDEX(Raw_Data!$R:$R,$I9)</f>
        <v>DevOps Engineer</v>
      </c>
      <c r="G9" s="28">
        <f>INDEX(Raw_Data!$S:$S,$I9)</f>
        <v>16.88</v>
      </c>
      <c r="I9">
        <f>MATCH(LARGE(Raw_Data!$X$2:$X$3501,5),Raw_Data!$X$2:$X$3501,0)+1</f>
        <v>1053</v>
      </c>
    </row>
    <row r="10" spans="1:9" x14ac:dyDescent="0.3">
      <c r="A10" s="31" t="str">
        <f>INDEX(Raw_Data!$A:$A,$I10)</f>
        <v>STU11167</v>
      </c>
      <c r="B10" s="31" t="str">
        <f>INDEX(Raw_Data!$C:$C,$I10)</f>
        <v>ECE</v>
      </c>
      <c r="C10" s="32">
        <f>INDEX(Raw_Data!$F:$F,$I10)</f>
        <v>10</v>
      </c>
      <c r="D10" s="33">
        <f>INDEX(Raw_Data!$L:$L,$I10)</f>
        <v>75.7</v>
      </c>
      <c r="E10" s="31" t="str">
        <f>INDEX(Raw_Data!$P:$P,$I10)</f>
        <v>Accenture</v>
      </c>
      <c r="F10" s="31" t="str">
        <f>INDEX(Raw_Data!$R:$R,$I10)</f>
        <v>DevOps Engineer</v>
      </c>
      <c r="G10" s="32">
        <f>INDEX(Raw_Data!$S:$S,$I10)</f>
        <v>8.32</v>
      </c>
      <c r="I10">
        <f>MATCH(LARGE(Raw_Data!$X$2:$X$3501,6),Raw_Data!$X$2:$X$3501,0)+1</f>
        <v>1168</v>
      </c>
    </row>
    <row r="11" spans="1:9" x14ac:dyDescent="0.3">
      <c r="A11" s="30" t="str">
        <f>INDEX(Raw_Data!$A:$A,$I11)</f>
        <v>STU11290</v>
      </c>
      <c r="B11" s="30" t="str">
        <f>INDEX(Raw_Data!$C:$C,$I11)</f>
        <v>IT</v>
      </c>
      <c r="C11" s="28">
        <f>INDEX(Raw_Data!$F:$F,$I11)</f>
        <v>10</v>
      </c>
      <c r="D11" s="29">
        <f>INDEX(Raw_Data!$L:$L,$I11)</f>
        <v>67.5</v>
      </c>
      <c r="E11" s="30" t="str">
        <f>INDEX(Raw_Data!$P:$P,$I11)</f>
        <v>Infosys</v>
      </c>
      <c r="F11" s="30" t="str">
        <f>INDEX(Raw_Data!$R:$R,$I11)</f>
        <v>Business Analyst</v>
      </c>
      <c r="G11" s="28">
        <f>INDEX(Raw_Data!$S:$S,$I11)</f>
        <v>9.09</v>
      </c>
      <c r="I11">
        <f>MATCH(LARGE(Raw_Data!$X$2:$X$3501,7),Raw_Data!$X$2:$X$3501,0)+1</f>
        <v>1291</v>
      </c>
    </row>
    <row r="12" spans="1:9" x14ac:dyDescent="0.3">
      <c r="A12" s="31" t="str">
        <f>INDEX(Raw_Data!$A:$A,$I12)</f>
        <v>STU11707</v>
      </c>
      <c r="B12" s="31" t="str">
        <f>INDEX(Raw_Data!$C:$C,$I12)</f>
        <v>EEE</v>
      </c>
      <c r="C12" s="32">
        <f>INDEX(Raw_Data!$F:$F,$I12)</f>
        <v>10</v>
      </c>
      <c r="D12" s="33">
        <f>INDEX(Raw_Data!$L:$L,$I12)</f>
        <v>59.9</v>
      </c>
      <c r="E12" s="31" t="str">
        <f>INDEX(Raw_Data!$P:$P,$I12)</f>
        <v>Cognizant</v>
      </c>
      <c r="F12" s="31" t="str">
        <f>INDEX(Raw_Data!$R:$R,$I12)</f>
        <v>Software Engineer</v>
      </c>
      <c r="G12" s="32">
        <f>INDEX(Raw_Data!$S:$S,$I12)</f>
        <v>7.61</v>
      </c>
      <c r="I12">
        <f>MATCH(LARGE(Raw_Data!$X$2:$X$3501,8),Raw_Data!$X$2:$X$3501,0)+1</f>
        <v>1708</v>
      </c>
    </row>
    <row r="13" spans="1:9" x14ac:dyDescent="0.3">
      <c r="A13" s="30" t="str">
        <f>INDEX(Raw_Data!$A:$A,$I13)</f>
        <v>STU11864</v>
      </c>
      <c r="B13" s="30" t="str">
        <f>INDEX(Raw_Data!$C:$C,$I13)</f>
        <v>IT</v>
      </c>
      <c r="C13" s="28">
        <f>INDEX(Raw_Data!$F:$F,$I13)</f>
        <v>10</v>
      </c>
      <c r="D13" s="29">
        <f>INDEX(Raw_Data!$L:$L,$I13)</f>
        <v>100</v>
      </c>
      <c r="E13" s="30" t="str">
        <f>INDEX(Raw_Data!$P:$P,$I13)</f>
        <v>IBM</v>
      </c>
      <c r="F13" s="30" t="str">
        <f>INDEX(Raw_Data!$R:$R,$I13)</f>
        <v>Business Analyst</v>
      </c>
      <c r="G13" s="28">
        <f>INDEX(Raw_Data!$S:$S,$I13)</f>
        <v>12.55</v>
      </c>
      <c r="I13">
        <f>MATCH(LARGE(Raw_Data!$X$2:$X$3501,9),Raw_Data!$X$2:$X$3501,0)+1</f>
        <v>1865</v>
      </c>
    </row>
    <row r="14" spans="1:9" x14ac:dyDescent="0.3">
      <c r="A14" s="31" t="str">
        <f>INDEX(Raw_Data!$A:$A,$I14)</f>
        <v>STU11989</v>
      </c>
      <c r="B14" s="31" t="str">
        <f>INDEX(Raw_Data!$C:$C,$I14)</f>
        <v>MECH</v>
      </c>
      <c r="C14" s="32">
        <f>INDEX(Raw_Data!$F:$F,$I14)</f>
        <v>10</v>
      </c>
      <c r="D14" s="33">
        <f>INDEX(Raw_Data!$L:$L,$I14)</f>
        <v>72.599999999999994</v>
      </c>
      <c r="E14" s="31" t="str">
        <f>INDEX(Raw_Data!$P:$P,$I14)</f>
        <v>TCS</v>
      </c>
      <c r="F14" s="31" t="str">
        <f>INDEX(Raw_Data!$R:$R,$I14)</f>
        <v>Software Engineer</v>
      </c>
      <c r="G14" s="32">
        <f>INDEX(Raw_Data!$S:$S,$I14)</f>
        <v>6.04</v>
      </c>
      <c r="I14">
        <f>MATCH(LARGE(Raw_Data!$X$2:$X$3501,10),Raw_Data!$X$2:$X$3501,0)+1</f>
        <v>1990</v>
      </c>
    </row>
    <row r="15" spans="1:9" ht="16.8" x14ac:dyDescent="0.3">
      <c r="A15" s="6" t="s">
        <v>3696</v>
      </c>
    </row>
    <row r="16" spans="1:9" ht="27.6" x14ac:dyDescent="0.3">
      <c r="A16" s="1" t="s">
        <v>29</v>
      </c>
      <c r="B16" s="1" t="s">
        <v>31</v>
      </c>
      <c r="C16" s="1" t="s">
        <v>34</v>
      </c>
      <c r="D16" s="1" t="s">
        <v>40</v>
      </c>
      <c r="E16" s="1" t="s">
        <v>44</v>
      </c>
      <c r="F16" s="1" t="s">
        <v>46</v>
      </c>
      <c r="G16" s="1" t="s">
        <v>47</v>
      </c>
    </row>
    <row r="17" spans="1:9" x14ac:dyDescent="0.3">
      <c r="A17" s="30" t="str">
        <f>INDEX(Raw_Data!$A:$A,$I17)</f>
        <v>STU10454</v>
      </c>
      <c r="B17" s="30" t="str">
        <f>INDEX(Raw_Data!$C:$C,$I17)</f>
        <v>ECE</v>
      </c>
      <c r="C17" s="28">
        <f>INDEX(Raw_Data!$F:$F,$I17)</f>
        <v>9.58</v>
      </c>
      <c r="D17" s="29">
        <f>INDEX(Raw_Data!$L:$L,$I17)</f>
        <v>100</v>
      </c>
      <c r="E17" s="30" t="str">
        <f>INDEX(Raw_Data!$P:$P,$I17)</f>
        <v>Microsoft</v>
      </c>
      <c r="F17" s="30" t="str">
        <f>INDEX(Raw_Data!$R:$R,$I17)</f>
        <v>Data Analyst</v>
      </c>
      <c r="G17" s="28">
        <f>INDEX(Raw_Data!$S:$S,$I17)</f>
        <v>23.34</v>
      </c>
      <c r="I17">
        <f>MATCH(LARGE(Raw_Data!$Y$2:$Y$3501,1),Raw_Data!$Y$2:$Y$3501,0)+1</f>
        <v>455</v>
      </c>
    </row>
    <row r="18" spans="1:9" x14ac:dyDescent="0.3">
      <c r="A18" s="31" t="str">
        <f>INDEX(Raw_Data!$A:$A,$I18)</f>
        <v>STU11364</v>
      </c>
      <c r="B18" s="31" t="str">
        <f>INDEX(Raw_Data!$C:$C,$I18)</f>
        <v>CIVIL</v>
      </c>
      <c r="C18" s="32">
        <f>INDEX(Raw_Data!$F:$F,$I18)</f>
        <v>8.25</v>
      </c>
      <c r="D18" s="33">
        <f>INDEX(Raw_Data!$L:$L,$I18)</f>
        <v>94.3</v>
      </c>
      <c r="E18" s="31" t="str">
        <f>INDEX(Raw_Data!$P:$P,$I18)</f>
        <v>Microsoft</v>
      </c>
      <c r="F18" s="31" t="str">
        <f>INDEX(Raw_Data!$R:$R,$I18)</f>
        <v>DevOps Engineer</v>
      </c>
      <c r="G18" s="32">
        <f>INDEX(Raw_Data!$S:$S,$I18)</f>
        <v>22.18</v>
      </c>
      <c r="I18">
        <f>MATCH(LARGE(Raw_Data!$Y$2:$Y$3501,2),Raw_Data!$Y$2:$Y$3501,0)+1</f>
        <v>1365</v>
      </c>
    </row>
    <row r="19" spans="1:9" x14ac:dyDescent="0.3">
      <c r="A19" s="30" t="str">
        <f>INDEX(Raw_Data!$A:$A,$I19)</f>
        <v>STU12833</v>
      </c>
      <c r="B19" s="30" t="str">
        <f>INDEX(Raw_Data!$C:$C,$I19)</f>
        <v>AIML</v>
      </c>
      <c r="C19" s="28">
        <f>INDEX(Raw_Data!$F:$F,$I19)</f>
        <v>9.41</v>
      </c>
      <c r="D19" s="29">
        <f>INDEX(Raw_Data!$L:$L,$I19)</f>
        <v>100</v>
      </c>
      <c r="E19" s="30" t="str">
        <f>INDEX(Raw_Data!$P:$P,$I19)</f>
        <v>Microsoft</v>
      </c>
      <c r="F19" s="30" t="str">
        <f>INDEX(Raw_Data!$R:$R,$I19)</f>
        <v>Software Engineer</v>
      </c>
      <c r="G19" s="28">
        <f>INDEX(Raw_Data!$S:$S,$I19)</f>
        <v>22.13</v>
      </c>
      <c r="I19">
        <f>MATCH(LARGE(Raw_Data!$Y$2:$Y$3501,3),Raw_Data!$Y$2:$Y$3501,0)+1</f>
        <v>2834</v>
      </c>
    </row>
    <row r="20" spans="1:9" x14ac:dyDescent="0.3">
      <c r="A20" s="31" t="str">
        <f>INDEX(Raw_Data!$A:$A,$I20)</f>
        <v>STU13324</v>
      </c>
      <c r="B20" s="31" t="str">
        <f>INDEX(Raw_Data!$C:$C,$I20)</f>
        <v>IT</v>
      </c>
      <c r="C20" s="32">
        <f>INDEX(Raw_Data!$F:$F,$I20)</f>
        <v>8.2899999999999991</v>
      </c>
      <c r="D20" s="33">
        <f>INDEX(Raw_Data!$L:$L,$I20)</f>
        <v>92</v>
      </c>
      <c r="E20" s="31" t="str">
        <f>INDEX(Raw_Data!$P:$P,$I20)</f>
        <v>Microsoft</v>
      </c>
      <c r="F20" s="31" t="str">
        <f>INDEX(Raw_Data!$R:$R,$I20)</f>
        <v>Data Analyst</v>
      </c>
      <c r="G20" s="32">
        <f>INDEX(Raw_Data!$S:$S,$I20)</f>
        <v>21.84</v>
      </c>
      <c r="I20">
        <f>MATCH(LARGE(Raw_Data!$Y$2:$Y$3501,4),Raw_Data!$Y$2:$Y$3501,0)+1</f>
        <v>3325</v>
      </c>
    </row>
    <row r="21" spans="1:9" x14ac:dyDescent="0.3">
      <c r="A21" s="30" t="str">
        <f>INDEX(Raw_Data!$A:$A,$I21)</f>
        <v>STU12446</v>
      </c>
      <c r="B21" s="30" t="str">
        <f>INDEX(Raw_Data!$C:$C,$I21)</f>
        <v>EEE</v>
      </c>
      <c r="C21" s="28">
        <f>INDEX(Raw_Data!$F:$F,$I21)</f>
        <v>9.98</v>
      </c>
      <c r="D21" s="29">
        <f>INDEX(Raw_Data!$L:$L,$I21)</f>
        <v>82.2</v>
      </c>
      <c r="E21" s="30" t="str">
        <f>INDEX(Raw_Data!$P:$P,$I21)</f>
        <v>Microsoft</v>
      </c>
      <c r="F21" s="30" t="str">
        <f>INDEX(Raw_Data!$R:$R,$I21)</f>
        <v>DevOps Engineer</v>
      </c>
      <c r="G21" s="28">
        <f>INDEX(Raw_Data!$S:$S,$I21)</f>
        <v>21.75</v>
      </c>
      <c r="I21">
        <f>MATCH(LARGE(Raw_Data!$Y$2:$Y$3501,5),Raw_Data!$Y$2:$Y$3501,0)+1</f>
        <v>2447</v>
      </c>
    </row>
    <row r="22" spans="1:9" x14ac:dyDescent="0.3">
      <c r="A22" s="31" t="str">
        <f>INDEX(Raw_Data!$A:$A,$I22)</f>
        <v>STU12702</v>
      </c>
      <c r="B22" s="31" t="str">
        <f>INDEX(Raw_Data!$C:$C,$I22)</f>
        <v>IT</v>
      </c>
      <c r="C22" s="32">
        <f>INDEX(Raw_Data!$F:$F,$I22)</f>
        <v>9.3000000000000007</v>
      </c>
      <c r="D22" s="33">
        <f>INDEX(Raw_Data!$L:$L,$I22)</f>
        <v>90.9</v>
      </c>
      <c r="E22" s="31" t="str">
        <f>INDEX(Raw_Data!$P:$P,$I22)</f>
        <v>Microsoft</v>
      </c>
      <c r="F22" s="31" t="str">
        <f>INDEX(Raw_Data!$R:$R,$I22)</f>
        <v>Software Engineer</v>
      </c>
      <c r="G22" s="32">
        <f>INDEX(Raw_Data!$S:$S,$I22)</f>
        <v>21.74</v>
      </c>
      <c r="I22">
        <f>MATCH(LARGE(Raw_Data!$Y$2:$Y$3501,6),Raw_Data!$Y$2:$Y$3501,0)+1</f>
        <v>2703</v>
      </c>
    </row>
    <row r="23" spans="1:9" x14ac:dyDescent="0.3">
      <c r="A23" s="30" t="str">
        <f>INDEX(Raw_Data!$A:$A,$I23)</f>
        <v>STU12924</v>
      </c>
      <c r="B23" s="30" t="str">
        <f>INDEX(Raw_Data!$C:$C,$I23)</f>
        <v>AIML</v>
      </c>
      <c r="C23" s="28">
        <f>INDEX(Raw_Data!$F:$F,$I23)</f>
        <v>7.96</v>
      </c>
      <c r="D23" s="29">
        <f>INDEX(Raw_Data!$L:$L,$I23)</f>
        <v>89.7</v>
      </c>
      <c r="E23" s="30" t="str">
        <f>INDEX(Raw_Data!$P:$P,$I23)</f>
        <v>Microsoft</v>
      </c>
      <c r="F23" s="30" t="str">
        <f>INDEX(Raw_Data!$R:$R,$I23)</f>
        <v>Cloud Engineer</v>
      </c>
      <c r="G23" s="28">
        <f>INDEX(Raw_Data!$S:$S,$I23)</f>
        <v>21.73</v>
      </c>
      <c r="I23">
        <f>MATCH(LARGE(Raw_Data!$Y$2:$Y$3501,7),Raw_Data!$Y$2:$Y$3501,0)+1</f>
        <v>2925</v>
      </c>
    </row>
    <row r="24" spans="1:9" x14ac:dyDescent="0.3">
      <c r="A24" s="31" t="str">
        <f>INDEX(Raw_Data!$A:$A,$I24)</f>
        <v>STU10651</v>
      </c>
      <c r="B24" s="31" t="str">
        <f>INDEX(Raw_Data!$C:$C,$I24)</f>
        <v>AIML</v>
      </c>
      <c r="C24" s="32">
        <f>INDEX(Raw_Data!$F:$F,$I24)</f>
        <v>8.9700000000000006</v>
      </c>
      <c r="D24" s="33">
        <f>INDEX(Raw_Data!$L:$L,$I24)</f>
        <v>87.2</v>
      </c>
      <c r="E24" s="31" t="str">
        <f>INDEX(Raw_Data!$P:$P,$I24)</f>
        <v>Microsoft</v>
      </c>
      <c r="F24" s="31" t="str">
        <f>INDEX(Raw_Data!$R:$R,$I24)</f>
        <v>Full Stack Developer</v>
      </c>
      <c r="G24" s="32">
        <f>INDEX(Raw_Data!$S:$S,$I24)</f>
        <v>21.68</v>
      </c>
      <c r="I24">
        <f>MATCH(LARGE(Raw_Data!$Y$2:$Y$3501,8),Raw_Data!$Y$2:$Y$3501,0)+1</f>
        <v>652</v>
      </c>
    </row>
    <row r="25" spans="1:9" x14ac:dyDescent="0.3">
      <c r="A25" s="30" t="str">
        <f>INDEX(Raw_Data!$A:$A,$I25)</f>
        <v>STU12748</v>
      </c>
      <c r="B25" s="30" t="str">
        <f>INDEX(Raw_Data!$C:$C,$I25)</f>
        <v>ECE</v>
      </c>
      <c r="C25" s="28">
        <f>INDEX(Raw_Data!$F:$F,$I25)</f>
        <v>8.4</v>
      </c>
      <c r="D25" s="29">
        <f>INDEX(Raw_Data!$L:$L,$I25)</f>
        <v>70.8</v>
      </c>
      <c r="E25" s="30" t="str">
        <f>INDEX(Raw_Data!$P:$P,$I25)</f>
        <v>Microsoft</v>
      </c>
      <c r="F25" s="30" t="str">
        <f>INDEX(Raw_Data!$R:$R,$I25)</f>
        <v>QA Engineer</v>
      </c>
      <c r="G25" s="28">
        <f>INDEX(Raw_Data!$S:$S,$I25)</f>
        <v>21.68</v>
      </c>
      <c r="I25">
        <f>MATCH(LARGE(Raw_Data!$Y$2:$Y$3501,9),Raw_Data!$Y$2:$Y$3501,0)+1</f>
        <v>2749</v>
      </c>
    </row>
    <row r="26" spans="1:9" x14ac:dyDescent="0.3">
      <c r="A26" s="31" t="str">
        <f>INDEX(Raw_Data!$A:$A,$I26)</f>
        <v>STU11354</v>
      </c>
      <c r="B26" s="31" t="str">
        <f>INDEX(Raw_Data!$C:$C,$I26)</f>
        <v>CIVIL</v>
      </c>
      <c r="C26" s="32">
        <f>INDEX(Raw_Data!$F:$F,$I26)</f>
        <v>7.37</v>
      </c>
      <c r="D26" s="33">
        <f>INDEX(Raw_Data!$L:$L,$I26)</f>
        <v>81.5</v>
      </c>
      <c r="E26" s="31" t="str">
        <f>INDEX(Raw_Data!$P:$P,$I26)</f>
        <v>Microsoft</v>
      </c>
      <c r="F26" s="31" t="str">
        <f>INDEX(Raw_Data!$R:$R,$I26)</f>
        <v>Cloud Engineer</v>
      </c>
      <c r="G26" s="32">
        <f>INDEX(Raw_Data!$S:$S,$I26)</f>
        <v>21.65</v>
      </c>
      <c r="I26">
        <f>MATCH(LARGE(Raw_Data!$Y$2:$Y$3501,10),Raw_Data!$Y$2:$Y$3501,0)+1</f>
        <v>1355</v>
      </c>
    </row>
    <row r="27" spans="1:9" ht="16.8" x14ac:dyDescent="0.3">
      <c r="A27" s="6" t="s">
        <v>3697</v>
      </c>
    </row>
    <row r="28" spans="1:9" ht="27.6" x14ac:dyDescent="0.3">
      <c r="A28" s="1" t="s">
        <v>29</v>
      </c>
      <c r="B28" s="1" t="s">
        <v>31</v>
      </c>
      <c r="C28" s="1" t="s">
        <v>34</v>
      </c>
      <c r="D28" s="1" t="s">
        <v>40</v>
      </c>
      <c r="E28" s="1" t="s">
        <v>44</v>
      </c>
      <c r="F28" s="1" t="s">
        <v>46</v>
      </c>
      <c r="G28" s="1" t="s">
        <v>47</v>
      </c>
    </row>
    <row r="29" spans="1:9" x14ac:dyDescent="0.3">
      <c r="A29" s="30" t="str">
        <f>INDEX(Raw_Data!$A:$A,$I29)</f>
        <v>STU10079</v>
      </c>
      <c r="B29" s="30" t="str">
        <f>INDEX(Raw_Data!$C:$C,$I29)</f>
        <v>CSE</v>
      </c>
      <c r="C29" s="28">
        <f>INDEX(Raw_Data!$F:$F,$I29)</f>
        <v>7.3</v>
      </c>
      <c r="D29" s="29">
        <f>INDEX(Raw_Data!$L:$L,$I29)</f>
        <v>100</v>
      </c>
      <c r="E29" s="30" t="str">
        <f>INDEX(Raw_Data!$P:$P,$I29)</f>
        <v>Cognizant</v>
      </c>
      <c r="F29" s="30" t="str">
        <f>INDEX(Raw_Data!$R:$R,$I29)</f>
        <v>Data Analyst</v>
      </c>
      <c r="G29" s="28">
        <f>INDEX(Raw_Data!$S:$S,$I29)</f>
        <v>7.73</v>
      </c>
      <c r="I29">
        <f>MATCH(LARGE(Raw_Data!$Z$2:$Z$3501,1),Raw_Data!$Z$2:$Z$3501,0)+1</f>
        <v>80</v>
      </c>
    </row>
    <row r="30" spans="1:9" x14ac:dyDescent="0.3">
      <c r="A30" s="31" t="str">
        <f>INDEX(Raw_Data!$A:$A,$I30)</f>
        <v>STU10099</v>
      </c>
      <c r="B30" s="31" t="str">
        <f>INDEX(Raw_Data!$C:$C,$I30)</f>
        <v>MECH</v>
      </c>
      <c r="C30" s="32">
        <f>INDEX(Raw_Data!$F:$F,$I30)</f>
        <v>9.6300000000000008</v>
      </c>
      <c r="D30" s="33">
        <f>INDEX(Raw_Data!$L:$L,$I30)</f>
        <v>100</v>
      </c>
      <c r="E30" s="31" t="str">
        <f>INDEX(Raw_Data!$P:$P,$I30)</f>
        <v>Infosys</v>
      </c>
      <c r="F30" s="31" t="str">
        <f>INDEX(Raw_Data!$R:$R,$I30)</f>
        <v>QA Engineer</v>
      </c>
      <c r="G30" s="32">
        <f>INDEX(Raw_Data!$S:$S,$I30)</f>
        <v>9.49</v>
      </c>
      <c r="I30">
        <f>MATCH(LARGE(Raw_Data!$Z$2:$Z$3501,2),Raw_Data!$Z$2:$Z$3501,0)+1</f>
        <v>100</v>
      </c>
    </row>
    <row r="31" spans="1:9" x14ac:dyDescent="0.3">
      <c r="A31" s="30" t="str">
        <f>INDEX(Raw_Data!$A:$A,$I31)</f>
        <v>STU10102</v>
      </c>
      <c r="B31" s="30" t="str">
        <f>INDEX(Raw_Data!$C:$C,$I31)</f>
        <v>MECH</v>
      </c>
      <c r="C31" s="28">
        <f>INDEX(Raw_Data!$F:$F,$I31)</f>
        <v>7.46</v>
      </c>
      <c r="D31" s="29">
        <f>INDEX(Raw_Data!$L:$L,$I31)</f>
        <v>100</v>
      </c>
      <c r="E31" s="30" t="str">
        <f>INDEX(Raw_Data!$P:$P,$I31)</f>
        <v>Amazon</v>
      </c>
      <c r="F31" s="30" t="str">
        <f>INDEX(Raw_Data!$R:$R,$I31)</f>
        <v>Data Analyst</v>
      </c>
      <c r="G31" s="28">
        <f>INDEX(Raw_Data!$S:$S,$I31)</f>
        <v>18.25</v>
      </c>
      <c r="I31">
        <f>MATCH(LARGE(Raw_Data!$Z$2:$Z$3501,3),Raw_Data!$Z$2:$Z$3501,0)+1</f>
        <v>103</v>
      </c>
    </row>
    <row r="32" spans="1:9" x14ac:dyDescent="0.3">
      <c r="A32" s="31" t="str">
        <f>INDEX(Raw_Data!$A:$A,$I32)</f>
        <v>STU10135</v>
      </c>
      <c r="B32" s="31" t="str">
        <f>INDEX(Raw_Data!$C:$C,$I32)</f>
        <v>CSE</v>
      </c>
      <c r="C32" s="32">
        <f>INDEX(Raw_Data!$F:$F,$I32)</f>
        <v>7.04</v>
      </c>
      <c r="D32" s="33">
        <f>INDEX(Raw_Data!$L:$L,$I32)</f>
        <v>100</v>
      </c>
      <c r="E32" s="31" t="str">
        <f>INDEX(Raw_Data!$P:$P,$I32)</f>
        <v>Infosys</v>
      </c>
      <c r="F32" s="31" t="str">
        <f>INDEX(Raw_Data!$R:$R,$I32)</f>
        <v>DevOps Engineer</v>
      </c>
      <c r="G32" s="32">
        <f>INDEX(Raw_Data!$S:$S,$I32)</f>
        <v>6.55</v>
      </c>
      <c r="I32">
        <f>MATCH(LARGE(Raw_Data!$Z$2:$Z$3501,4),Raw_Data!$Z$2:$Z$3501,0)+1</f>
        <v>136</v>
      </c>
    </row>
    <row r="33" spans="1:9" x14ac:dyDescent="0.3">
      <c r="A33" s="30" t="str">
        <f>INDEX(Raw_Data!$A:$A,$I33)</f>
        <v>STU10144</v>
      </c>
      <c r="B33" s="30" t="str">
        <f>INDEX(Raw_Data!$C:$C,$I33)</f>
        <v>MECH</v>
      </c>
      <c r="C33" s="28">
        <f>INDEX(Raw_Data!$F:$F,$I33)</f>
        <v>7.86</v>
      </c>
      <c r="D33" s="29">
        <f>INDEX(Raw_Data!$L:$L,$I33)</f>
        <v>100</v>
      </c>
      <c r="E33" s="30" t="str">
        <f>INDEX(Raw_Data!$P:$P,$I33)</f>
        <v>Cognizant</v>
      </c>
      <c r="F33" s="30" t="str">
        <f>INDEX(Raw_Data!$R:$R,$I33)</f>
        <v>Business Analyst</v>
      </c>
      <c r="G33" s="28">
        <f>INDEX(Raw_Data!$S:$S,$I33)</f>
        <v>7.77</v>
      </c>
      <c r="I33">
        <f>MATCH(LARGE(Raw_Data!$Z$2:$Z$3501,5),Raw_Data!$Z$2:$Z$3501,0)+1</f>
        <v>145</v>
      </c>
    </row>
    <row r="34" spans="1:9" x14ac:dyDescent="0.3">
      <c r="A34" s="31" t="str">
        <f>INDEX(Raw_Data!$A:$A,$I34)</f>
        <v>STU10149</v>
      </c>
      <c r="B34" s="31" t="str">
        <f>INDEX(Raw_Data!$C:$C,$I34)</f>
        <v>AIML</v>
      </c>
      <c r="C34" s="32">
        <f>INDEX(Raw_Data!$F:$F,$I34)</f>
        <v>7.6</v>
      </c>
      <c r="D34" s="33">
        <f>INDEX(Raw_Data!$L:$L,$I34)</f>
        <v>100</v>
      </c>
      <c r="E34" s="31" t="str">
        <f>INDEX(Raw_Data!$P:$P,$I34)</f>
        <v>Not Placed</v>
      </c>
      <c r="F34" s="31">
        <f>INDEX(Raw_Data!$R:$R,$I34)</f>
        <v>0</v>
      </c>
      <c r="G34" s="32">
        <f>INDEX(Raw_Data!$S:$S,$I34)</f>
        <v>0</v>
      </c>
      <c r="I34">
        <f>MATCH(LARGE(Raw_Data!$Z$2:$Z$3501,6),Raw_Data!$Z$2:$Z$3501,0)+1</f>
        <v>150</v>
      </c>
    </row>
    <row r="35" spans="1:9" x14ac:dyDescent="0.3">
      <c r="A35" s="30" t="str">
        <f>INDEX(Raw_Data!$A:$A,$I35)</f>
        <v>STU10200</v>
      </c>
      <c r="B35" s="30" t="str">
        <f>INDEX(Raw_Data!$C:$C,$I35)</f>
        <v>CSE</v>
      </c>
      <c r="C35" s="28">
        <f>INDEX(Raw_Data!$F:$F,$I35)</f>
        <v>8.4700000000000006</v>
      </c>
      <c r="D35" s="29">
        <f>INDEX(Raw_Data!$L:$L,$I35)</f>
        <v>100</v>
      </c>
      <c r="E35" s="30" t="str">
        <f>INDEX(Raw_Data!$P:$P,$I35)</f>
        <v>TCS</v>
      </c>
      <c r="F35" s="30" t="str">
        <f>INDEX(Raw_Data!$R:$R,$I35)</f>
        <v>QA Engineer</v>
      </c>
      <c r="G35" s="28">
        <f>INDEX(Raw_Data!$S:$S,$I35)</f>
        <v>7.66</v>
      </c>
      <c r="I35">
        <f>MATCH(LARGE(Raw_Data!$Z$2:$Z$3501,7),Raw_Data!$Z$2:$Z$3501,0)+1</f>
        <v>201</v>
      </c>
    </row>
    <row r="36" spans="1:9" x14ac:dyDescent="0.3">
      <c r="A36" s="31" t="str">
        <f>INDEX(Raw_Data!$A:$A,$I36)</f>
        <v>STU10222</v>
      </c>
      <c r="B36" s="31" t="str">
        <f>INDEX(Raw_Data!$C:$C,$I36)</f>
        <v>MECH</v>
      </c>
      <c r="C36" s="32">
        <f>INDEX(Raw_Data!$F:$F,$I36)</f>
        <v>9.06</v>
      </c>
      <c r="D36" s="33">
        <f>INDEX(Raw_Data!$L:$L,$I36)</f>
        <v>100</v>
      </c>
      <c r="E36" s="31" t="str">
        <f>INDEX(Raw_Data!$P:$P,$I36)</f>
        <v>Capgemini</v>
      </c>
      <c r="F36" s="31" t="str">
        <f>INDEX(Raw_Data!$R:$R,$I36)</f>
        <v>DevOps Engineer</v>
      </c>
      <c r="G36" s="32">
        <f>INDEX(Raw_Data!$S:$S,$I36)</f>
        <v>10.039999999999999</v>
      </c>
      <c r="I36">
        <f>MATCH(LARGE(Raw_Data!$Z$2:$Z$3501,8),Raw_Data!$Z$2:$Z$3501,0)+1</f>
        <v>223</v>
      </c>
    </row>
    <row r="37" spans="1:9" x14ac:dyDescent="0.3">
      <c r="A37" s="30" t="str">
        <f>INDEX(Raw_Data!$A:$A,$I37)</f>
        <v>STU10236</v>
      </c>
      <c r="B37" s="30" t="str">
        <f>INDEX(Raw_Data!$C:$C,$I37)</f>
        <v>EEE</v>
      </c>
      <c r="C37" s="28">
        <f>INDEX(Raw_Data!$F:$F,$I37)</f>
        <v>6.92</v>
      </c>
      <c r="D37" s="29">
        <f>INDEX(Raw_Data!$L:$L,$I37)</f>
        <v>100</v>
      </c>
      <c r="E37" s="30" t="str">
        <f>INDEX(Raw_Data!$P:$P,$I37)</f>
        <v>Wipro</v>
      </c>
      <c r="F37" s="30" t="str">
        <f>INDEX(Raw_Data!$R:$R,$I37)</f>
        <v>Cloud Engineer</v>
      </c>
      <c r="G37" s="28">
        <f>INDEX(Raw_Data!$S:$S,$I37)</f>
        <v>7.62</v>
      </c>
      <c r="I37">
        <f>MATCH(LARGE(Raw_Data!$Z$2:$Z$3501,9),Raw_Data!$Z$2:$Z$3501,0)+1</f>
        <v>237</v>
      </c>
    </row>
    <row r="38" spans="1:9" x14ac:dyDescent="0.3">
      <c r="A38" s="31" t="str">
        <f>INDEX(Raw_Data!$A:$A,$I38)</f>
        <v>STU10237</v>
      </c>
      <c r="B38" s="31" t="str">
        <f>INDEX(Raw_Data!$C:$C,$I38)</f>
        <v>IT</v>
      </c>
      <c r="C38" s="32">
        <f>INDEX(Raw_Data!$F:$F,$I38)</f>
        <v>9.2200000000000006</v>
      </c>
      <c r="D38" s="33">
        <f>INDEX(Raw_Data!$L:$L,$I38)</f>
        <v>100</v>
      </c>
      <c r="E38" s="31" t="str">
        <f>INDEX(Raw_Data!$P:$P,$I38)</f>
        <v>Wipro</v>
      </c>
      <c r="F38" s="31" t="str">
        <f>INDEX(Raw_Data!$R:$R,$I38)</f>
        <v>Full Stack Developer</v>
      </c>
      <c r="G38" s="32">
        <f>INDEX(Raw_Data!$S:$S,$I38)</f>
        <v>8.75</v>
      </c>
      <c r="I38">
        <f>MATCH(LARGE(Raw_Data!$Z$2:$Z$3501,10),Raw_Data!$Z$2:$Z$3501,0)+1</f>
        <v>238</v>
      </c>
    </row>
  </sheetData>
  <mergeCells count="1">
    <mergeCell ref="A1:G1"/>
  </mergeCells>
  <printOptions horizontalCentered="1"/>
  <pageMargins left="0.3" right="0.3" top="0.4" bottom="0.4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13"/>
  <sheetViews>
    <sheetView showGridLines="0" topLeftCell="A50" workbookViewId="0">
      <selection sqref="A1:H1"/>
    </sheetView>
  </sheetViews>
  <sheetFormatPr defaultRowHeight="14.4" x14ac:dyDescent="0.3"/>
  <cols>
    <col min="1" max="1" width="14" customWidth="1"/>
    <col min="2" max="2" width="13" customWidth="1"/>
    <col min="3" max="4" width="15" customWidth="1"/>
    <col min="5" max="5" width="18" customWidth="1"/>
    <col min="6" max="6" width="22" customWidth="1"/>
  </cols>
  <sheetData>
    <row r="1" spans="1:8" ht="28.05" customHeight="1" x14ac:dyDescent="0.3">
      <c r="A1" s="67" t="s">
        <v>3698</v>
      </c>
      <c r="B1" s="68"/>
      <c r="C1" s="68"/>
      <c r="D1" s="68"/>
      <c r="E1" s="68"/>
      <c r="F1" s="68"/>
      <c r="G1" s="68"/>
      <c r="H1" s="69"/>
    </row>
    <row r="3" spans="1:8" ht="41.4" x14ac:dyDescent="0.3">
      <c r="A3" s="1" t="s">
        <v>44</v>
      </c>
      <c r="B3" s="1" t="s">
        <v>3699</v>
      </c>
      <c r="C3" s="1" t="s">
        <v>3619</v>
      </c>
      <c r="D3" s="1" t="s">
        <v>3620</v>
      </c>
      <c r="E3" s="1" t="s">
        <v>45</v>
      </c>
      <c r="F3" s="1" t="s">
        <v>3700</v>
      </c>
    </row>
    <row r="4" spans="1:8" x14ac:dyDescent="0.3">
      <c r="A4" s="34" t="s">
        <v>112</v>
      </c>
      <c r="B4" s="11">
        <f>COUNTIF(Raw_Data!$P$2:$P$3501,"Accenture")</f>
        <v>298</v>
      </c>
      <c r="C4" s="24">
        <f>AVERAGEIF(Raw_Data!$P$2:$P$3501,"Accenture",Raw_Data!$S$2:$S$3501)</f>
        <v>7.017684563758392</v>
      </c>
      <c r="D4" s="24">
        <f>_xlfn.MAXIFS(Raw_Data!$S$2:$S$3501,Raw_Data!$P$2:$P$3501,"Accenture")</f>
        <v>9.9600000000000009</v>
      </c>
      <c r="E4" s="35" t="str">
        <f>INDEX(Raw_Data!$Q$2:$Q$3501,MATCH("Accenture",Raw_Data!$P$2:$P$3501,0))</f>
        <v>Consulting</v>
      </c>
      <c r="F4" s="11">
        <f>SUMPRODUCT((COUNTIFS(Raw_Data!$P$2:$P$3501,"Accenture",Raw_Data!$R$2:$R$3501,{"Business Analyst","Cloud Engineer","Data Analyst","DevOps Engineer","Full Stack Developer","QA Engineer","Software Engineer"})&gt;0)*1)</f>
        <v>7</v>
      </c>
    </row>
    <row r="5" spans="1:8" x14ac:dyDescent="0.3">
      <c r="A5" s="27" t="s">
        <v>59</v>
      </c>
      <c r="B5" s="9">
        <f>COUNTIF(Raw_Data!$P$2:$P$3501,"Microsoft")</f>
        <v>297</v>
      </c>
      <c r="C5" s="23">
        <f>AVERAGEIF(Raw_Data!$P$2:$P$3501,"Microsoft",Raw_Data!$S$2:$S$3501)</f>
        <v>19.557710437710433</v>
      </c>
      <c r="D5" s="23">
        <f>_xlfn.MAXIFS(Raw_Data!$S$2:$S$3501,Raw_Data!$P$2:$P$3501,"Microsoft")</f>
        <v>23.34</v>
      </c>
      <c r="E5" s="36" t="str">
        <f>INDEX(Raw_Data!$Q$2:$Q$3501,MATCH("Microsoft",Raw_Data!$P$2:$P$3501,0))</f>
        <v>Software Product</v>
      </c>
      <c r="F5" s="9">
        <f>SUMPRODUCT((COUNTIFS(Raw_Data!$P$2:$P$3501,"Microsoft",Raw_Data!$R$2:$R$3501,{"Business Analyst","Cloud Engineer","Data Analyst","DevOps Engineer","Full Stack Developer","QA Engineer","Software Engineer"})&gt;0)*1)</f>
        <v>7</v>
      </c>
    </row>
    <row r="6" spans="1:8" x14ac:dyDescent="0.3">
      <c r="A6" s="34" t="s">
        <v>70</v>
      </c>
      <c r="B6" s="11">
        <f>COUNTIF(Raw_Data!$P$2:$P$3501,"TCS")</f>
        <v>293</v>
      </c>
      <c r="C6" s="24">
        <f>AVERAGEIF(Raw_Data!$P$2:$P$3501,"TCS",Raw_Data!$S$2:$S$3501)</f>
        <v>5.9132081911262793</v>
      </c>
      <c r="D6" s="24">
        <f>_xlfn.MAXIFS(Raw_Data!$S$2:$S$3501,Raw_Data!$P$2:$P$3501,"TCS")</f>
        <v>9.3000000000000007</v>
      </c>
      <c r="E6" s="35" t="str">
        <f>INDEX(Raw_Data!$Q$2:$Q$3501,MATCH("TCS",Raw_Data!$P$2:$P$3501,0))</f>
        <v>IT Services</v>
      </c>
      <c r="F6" s="11">
        <f>SUMPRODUCT((COUNTIFS(Raw_Data!$P$2:$P$3501,"TCS",Raw_Data!$R$2:$R$3501,{"Business Analyst","Cloud Engineer","Data Analyst","DevOps Engineer","Full Stack Developer","QA Engineer","Software Engineer"})&gt;0)*1)</f>
        <v>7</v>
      </c>
    </row>
    <row r="7" spans="1:8" x14ac:dyDescent="0.3">
      <c r="A7" s="27" t="s">
        <v>79</v>
      </c>
      <c r="B7" s="9">
        <f>COUNTIF(Raw_Data!$P$2:$P$3501,"Infosys")</f>
        <v>293</v>
      </c>
      <c r="C7" s="23">
        <f>AVERAGEIF(Raw_Data!$P$2:$P$3501,"Infosys",Raw_Data!$S$2:$S$3501)</f>
        <v>6.2783617747440275</v>
      </c>
      <c r="D7" s="23">
        <f>_xlfn.MAXIFS(Raw_Data!$S$2:$S$3501,Raw_Data!$P$2:$P$3501,"Infosys")</f>
        <v>9.49</v>
      </c>
      <c r="E7" s="36" t="str">
        <f>INDEX(Raw_Data!$Q$2:$Q$3501,MATCH("Infosys",Raw_Data!$P$2:$P$3501,0))</f>
        <v>IT Services</v>
      </c>
      <c r="F7" s="9">
        <f>SUMPRODUCT((COUNTIFS(Raw_Data!$P$2:$P$3501,"Infosys",Raw_Data!$R$2:$R$3501,{"Business Analyst","Cloud Engineer","Data Analyst","DevOps Engineer","Full Stack Developer","QA Engineer","Software Engineer"})&gt;0)*1)</f>
        <v>7</v>
      </c>
    </row>
    <row r="8" spans="1:8" x14ac:dyDescent="0.3">
      <c r="A8" s="34" t="s">
        <v>75</v>
      </c>
      <c r="B8" s="11">
        <f>COUNTIF(Raw_Data!$P$2:$P$3501,"Wipro")</f>
        <v>281</v>
      </c>
      <c r="C8" s="24">
        <f>AVERAGEIF(Raw_Data!$P$2:$P$3501,"Wipro",Raw_Data!$S$2:$S$3501)</f>
        <v>6.1509608540925296</v>
      </c>
      <c r="D8" s="24">
        <f>_xlfn.MAXIFS(Raw_Data!$S$2:$S$3501,Raw_Data!$P$2:$P$3501,"Wipro")</f>
        <v>9.69</v>
      </c>
      <c r="E8" s="35" t="str">
        <f>INDEX(Raw_Data!$Q$2:$Q$3501,MATCH("Wipro",Raw_Data!$P$2:$P$3501,0))</f>
        <v>IT Services</v>
      </c>
      <c r="F8" s="11">
        <f>SUMPRODUCT((COUNTIFS(Raw_Data!$P$2:$P$3501,"Wipro",Raw_Data!$R$2:$R$3501,{"Business Analyst","Cloud Engineer","Data Analyst","DevOps Engineer","Full Stack Developer","QA Engineer","Software Engineer"})&gt;0)*1)</f>
        <v>7</v>
      </c>
    </row>
    <row r="9" spans="1:8" x14ac:dyDescent="0.3">
      <c r="A9" s="27" t="s">
        <v>87</v>
      </c>
      <c r="B9" s="9">
        <f>COUNTIF(Raw_Data!$P$2:$P$3501,"Cognizant")</f>
        <v>270</v>
      </c>
      <c r="C9" s="23">
        <f>AVERAGEIF(Raw_Data!$P$2:$P$3501,"Cognizant",Raw_Data!$S$2:$S$3501)</f>
        <v>6.4715185185185202</v>
      </c>
      <c r="D9" s="23">
        <f>_xlfn.MAXIFS(Raw_Data!$S$2:$S$3501,Raw_Data!$P$2:$P$3501,"Cognizant")</f>
        <v>9.4600000000000009</v>
      </c>
      <c r="E9" s="36" t="str">
        <f>INDEX(Raw_Data!$Q$2:$Q$3501,MATCH("Cognizant",Raw_Data!$P$2:$P$3501,0))</f>
        <v>IT Services</v>
      </c>
      <c r="F9" s="9">
        <f>SUMPRODUCT((COUNTIFS(Raw_Data!$P$2:$P$3501,"Cognizant",Raw_Data!$R$2:$R$3501,{"Business Analyst","Cloud Engineer","Data Analyst","DevOps Engineer","Full Stack Developer","QA Engineer","Software Engineer"})&gt;0)*1)</f>
        <v>7</v>
      </c>
    </row>
    <row r="10" spans="1:8" x14ac:dyDescent="0.3">
      <c r="A10" s="34" t="s">
        <v>90</v>
      </c>
      <c r="B10" s="11">
        <f>COUNTIF(Raw_Data!$P$2:$P$3501,"IBM")</f>
        <v>270</v>
      </c>
      <c r="C10" s="24">
        <f>AVERAGEIF(Raw_Data!$P$2:$P$3501,"IBM",Raw_Data!$S$2:$S$3501)</f>
        <v>8.4452962962963003</v>
      </c>
      <c r="D10" s="24">
        <f>_xlfn.MAXIFS(Raw_Data!$S$2:$S$3501,Raw_Data!$P$2:$P$3501,"IBM")</f>
        <v>12.55</v>
      </c>
      <c r="E10" s="35" t="str">
        <f>INDEX(Raw_Data!$Q$2:$Q$3501,MATCH("IBM",Raw_Data!$P$2:$P$3501,0))</f>
        <v>Software Product</v>
      </c>
      <c r="F10" s="11">
        <f>SUMPRODUCT((COUNTIFS(Raw_Data!$P$2:$P$3501,"IBM",Raw_Data!$R$2:$R$3501,{"Business Analyst","Cloud Engineer","Data Analyst","DevOps Engineer","Full Stack Developer","QA Engineer","Software Engineer"})&gt;0)*1)</f>
        <v>7</v>
      </c>
    </row>
    <row r="11" spans="1:8" x14ac:dyDescent="0.3">
      <c r="A11" s="27" t="s">
        <v>104</v>
      </c>
      <c r="B11" s="9">
        <f>COUNTIF(Raw_Data!$P$2:$P$3501,"Amazon")</f>
        <v>265</v>
      </c>
      <c r="C11" s="23">
        <f>AVERAGEIF(Raw_Data!$P$2:$P$3501,"Amazon",Raw_Data!$S$2:$S$3501)</f>
        <v>15.48498113207547</v>
      </c>
      <c r="D11" s="23">
        <f>_xlfn.MAXIFS(Raw_Data!$S$2:$S$3501,Raw_Data!$P$2:$P$3501,"Amazon")</f>
        <v>18.899999999999999</v>
      </c>
      <c r="E11" s="36" t="str">
        <f>INDEX(Raw_Data!$Q$2:$Q$3501,MATCH("Amazon",Raw_Data!$P$2:$P$3501,0))</f>
        <v>E-commerce</v>
      </c>
      <c r="F11" s="9">
        <f>SUMPRODUCT((COUNTIFS(Raw_Data!$P$2:$P$3501,"Amazon",Raw_Data!$R$2:$R$3501,{"Business Analyst","Cloud Engineer","Data Analyst","DevOps Engineer","Full Stack Developer","QA Engineer","Software Engineer"})&gt;0)*1)</f>
        <v>7</v>
      </c>
    </row>
    <row r="12" spans="1:8" x14ac:dyDescent="0.3">
      <c r="A12" s="34" t="s">
        <v>95</v>
      </c>
      <c r="B12" s="11">
        <f>COUNTIF(Raw_Data!$P$2:$P$3501,"Capgemini")</f>
        <v>264</v>
      </c>
      <c r="C12" s="24">
        <f>AVERAGEIF(Raw_Data!$P$2:$P$3501,"Capgemini",Raw_Data!$S$2:$S$3501)</f>
        <v>6.8153787878787853</v>
      </c>
      <c r="D12" s="24">
        <f>_xlfn.MAXIFS(Raw_Data!$S$2:$S$3501,Raw_Data!$P$2:$P$3501,"Capgemini")</f>
        <v>10.25</v>
      </c>
      <c r="E12" s="35" t="str">
        <f>INDEX(Raw_Data!$Q$2:$Q$3501,MATCH("Capgemini",Raw_Data!$P$2:$P$3501,0))</f>
        <v>Consulting</v>
      </c>
      <c r="F12" s="11">
        <f>SUMPRODUCT((COUNTIFS(Raw_Data!$P$2:$P$3501,"Capgemini",Raw_Data!$R$2:$R$3501,{"Business Analyst","Cloud Engineer","Data Analyst","DevOps Engineer","Full Stack Developer","QA Engineer","Software Engineer"})&gt;0)*1)</f>
        <v>7</v>
      </c>
    </row>
    <row r="13" spans="1:8" x14ac:dyDescent="0.3">
      <c r="A13" s="27" t="s">
        <v>92</v>
      </c>
      <c r="B13" s="9">
        <f>COUNTIF(Raw_Data!$P$2:$P$3501,"Deloitte")</f>
        <v>249</v>
      </c>
      <c r="C13" s="23">
        <f>AVERAGEIF(Raw_Data!$P$2:$P$3501,"Deloitte",Raw_Data!$S$2:$S$3501)</f>
        <v>9.0563855421686856</v>
      </c>
      <c r="D13" s="23">
        <f>_xlfn.MAXIFS(Raw_Data!$S$2:$S$3501,Raw_Data!$P$2:$P$3501,"Deloitte")</f>
        <v>11.76</v>
      </c>
      <c r="E13" s="36" t="str">
        <f>INDEX(Raw_Data!$Q$2:$Q$3501,MATCH("Deloitte",Raw_Data!$P$2:$P$3501,0))</f>
        <v>Consulting</v>
      </c>
      <c r="F13" s="9">
        <f>SUMPRODUCT((COUNTIFS(Raw_Data!$P$2:$P$3501,"Deloitte",Raw_Data!$R$2:$R$3501,{"Business Analyst","Cloud Engineer","Data Analyst","DevOps Engineer","Full Stack Developer","QA Engineer","Software Engineer"})&gt;0)*1)</f>
        <v>7</v>
      </c>
    </row>
  </sheetData>
  <mergeCells count="1">
    <mergeCell ref="A1:H1"/>
  </mergeCells>
  <printOptions horizontalCentered="1"/>
  <pageMargins left="0.3" right="0.3" top="0.4" bottom="0.4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Dashboard</vt:lpstr>
      <vt:lpstr>Raw_Data</vt:lpstr>
      <vt:lpstr>Data_Cleaning</vt:lpstr>
      <vt:lpstr>Summary</vt:lpstr>
      <vt:lpstr>Pivot_Tables</vt:lpstr>
      <vt:lpstr>Salary_Analysis</vt:lpstr>
      <vt:lpstr>Student_Analysis</vt:lpstr>
      <vt:lpstr>Top_Students</vt:lpstr>
      <vt:lpstr>Recruiter_Analysis</vt:lpstr>
      <vt:lpstr>Raw_Data!Print_Titles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VIJAYA LAKSHMI</cp:lastModifiedBy>
  <dcterms:created xsi:type="dcterms:W3CDTF">2026-09-07T05:04:19Z</dcterms:created>
  <dcterms:modified xsi:type="dcterms:W3CDTF">2026-09-19T11:38:35Z</dcterms:modified>
</cp:coreProperties>
</file>